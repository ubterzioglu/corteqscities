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2877a952084f1b" /></Relationships>
</file>

<file path=xl/workbook.xml><?xml version="1.0" encoding="utf-8"?>
<x:workbook xmlns:x="http://schemas.openxmlformats.org/spreadsheetml/2006/main">
  <x:sheets>
    <x:sheet xmlns:r="http://schemas.openxmlformats.org/officeDocument/2006/relationships" name="Özet" sheetId="1" r:id="R5a6d8f5f6a414db2"/>
    <x:sheet xmlns:r="http://schemas.openxmlformats.org/officeDocument/2006/relationships" name="Teslimat" sheetId="2" r:id="Re349248dcb294fc5"/>
    <x:sheet xmlns:r="http://schemas.openxmlformats.org/officeDocument/2006/relationships" name="Şehir" sheetId="3" r:id="R1aa24b6bf64b46c2"/>
    <x:sheet xmlns:r="http://schemas.openxmlformats.org/officeDocument/2006/relationships" name="Konular" sheetId="4" r:id="R5cdc3c333de04190"/>
    <x:sheet xmlns:r="http://schemas.openxmlformats.org/officeDocument/2006/relationships" name="Yanıtlar" sheetId="5" r:id="Rbdc246b7f0604ddd"/>
    <x:sheet xmlns:r="http://schemas.openxmlformats.org/officeDocument/2006/relationships" name="Mekânlar" sheetId="6" r:id="Ra400fab8669a4816"/>
    <x:sheet xmlns:r="http://schemas.openxmlformats.org/officeDocument/2006/relationships" name="Mahalleler" sheetId="7" r:id="Rbac2903c7d1449ee"/>
    <x:sheet xmlns:r="http://schemas.openxmlformats.org/officeDocument/2006/relationships" name="Bağlantılar" sheetId="8" r:id="R563d10876dc94cd5"/>
    <x:sheet xmlns:r="http://schemas.openxmlformats.org/officeDocument/2006/relationships" name="Rotalar" sheetId="9" r:id="Rc4e92c397ce448d5"/>
    <x:sheet xmlns:r="http://schemas.openxmlformats.org/officeDocument/2006/relationships" name="Sözlük" sheetId="10" r:id="R0f4b67fe9982493c"/>
    <x:sheet xmlns:r="http://schemas.openxmlformats.org/officeDocument/2006/relationships" name="Adımlar" sheetId="11" r:id="R83b3318cd0d84874"/>
    <x:sheet xmlns:r="http://schemas.openxmlformats.org/officeDocument/2006/relationships" name="Kaynaklar" sheetId="12" r:id="Rd114697c026f41bc"/>
    <x:sheet xmlns:r="http://schemas.openxmlformats.org/officeDocument/2006/relationships" name="Fotoğraflar" sheetId="13" r:id="Rad76ed1f31eb4c2e"/>
    <x:sheet xmlns:r="http://schemas.openxmlformats.org/officeDocument/2006/relationships" name="Kanıtlar" sheetId="14" r:id="R57955a1f347a491b"/>
    <x:sheet xmlns:r="http://schemas.openxmlformats.org/officeDocument/2006/relationships" name="SayfaAlanları" sheetId="15" r:id="R9a93a58a3c6649f9"/>
    <x:sheet xmlns:r="http://schemas.openxmlformats.org/officeDocument/2006/relationships" name="EkDetaylar" sheetId="16" r:id="R1e33d40d1dd64e3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0000"/>
    <x:numFmt numFmtId="203" formatCode="0"/>
  </x:numFmts>
  <x:fonts count="7">
    <x:font>
      <x:sz val="11"/>
      <x:name val="Carlito"/>
    </x:font>
    <x:font>
      <x:sz val="11"/>
      <x:color rgb="FF17382F"/>
      <x:name val="Arial"/>
    </x:font>
    <x:font>
      <x:b/>
      <x:sz val="16"/>
      <x:color rgb="FF173B31"/>
      <x:name val="Arial"/>
    </x:font>
    <x:font>
      <x:b/>
      <x:sz val="11"/>
      <x:color rgb="FFFFFFFF"/>
      <x:name val="Arial"/>
    </x:font>
    <x:font>
      <x:b/>
      <x:sz val="11"/>
      <x:color rgb="FF17382F"/>
      <x:name val="Arial"/>
    </x:font>
    <x:font>
      <x:sz val="10"/>
      <x:color rgb="FF6B7B73"/>
      <x:name val="Arial"/>
    </x:font>
    <x:font>
      <x:sz val="10"/>
      <x:color rgb="FFFFFFFF"/>
      <x:name val="Arial"/>
    </x:font>
  </x:fonts>
  <x:fills count="7">
    <x:fill>
      <x:patternFill patternType="none"/>
    </x:fill>
    <x:fill>
      <x:patternFill patternType="gray125"/>
    </x:fill>
    <x:fill>
      <x:patternFill patternType="solid">
        <x:fgColor rgb="FFFFFFFF"/>
      </x:patternFill>
    </x:fill>
    <x:fill>
      <x:patternFill patternType="solid">
        <x:fgColor rgb="FF173B31"/>
      </x:patternFill>
    </x:fill>
    <x:fill>
      <x:patternFill patternType="solid">
        <x:fgColor rgb="FFF5F6F2"/>
      </x:patternFill>
    </x:fill>
    <x:fill>
      <x:patternFill patternType="solid">
        <x:fgColor rgb="FFFFF4D7"/>
      </x:patternFill>
    </x:fill>
    <x:fill>
      <x:patternFill patternType="solid">
        <x:fgColor rgb="FFE7EDDF"/>
      </x:patternFill>
    </x:fill>
  </x:fills>
  <x:borders count="2">
    <x:border>
      <x:left/>
      <x:right/>
      <x:top/>
      <x:bottom/>
      <x:diagonal/>
    </x:border>
    <x:border>
      <x:left/>
      <x:right/>
      <x:top/>
      <x:bottom style="thin">
        <x:color rgb="FFF66C4E"/>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4" fillId="6" borderId="0" xfId="0" applyNumberFormat="1" applyFont="1" applyFill="1" applyBorder="1" applyAlignment="1">
      <x:alignment vertical="center"/>
    </x:xf>
    <x:xf numFmtId="0" fontId="4" fillId="6" borderId="0" xfId="0" applyNumberFormat="1" applyFont="1" applyFill="1" applyBorder="1" applyAlignment="1">
      <x:alignment vertical="center" wrapText="1"/>
    </x:xf>
    <x:xf numFmtId="0" fontId="4" fillId="6"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0" fontId="6" fillId="3" borderId="0"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2" fontId="1" fillId="5" borderId="0" xfId="0" applyNumberFormat="1" applyFont="1" applyFill="1" applyBorder="1" applyAlignment="1">
      <x:alignment vertical="top" wrapText="1"/>
    </x:xf>
    <x:xf numFmtId="202" fontId="1" fillId="5" borderId="0" xfId="0" applyNumberFormat="1" applyFont="1" applyFill="1" applyBorder="1" applyAlignment="1">
      <x:alignment horizontal="right" vertical="top" wrapText="1"/>
    </x:xf>
    <x:xf numFmtId="203" fontId="1" fillId="5" borderId="0" xfId="0" applyNumberFormat="1" applyFont="1" applyFill="1" applyBorder="1" applyAlignment="1">
      <x:alignment vertical="top" wrapText="1"/>
    </x:xf>
    <x:xf numFmtId="203" fontId="1" fillId="5" borderId="0" xfId="0" applyNumberFormat="1" applyFont="1" applyFill="1" applyBorder="1" applyAlignment="1">
      <x:alignment horizontal="right" vertical="top" wrapText="1"/>
    </x:xf>
    <x:xf numFmtId="203" fontId="1" fillId="4" borderId="0" xfId="0" applyNumberFormat="1" applyFont="1" applyFill="1" applyBorder="1" applyAlignment="1">
      <x:alignment horizontal="right" vertical="top" wrapText="1"/>
    </x:xf>
  </x:cellXfs>
  <x:cellStyles count="1">
    <x:cellStyle name="Normal" xfId="0"/>
  </x:cellStyles>
  <x:dxfs count="157">
    <x:dxf>
      <x:font>
        <x:color rgb="FFA3412D"/>
      </x:font>
      <x:fill>
        <x:patternFill patternType="solid">
          <x:bgColor rgb="FFFFF0E9"/>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
      <x:font>
        <x:color rgb="FF9B3228"/>
      </x:font>
      <x:fill>
        <x:patternFill patternType="solid">
          <x:bgColor rgb="FFFCE4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45b19770a542ae" /><Relationship Type="http://schemas.openxmlformats.org/officeDocument/2006/relationships/theme" Target="/xl/theme/theme1.xml" Id="R33b1725e9ff446a6" /><Relationship Type="http://schemas.openxmlformats.org/officeDocument/2006/relationships/sharedStrings" Target="/xl/sharedStrings.xml" Id="R05699a35cfa34354" /><Relationship Type="http://schemas.openxmlformats.org/officeDocument/2006/relationships/worksheet" Target="/xl/worksheets/sheet1.xml" Id="R5a6d8f5f6a414db2" /><Relationship Type="http://schemas.openxmlformats.org/officeDocument/2006/relationships/worksheet" Target="/xl/worksheets/sheet2.xml" Id="Re349248dcb294fc5" /><Relationship Type="http://schemas.openxmlformats.org/officeDocument/2006/relationships/worksheet" Target="/xl/worksheets/sheet3.xml" Id="R1aa24b6bf64b46c2" /><Relationship Type="http://schemas.openxmlformats.org/officeDocument/2006/relationships/worksheet" Target="/xl/worksheets/sheet4.xml" Id="R5cdc3c333de04190" /><Relationship Type="http://schemas.openxmlformats.org/officeDocument/2006/relationships/worksheet" Target="/xl/worksheets/sheet5.xml" Id="Rbdc246b7f0604ddd" /><Relationship Type="http://schemas.openxmlformats.org/officeDocument/2006/relationships/worksheet" Target="/xl/worksheets/sheet6.xml" Id="Ra400fab8669a4816" /><Relationship Type="http://schemas.openxmlformats.org/officeDocument/2006/relationships/worksheet" Target="/xl/worksheets/sheet7.xml" Id="Rbac2903c7d1449ee" /><Relationship Type="http://schemas.openxmlformats.org/officeDocument/2006/relationships/worksheet" Target="/xl/worksheets/sheet8.xml" Id="R563d10876dc94cd5" /><Relationship Type="http://schemas.openxmlformats.org/officeDocument/2006/relationships/worksheet" Target="/xl/worksheets/sheet9.xml" Id="Rc4e92c397ce448d5" /><Relationship Type="http://schemas.openxmlformats.org/officeDocument/2006/relationships/worksheet" Target="/xl/worksheets/sheet10.xml" Id="R0f4b67fe9982493c" /><Relationship Type="http://schemas.openxmlformats.org/officeDocument/2006/relationships/worksheet" Target="/xl/worksheets/sheet11.xml" Id="R83b3318cd0d84874" /><Relationship Type="http://schemas.openxmlformats.org/officeDocument/2006/relationships/worksheet" Target="/xl/worksheets/sheet12.xml" Id="Rd114697c026f41bc" /><Relationship Type="http://schemas.openxmlformats.org/officeDocument/2006/relationships/worksheet" Target="/xl/worksheets/sheet13.xml" Id="Rad76ed1f31eb4c2e" /><Relationship Type="http://schemas.openxmlformats.org/officeDocument/2006/relationships/worksheet" Target="/xl/worksheets/sheet14.xml" Id="R57955a1f347a491b" /><Relationship Type="http://schemas.openxmlformats.org/officeDocument/2006/relationships/worksheet" Target="/xl/worksheets/sheet15.xml" Id="R9a93a58a3c6649f9" /><Relationship Type="http://schemas.openxmlformats.org/officeDocument/2006/relationships/worksheet" Target="/xl/worksheets/sheet16.xml" Id="R1e33d40d1dd64e38" /></Relationships>
</file>

<file path=xl/tables/table1.xml><?xml version="1.0" encoding="utf-8"?>
<x:table xmlns:x="http://schemas.openxmlformats.org/spreadsheetml/2006/main" id="1" name="CT_metadata" displayName="CT_metadata" ref="A7:I10" headerRowCount="1" totalsRowCount="0" totalsRowShown="0">
  <x:autoFilter ref="A7:I10"/>
  <x:tableColumns count="9">
    <x:tableColumn id="1" name="schema_version"/>
    <x:tableColumn id="2" name="delivery_id"/>
    <x:tableColumn id="3" name="city_id"/>
    <x:tableColumn id="4" name="editor"/>
    <x:tableColumn id="5" name="reviewer"/>
    <x:tableColumn id="6" name="scope"/>
    <x:tableColumn id="7" name="updated_on"/>
    <x:tableColumn id="8" name="editorial_status"/>
    <x:tableColumn id="9" name="notes"/>
  </x:tableColumns>
  <x:tableStyleInfo name="TableStyleMedium2" showFirstColumn="0" showLastColumn="0" showRowStripes="1" showColumnStripes="0"/>
</x:table>
</file>

<file path=xl/tables/table2.xml><?xml version="1.0" encoding="utf-8"?>
<x:table xmlns:x="http://schemas.openxmlformats.org/spreadsheetml/2006/main" id="2" name="CT_city" displayName="CT_city" ref="A7:AG10" headerRowCount="1" totalsRowCount="0" totalsRowShown="0">
  <x:autoFilter ref="A7:AG10"/>
  <x:tableColumns count="33">
    <x:tableColumn id="1" name="city_id"/>
    <x:tableColumn id="2" name="name"/>
    <x:tableColumn id="3" name="country"/>
    <x:tableColumn id="4" name="country_code"/>
    <x:tableColumn id="5" name="region"/>
    <x:tableColumn id="6" name="kind"/>
    <x:tableColumn id="7" name="title"/>
    <x:tableColumn id="8" name="intro"/>
    <x:tableColumn id="9" name="currency"/>
    <x:tableColumn id="10" name="currency_symbol"/>
    <x:tableColumn id="11" name="currency_label"/>
    <x:tableColumn id="12" name="language"/>
    <x:tableColumn id="13" name="timezone"/>
    <x:tableColumn id="14" name="latitude"/>
    <x:tableColumn id="15" name="longitude"/>
    <x:tableColumn id="16" name="coordinate_source_url"/>
    <x:tableColumn id="17" name="coordinate_checked_on"/>
    <x:tableColumn id="18" name="coordinate_note"/>
    <x:tableColumn id="19" name="source_url"/>
    <x:tableColumn id="20" name="source_checked_on"/>
    <x:tableColumn id="21" name="source_position"/>
    <x:tableColumn id="22" name="reviewed_on"/>
    <x:tableColumn id="23" name="priority"/>
    <x:tableColumn id="24" name="aliases"/>
    <x:tableColumn id="25" name="locality"/>
    <x:tableColumn id="26" name="tagline"/>
    <x:tableColumn id="27" name="directory_order"/>
    <x:tableColumn id="28" name="forecast_url"/>
    <x:tableColumn id="29" name="provider_url"/>
    <x:tableColumn id="30" name="forecast_label"/>
    <x:tableColumn id="31" name="hero_photo_id"/>
    <x:tableColumn id="32" name="editorial_notes"/>
    <x:tableColumn id="33" name="editorial_status"/>
  </x:tableColumns>
  <x:tableStyleInfo name="TableStyleMedium2" showFirstColumn="0" showLastColumn="0" showRowStripes="1" showColumnStripes="0"/>
</x:table>
</file>

<file path=xl/tables/table3.xml><?xml version="1.0" encoding="utf-8"?>
<x:table xmlns:x="http://schemas.openxmlformats.org/spreadsheetml/2006/main" id="3" name="CT_topics" displayName="CT_topics" ref="A7:H21" headerRowCount="1" totalsRowCount="0" totalsRowShown="0">
  <x:autoFilter ref="A7:H21"/>
  <x:tableColumns count="8">
    <x:tableColumn id="1" name="topic_id"/>
    <x:tableColumn id="2" name="city_id"/>
    <x:tableColumn id="3" name="slug"/>
    <x:tableColumn id="4" name="title"/>
    <x:tableColumn id="5" name="description"/>
    <x:tableColumn id="6" name="icon"/>
    <x:tableColumn id="7" name="order"/>
    <x:tableColumn id="8" name="used_count"/>
  </x:tableColumns>
  <x:tableStyleInfo name="TableStyleMedium2" showFirstColumn="0" showLastColumn="0" showRowStripes="1" showColumnStripes="0"/>
</x:table>
</file>

<file path=xl/tables/table4.xml><?xml version="1.0" encoding="utf-8"?>
<x:table xmlns:x="http://schemas.openxmlformats.org/spreadsheetml/2006/main" id="4" name="CT_answers" displayName="CT_answers" ref="A7:T249" headerRowCount="1" totalsRowCount="0" totalsRowShown="0">
  <x:autoFilter ref="A7:T249"/>
  <x:tableColumns count="20">
    <x:tableColumn id="1" name="entry_id"/>
    <x:tableColumn id="2" name="city_id"/>
    <x:tableColumn id="3" name="slug"/>
    <x:tableColumn id="4" name="title"/>
    <x:tableColumn id="5" name="subtitle"/>
    <x:tableColumn id="6" name="summary"/>
    <x:tableColumn id="7" name="keywords"/>
    <x:tableColumn id="8" name="stages"/>
    <x:tableColumn id="9" name="source_ids"/>
    <x:tableColumn id="10" name="reviewed_on"/>
    <x:tableColumn id="11" name="order"/>
    <x:tableColumn id="12" name="featured"/>
    <x:tableColumn id="13" name="editorial_status"/>
    <x:tableColumn id="14" name="topic_id"/>
    <x:tableColumn id="15" name="steps"/>
    <x:tableColumn id="16" name="documents"/>
    <x:tableColumn id="17" name="timing"/>
    <x:tableColumn id="18" name="cost"/>
    <x:tableColumn id="19" name="note"/>
    <x:tableColumn id="20" name="visual_json"/>
  </x:tableColumns>
  <x:tableStyleInfo name="TableStyleMedium2" showFirstColumn="0" showLastColumn="0" showRowStripes="1" showColumnStripes="0"/>
</x:table>
</file>

<file path=xl/tables/table5.xml><?xml version="1.0" encoding="utf-8"?>
<x:table xmlns:x="http://schemas.openxmlformats.org/spreadsheetml/2006/main" id="5" name="CT_places" displayName="CT_places" ref="A7:W129" headerRowCount="1" totalsRowCount="0" totalsRowShown="0">
  <x:autoFilter ref="A7:W129"/>
  <x:tableColumns count="23">
    <x:tableColumn id="1" name="entry_id"/>
    <x:tableColumn id="2" name="city_id"/>
    <x:tableColumn id="3" name="slug"/>
    <x:tableColumn id="4" name="title"/>
    <x:tableColumn id="5" name="subtitle"/>
    <x:tableColumn id="6" name="summary"/>
    <x:tableColumn id="7" name="keywords"/>
    <x:tableColumn id="8" name="stages"/>
    <x:tableColumn id="9" name="source_ids"/>
    <x:tableColumn id="10" name="reviewed_on"/>
    <x:tableColumn id="11" name="order"/>
    <x:tableColumn id="12" name="featured"/>
    <x:tableColumn id="13" name="editorial_status"/>
    <x:tableColumn id="14" name="group"/>
    <x:tableColumn id="15" name="district"/>
    <x:tableColumn id="16" name="setting"/>
    <x:tableColumn id="17" name="location"/>
    <x:tableColumn id="18" name="latitude"/>
    <x:tableColumn id="19" name="longitude"/>
    <x:tableColumn id="20" name="visit_status"/>
    <x:tableColumn id="21" name="note"/>
    <x:tableColumn id="22" name="collection"/>
    <x:tableColumn id="23" name="media_key"/>
  </x:tableColumns>
  <x:tableStyleInfo name="TableStyleMedium2" showFirstColumn="0" showLastColumn="0" showRowStripes="1" showColumnStripes="0"/>
</x:table>
</file>

<file path=xl/tables/table6.xml><?xml version="1.0" encoding="utf-8"?>
<x:table xmlns:x="http://schemas.openxmlformats.org/spreadsheetml/2006/main" id="6" name="CT_neighborhoods" displayName="CT_neighborhoods" ref="A7:R25" headerRowCount="1" totalsRowCount="0" totalsRowShown="0">
  <x:autoFilter ref="A7:R25"/>
  <x:tableColumns count="18">
    <x:tableColumn id="1" name="entry_id"/>
    <x:tableColumn id="2" name="city_id"/>
    <x:tableColumn id="3" name="slug"/>
    <x:tableColumn id="4" name="title"/>
    <x:tableColumn id="5" name="subtitle"/>
    <x:tableColumn id="6" name="summary"/>
    <x:tableColumn id="7" name="keywords"/>
    <x:tableColumn id="8" name="stages"/>
    <x:tableColumn id="9" name="source_ids"/>
    <x:tableColumn id="10" name="reviewed_on"/>
    <x:tableColumn id="11" name="order"/>
    <x:tableColumn id="12" name="featured"/>
    <x:tableColumn id="13" name="editorial_status"/>
    <x:tableColumn id="14" name="location"/>
    <x:tableColumn id="15" name="tags"/>
    <x:tableColumn id="16" name="compare_json"/>
    <x:tableColumn id="17" name="note"/>
    <x:tableColumn id="18" name="media_key"/>
  </x:tableColumns>
  <x:tableStyleInfo name="TableStyleMedium2" showFirstColumn="0" showLastColumn="0" showRowStripes="1" showColumnStripes="0"/>
</x:table>
</file>

<file path=xl/tables/table7.xml><?xml version="1.0" encoding="utf-8"?>
<x:table xmlns:x="http://schemas.openxmlformats.org/spreadsheetml/2006/main" id="7" name="CT_actions" displayName="CT_actions" ref="A7:G631" headerRowCount="1" totalsRowCount="0" totalsRowShown="0">
  <x:autoFilter ref="A7:G631"/>
  <x:tableColumns count="7">
    <x:tableColumn id="1" name="action_id"/>
    <x:tableColumn id="2" name="city_id"/>
    <x:tableColumn id="3" name="entry_id"/>
    <x:tableColumn id="4" name="label"/>
    <x:tableColumn id="5" name="url"/>
    <x:tableColumn id="6" name="checked_on"/>
    <x:tableColumn id="7" name="order"/>
  </x:tableColumns>
  <x:tableStyleInfo name="TableStyleMedium2" showFirstColumn="0" showLastColumn="0" showRowStripes="1" showColumnStripes="0"/>
</x:table>
</file>

<file path=xl/tables/table8.xml><?xml version="1.0" encoding="utf-8"?>
<x:table xmlns:x="http://schemas.openxmlformats.org/spreadsheetml/2006/main" id="8" name="CT_routes" displayName="CT_routes" ref="A7:L21" headerRowCount="1" totalsRowCount="0" totalsRowShown="0">
  <x:autoFilter ref="A7:L21"/>
  <x:tableColumns count="12">
    <x:tableColumn id="1" name="route_id"/>
    <x:tableColumn id="2" name="city_id"/>
    <x:tableColumn id="3" name="title"/>
    <x:tableColumn id="4" name="tag"/>
    <x:tableColumn id="5" name="stops"/>
    <x:tableColumn id="6" name="stop_entry_ids"/>
    <x:tableColumn id="7" name="entry_id"/>
    <x:tableColumn id="8" name="note"/>
    <x:tableColumn id="9" name="reviewed_on"/>
    <x:tableColumn id="10" name="source_ids"/>
    <x:tableColumn id="11" name="order"/>
    <x:tableColumn id="12" name="editorial_status"/>
  </x:tableColumns>
  <x:tableStyleInfo name="TableStyleMedium2" showFirstColumn="0" showLastColumn="0" showRowStripes="1" showColumnStripes="0"/>
</x:table>
</file>

<file path=xl/tables/table9.xml><?xml version="1.0" encoding="utf-8"?>
<x:table xmlns:x="http://schemas.openxmlformats.org/spreadsheetml/2006/main" id="9" name="CT_glossary" displayName="CT_glossary" ref="A7:H69" headerRowCount="1" totalsRowCount="0" totalsRowShown="0">
  <x:autoFilter ref="A7:H69"/>
  <x:tableColumns count="8">
    <x:tableColumn id="1" name="term_id"/>
    <x:tableColumn id="2" name="city_id"/>
    <x:tableColumn id="3" name="term"/>
    <x:tableColumn id="4" name="definition"/>
    <x:tableColumn id="5" name="source_ids"/>
    <x:tableColumn id="6" name="reviewed_on"/>
    <x:tableColumn id="7" name="order"/>
    <x:tableColumn id="8" name="editorial_status"/>
  </x:tableColumns>
  <x:tableStyleInfo name="TableStyleMedium2" showFirstColumn="0" showLastColumn="0" showRowStripes="1" showColumnStripes="0"/>
</x:table>
</file>

<file path=xl/tables/table10.xml><?xml version="1.0" encoding="utf-8"?>
<x:table xmlns:x="http://schemas.openxmlformats.org/spreadsheetml/2006/main" id="10" name="CT_journey_steps" displayName="CT_journey_steps" ref="A7:G13" headerRowCount="1" totalsRowCount="0" totalsRowShown="0">
  <x:autoFilter ref="A7:G13"/>
  <x:tableColumns count="7">
    <x:tableColumn id="1" name="step_id"/>
    <x:tableColumn id="2" name="city_id"/>
    <x:tableColumn id="3" name="entry_id"/>
    <x:tableColumn id="4" name="title"/>
    <x:tableColumn id="5" name="when"/>
    <x:tableColumn id="6" name="description"/>
    <x:tableColumn id="7" name="order"/>
  </x:tableColumns>
  <x:tableStyleInfo name="TableStyleMedium2" showFirstColumn="0" showLastColumn="0" showRowStripes="1" showColumnStripes="0"/>
</x:table>
</file>

<file path=xl/tables/table11.xml><?xml version="1.0" encoding="utf-8"?>
<x:table xmlns:x="http://schemas.openxmlformats.org/spreadsheetml/2006/main" id="11" name="CT_sources" displayName="CT_sources" ref="A7:K346" headerRowCount="1" totalsRowCount="0" totalsRowShown="0">
  <x:autoFilter ref="A7:K346"/>
  <x:tableColumns count="11">
    <x:tableColumn id="1" name="source_id"/>
    <x:tableColumn id="2" name="city_id"/>
    <x:tableColumn id="3" name="title"/>
    <x:tableColumn id="4" name="publisher"/>
    <x:tableColumn id="5" name="url"/>
    <x:tableColumn id="6" name="checked_on"/>
    <x:tableColumn id="7" name="topic"/>
    <x:tableColumn id="8" name="summary"/>
    <x:tableColumn id="9" name="verified"/>
    <x:tableColumn id="10" name="snapshot_file"/>
    <x:tableColumn id="11" name="snapshot_sha256"/>
  </x:tableColumns>
  <x:tableStyleInfo name="TableStyleMedium2" showFirstColumn="0" showLastColumn="0" showRowStripes="1" showColumnStripes="0"/>
</x:table>
</file>

<file path=xl/tables/table12.xml><?xml version="1.0" encoding="utf-8"?>
<x:table xmlns:x="http://schemas.openxmlformats.org/spreadsheetml/2006/main" id="12" name="CT_photos" displayName="CT_photos" ref="A7:T306" headerRowCount="1" totalsRowCount="0" totalsRowShown="0">
  <x:autoFilter ref="A7:T306"/>
  <x:tableColumns count="20">
    <x:tableColumn id="1" name="photo_id"/>
    <x:tableColumn id="2" name="city_id"/>
    <x:tableColumn id="3" name="role"/>
    <x:tableColumn id="4" name="entry_id"/>
    <x:tableColumn id="5" name="file"/>
    <x:tableColumn id="6" name="sha256"/>
    <x:tableColumn id="7" name="caption"/>
    <x:tableColumn id="8" name="author"/>
    <x:tableColumn id="9" name="license"/>
    <x:tableColumn id="10" name="license_url"/>
    <x:tableColumn id="11" name="source_url"/>
    <x:tableColumn id="12" name="capture_date"/>
    <x:tableColumn id="13" name="source_checked_on"/>
    <x:tableColumn id="14" name="modifications"/>
    <x:tableColumn id="15" name="evidence_id"/>
    <x:tableColumn id="16" name="completion_credit"/>
    <x:tableColumn id="17" name="order"/>
    <x:tableColumn id="18" name="editorial_status"/>
    <x:tableColumn id="19" name="unique_venue_count"/>
    <x:tableColumn id="20" name="unique_hero_count"/>
  </x:tableColumns>
  <x:tableStyleInfo name="TableStyleMedium2" showFirstColumn="0" showLastColumn="0" showRowStripes="1" showColumnStripes="0"/>
</x:table>
</file>

<file path=xl/tables/table13.xml><?xml version="1.0" encoding="utf-8"?>
<x:table xmlns:x="http://schemas.openxmlformats.org/spreadsheetml/2006/main" id="13" name="CT_evidence" displayName="CT_evidence" ref="A7:W306" headerRowCount="1" totalsRowCount="0" totalsRowShown="0">
  <x:autoFilter ref="A7:W306"/>
  <x:tableColumns count="23">
    <x:tableColumn id="1" name="evidence_id"/>
    <x:tableColumn id="2" name="city_id"/>
    <x:tableColumn id="3" name="photo_id"/>
    <x:tableColumn id="4" name="source_url"/>
    <x:tableColumn id="5" name="source_title"/>
    <x:tableColumn id="6" name="author"/>
    <x:tableColumn id="7" name="license"/>
    <x:tableColumn id="8" name="license_url"/>
    <x:tableColumn id="9" name="usage_terms"/>
    <x:tableColumn id="10" name="attribution"/>
    <x:tableColumn id="11" name="restrictions"/>
    <x:tableColumn id="12" name="checked_on"/>
    <x:tableColumn id="13" name="metadata_review_status"/>
    <x:tableColumn id="14" name="pixel_review_status"/>
    <x:tableColumn id="15" name="pixel_review_file"/>
    <x:tableColumn id="16" name="pixel_review_note"/>
    <x:tableColumn id="17" name="rights_status"/>
    <x:tableColumn id="18" name="rights_basis"/>
    <x:tableColumn id="19" name="source_snapshot_file"/>
    <x:tableColumn id="20" name="source_snapshot_sha256"/>
    <x:tableColumn id="21" name="license_snapshot_file"/>
    <x:tableColumn id="22" name="license_snapshot_sha256"/>
    <x:tableColumn id="23" name="source_evidence_json"/>
  </x:tableColumns>
  <x:tableStyleInfo name="TableStyleMedium2" showFirstColumn="0" showLastColumn="0" showRowStripes="1" showColumnStripes="0"/>
</x:table>
</file>

<file path=xl/tables/table14.xml><?xml version="1.0" encoding="utf-8"?>
<x:table xmlns:x="http://schemas.openxmlformats.org/spreadsheetml/2006/main" id="14" name="CT_page_fields" displayName="CT_page_fields" ref="A7:G43" headerRowCount="1" totalsRowCount="0" totalsRowShown="0">
  <x:autoFilter ref="A7:G43"/>
  <x:tableColumns count="7">
    <x:tableColumn id="1" name="field_id"/>
    <x:tableColumn id="2" name="city_id"/>
    <x:tableColumn id="3" name="key"/>
    <x:tableColumn id="4" name="label"/>
    <x:tableColumn id="5" name="value_type"/>
    <x:tableColumn id="6" name="value"/>
    <x:tableColumn id="7" name="reviewed_on"/>
  </x:tableColumns>
  <x:tableStyleInfo name="TableStyleMedium2" showFirstColumn="0" showLastColumn="0" showRowStripes="1" showColumnStripes="0"/>
</x:table>
</file>

<file path=xl/tables/table15.xml><?xml version="1.0" encoding="utf-8"?>
<x:table xmlns:x="http://schemas.openxmlformats.org/spreadsheetml/2006/main" id="15" name="CT_entry_details" displayName="CT_entry_details" ref="A7:G505" headerRowCount="1" totalsRowCount="0" totalsRowShown="0">
  <x:autoFilter ref="A7:G505"/>
  <x:tableColumns count="7">
    <x:tableColumn id="1" name="detail_id"/>
    <x:tableColumn id="2" name="city_id"/>
    <x:tableColumn id="3" name="entry_id"/>
    <x:tableColumn id="4" name="key"/>
    <x:tableColumn id="5" name="label"/>
    <x:tableColumn id="6" name="value_type"/>
    <x:tableColumn id="7"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efbb7ecba24c1e" /></Relationships>
</file>

<file path=xl/worksheets/_rels/sheet3.xml.rels>&#65279;<?xml version="1.0" encoding="utf-8"?><Relationships xmlns="http://schemas.openxmlformats.org/package/2006/relationships"><Relationship Type="http://schemas.openxmlformats.org/officeDocument/2006/relationships/table" Target="/xl/tables/table2.xml" Id="R1ac87507974c4d80" /></Relationships>
</file>

<file path=xl/worksheets/_rels/sheet4.xml.rels>&#65279;<?xml version="1.0" encoding="utf-8"?><Relationships xmlns="http://schemas.openxmlformats.org/package/2006/relationships"><Relationship Type="http://schemas.openxmlformats.org/officeDocument/2006/relationships/table" Target="/xl/tables/table3.xml" Id="Rd1bf309bd9a84d97" /></Relationships>
</file>

<file path=xl/worksheets/_rels/sheet5.xml.rels>&#65279;<?xml version="1.0" encoding="utf-8"?><Relationships xmlns="http://schemas.openxmlformats.org/package/2006/relationships"><Relationship Type="http://schemas.openxmlformats.org/officeDocument/2006/relationships/table" Target="/xl/tables/table4.xml" Id="R7a289376b6fe4ae4" /></Relationships>
</file>

<file path=xl/worksheets/_rels/sheet6.xml.rels>&#65279;<?xml version="1.0" encoding="utf-8"?><Relationships xmlns="http://schemas.openxmlformats.org/package/2006/relationships"><Relationship Type="http://schemas.openxmlformats.org/officeDocument/2006/relationships/table" Target="/xl/tables/table5.xml" Id="R097d0fe31e094587" /></Relationships>
</file>

<file path=xl/worksheets/_rels/sheet7.xml.rels>&#65279;<?xml version="1.0" encoding="utf-8"?><Relationships xmlns="http://schemas.openxmlformats.org/package/2006/relationships"><Relationship Type="http://schemas.openxmlformats.org/officeDocument/2006/relationships/table" Target="/xl/tables/table6.xml" Id="Rb7b65be208374590" /></Relationships>
</file>

<file path=xl/worksheets/_rels/sheet8.xml.rels>&#65279;<?xml version="1.0" encoding="utf-8"?><Relationships xmlns="http://schemas.openxmlformats.org/package/2006/relationships"><Relationship Type="http://schemas.openxmlformats.org/officeDocument/2006/relationships/table" Target="/xl/tables/table7.xml" Id="R72d5c79ec1514958" /></Relationships>
</file>

<file path=xl/worksheets/_rels/sheet9.xml.rels>&#65279;<?xml version="1.0" encoding="utf-8"?><Relationships xmlns="http://schemas.openxmlformats.org/package/2006/relationships"><Relationship Type="http://schemas.openxmlformats.org/officeDocument/2006/relationships/table" Target="/xl/tables/table8.xml" Id="R03e2ceb255394533" /></Relationships>
</file>

<file path=xl/worksheets/_rels/sheet10.xml.rels>&#65279;<?xml version="1.0" encoding="utf-8"?><Relationships xmlns="http://schemas.openxmlformats.org/package/2006/relationships"><Relationship Type="http://schemas.openxmlformats.org/officeDocument/2006/relationships/table" Target="/xl/tables/table9.xml" Id="Ra36ff3accb3b45e2" /></Relationships>
</file>

<file path=xl/worksheets/_rels/sheet11.xml.rels>&#65279;<?xml version="1.0" encoding="utf-8"?><Relationships xmlns="http://schemas.openxmlformats.org/package/2006/relationships"><Relationship Type="http://schemas.openxmlformats.org/officeDocument/2006/relationships/table" Target="/xl/tables/table10.xml" Id="Rd584b0cd230e41f3" /></Relationships>
</file>

<file path=xl/worksheets/_rels/sheet12.xml.rels>&#65279;<?xml version="1.0" encoding="utf-8"?><Relationships xmlns="http://schemas.openxmlformats.org/package/2006/relationships"><Relationship Type="http://schemas.openxmlformats.org/officeDocument/2006/relationships/table" Target="/xl/tables/table11.xml" Id="R6197eba4eba04efc" /></Relationships>
</file>

<file path=xl/worksheets/_rels/sheet13.xml.rels>&#65279;<?xml version="1.0" encoding="utf-8"?><Relationships xmlns="http://schemas.openxmlformats.org/package/2006/relationships"><Relationship Type="http://schemas.openxmlformats.org/officeDocument/2006/relationships/table" Target="/xl/tables/table12.xml" Id="Rbea8252824d946f8" /></Relationships>
</file>

<file path=xl/worksheets/_rels/sheet14.xml.rels>&#65279;<?xml version="1.0" encoding="utf-8"?><Relationships xmlns="http://schemas.openxmlformats.org/package/2006/relationships"><Relationship Type="http://schemas.openxmlformats.org/officeDocument/2006/relationships/table" Target="/xl/tables/table13.xml" Id="R532f4808af0a443a" /></Relationships>
</file>

<file path=xl/worksheets/_rels/sheet15.xml.rels>&#65279;<?xml version="1.0" encoding="utf-8"?><Relationships xmlns="http://schemas.openxmlformats.org/package/2006/relationships"><Relationship Type="http://schemas.openxmlformats.org/officeDocument/2006/relationships/table" Target="/xl/tables/table14.xml" Id="R8ce945b159844035" /></Relationships>
</file>

<file path=xl/worksheets/_rels/sheet16.xml.rels>&#65279;<?xml version="1.0" encoding="utf-8"?><Relationships xmlns="http://schemas.openxmlformats.org/package/2006/relationships"><Relationship Type="http://schemas.openxmlformats.org/officeDocument/2006/relationships/table" Target="/xl/tables/table15.xml" Id="R4b00380d19de4d1b" /></Relationships>
</file>

<file path=xl/worksheets/sheet1.xml><?xml version="1.0" encoding="utf-8"?>
<x:worksheet xmlns:x="http://schemas.openxmlformats.org/spreadsheetml/2006/main">
  <x:sheetPr>
    <x:tabColor rgb="FF173B31"/>
  </x:sheetPr>
  <x:sheetViews>
    <x:sheetView showGridLines="0" workbookViewId="0"/>
  </x:sheetViews>
  <x:sheetFormatPr defaultRowHeight="15"/>
  <x:cols>
    <x:col min="1" max="1" width="31"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ht="30" customHeight="1">
      <x:c r="A1" s="3"/>
      <x:c r="B1" s="3"/>
      <x:c r="C1" s="3"/>
      <x:c r="D1" s="3"/>
      <x:c r="E1" s="3"/>
      <x:c r="F1" s="3"/>
      <x:c r="G1" s="3"/>
      <x:c r="H1" s="3"/>
      <x:c r="I1" s="3"/>
    </x:row>
    <x:row r="2" ht="30" customHeight="1">
      <x:c r="A2" s="4" t="str">
        <x:v>Corteqs · Şehir içerik teslimi</x:v>
      </x:c>
      <x:c r="B2" s="3"/>
      <x:c r="C2" s="3"/>
      <x:c r="D2" s="3"/>
      <x:c r="E2" s="3"/>
      <x:c r="F2" s="3"/>
      <x:c r="G2" s="3"/>
      <x:c r="H2" s="3"/>
      <x:c r="I2" s="3"/>
    </x:row>
    <x:row r="3" ht="30" customHeight="1">
      <x:c r="A3" s="5" t="str">
        <x:v>Bakersfield · Tam şehir teslimi · 24 Ekim 2026</x:v>
      </x:c>
      <x:c r="B3" s="5"/>
      <x:c r="C3" s="5"/>
      <x:c r="D3" s="5"/>
      <x:c r="E3" s="5"/>
      <x:c r="F3" s="5"/>
      <x:c r="G3" s="5"/>
      <x:c r="H3" s="5"/>
      <x:c r="I3" s="5"/>
    </x:row>
    <x:row r="4" ht="30" customHeight="1">
      <x:c r="A4" s="3"/>
      <x:c r="B4" s="3"/>
      <x:c r="C4" s="3"/>
      <x:c r="D4" s="3"/>
      <x:c r="E4" s="3"/>
      <x:c r="F4" s="3"/>
      <x:c r="G4" s="3"/>
      <x:c r="H4" s="3"/>
      <x:c r="I4" s="3"/>
    </x:row>
    <x:row r="5" ht="34" customHeight="1">
      <x:c r="A5" s="9" t="str">
        <x:v>İçerik türü</x:v>
      </x:c>
      <x:c r="B5" s="9" t="str">
        <x:v>Dosyada</x:v>
      </x:c>
      <x:c r="C5" s="9" t="str">
        <x:v>Asgari</x:v>
      </x:c>
      <x:c r="D5" s="9" t="str">
        <x:v>Hedef</x:v>
      </x:c>
      <x:c r="E5" s="9" t="str">
        <x:v>Asgariye kalan</x:v>
      </x:c>
      <x:c r="F5" s="9" t="str">
        <x:v>Hedefe kalan</x:v>
      </x:c>
      <x:c r="G5" s="3"/>
      <x:c r="H5" s="3"/>
      <x:c r="I5" s="3"/>
    </x:row>
    <x:row r="6" ht="30" customHeight="1">
      <x:c r="A6" s="10" t="str">
        <x:v>Pratik yaşam yanıtı</x:v>
      </x:c>
      <x:c r="B6" s="11" t="n">
        <x:f>COUNTA('Yanıtlar'!$A$8:$A$249)</x:f>
        <x:v>240</x:v>
      </x:c>
      <x:c r="C6" s="11" t="n">
        <x:v>212</x:v>
      </x:c>
      <x:c r="D6" s="11" t="n">
        <x:v>240</x:v>
      </x:c>
      <x:c r="E6" s="11" t="n">
        <x:f>MAX(C6-B6,0)</x:f>
        <x:v>0</x:v>
      </x:c>
      <x:c r="F6" s="11" t="n">
        <x:f>MAX(D6-B6,0)</x:f>
        <x:v>0</x:v>
      </x:c>
      <x:c r="G6" s="3"/>
      <x:c r="H6" s="3"/>
      <x:c r="I6" s="3"/>
    </x:row>
    <x:row r="7" ht="30" customHeight="1">
      <x:c r="A7" s="3" t="str">
        <x:v>Keşif noktası</x:v>
      </x:c>
      <x:c r="B7" s="12" t="n">
        <x:f>COUNTA('Mekânlar'!$A$8:$A$129)</x:f>
        <x:v>120</x:v>
      </x:c>
      <x:c r="C7" s="12" t="n">
        <x:v>92</x:v>
      </x:c>
      <x:c r="D7" s="12" t="n">
        <x:v>120</x:v>
      </x:c>
      <x:c r="E7" s="12" t="n">
        <x:f>MAX(C7-B7,0)</x:f>
        <x:v>0</x:v>
      </x:c>
      <x:c r="F7" s="12" t="n">
        <x:f>MAX(D7-B7,0)</x:f>
        <x:v>0</x:v>
      </x:c>
      <x:c r="G7" s="3"/>
      <x:c r="H7" s="3"/>
      <x:c r="I7" s="3"/>
    </x:row>
    <x:row r="8" ht="30" customHeight="1">
      <x:c r="A8" s="10" t="str">
        <x:v>Mahalle / yerel bölge</x:v>
      </x:c>
      <x:c r="B8" s="11" t="n">
        <x:f>COUNTA('Mahalleler'!$A$8:$A$25)</x:f>
        <x:v>16</x:v>
      </x:c>
      <x:c r="C8" s="11" t="n">
        <x:v>12</x:v>
      </x:c>
      <x:c r="D8" s="11" t="n">
        <x:v>16</x:v>
      </x:c>
      <x:c r="E8" s="11" t="n">
        <x:f>MAX(C8-B8,0)</x:f>
        <x:v>0</x:v>
      </x:c>
      <x:c r="F8" s="11" t="n">
        <x:f>MAX(D8-B8,0)</x:f>
        <x:v>0</x:v>
      </x:c>
      <x:c r="G8" s="3"/>
      <x:c r="H8" s="3"/>
      <x:c r="I8" s="3"/>
    </x:row>
    <x:row r="9" ht="30" customHeight="1">
      <x:c r="A9" s="3" t="str">
        <x:v>Yanıt içeren konu</x:v>
      </x:c>
      <x:c r="B9" s="12" t="n">
        <x:f>SUM('Konular'!$H$8:$H$21)</x:f>
        <x:v>12</x:v>
      </x:c>
      <x:c r="C9" s="12" t="n">
        <x:v>12</x:v>
      </x:c>
      <x:c r="D9" s="12" t="n">
        <x:v>12</x:v>
      </x:c>
      <x:c r="E9" s="12" t="n">
        <x:f>MAX(C9-B9,0)</x:f>
        <x:v>0</x:v>
      </x:c>
      <x:c r="F9" s="12" t="n">
        <x:f>MAX(D9-B9,0)</x:f>
        <x:v>0</x:v>
      </x:c>
      <x:c r="G9" s="3"/>
      <x:c r="H9" s="3"/>
      <x:c r="I9" s="3"/>
    </x:row>
    <x:row r="10" ht="30" customHeight="1">
      <x:c r="A10" s="10" t="str">
        <x:v>Farklı mekân fotoğrafı</x:v>
      </x:c>
      <x:c r="B10" s="11" t="n">
        <x:f>SUM('Fotoğraflar'!$S$8:$S$306)</x:f>
        <x:v>275</x:v>
      </x:c>
      <x:c r="C10" s="11" t="n">
        <x:v>187</x:v>
      </x:c>
      <x:c r="D10" s="11" t="n">
        <x:v>250</x:v>
      </x:c>
      <x:c r="E10" s="11" t="n">
        <x:f>MAX(C10-B10,0)</x:f>
        <x:v>0</x:v>
      </x:c>
      <x:c r="F10" s="11" t="n">
        <x:f>MAX(D10-B10,0)</x:f>
        <x:v>0</x:v>
      </x:c>
      <x:c r="G10" s="3"/>
      <x:c r="H10" s="3"/>
      <x:c r="I10" s="3"/>
    </x:row>
    <x:row r="11" ht="30" customHeight="1">
      <x:c r="A11" s="3" t="str">
        <x:v>Farklı kapak fotoğrafı</x:v>
      </x:c>
      <x:c r="B11" s="12" t="n">
        <x:f>SUM('Fotoğraflar'!$T$8:$T$306)</x:f>
        <x:v>8</x:v>
      </x:c>
      <x:c r="C11" s="12" t="n">
        <x:v>6</x:v>
      </x:c>
      <x:c r="D11" s="12" t="n">
        <x:v>8</x:v>
      </x:c>
      <x:c r="E11" s="12" t="n">
        <x:f>MAX(C11-B11,0)</x:f>
        <x:v>0</x:v>
      </x:c>
      <x:c r="F11" s="12" t="n">
        <x:f>MAX(D11-B11,0)</x:f>
        <x:v>0</x:v>
      </x:c>
      <x:c r="G11" s="3"/>
      <x:c r="H11" s="3"/>
      <x:c r="I11" s="3"/>
    </x:row>
    <x:row r="12" ht="30" customHeight="1">
      <x:c r="A12" s="10" t="str">
        <x:v>Rota</x:v>
      </x:c>
      <x:c r="B12" s="11" t="n">
        <x:f>COUNTA('Rotalar'!$A$8:$A$21)</x:f>
        <x:v>12</x:v>
      </x:c>
      <x:c r="C12" s="11" t="n">
        <x:v>9</x:v>
      </x:c>
      <x:c r="D12" s="11" t="n">
        <x:v>12</x:v>
      </x:c>
      <x:c r="E12" s="11" t="n">
        <x:f>MAX(C12-B12,0)</x:f>
        <x:v>0</x:v>
      </x:c>
      <x:c r="F12" s="11" t="n">
        <x:f>MAX(D12-B12,0)</x:f>
        <x:v>0</x:v>
      </x:c>
      <x:c r="G12" s="3"/>
      <x:c r="H12" s="3"/>
      <x:c r="I12" s="3"/>
    </x:row>
    <x:row r="13" ht="30" customHeight="1">
      <x:c r="A13" s="3" t="str">
        <x:v>Sözlük terimi</x:v>
      </x:c>
      <x:c r="B13" s="12" t="n">
        <x:f>COUNTA('Sözlük'!$A$8:$A$69)</x:f>
        <x:v>60</x:v>
      </x:c>
      <x:c r="C13" s="12" t="n">
        <x:v>48</x:v>
      </x:c>
      <x:c r="D13" s="12" t="n">
        <x:v>60</x:v>
      </x:c>
      <x:c r="E13" s="12" t="n">
        <x:f>MAX(C13-B13,0)</x:f>
        <x:v>0</x:v>
      </x:c>
      <x:c r="F13" s="12" t="n">
        <x:f>MAX(D13-B13,0)</x:f>
        <x:v>0</x:v>
      </x:c>
      <x:c r="G13" s="3"/>
      <x:c r="H13" s="3"/>
      <x:c r="I13" s="3"/>
    </x:row>
    <x:row r="14" ht="30" customHeight="1">
      <x:c r="A14" s="3"/>
      <x:c r="B14" s="3"/>
      <x:c r="C14" s="3"/>
      <x:c r="D14" s="3"/>
      <x:c r="E14" s="3"/>
      <x:c r="F14" s="3"/>
      <x:c r="G14" s="3"/>
      <x:c r="H14" s="3"/>
      <x:c r="I14" s="3"/>
    </x:row>
    <x:row r="15" ht="30" customHeight="1">
      <x:c r="A15" s="3"/>
      <x:c r="B15" s="3"/>
      <x:c r="C15" s="3"/>
      <x:c r="D15" s="3"/>
      <x:c r="E15" s="3"/>
      <x:c r="F15" s="3"/>
      <x:c r="G15" s="3"/>
      <x:c r="H15" s="3"/>
      <x:c r="I15" s="3"/>
    </x:row>
    <x:row r="16" ht="30" customHeight="1">
      <x:c r="A16" s="13" t="str">
        <x:v>Dosyayı doldurma sırası</x:v>
      </x:c>
      <x:c r="B16" s="3"/>
      <x:c r="C16" s="3"/>
      <x:c r="D16" s="3"/>
      <x:c r="E16" s="3"/>
      <x:c r="F16" s="3"/>
      <x:c r="G16" s="3"/>
      <x:c r="H16" s="3"/>
      <x:c r="I16" s="3"/>
    </x:row>
    <x:row r="17" ht="30" customHeight="1">
      <x:c r="A17" s="3"/>
      <x:c r="B17" s="3"/>
      <x:c r="C17" s="3"/>
      <x:c r="D17" s="3"/>
      <x:c r="E17" s="3"/>
      <x:c r="F17" s="3"/>
      <x:c r="G17" s="3"/>
      <x:c r="H17" s="3"/>
      <x:c r="I17" s="3"/>
    </x:row>
    <x:row r="18" ht="32" customHeight="1">
      <x:c r="A18" s="14" t="str">
        <x:v>1. Teslimat ve Şehir alanlarını doldurun; şehir kimliğini tüm sayfalarda aynı kullanın.</x:v>
      </x:c>
      <x:c r="B18" s="14"/>
      <x:c r="C18" s="14"/>
      <x:c r="D18" s="14"/>
      <x:c r="E18" s="14"/>
      <x:c r="F18" s="14"/>
      <x:c r="G18" s="14"/>
      <x:c r="H18" s="14"/>
      <x:c r="I18" s="14"/>
    </x:row>
    <x:row r="19" ht="32" customHeight="1">
      <x:c r="A19" s="14" t="str">
        <x:v>2. Kaynaklar ve Konular kaydını açın. Yanıt, mekân ve mahalle satırlarını bu kimliklere bağlayın.</x:v>
      </x:c>
      <x:c r="B19" s="14"/>
      <x:c r="C19" s="14"/>
      <x:c r="D19" s="14"/>
      <x:c r="E19" s="14"/>
      <x:c r="F19" s="14"/>
      <x:c r="G19" s="14"/>
      <x:c r="H19" s="14"/>
      <x:c r="I19" s="14"/>
    </x:row>
    <x:row r="20" ht="32" customHeight="1">
      <x:c r="A20" s="14" t="str">
        <x:v>3. Bağlantılar, Fotoğraflar ve Kanıtlar satırlarını tamamlayın; rota ve sözlük kaynaklarını ekleyin.</x:v>
      </x:c>
      <x:c r="B20" s="14"/>
      <x:c r="C20" s="14"/>
      <x:c r="D20" s="14"/>
      <x:c r="E20" s="14"/>
      <x:c r="F20" s="14"/>
      <x:c r="G20" s="14"/>
      <x:c r="H20" s="14"/>
      <x:c r="I20" s="14"/>
    </x:row>
    <x:row r="21" ht="32" customHeight="1">
      <x:c r="A21" s="14" t="str">
        <x:v>4. Kaynak kontrol tarihini yazın. Çekim tarihi bilinmiyorsa boş bırakın; tarih uydurmayın.</x:v>
      </x:c>
      <x:c r="B21" s="14"/>
      <x:c r="C21" s="14"/>
      <x:c r="D21" s="14"/>
      <x:c r="E21" s="14"/>
      <x:c r="F21" s="14"/>
      <x:c r="G21" s="14"/>
      <x:c r="H21" s="14"/>
      <x:c r="I21" s="14"/>
    </x:row>
    <x:row r="22" ht="32" customHeight="1">
      <x:c r="A22" s="14" t="str">
        <x:v>5. Doğrulama raporunu inceleyin. Yerel içerik, Türkçe ve hak incelemesini ayrı editör tamamlar.</x:v>
      </x:c>
      <x:c r="B22" s="14"/>
      <x:c r="C22" s="14"/>
      <x:c r="D22" s="14"/>
      <x:c r="E22" s="14"/>
      <x:c r="F22" s="14"/>
      <x:c r="G22" s="14"/>
      <x:c r="H22" s="14"/>
      <x:c r="I22" s="14"/>
    </x:row>
    <x:row r="23" ht="30" customHeight="1">
      <x:c r="A23" s="3"/>
      <x:c r="B23" s="3"/>
      <x:c r="C23" s="3"/>
      <x:c r="D23" s="3"/>
      <x:c r="E23" s="3"/>
      <x:c r="F23" s="3"/>
      <x:c r="G23" s="3"/>
      <x:c r="H23" s="3"/>
      <x:c r="I23" s="3"/>
    </x:row>
    <x:row r="24" ht="30" customHeight="1">
      <x:c r="A24" s="3"/>
      <x:c r="B24" s="3"/>
      <x:c r="C24" s="3"/>
      <x:c r="D24" s="3"/>
      <x:c r="E24" s="3"/>
      <x:c r="F24" s="3"/>
      <x:c r="G24" s="3"/>
      <x:c r="H24" s="3"/>
      <x:c r="I24" s="3"/>
    </x:row>
    <x:row r="25" ht="29" customHeight="1">
      <x:c r="A25" s="16" t="str">
        <x:v>Sarı alanlar düzenlenebilir. Koyu satırdaki makine sütun adları (7. satır) ve sayfa adları değişmez. Veri 8. satırdan başlar. Kimlik listelerinde ; kullanın; işlem, belge ve durakları hücre içinde ayrı satırlara yazın.</x:v>
      </x:c>
      <x:c r="B25" s="16"/>
      <x:c r="C25" s="16"/>
      <x:c r="D25" s="16"/>
      <x:c r="E25" s="16"/>
      <x:c r="F25" s="16"/>
      <x:c r="G25" s="16"/>
      <x:c r="H25" s="16"/>
      <x:c r="I25" s="16"/>
    </x:row>
    <x:row r="26" ht="29" customHeight="1">
      <x:c r="A26" s="16"/>
      <x:c r="B26" s="16"/>
      <x:c r="C26" s="16"/>
      <x:c r="D26" s="16"/>
      <x:c r="E26" s="16"/>
      <x:c r="F26" s="16"/>
      <x:c r="G26" s="16"/>
      <x:c r="H26" s="16"/>
      <x:c r="I26" s="16"/>
    </x:row>
    <x:row r="27" ht="30" customHeight="1">
      <x:c r="A27" s="3"/>
      <x:c r="B27" s="3"/>
      <x:c r="C27" s="3"/>
      <x:c r="D27" s="3"/>
      <x:c r="E27" s="3"/>
      <x:c r="F27" s="3"/>
      <x:c r="G27" s="3"/>
      <x:c r="H27" s="3"/>
      <x:c r="I27" s="3"/>
    </x:row>
    <x:row r="28" ht="29" customHeight="1">
      <x:c r="A28" s="18" t="str">
        <x:v>Fotoğraf sayımı dosya SHA-256 özeti üzerinden, aynı görseli bir kez sayar. “Sayımda kullanılabilir” alanı arşiv eklerini ayırır. Miktarlar giriş ilerlemesidir; yerel doğruluk, lisans ve yayın onayı için yeterli değildir.</x:v>
      </x:c>
      <x:c r="B28" s="18"/>
      <x:c r="C28" s="18"/>
      <x:c r="D28" s="18"/>
      <x:c r="E28" s="18"/>
      <x:c r="F28" s="18"/>
      <x:c r="G28" s="18"/>
      <x:c r="H28" s="18"/>
      <x:c r="I28" s="18"/>
    </x:row>
    <x:row r="29" ht="29" customHeight="1">
      <x:c r="A29" s="18"/>
      <x:c r="B29" s="18"/>
      <x:c r="C29" s="18"/>
      <x:c r="D29" s="18"/>
      <x:c r="E29" s="18"/>
      <x:c r="F29" s="18"/>
      <x:c r="G29" s="18"/>
      <x:c r="H29" s="18"/>
      <x:c r="I29" s="18"/>
    </x:row>
    <x:row r="30" ht="30" customHeight="1">
      <x:c r="A30" s="3"/>
      <x:c r="B30" s="3"/>
      <x:c r="C30" s="3"/>
      <x:c r="D30" s="3"/>
      <x:c r="E30" s="3"/>
      <x:c r="F30" s="3"/>
      <x:c r="G30" s="3"/>
      <x:c r="H30" s="3"/>
      <x:c r="I30" s="3"/>
    </x:row>
    <x:row r="31" ht="29" customHeight="1">
      <x:c r="A31" s="14" t="str">
        <x:v>Asgari eşikler: 212 yanıt, 92 mekân, 12 mahalle, 12 konu, 187 farklı mekân fotoğrafı, 6 kapak, 9 rota, 48 terim. Hedefler: 240 / 120 / 16 / 12 / 250 / 8 / 12 / 60. Bu dosya uygulamaya veya veritabanına içerik yayımlamaz.</x:v>
      </x:c>
      <x:c r="B31" s="14"/>
      <x:c r="C31" s="14"/>
      <x:c r="D31" s="14"/>
      <x:c r="E31" s="14"/>
      <x:c r="F31" s="14"/>
      <x:c r="G31" s="14"/>
      <x:c r="H31" s="14"/>
      <x:c r="I31" s="14"/>
    </x:row>
    <x:row r="32" ht="29" customHeight="1">
      <x:c r="A32" s="14"/>
      <x:c r="B32" s="14"/>
      <x:c r="C32" s="14"/>
      <x:c r="D32" s="14"/>
      <x:c r="E32" s="14"/>
      <x:c r="F32" s="14"/>
      <x:c r="G32" s="14"/>
      <x:c r="H32" s="14"/>
      <x:c r="I32" s="14"/>
    </x:row>
    <x:row r="33" ht="30" customHeight="1">
      <x:c r="A33" s="3"/>
      <x:c r="B33" s="3"/>
      <x:c r="C33" s="3"/>
      <x:c r="D33" s="3"/>
      <x:c r="E33" s="3"/>
      <x:c r="F33" s="3"/>
      <x:c r="G33" s="3"/>
      <x:c r="H33" s="3"/>
      <x:c r="I33" s="3"/>
    </x:row>
    <x:row r="34" ht="30" customHeight="1">
      <x:c r="A34" s="3"/>
      <x:c r="B34" s="3"/>
      <x:c r="C34" s="3"/>
      <x:c r="D34" s="3"/>
      <x:c r="E34" s="3"/>
      <x:c r="F34" s="3"/>
      <x:c r="G34" s="3"/>
      <x:c r="H34" s="3"/>
      <x:c r="I34" s="3"/>
    </x:row>
    <x:row r="35" ht="30" customHeight="1">
      <x:c r="A35" s="3"/>
      <x:c r="B35" s="3"/>
      <x:c r="C35" s="3"/>
      <x:c r="D35" s="3"/>
      <x:c r="E35" s="3"/>
      <x:c r="F35" s="3"/>
      <x:c r="G35" s="3"/>
      <x:c r="H35" s="3"/>
      <x:c r="I35" s="3"/>
    </x:row>
    <x:row r="36" ht="30" customHeight="1">
      <x:c r="A36" s="3"/>
      <x:c r="B36" s="3"/>
      <x:c r="C36" s="3"/>
      <x:c r="D36" s="3"/>
      <x:c r="E36" s="3"/>
      <x:c r="F36" s="3"/>
      <x:c r="G36" s="3"/>
      <x:c r="H36" s="3"/>
      <x:c r="I36" s="3"/>
    </x:row>
    <x:row r="37" ht="30" customHeight="1">
      <x:c r="A37" s="3"/>
      <x:c r="B37" s="3"/>
      <x:c r="C37" s="3"/>
      <x:c r="D37" s="3"/>
      <x:c r="E37" s="3"/>
      <x:c r="F37" s="3"/>
      <x:c r="G37" s="3"/>
      <x:c r="H37" s="3"/>
      <x:c r="I37" s="3"/>
    </x:row>
    <x:row r="38" ht="30" customHeight="1">
      <x:c r="A38" s="3"/>
      <x:c r="B38" s="3"/>
      <x:c r="C38" s="3"/>
      <x:c r="D38" s="3"/>
      <x:c r="E38" s="3"/>
      <x:c r="F38" s="3"/>
      <x:c r="G38" s="3"/>
      <x:c r="H38" s="3"/>
      <x:c r="I38" s="3"/>
    </x:row>
    <x:row r="39" ht="30" customHeight="1">
      <x:c r="A39" s="3"/>
      <x:c r="B39" s="3"/>
      <x:c r="C39" s="3"/>
      <x:c r="D39" s="3"/>
      <x:c r="E39" s="3"/>
      <x:c r="F39" s="3"/>
      <x:c r="G39" s="3"/>
      <x:c r="H39" s="3"/>
      <x:c r="I39" s="3"/>
    </x:row>
  </x:sheetData>
  <x:mergeCells>
    <x:mergeCell ref="A18:I18"/>
    <x:mergeCell ref="A19:I19"/>
    <x:mergeCell ref="A20:I20"/>
    <x:mergeCell ref="A21:I21"/>
    <x:mergeCell ref="A22:I22"/>
    <x:mergeCell ref="A25:I26"/>
    <x:mergeCell ref="A28:I29"/>
    <x:mergeCell ref="A31:I32"/>
  </x:mergeCells>
  <x:conditionalFormatting sqref="E6:F13">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F66C4E"/>
  </x:sheetPr>
  <x:sheetViews>
    <x:sheetView showGridLines="0" workbookViewId="0">
      <x:pane xSplit="2" ySplit="7" topLeftCell="C8" activePane="bottomRight" state="frozen"/>
    </x:sheetView>
  </x:sheetViews>
  <x:sheetFormatPr defaultRowHeight="15"/>
  <x:cols>
    <x:col min="1" max="1" width="28" hidden="0" customWidth="1"/>
    <x:col min="2" max="2" width="32" hidden="0" customWidth="1"/>
    <x:col min="3" max="3" width="32" hidden="0" customWidth="1"/>
    <x:col min="4" max="4" width="28" hidden="0" customWidth="1"/>
    <x:col min="5" max="5" width="28" hidden="0" customWidth="1"/>
    <x:col min="6" max="6" width="28" hidden="0" customWidth="1"/>
    <x:col min="7" max="7" width="20" hidden="0" customWidth="1"/>
    <x:col min="8" max="8" width="28" hidden="0" customWidth="1"/>
    <x:col min="9" max="9" width="58" hidden="0" customWidth="1"/>
  </x:cols>
  <x:sheetData>
    <x:row r="1" ht="30" customHeight="1">
      <x:c r="A1" s="2"/>
      <x:c r="B1" s="2"/>
      <x:c r="C1" s="2"/>
      <x:c r="D1" s="2"/>
      <x:c r="E1" s="2"/>
      <x:c r="F1" s="2"/>
      <x:c r="G1" s="2"/>
      <x:c r="H1" s="2"/>
      <x:c r="I1" s="2"/>
    </x:row>
    <x:row r="2" ht="30" customHeight="1">
      <x:c r="A2" s="19" t="str">
        <x:v>Corteqs · Teslimat bilgileri</x:v>
      </x:c>
      <x:c r="B2" s="2"/>
      <x:c r="C2" s="2"/>
      <x:c r="D2" s="2"/>
      <x:c r="E2" s="2"/>
      <x:c r="F2" s="2"/>
      <x:c r="G2" s="2"/>
      <x:c r="H2" s="2"/>
      <x:c r="I2" s="2"/>
    </x:row>
    <x:row r="3" ht="36" customHeight="1">
      <x:c r="A3" s="20" t="str">
        <x:v>Türkçe başlığı okuyun; veriyi 8. satırdan yazın. 7. satırdaki alan adını ve sayfa adını değiştirmeyin.</x:v>
      </x:c>
      <x:c r="B3" s="20"/>
      <x:c r="C3" s="20"/>
      <x:c r="D3" s="20"/>
      <x:c r="E3" s="20"/>
      <x:c r="F3" s="20"/>
      <x:c r="G3" s="20"/>
      <x:c r="H3" s="20"/>
      <x:c r="I3" s="2"/>
    </x:row>
    <x:row r="4" ht="30" customHeight="1">
      <x:c r="A4" s="21"/>
      <x:c r="B4" s="21"/>
      <x:c r="C4" s="21"/>
      <x:c r="D4" s="21"/>
      <x:c r="E4" s="21"/>
      <x:c r="F4" s="21"/>
      <x:c r="G4" s="21"/>
      <x:c r="H4" s="21"/>
      <x:c r="I4" s="21"/>
    </x:row>
    <x:row r="5" ht="26" customHeight="1">
      <x:c r="A5" s="22" t="str">
        <x:v>Zorunlu</x:v>
      </x:c>
      <x:c r="B5" s="22" t="str">
        <x:v>Zorunlu</x:v>
      </x:c>
      <x:c r="C5" s="22" t="str">
        <x:v>Zorunlu</x:v>
      </x:c>
      <x:c r="D5" s="22" t="str">
        <x:v>Zorunlu</x:v>
      </x:c>
      <x:c r="E5" s="22" t="str">
        <x:v>İsteğe bağlı</x:v>
      </x:c>
      <x:c r="F5" s="22" t="str">
        <x:v>Zorunlu</x:v>
      </x:c>
      <x:c r="G5" s="22" t="str">
        <x:v>Zorunlu · tarih</x:v>
      </x:c>
      <x:c r="H5" s="22" t="str">
        <x:v>Zorunlu</x:v>
      </x:c>
      <x:c r="I5" s="22" t="str">
        <x:v>İsteğe bağlı</x:v>
      </x:c>
    </x:row>
    <x:row r="6" ht="44" customHeight="1">
      <x:c r="A6" s="25" t="str">
        <x:v>Şema sürümü</x:v>
      </x:c>
      <x:c r="B6" s="25" t="str">
        <x:v>Teslimat kimliği</x:v>
      </x:c>
      <x:c r="C6" s="25" t="str">
        <x:v>Şehir kimliği</x:v>
      </x:c>
      <x:c r="D6" s="25" t="str">
        <x:v>Hazırlayan</x:v>
      </x:c>
      <x:c r="E6" s="25" t="str">
        <x:v>İnceleyen</x:v>
      </x:c>
      <x:c r="F6" s="25" t="str">
        <x:v>Dosya kapsamı</x:v>
      </x:c>
      <x:c r="G6" s="25" t="str">
        <x:v>Dosya güncelleme tarihi</x:v>
      </x:c>
      <x:c r="H6" s="25" t="str">
        <x:v>Editör durumu</x:v>
      </x:c>
      <x:c r="I6" s="25" t="str">
        <x:v>Teslim notu</x:v>
      </x:c>
    </x:row>
    <x:row r="7" ht="32" customHeight="1">
      <x:c r="A7" s="28" t="str">
        <x:v>schema_version</x:v>
      </x:c>
      <x:c r="B7" s="28" t="str">
        <x:v>delivery_id</x:v>
      </x:c>
      <x:c r="C7" s="28" t="str">
        <x:v>city_id</x:v>
      </x:c>
      <x:c r="D7" s="28" t="str">
        <x:v>editor</x:v>
      </x:c>
      <x:c r="E7" s="28" t="str">
        <x:v>reviewer</x:v>
      </x:c>
      <x:c r="F7" s="28" t="str">
        <x:v>scope</x:v>
      </x:c>
      <x:c r="G7" s="28" t="str">
        <x:v>updated_on</x:v>
      </x:c>
      <x:c r="H7" s="28" t="str">
        <x:v>editorial_status</x:v>
      </x:c>
      <x:c r="I7" s="28" t="str">
        <x:v>notes</x:v>
      </x:c>
    </x:row>
    <x:row r="8" ht="96" customHeight="1">
      <x:c r="A8" s="29" t="str">
        <x:v>1.0</x:v>
      </x:c>
      <x:c r="B8" s="29" t="str">
        <x:v>bakersfield-sifirdan-20261023</x:v>
      </x:c>
      <x:c r="C8" s="29" t="str">
        <x:v>bakersfield</x:v>
      </x:c>
      <x:c r="D8" s="29" t="str">
        <x:v>Codex · yerel şehir üretimi</x:v>
      </x:c>
      <x:c r="E8" s="29" t="str">
        <x:v>Codex · kaynak ve fotoğraf incelemesi (AI)</x:v>
      </x:c>
      <x:c r="F8" s="29" t="str">
        <x:v>Tam teslim</x:v>
      </x:c>
      <x:c r="G8" s="31" t="d">
        <x:v>2026-10-24T00:00:00.000Z</x:v>
      </x:c>
      <x:c r="H8" s="29" t="str">
        <x:v>İnceleme</x:v>
      </x:c>
      <x:c r="I8" s="29" t="str">
        <x:v>Sıfırdan üretim tamamlandı: 240 bilgi kartı, 120 fotoğraflı mekân, 16 fotoğraflı bölge, 12 rota, 60 terim, 275 farklı gerçek ve ücretsiz ticari lisanslı fotoğraf, 8 kapak. Codex AI öz denetimi; bağımsız insan yayın onayı ayrıca tutulur. Yerel önizleme açık; UAT değiştirilmedi.</x:v>
      </x:c>
    </x:row>
    <x:row r="9" ht="54" customHeight="1">
      <x:c r="A9" s="29"/>
      <x:c r="B9" s="29"/>
      <x:c r="C9" s="29"/>
      <x:c r="D9" s="29"/>
      <x:c r="E9" s="29"/>
      <x:c r="F9" s="29"/>
      <x:c r="G9" s="31"/>
      <x:c r="H9" s="29"/>
      <x:c r="I9" s="29"/>
    </x:row>
    <x:row r="10" ht="54" customHeight="1">
      <x:c r="A10" s="29"/>
      <x:c r="B10" s="29"/>
      <x:c r="C10" s="29"/>
      <x:c r="D10" s="29"/>
      <x:c r="E10" s="29"/>
      <x:c r="F10" s="29"/>
      <x:c r="G10" s="31"/>
      <x:c r="H10" s="29"/>
      <x:c r="I10" s="29"/>
    </x:row>
  </x:sheetData>
  <x:mergeCells>
    <x:mergeCell ref="A3:H3"/>
  </x:mergeCells>
  <x:conditionalFormatting sqref="A8:A10">
    <x:cfRule type="expression" dxfId="1" priority="1">
      <x:formula>AND($A8&lt;&gt;"",ISBLANK(A8))</x:formula>
    </x:cfRule>
  </x:conditionalFormatting>
  <x:conditionalFormatting sqref="B8:B10">
    <x:cfRule type="expression" dxfId="2" priority="2">
      <x:formula>AND($A8&lt;&gt;"",ISBLANK(B8))</x:formula>
    </x:cfRule>
  </x:conditionalFormatting>
  <x:conditionalFormatting sqref="C8:C10">
    <x:cfRule type="expression" dxfId="3" priority="3">
      <x:formula>AND($A8&lt;&gt;"",ISBLANK(C8))</x:formula>
    </x:cfRule>
  </x:conditionalFormatting>
  <x:conditionalFormatting sqref="D8:D10">
    <x:cfRule type="expression" dxfId="4" priority="4">
      <x:formula>AND($A8&lt;&gt;"",ISBLANK(D8))</x:formula>
    </x:cfRule>
  </x:conditionalFormatting>
  <x:conditionalFormatting sqref="F8:F10">
    <x:cfRule type="expression" dxfId="5" priority="5">
      <x:formula>AND($A8&lt;&gt;"",ISBLANK(F8))</x:formula>
    </x:cfRule>
  </x:conditionalFormatting>
  <x:conditionalFormatting sqref="G8:G10">
    <x:cfRule type="expression" dxfId="6" priority="6">
      <x:formula>AND($A8&lt;&gt;"",ISBLANK(G8))</x:formula>
    </x:cfRule>
  </x:conditionalFormatting>
  <x:conditionalFormatting sqref="H8:H10">
    <x:cfRule type="expression" dxfId="7" priority="7">
      <x:formula>AND($A8&lt;&gt;"",ISBLANK(H8))</x:formula>
    </x:cfRule>
  </x:conditionalFormatting>
  <x:dataValidations count="2">
    <x:dataValidation type="list" sqref="F8:F10">
      <x:formula1>"Tam teslim,Kısmi örnek"</x:formula1>
    </x:dataValidation>
    <x:dataValidation type="list" sqref="H8:H10">
      <x:formula1>"Taslak,İnceleme,Düzeltme,Onaylandı"</x:formula1>
    </x:dataValidation>
  </x:dataValidations>
  <x:pageMargins left="0.7" right="0.7" top="0.75" bottom="0.75" header="0.3" footer="0.3"/>
  <x:tableParts count="1">
    <x:tablePart xmlns:r="http://schemas.openxmlformats.org/officeDocument/2006/relationships" r:id="R17efbb7ecba24c1e"/>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48" hidden="0" customWidth="1"/>
    <x:col min="17" max="17" width="20" hidden="0" customWidth="1"/>
    <x:col min="18" max="18" width="28" hidden="0" customWidth="1"/>
    <x:col min="19" max="19" width="48" hidden="0" customWidth="1"/>
    <x:col min="20" max="20" width="20" hidden="0" customWidth="1"/>
    <x:col min="21" max="21" width="28" hidden="0" customWidth="1"/>
    <x:col min="22" max="22" width="20" hidden="0" customWidth="1"/>
    <x:col min="23" max="23" width="28" hidden="0" customWidth="1"/>
    <x:col min="24" max="24" width="28" hidden="0" customWidth="1"/>
    <x:col min="25" max="25" width="28" hidden="0" customWidth="1"/>
    <x:col min="26" max="26" width="28" hidden="0" customWidth="1"/>
    <x:col min="27" max="27" width="28" hidden="0" customWidth="1"/>
    <x:col min="28" max="28" width="48" hidden="0" customWidth="1"/>
    <x:col min="29" max="29" width="48" hidden="0" customWidth="1"/>
    <x:col min="30" max="30" width="28" hidden="0" customWidth="1"/>
    <x:col min="31" max="31" width="32" hidden="0" customWidth="1"/>
    <x:col min="32" max="32" width="28" hidden="0" customWidth="1"/>
    <x:col min="33" max="33" width="28" hidden="0" customWidth="1"/>
  </x:cols>
  <x:sheetData>
    <x:row r="1" ht="3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row>
    <x:row r="2" ht="30" customHeight="1">
      <x:c r="A2" s="19" t="str">
        <x:v>Corteqs · Şehir profili</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c r="M3" s="2"/>
      <x:c r="N3" s="2"/>
      <x:c r="O3" s="2"/>
      <x:c r="P3" s="2"/>
      <x:c r="Q3" s="2"/>
      <x:c r="R3" s="2"/>
      <x:c r="S3" s="2"/>
      <x:c r="T3" s="2"/>
      <x:c r="U3" s="2"/>
      <x:c r="V3" s="2"/>
      <x:c r="W3" s="2"/>
      <x:c r="X3" s="2"/>
      <x:c r="Y3" s="2"/>
      <x:c r="Z3" s="2"/>
      <x:c r="AA3" s="2"/>
      <x:c r="AB3" s="2"/>
      <x:c r="AC3" s="2"/>
      <x:c r="AD3" s="2"/>
      <x:c r="AE3" s="2"/>
      <x:c r="AF3" s="2"/>
      <x:c r="AG3" s="2"/>
    </x:row>
    <x:row r="4" ht="30" customHeight="1">
      <x:c r="A4" s="21"/>
      <x:c r="B4" s="21"/>
      <x:c r="C4" s="21"/>
      <x:c r="D4" s="21"/>
      <x:c r="E4" s="21"/>
      <x:c r="F4" s="21"/>
      <x:c r="G4" s="21"/>
      <x:c r="H4" s="21"/>
      <x:c r="I4" s="21"/>
      <x:c r="J4" s="21"/>
      <x:c r="K4" s="21"/>
      <x:c r="L4" s="21"/>
      <x:c r="M4" s="21"/>
      <x:c r="N4" s="21"/>
      <x:c r="O4" s="21"/>
      <x:c r="P4" s="21"/>
      <x:c r="Q4" s="21"/>
      <x:c r="R4" s="21"/>
      <x:c r="S4" s="21"/>
      <x:c r="T4" s="21"/>
      <x:c r="U4" s="21"/>
      <x:c r="V4" s="21"/>
      <x:c r="W4" s="21"/>
      <x:c r="X4" s="21"/>
      <x:c r="Y4" s="21"/>
      <x:c r="Z4" s="21"/>
      <x:c r="AA4" s="21"/>
      <x:c r="AB4" s="21"/>
      <x:c r="AC4" s="21"/>
      <x:c r="AD4" s="21"/>
      <x:c r="AE4" s="21"/>
      <x:c r="AF4" s="21"/>
      <x:c r="AG4" s="21"/>
    </x:row>
    <x:row r="5" ht="26" customHeight="1">
      <x:c r="A5" s="22" t="str">
        <x:v>Zorunlu</x:v>
      </x:c>
      <x:c r="B5" s="22" t="str">
        <x:v>Zorunlu</x:v>
      </x:c>
      <x:c r="C5" s="22" t="str">
        <x:v>Zorunlu</x:v>
      </x:c>
      <x:c r="D5" s="22" t="str">
        <x:v>Zorunlu</x:v>
      </x:c>
      <x:c r="E5" s="22" t="str">
        <x:v>Zorunlu</x:v>
      </x:c>
      <x:c r="F5" s="22" t="str">
        <x:v>Zorunlu</x:v>
      </x:c>
      <x:c r="G5" s="22" t="str">
        <x:v>Zorunlu</x:v>
      </x:c>
      <x:c r="H5" s="22" t="str">
        <x:v>Zorunlu</x:v>
      </x:c>
      <x:c r="I5" s="22" t="str">
        <x:v>Zorunlu</x:v>
      </x:c>
      <x:c r="J5" s="22" t="str">
        <x:v>İsteğe bağlı</x:v>
      </x:c>
      <x:c r="K5" s="22" t="str">
        <x:v>İsteğe bağlı</x:v>
      </x:c>
      <x:c r="L5" s="22" t="str">
        <x:v>Zorunlu</x:v>
      </x:c>
      <x:c r="M5" s="22" t="str">
        <x:v>Zorunlu</x:v>
      </x:c>
      <x:c r="N5" s="22" t="str">
        <x:v>Zorunlu</x:v>
      </x:c>
      <x:c r="O5" s="22" t="str">
        <x:v>Zorunlu</x:v>
      </x:c>
      <x:c r="P5" s="22" t="str">
        <x:v>Zorunlu</x:v>
      </x:c>
      <x:c r="Q5" s="22" t="str">
        <x:v>Zorunlu · tarih</x:v>
      </x:c>
      <x:c r="R5" s="22" t="str">
        <x:v>İsteğe bağlı</x:v>
      </x:c>
      <x:c r="S5" s="22" t="str">
        <x:v>Zorunlu</x:v>
      </x:c>
      <x:c r="T5" s="22" t="str">
        <x:v>Zorunlu · tarih</x:v>
      </x:c>
      <x:c r="U5" s="22" t="str">
        <x:v>Zorunlu</x:v>
      </x:c>
      <x:c r="V5" s="22" t="str">
        <x:v>Zorunlu · tarih</x:v>
      </x:c>
      <x:c r="W5" s="22" t="str">
        <x:v>Zorunlu</x:v>
      </x:c>
      <x:c r="X5" s="22" t="str">
        <x:v>İsteğe bağlı</x:v>
      </x:c>
      <x:c r="Y5" s="22" t="str">
        <x:v>İsteğe bağlı</x:v>
      </x:c>
      <x:c r="Z5" s="22" t="str">
        <x:v>İsteğe bağlı</x:v>
      </x:c>
      <x:c r="AA5" s="22" t="str">
        <x:v>İsteğe bağlı</x:v>
      </x:c>
      <x:c r="AB5" s="22" t="str">
        <x:v>İsteğe bağlı</x:v>
      </x:c>
      <x:c r="AC5" s="22" t="str">
        <x:v>İsteğe bağlı</x:v>
      </x:c>
      <x:c r="AD5" s="22" t="str">
        <x:v>İsteğe bağlı</x:v>
      </x:c>
      <x:c r="AE5" s="22" t="str">
        <x:v>İsteğe bağlı</x:v>
      </x:c>
      <x:c r="AF5" s="22" t="str">
        <x:v>İsteğe bağlı</x:v>
      </x:c>
      <x:c r="AG5" s="22" t="str">
        <x:v>Zorunlu</x:v>
      </x:c>
    </x:row>
    <x:row r="6" ht="44" customHeight="1">
      <x:c r="A6" s="25" t="str">
        <x:v>Şehir kimliği</x:v>
      </x:c>
      <x:c r="B6" s="25" t="str">
        <x:v>Şehir adı</x:v>
      </x:c>
      <x:c r="C6" s="25" t="str">
        <x:v>Ülke</x:v>
      </x:c>
      <x:c r="D6" s="25" t="str">
        <x:v>Ülke kodu</x:v>
      </x:c>
      <x:c r="E6" s="25" t="str">
        <x:v>Dünya bölgesi</x:v>
      </x:c>
      <x:c r="F6" s="25" t="str">
        <x:v>Coğrafi kapsam</x:v>
      </x:c>
      <x:c r="G6" s="25" t="str">
        <x:v>Rehber başlığı</x:v>
      </x:c>
      <x:c r="H6" s="25" t="str">
        <x:v>Rehber giriş metni</x:v>
      </x:c>
      <x:c r="I6" s="25" t="str">
        <x:v>Para birimi kodu</x:v>
      </x:c>
      <x:c r="J6" s="25" t="str">
        <x:v>Para simgesi</x:v>
      </x:c>
      <x:c r="K6" s="25" t="str">
        <x:v>Para birimi adı</x:v>
      </x:c>
      <x:c r="L6" s="25" t="str">
        <x:v>Yerel dil</x:v>
      </x:c>
      <x:c r="M6" s="25" t="str">
        <x:v>Saat dilimi</x:v>
      </x:c>
      <x:c r="N6" s="25" t="str">
        <x:v>Enlem</x:v>
      </x:c>
      <x:c r="O6" s="25" t="str">
        <x:v>Boylam</x:v>
      </x:c>
      <x:c r="P6" s="25" t="str">
        <x:v>Konum kaynağı</x:v>
      </x:c>
      <x:c r="Q6" s="25" t="str">
        <x:v>Konum kontrol tarihi</x:v>
      </x:c>
      <x:c r="R6" s="25" t="str">
        <x:v>Konum açıklaması</x:v>
      </x:c>
      <x:c r="S6" s="25" t="str">
        <x:v>Kapsam kaynağı</x:v>
      </x:c>
      <x:c r="T6" s="25" t="str">
        <x:v>Kapsam kontrol tarihi</x:v>
      </x:c>
      <x:c r="U6" s="25" t="str">
        <x:v>Katalog sıra numarası</x:v>
      </x:c>
      <x:c r="V6" s="25" t="str">
        <x:v>Rehber kontrol tarihi</x:v>
      </x:c>
      <x:c r="W6" s="25" t="str">
        <x:v>Öncelik</x:v>
      </x:c>
      <x:c r="X6" s="25" t="str">
        <x:v>Diğer adlar</x:v>
      </x:c>
      <x:c r="Y6" s="25" t="str">
        <x:v>Yerel ad</x:v>
      </x:c>
      <x:c r="Z6" s="25" t="str">
        <x:v>Şehir cümlesi</x:v>
      </x:c>
      <x:c r="AA6" s="25" t="str">
        <x:v>Şehir dizini sırası</x:v>
      </x:c>
      <x:c r="AB6" s="25" t="str">
        <x:v>Hava tahmini bağlantısı</x:v>
      </x:c>
      <x:c r="AC6" s="25" t="str">
        <x:v>Hava veri sağlayıcısı</x:v>
      </x:c>
      <x:c r="AD6" s="25" t="str">
        <x:v>Tahmin bağlantı metni</x:v>
      </x:c>
      <x:c r="AE6" s="25" t="str">
        <x:v>Ana kapak kimliği</x:v>
      </x:c>
      <x:c r="AF6" s="25" t="str">
        <x:v>Editoryal şehir notları</x:v>
      </x:c>
      <x:c r="AG6" s="25" t="str">
        <x:v>Editör durumu</x:v>
      </x:c>
    </x:row>
    <x:row r="7" ht="32" customHeight="1">
      <x:c r="A7" s="28" t="str">
        <x:v>city_id</x:v>
      </x:c>
      <x:c r="B7" s="28" t="str">
        <x:v>name</x:v>
      </x:c>
      <x:c r="C7" s="28" t="str">
        <x:v>country</x:v>
      </x:c>
      <x:c r="D7" s="28" t="str">
        <x:v>country_code</x:v>
      </x:c>
      <x:c r="E7" s="28" t="str">
        <x:v>region</x:v>
      </x:c>
      <x:c r="F7" s="28" t="str">
        <x:v>kind</x:v>
      </x:c>
      <x:c r="G7" s="28" t="str">
        <x:v>title</x:v>
      </x:c>
      <x:c r="H7" s="28" t="str">
        <x:v>intro</x:v>
      </x:c>
      <x:c r="I7" s="28" t="str">
        <x:v>currency</x:v>
      </x:c>
      <x:c r="J7" s="28" t="str">
        <x:v>currency_symbol</x:v>
      </x:c>
      <x:c r="K7" s="28" t="str">
        <x:v>currency_label</x:v>
      </x:c>
      <x:c r="L7" s="28" t="str">
        <x:v>language</x:v>
      </x:c>
      <x:c r="M7" s="28" t="str">
        <x:v>timezone</x:v>
      </x:c>
      <x:c r="N7" s="28" t="str">
        <x:v>latitude</x:v>
      </x:c>
      <x:c r="O7" s="28" t="str">
        <x:v>longitude</x:v>
      </x:c>
      <x:c r="P7" s="28" t="str">
        <x:v>coordinate_source_url</x:v>
      </x:c>
      <x:c r="Q7" s="28" t="str">
        <x:v>coordinate_checked_on</x:v>
      </x:c>
      <x:c r="R7" s="28" t="str">
        <x:v>coordinate_note</x:v>
      </x:c>
      <x:c r="S7" s="28" t="str">
        <x:v>source_url</x:v>
      </x:c>
      <x:c r="T7" s="28" t="str">
        <x:v>source_checked_on</x:v>
      </x:c>
      <x:c r="U7" s="28" t="str">
        <x:v>source_position</x:v>
      </x:c>
      <x:c r="V7" s="28" t="str">
        <x:v>reviewed_on</x:v>
      </x:c>
      <x:c r="W7" s="28" t="str">
        <x:v>priority</x:v>
      </x:c>
      <x:c r="X7" s="28" t="str">
        <x:v>aliases</x:v>
      </x:c>
      <x:c r="Y7" s="28" t="str">
        <x:v>locality</x:v>
      </x:c>
      <x:c r="Z7" s="28" t="str">
        <x:v>tagline</x:v>
      </x:c>
      <x:c r="AA7" s="28" t="str">
        <x:v>directory_order</x:v>
      </x:c>
      <x:c r="AB7" s="28" t="str">
        <x:v>forecast_url</x:v>
      </x:c>
      <x:c r="AC7" s="28" t="str">
        <x:v>provider_url</x:v>
      </x:c>
      <x:c r="AD7" s="28" t="str">
        <x:v>forecast_label</x:v>
      </x:c>
      <x:c r="AE7" s="28" t="str">
        <x:v>hero_photo_id</x:v>
      </x:c>
      <x:c r="AF7" s="28" t="str">
        <x:v>editorial_notes</x:v>
      </x:c>
      <x:c r="AG7" s="28" t="str">
        <x:v>editorial_status</x:v>
      </x:c>
    </x:row>
    <x:row r="8" ht="124" customHeight="1">
      <x:c r="A8" s="29" t="str">
        <x:v>bakersfield</x:v>
      </x:c>
      <x:c r="B8" s="29" t="str">
        <x:v>Bakersfield</x:v>
      </x:c>
      <x:c r="C8" s="29" t="str">
        <x:v>ABD</x:v>
      </x:c>
      <x:c r="D8" s="29" t="str">
        <x:v>US</x:v>
      </x:c>
      <x:c r="E8" s="29" t="str">
        <x:v>NA</x:v>
      </x:c>
      <x:c r="F8" s="29" t="str">
        <x:v>city</x:v>
      </x:c>
      <x:c r="G8" s="29" t="str">
        <x:v>Bakersfield.</x:v>
      </x:c>
      <x:c r="H8" s="29" t="str">
        <x:v>Bakersfield’da ev, iş, sağlık, okul ve ulaşım için yerel rehber. Country müzik, Bask sofrası, kent tarihi ve Kern County’nin açık alanlarıyla günlük hayatına yeni duraklar ekle.</x:v>
      </x:c>
      <x:c r="I8" s="29" t="str">
        <x:v>USD</x:v>
      </x:c>
      <x:c r="J8" s="29" t="str">
        <x:v>$</x:v>
      </x:c>
      <x:c r="K8" s="29" t="str">
        <x:v>Amerikan doları</x:v>
      </x:c>
      <x:c r="L8" s="29" t="str">
        <x:v>İngilizce · Kurumlarda dil desteği talep edilebilir</x:v>
      </x:c>
      <x:c r="M8" s="29" t="str">
        <x:v>America/Los_Angeles</x:v>
      </x:c>
      <x:c r="N8" s="33" t="n">
        <x:v>35.37329</x:v>
      </x:c>
      <x:c r="O8" s="33" t="n">
        <x:v>-119.01871</x:v>
      </x:c>
      <x:c r="P8" s="29" t="str">
        <x:v>https://www.geonames.org/5325738/</x:v>
      </x:c>
      <x:c r="Q8" s="31" t="d">
        <x:v>2026-10-21T00:00:00.000Z</x:v>
      </x:c>
      <x:c r="R8" s="29"/>
      <x:c r="S8" s="29" t="str">
        <x:v>https://data.census.gov/table/ACSDT1Y2024.B05012</x:v>
      </x:c>
      <x:c r="T8" s="31" t="d">
        <x:v>2026-10-21T00:00:00.000Z</x:v>
      </x:c>
      <x:c r="U8" s="35" t="n">
        <x:v>450</x:v>
      </x:c>
      <x:c r="V8" s="31" t="d">
        <x:v>2026-10-24T00:00:00.000Z</x:v>
      </x:c>
      <x:c r="W8" s="35" t="n">
        <x:v>3</x:v>
      </x:c>
      <x:c r="X8" s="29" t="str">
        <x:v>Bakersfield</x:v>
      </x:c>
      <x:c r="Y8" s="29" t="str">
        <x:v>Bakersfield, California, United States</x:v>
      </x:c>
      <x:c r="Z8" s="29" t="str">
        <x:v>Vadinin merkezinde kendi düzenini kur.</x:v>
      </x:c>
      <x:c r="AA8" s="35" t="n">
        <x:v>450</x:v>
      </x:c>
      <x:c r="AB8" s="29" t="str">
        <x:v>https://forecast.weather.gov/MapClick.php?lat=35.3733&amp;lon=-119.0187</x:v>
      </x:c>
      <x:c r="AC8" s="29" t="str">
        <x:v>https://open-meteo.com/</x:v>
      </x:c>
      <x:c r="AD8" s="29" t="str">
        <x:v>10 günlük hava tahmini</x:v>
      </x:c>
      <x:c r="AE8" s="29" t="str">
        <x:v>bakersfield:photo:hero-613</x:v>
      </x:c>
      <x:c r="AF8" s="29"/>
      <x:c r="AG8" s="29" t="str">
        <x:v>İnceleme</x:v>
      </x:c>
    </x:row>
    <x:row r="9" ht="54" customHeight="1">
      <x:c r="A9" s="29"/>
      <x:c r="B9" s="29"/>
      <x:c r="C9" s="29"/>
      <x:c r="D9" s="29"/>
      <x:c r="E9" s="29"/>
      <x:c r="F9" s="29"/>
      <x:c r="G9" s="29"/>
      <x:c r="H9" s="29"/>
      <x:c r="I9" s="29"/>
      <x:c r="J9" s="29"/>
      <x:c r="K9" s="29"/>
      <x:c r="L9" s="29"/>
      <x:c r="M9" s="29"/>
      <x:c r="N9" s="33"/>
      <x:c r="O9" s="33"/>
      <x:c r="P9" s="29"/>
      <x:c r="Q9" s="31"/>
      <x:c r="R9" s="29"/>
      <x:c r="S9" s="29"/>
      <x:c r="T9" s="31"/>
      <x:c r="U9" s="35"/>
      <x:c r="V9" s="31"/>
      <x:c r="W9" s="35"/>
      <x:c r="X9" s="29"/>
      <x:c r="Y9" s="29"/>
      <x:c r="Z9" s="29"/>
      <x:c r="AA9" s="35"/>
      <x:c r="AB9" s="29"/>
      <x:c r="AC9" s="29"/>
      <x:c r="AD9" s="29"/>
      <x:c r="AE9" s="29"/>
      <x:c r="AF9" s="29"/>
      <x:c r="AG9" s="29"/>
    </x:row>
    <x:row r="10" ht="54" customHeight="1">
      <x:c r="A10" s="29"/>
      <x:c r="B10" s="29"/>
      <x:c r="C10" s="29"/>
      <x:c r="D10" s="29"/>
      <x:c r="E10" s="29"/>
      <x:c r="F10" s="29"/>
      <x:c r="G10" s="29"/>
      <x:c r="H10" s="29"/>
      <x:c r="I10" s="29"/>
      <x:c r="J10" s="29"/>
      <x:c r="K10" s="29"/>
      <x:c r="L10" s="29"/>
      <x:c r="M10" s="29"/>
      <x:c r="N10" s="33"/>
      <x:c r="O10" s="33"/>
      <x:c r="P10" s="29"/>
      <x:c r="Q10" s="31"/>
      <x:c r="R10" s="29"/>
      <x:c r="S10" s="29"/>
      <x:c r="T10" s="31"/>
      <x:c r="U10" s="35"/>
      <x:c r="V10" s="31"/>
      <x:c r="W10" s="35"/>
      <x:c r="X10" s="29"/>
      <x:c r="Y10" s="29"/>
      <x:c r="Z10" s="29"/>
      <x:c r="AA10" s="35"/>
      <x:c r="AB10" s="29"/>
      <x:c r="AC10" s="29"/>
      <x:c r="AD10" s="29"/>
      <x:c r="AE10" s="29"/>
      <x:c r="AF10" s="29"/>
      <x:c r="AG10" s="29"/>
    </x:row>
  </x:sheetData>
  <x:mergeCells>
    <x:mergeCell ref="A3:H3"/>
  </x:mergeCells>
  <x:conditionalFormatting sqref="A8:A10">
    <x:cfRule type="expression" dxfId="8" priority="1">
      <x:formula>AND($A8&lt;&gt;"",ISBLANK(A8))</x:formula>
    </x:cfRule>
  </x:conditionalFormatting>
  <x:conditionalFormatting sqref="B8:B10">
    <x:cfRule type="expression" dxfId="9" priority="2">
      <x:formula>AND($A8&lt;&gt;"",ISBLANK(B8))</x:formula>
    </x:cfRule>
  </x:conditionalFormatting>
  <x:conditionalFormatting sqref="C8:C10">
    <x:cfRule type="expression" dxfId="10" priority="3">
      <x:formula>AND($A8&lt;&gt;"",ISBLANK(C8))</x:formula>
    </x:cfRule>
  </x:conditionalFormatting>
  <x:conditionalFormatting sqref="D8:D10">
    <x:cfRule type="expression" dxfId="11" priority="4">
      <x:formula>AND($A8&lt;&gt;"",ISBLANK(D8))</x:formula>
    </x:cfRule>
  </x:conditionalFormatting>
  <x:conditionalFormatting sqref="E8:E10">
    <x:cfRule type="expression" dxfId="12" priority="5">
      <x:formula>AND($A8&lt;&gt;"",ISBLANK(E8))</x:formula>
    </x:cfRule>
  </x:conditionalFormatting>
  <x:conditionalFormatting sqref="F8:F10">
    <x:cfRule type="expression" dxfId="13" priority="6">
      <x:formula>AND($A8&lt;&gt;"",ISBLANK(F8))</x:formula>
    </x:cfRule>
  </x:conditionalFormatting>
  <x:conditionalFormatting sqref="G8:G10">
    <x:cfRule type="expression" dxfId="14" priority="7">
      <x:formula>AND($A8&lt;&gt;"",ISBLANK(G8))</x:formula>
    </x:cfRule>
  </x:conditionalFormatting>
  <x:conditionalFormatting sqref="H8:H10">
    <x:cfRule type="expression" dxfId="15" priority="8">
      <x:formula>AND($A8&lt;&gt;"",ISBLANK(H8))</x:formula>
    </x:cfRule>
  </x:conditionalFormatting>
  <x:conditionalFormatting sqref="I8:I10">
    <x:cfRule type="expression" dxfId="16" priority="9">
      <x:formula>AND($A8&lt;&gt;"",ISBLANK(I8))</x:formula>
    </x:cfRule>
  </x:conditionalFormatting>
  <x:conditionalFormatting sqref="L8:L10">
    <x:cfRule type="expression" dxfId="17" priority="10">
      <x:formula>AND($A8&lt;&gt;"",ISBLANK(L8))</x:formula>
    </x:cfRule>
  </x:conditionalFormatting>
  <x:conditionalFormatting sqref="M8:M10">
    <x:cfRule type="expression" dxfId="18" priority="11">
      <x:formula>AND($A8&lt;&gt;"",ISBLANK(M8))</x:formula>
    </x:cfRule>
  </x:conditionalFormatting>
  <x:conditionalFormatting sqref="N8:N10">
    <x:cfRule type="expression" dxfId="19" priority="12">
      <x:formula>AND($A8&lt;&gt;"",ISBLANK(N8))</x:formula>
    </x:cfRule>
  </x:conditionalFormatting>
  <x:conditionalFormatting sqref="O8:O10">
    <x:cfRule type="expression" dxfId="20" priority="13">
      <x:formula>AND($A8&lt;&gt;"",ISBLANK(O8))</x:formula>
    </x:cfRule>
  </x:conditionalFormatting>
  <x:conditionalFormatting sqref="P8:P10">
    <x:cfRule type="expression" dxfId="21" priority="14">
      <x:formula>AND($A8&lt;&gt;"",ISBLANK(P8))</x:formula>
    </x:cfRule>
  </x:conditionalFormatting>
  <x:conditionalFormatting sqref="Q8:Q10">
    <x:cfRule type="expression" dxfId="22" priority="15">
      <x:formula>AND($A8&lt;&gt;"",ISBLANK(Q8))</x:formula>
    </x:cfRule>
  </x:conditionalFormatting>
  <x:conditionalFormatting sqref="S8:S10">
    <x:cfRule type="expression" dxfId="23" priority="16">
      <x:formula>AND($A8&lt;&gt;"",ISBLANK(S8))</x:formula>
    </x:cfRule>
  </x:conditionalFormatting>
  <x:conditionalFormatting sqref="T8:T10">
    <x:cfRule type="expression" dxfId="24" priority="17">
      <x:formula>AND($A8&lt;&gt;"",ISBLANK(T8))</x:formula>
    </x:cfRule>
  </x:conditionalFormatting>
  <x:conditionalFormatting sqref="U8:U10">
    <x:cfRule type="expression" dxfId="25" priority="18">
      <x:formula>AND($A8&lt;&gt;"",ISBLANK(U8))</x:formula>
    </x:cfRule>
  </x:conditionalFormatting>
  <x:conditionalFormatting sqref="V8:V10">
    <x:cfRule type="expression" dxfId="26" priority="19">
      <x:formula>AND($A8&lt;&gt;"",ISBLANK(V8))</x:formula>
    </x:cfRule>
  </x:conditionalFormatting>
  <x:conditionalFormatting sqref="W8:W10">
    <x:cfRule type="expression" dxfId="27" priority="20">
      <x:formula>AND($A8&lt;&gt;"",ISBLANK(W8))</x:formula>
    </x:cfRule>
  </x:conditionalFormatting>
  <x:conditionalFormatting sqref="AG8:AG10">
    <x:cfRule type="expression" dxfId="28" priority="21">
      <x:formula>AND($A8&lt;&gt;"",ISBLANK(AG8))</x:formula>
    </x:cfRule>
  </x:conditionalFormatting>
  <x:dataValidations count="3">
    <x:dataValidation type="list" sqref="E8:E10">
      <x:formula1>"EU,AS,AF,NA,SA,OC"</x:formula1>
    </x:dataValidation>
    <x:dataValidation type="list" sqref="F8:F10">
      <x:formula1>"city,region,island,country"</x:formula1>
    </x:dataValidation>
    <x:dataValidation type="list" sqref="AG8:AG10">
      <x:formula1>"Taslak,İnceleme,Düzeltme,Onaylandı"</x:formula1>
    </x:dataValidation>
  </x:dataValidations>
  <x:pageMargins left="0.7" right="0.7" top="0.75" bottom="0.75" header="0.3" footer="0.3"/>
  <x:tableParts count="1">
    <x:tablePart xmlns:r="http://schemas.openxmlformats.org/officeDocument/2006/relationships" r:id="R1ac87507974c4d80"/>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58" hidden="0" customWidth="1"/>
    <x:col min="6" max="6" width="28" hidden="0" customWidth="1"/>
    <x:col min="7" max="7" width="28" hidden="0" customWidth="1"/>
    <x:col min="8" max="8" width="26" hidden="0" customWidth="1"/>
  </x:cols>
  <x:sheetData>
    <x:row r="1" ht="30" customHeight="1">
      <x:c r="A1" s="2"/>
      <x:c r="B1" s="2"/>
      <x:c r="C1" s="2"/>
      <x:c r="D1" s="2"/>
      <x:c r="E1" s="2"/>
      <x:c r="F1" s="2"/>
      <x:c r="G1" s="2"/>
      <x:c r="H1" s="2"/>
    </x:row>
    <x:row r="2" ht="30" customHeight="1">
      <x:c r="A2" s="19" t="str">
        <x:v>Corteqs · Pratik yaşam konuları</x:v>
      </x:c>
      <x:c r="B2" s="2"/>
      <x:c r="C2" s="2"/>
      <x:c r="D2" s="2"/>
      <x:c r="E2" s="2"/>
      <x:c r="F2" s="2"/>
      <x:c r="G2" s="2"/>
      <x:c r="H2" s="2"/>
    </x:row>
    <x:row r="3" ht="36" customHeight="1">
      <x:c r="A3" s="20" t="str">
        <x:v>Türkçe başlığı okuyun; veriyi 8. satırdan yazın. 7. satırdaki alan adını ve sayfa adını değiştirmeyin.</x:v>
      </x:c>
      <x:c r="B3" s="20"/>
      <x:c r="C3" s="20"/>
      <x:c r="D3" s="20"/>
      <x:c r="E3" s="20"/>
      <x:c r="F3" s="20"/>
      <x:c r="G3" s="20"/>
      <x:c r="H3" s="20"/>
    </x:row>
    <x:row r="4" ht="30" customHeight="1">
      <x:c r="A4" s="21"/>
      <x:c r="B4" s="21"/>
      <x:c r="C4" s="21"/>
      <x:c r="D4" s="21"/>
      <x:c r="E4" s="21"/>
      <x:c r="F4" s="21"/>
      <x:c r="G4" s="21"/>
      <x:c r="H4" s="21"/>
    </x:row>
    <x:row r="5" ht="26" customHeight="1">
      <x:c r="A5" s="22" t="str">
        <x:v>Zorunlu</x:v>
      </x:c>
      <x:c r="B5" s="22" t="str">
        <x:v>Zorunlu</x:v>
      </x:c>
      <x:c r="C5" s="22" t="str">
        <x:v>Zorunlu</x:v>
      </x:c>
      <x:c r="D5" s="22" t="str">
        <x:v>Zorunlu</x:v>
      </x:c>
      <x:c r="E5" s="22" t="str">
        <x:v>Zorunlu</x:v>
      </x:c>
      <x:c r="F5" s="22" t="str">
        <x:v>Zorunlu</x:v>
      </x:c>
      <x:c r="G5" s="22" t="str">
        <x:v>Zorunlu</x:v>
      </x:c>
      <x:c r="H5" s="22" t="str">
        <x:v>Hesap · değiştirmeyin</x:v>
      </x:c>
    </x:row>
    <x:row r="6" ht="44" customHeight="1">
      <x:c r="A6" s="25" t="str">
        <x:v>Konu kimliği</x:v>
      </x:c>
      <x:c r="B6" s="25" t="str">
        <x:v>Şehir kimliği</x:v>
      </x:c>
      <x:c r="C6" s="25" t="str">
        <x:v>Konu adres adı</x:v>
      </x:c>
      <x:c r="D6" s="25" t="str">
        <x:v>Konu başlığı</x:v>
      </x:c>
      <x:c r="E6" s="25" t="str">
        <x:v>Açıklama</x:v>
      </x:c>
      <x:c r="F6" s="25" t="str">
        <x:v>Simge anahtarı</x:v>
      </x:c>
      <x:c r="G6" s="25" t="str">
        <x:v>Sıra</x:v>
      </x:c>
      <x:c r="H6" s="25" t="str">
        <x:v>Yanıt içeren konu (hesap)</x:v>
      </x:c>
    </x:row>
    <x:row r="7" ht="32" customHeight="1">
      <x:c r="A7" s="28" t="str">
        <x:v>topic_id</x:v>
      </x:c>
      <x:c r="B7" s="28" t="str">
        <x:v>city_id</x:v>
      </x:c>
      <x:c r="C7" s="28" t="str">
        <x:v>slug</x:v>
      </x:c>
      <x:c r="D7" s="28" t="str">
        <x:v>title</x:v>
      </x:c>
      <x:c r="E7" s="28" t="str">
        <x:v>description</x:v>
      </x:c>
      <x:c r="F7" s="28" t="str">
        <x:v>icon</x:v>
      </x:c>
      <x:c r="G7" s="28" t="str">
        <x:v>order</x:v>
      </x:c>
      <x:c r="H7" s="28" t="str">
        <x:v>used_count</x:v>
      </x:c>
    </x:row>
    <x:row r="8" ht="54" customHeight="1">
      <x:c r="A8" s="29" t="str">
        <x:v>bakersfield:resmi</x:v>
      </x:c>
      <x:c r="B8" s="29" t="str">
        <x:v>bakersfield</x:v>
      </x:c>
      <x:c r="C8" s="29" t="str">
        <x:v>resmi</x:v>
      </x:c>
      <x:c r="D8" s="29" t="str">
        <x:v>Resmî işlemler</x:v>
      </x:c>
      <x:c r="E8" s="29" t="str">
        <x:v>I-94, SSN, California kimliği, adres kayıtları ve kurum yetkileri.</x:v>
      </x:c>
      <x:c r="F8" s="29" t="str">
        <x:v>book</x:v>
      </x:c>
      <x:c r="G8" s="35" t="n">
        <x:v>0</x:v>
      </x:c>
      <x:c r="H8" s="36" t="n">
        <x:f>IF(A8="",0,IF(COUNTIFS('Yanıtlar'!$N$8:$N$249,A8)&gt;0,1,0))</x:f>
        <x:v>1</x:v>
      </x:c>
    </x:row>
    <x:row r="9" ht="54" customHeight="1">
      <x:c r="A9" s="29" t="str">
        <x:v>bakersfield:ev</x:v>
      </x:c>
      <x:c r="B9" s="29" t="str">
        <x:v>bakersfield</x:v>
      </x:c>
      <x:c r="C9" s="29" t="str">
        <x:v>ev</x:v>
      </x:c>
      <x:c r="D9" s="29" t="str">
        <x:v>Ev ve yerleşim</x:v>
      </x:c>
      <x:c r="E9" s="29" t="str">
        <x:v>California kiracılığı, başvuru ücreti, depozito, onarım ve ev teslimi.</x:v>
      </x:c>
      <x:c r="F9" s="29" t="str">
        <x:v>home</x:v>
      </x:c>
      <x:c r="G9" s="35" t="n">
        <x:v>1</x:v>
      </x:c>
      <x:c r="H9" s="36" t="n">
        <x:f>IF(A9="",0,IF(COUNTIFS('Yanıtlar'!$N$8:$N$249,A9)&gt;0,1,0))</x:f>
        <x:v>1</x:v>
      </x:c>
    </x:row>
    <x:row r="10" ht="54" customHeight="1">
      <x:c r="A10" s="29" t="str">
        <x:v>bakersfield:fatura</x:v>
      </x:c>
      <x:c r="B10" s="29" t="str">
        <x:v>bakersfield</x:v>
      </x:c>
      <x:c r="C10" s="29" t="str">
        <x:v>fatura</x:v>
      </x:c>
      <x:c r="D10" s="29" t="str">
        <x:v>Faturalar ve internet</x:v>
      </x:c>
      <x:c r="E10" s="29" t="str">
        <x:v>Adrese göre elektrik, gaz, su ve internet sağlayıcısı; tarife ve destekler.</x:v>
      </x:c>
      <x:c r="F10" s="29" t="str">
        <x:v>bolt</x:v>
      </x:c>
      <x:c r="G10" s="35" t="n">
        <x:v>2</x:v>
      </x:c>
      <x:c r="H10" s="36" t="n">
        <x:f>IF(A10="",0,IF(COUNTIFS('Yanıtlar'!$N$8:$N$249,A10)&gt;0,1,0))</x:f>
        <x:v>1</x:v>
      </x:c>
    </x:row>
    <x:row r="11" ht="54" customHeight="1">
      <x:c r="A11" s="29" t="str">
        <x:v>bakersfield:para</x:v>
      </x:c>
      <x:c r="B11" s="29" t="str">
        <x:v>bakersfield</x:v>
      </x:c>
      <x:c r="C11" s="29" t="str">
        <x:v>para</x:v>
      </x:c>
      <x:c r="D11" s="29" t="str">
        <x:v>Banka ve para</x:v>
      </x:c>
      <x:c r="E11" s="29" t="str">
        <x:v>Banka, kredi, federal ve California vergileri; aylık ve ilk ay bütçesi.</x:v>
      </x:c>
      <x:c r="F11" s="29" t="str">
        <x:v>transfer</x:v>
      </x:c>
      <x:c r="G11" s="35" t="n">
        <x:v>3</x:v>
      </x:c>
      <x:c r="H11" s="36" t="n">
        <x:f>IF(A11="",0,IF(COUNTIFS('Yanıtlar'!$N$8:$N$249,A11)&gt;0,1,0))</x:f>
        <x:v>1</x:v>
      </x:c>
    </x:row>
    <x:row r="12" ht="54" customHeight="1">
      <x:c r="A12" s="29" t="str">
        <x:v>bakersfield:saglik</x:v>
      </x:c>
      <x:c r="B12" s="29" t="str">
        <x:v>bakersfield</x:v>
      </x:c>
      <x:c r="C12" s="29" t="str">
        <x:v>saglik</x:v>
      </x:c>
      <x:c r="D12" s="29" t="str">
        <x:v>Sağlık ve sigorta</x:v>
      </x:c>
      <x:c r="E12" s="29" t="str">
        <x:v>Covered California, Medi-Cal, hekim ağı, ilaç devamı ve yerel sağlık koşulları.</x:v>
      </x:c>
      <x:c r="F12" s="29" t="str">
        <x:v>heart</x:v>
      </x:c>
      <x:c r="G12" s="35" t="n">
        <x:v>4</x:v>
      </x:c>
      <x:c r="H12" s="36" t="n">
        <x:f>IF(A12="",0,IF(COUNTIFS('Yanıtlar'!$N$8:$N$249,A12)&gt;0,1,0))</x:f>
        <x:v>1</x:v>
      </x:c>
    </x:row>
    <x:row r="13" ht="54" customHeight="1">
      <x:c r="A13" s="29" t="str">
        <x:v>bakersfield:is</x:v>
      </x:c>
      <x:c r="B13" s="29" t="str">
        <x:v>bakersfield</x:v>
      </x:c>
      <x:c r="C13" s="29" t="str">
        <x:v>is</x:v>
      </x:c>
      <x:c r="D13" s="29" t="str">
        <x:v>İş ve kariyer</x:v>
      </x:c>
      <x:c r="E13" s="29" t="str">
        <x:v>Çalışma yetkisi, California ücret ve mola kuralları, EDD ve iş güvenliği.</x:v>
      </x:c>
      <x:c r="F13" s="29" t="str">
        <x:v>briefcase</x:v>
      </x:c>
      <x:c r="G13" s="35" t="n">
        <x:v>5</x:v>
      </x:c>
      <x:c r="H13" s="36" t="n">
        <x:f>IF(A13="",0,IF(COUNTIFS('Yanıtlar'!$N$8:$N$249,A13)&gt;0,1,0))</x:f>
        <x:v>1</x:v>
      </x:c>
    </x:row>
    <x:row r="14" ht="54" customHeight="1">
      <x:c r="A14" s="29" t="str">
        <x:v>bakersfield:aile</x:v>
      </x:c>
      <x:c r="B14" s="29" t="str">
        <x:v>bakersfield</x:v>
      </x:c>
      <x:c r="C14" s="29" t="str">
        <x:v>aile</x:v>
      </x:c>
      <x:c r="D14" s="29" t="str">
        <x:v>Aile ve eğitim</x:v>
      </x:c>
      <x:c r="E14" s="29" t="str">
        <x:v>Okul bölgesi, kayıt, dil desteği, TK, çocuk bakımı ve aile programları.</x:v>
      </x:c>
      <x:c r="F14" s="29" t="str">
        <x:v>family</x:v>
      </x:c>
      <x:c r="G14" s="35" t="n">
        <x:v>6</x:v>
      </x:c>
      <x:c r="H14" s="36" t="n">
        <x:f>IF(A14="",0,IF(COUNTIFS('Yanıtlar'!$N$8:$N$249,A14)&gt;0,1,0))</x:f>
        <x:v>1</x:v>
      </x:c>
    </x:row>
    <x:row r="15" ht="54" customHeight="1">
      <x:c r="A15" s="29" t="str">
        <x:v>bakersfield:ulasim</x:v>
      </x:c>
      <x:c r="B15" s="29" t="str">
        <x:v>bakersfield</x:v>
      </x:c>
      <x:c r="C15" s="29" t="str">
        <x:v>ulasim</x:v>
      </x:c>
      <x:c r="D15" s="29" t="str">
        <x:v>Ulaşım</x:v>
      </x:c>
      <x:c r="E15" s="29" t="str">
        <x:v>GET, Kern Transit, Amtrak bağlantıları, Meadows Field, DMV ve araç işlemleri.</x:v>
      </x:c>
      <x:c r="F15" s="29" t="str">
        <x:v>train</x:v>
      </x:c>
      <x:c r="G15" s="35" t="n">
        <x:v>7</x:v>
      </x:c>
      <x:c r="H15" s="36" t="n">
        <x:f>IF(A15="",0,IF(COUNTIFS('Yanıtlar'!$N$8:$N$249,A15)&gt;0,1,0))</x:f>
        <x:v>1</x:v>
      </x:c>
    </x:row>
    <x:row r="16" ht="54" customHeight="1">
      <x:c r="A16" s="29" t="str">
        <x:v>bakersfield:gunluk</x:v>
      </x:c>
      <x:c r="B16" s="29" t="str">
        <x:v>bakersfield</x:v>
      </x:c>
      <x:c r="C16" s="29" t="str">
        <x:v>gunluk</x:v>
      </x:c>
      <x:c r="D16" s="29" t="str">
        <x:v>Günlük hayat</x:v>
      </x:c>
      <x:c r="E16" s="29" t="str">
        <x:v>Kütüphane, atık, evcil hayvanlar, ölçü birimleri ve ReadyKern.</x:v>
      </x:c>
      <x:c r="F16" s="29" t="str">
        <x:v>bag</x:v>
      </x:c>
      <x:c r="G16" s="35" t="n">
        <x:v>8</x:v>
      </x:c>
      <x:c r="H16" s="36" t="n">
        <x:f>IF(A16="",0,IF(COUNTIFS('Yanıtlar'!$N$8:$N$249,A16)&gt;0,1,0))</x:f>
        <x:v>1</x:v>
      </x:c>
    </x:row>
    <x:row r="17" ht="54" customHeight="1">
      <x:c r="A17" s="29" t="str">
        <x:v>bakersfield:haklar</x:v>
      </x:c>
      <x:c r="B17" s="29" t="str">
        <x:v>bakersfield</x:v>
      </x:c>
      <x:c r="C17" s="29" t="str">
        <x:v>haklar</x:v>
      </x:c>
      <x:c r="D17" s="29" t="str">
        <x:v>Haklar ve destek</x:v>
      </x:c>
      <x:c r="E17" s="29" t="str">
        <x:v>Kiracı, çalışan ve tüketici başvuruları; mahkemeler ve erişilebilirlik.</x:v>
      </x:c>
      <x:c r="F17" s="29" t="str">
        <x:v>shield</x:v>
      </x:c>
      <x:c r="G17" s="35" t="n">
        <x:v>9</x:v>
      </x:c>
      <x:c r="H17" s="36" t="n">
        <x:f>IF(A17="",0,IF(COUNTIFS('Yanıtlar'!$N$8:$N$249,A17)&gt;0,1,0))</x:f>
        <x:v>1</x:v>
      </x:c>
    </x:row>
    <x:row r="18" ht="54" customHeight="1">
      <x:c r="A18" s="29" t="str">
        <x:v>bakersfield:turkiye</x:v>
      </x:c>
      <x:c r="B18" s="29" t="str">
        <x:v>bakersfield</x:v>
      </x:c>
      <x:c r="C18" s="29" t="str">
        <x:v>turkiye</x:v>
      </x:c>
      <x:c r="D18" s="29" t="str">
        <x:v>Türkiye ile bağın</x:v>
      </x:c>
      <x:c r="E18" s="29" t="str">
        <x:v>Los Angeles Başkonsolosluğu, konsolosluk işlemleri, seyahat ve Türkiye bağlantıları.</x:v>
      </x:c>
      <x:c r="F18" s="29" t="str">
        <x:v>plane</x:v>
      </x:c>
      <x:c r="G18" s="35" t="n">
        <x:v>10</x:v>
      </x:c>
      <x:c r="H18" s="36" t="n">
        <x:f>IF(A18="",0,IF(COUNTIFS('Yanıtlar'!$N$8:$N$249,A18)&gt;0,1,0))</x:f>
        <x:v>1</x:v>
      </x:c>
    </x:row>
    <x:row r="19" ht="54" customHeight="1">
      <x:c r="A19" s="29" t="str">
        <x:v>bakersfield:sosyal</x:v>
      </x:c>
      <x:c r="B19" s="29" t="str">
        <x:v>bakersfield</x:v>
      </x:c>
      <x:c r="C19" s="29" t="str">
        <x:v>sosyal</x:v>
      </x:c>
      <x:c r="D19" s="29" t="str">
        <x:v>Sosyal hayat</x:v>
      </x:c>
      <x:c r="E19" s="29" t="str">
        <x:v>Country müzik, Bask kültürü, müzeler, kampüsler ve Kern County gezileri.</x:v>
      </x:c>
      <x:c r="F19" s="29" t="str">
        <x:v>people</x:v>
      </x:c>
      <x:c r="G19" s="35" t="n">
        <x:v>11</x:v>
      </x:c>
      <x:c r="H19" s="36" t="n">
        <x:f>IF(A19="",0,IF(COUNTIFS('Yanıtlar'!$N$8:$N$249,A19)&gt;0,1,0))</x:f>
        <x:v>1</x:v>
      </x:c>
    </x:row>
    <x:row r="20" ht="54" customHeight="1">
      <x:c r="A20" s="29"/>
      <x:c r="B20" s="29"/>
      <x:c r="C20" s="29"/>
      <x:c r="D20" s="29"/>
      <x:c r="E20" s="29"/>
      <x:c r="F20" s="29"/>
      <x:c r="G20" s="35"/>
      <x:c r="H20" s="36" t="n">
        <x:f>IF(A20="",0,IF(COUNTIFS('Yanıtlar'!$N$8:$N$249,A20)&gt;0,1,0))</x:f>
        <x:v>0</x:v>
      </x:c>
    </x:row>
    <x:row r="21" ht="54" customHeight="1">
      <x:c r="A21" s="29"/>
      <x:c r="B21" s="29"/>
      <x:c r="C21" s="29"/>
      <x:c r="D21" s="29"/>
      <x:c r="E21" s="29"/>
      <x:c r="F21" s="29"/>
      <x:c r="G21" s="35"/>
      <x:c r="H21" s="36" t="n">
        <x:f>IF(A21="",0,IF(COUNTIFS('Yanıtlar'!$N$8:$N$249,A21)&gt;0,1,0))</x:f>
        <x:v>0</x:v>
      </x:c>
    </x:row>
  </x:sheetData>
  <x:mergeCells>
    <x:mergeCell ref="A3:H3"/>
  </x:mergeCells>
  <x:conditionalFormatting sqref="A8:A21">
    <x:cfRule type="expression" dxfId="29" priority="1">
      <x:formula>AND($A8&lt;&gt;"",ISBLANK(A8))</x:formula>
    </x:cfRule>
  </x:conditionalFormatting>
  <x:conditionalFormatting sqref="B8:B21">
    <x:cfRule type="expression" dxfId="30" priority="2">
      <x:formula>AND($A8&lt;&gt;"",ISBLANK(B8))</x:formula>
    </x:cfRule>
  </x:conditionalFormatting>
  <x:conditionalFormatting sqref="C8:C21">
    <x:cfRule type="expression" dxfId="31" priority="3">
      <x:formula>AND($A8&lt;&gt;"",ISBLANK(C8))</x:formula>
    </x:cfRule>
  </x:conditionalFormatting>
  <x:conditionalFormatting sqref="D8:D21">
    <x:cfRule type="expression" dxfId="32" priority="4">
      <x:formula>AND($A8&lt;&gt;"",ISBLANK(D8))</x:formula>
    </x:cfRule>
  </x:conditionalFormatting>
  <x:conditionalFormatting sqref="E8:E21">
    <x:cfRule type="expression" dxfId="33" priority="5">
      <x:formula>AND($A8&lt;&gt;"",ISBLANK(E8))</x:formula>
    </x:cfRule>
  </x:conditionalFormatting>
  <x:conditionalFormatting sqref="F8:F21">
    <x:cfRule type="expression" dxfId="34" priority="6">
      <x:formula>AND($A8&lt;&gt;"",ISBLANK(F8))</x:formula>
    </x:cfRule>
  </x:conditionalFormatting>
  <x:conditionalFormatting sqref="G8:G21">
    <x:cfRule type="expression" dxfId="35" priority="7">
      <x:formula>AND($A8&lt;&gt;"",ISBLANK(G8))</x:formula>
    </x:cfRule>
  </x:conditionalFormatting>
  <x:pageMargins left="0.7" right="0.7" top="0.75" bottom="0.75" header="0.3" footer="0.3"/>
  <x:tableParts count="1">
    <x:tablePart xmlns:r="http://schemas.openxmlformats.org/officeDocument/2006/relationships" r:id="Rd1bf309bd9a84d97"/>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 min="8" max="8" width="28" hidden="0" customWidth="1"/>
    <x:col min="9" max="9" width="28" hidden="0" customWidth="1"/>
    <x:col min="10" max="10" width="20" hidden="0" customWidth="1"/>
    <x:col min="11" max="11" width="28" hidden="0" customWidth="1"/>
    <x:col min="12" max="12" width="28" hidden="0" customWidth="1"/>
    <x:col min="13" max="13" width="28" hidden="0" customWidth="1"/>
    <x:col min="14" max="14" width="32" hidden="0" customWidth="1"/>
    <x:col min="15" max="15" width="58" hidden="0" customWidth="1"/>
    <x:col min="16" max="16" width="58" hidden="0" customWidth="1"/>
    <x:col min="17" max="17" width="28" hidden="0" customWidth="1"/>
    <x:col min="18" max="18" width="28" hidden="0" customWidth="1"/>
    <x:col min="19" max="19" width="58" hidden="0" customWidth="1"/>
    <x:col min="20" max="20" width="48" hidden="0" customWidth="1"/>
  </x:cols>
  <x:sheetData>
    <x:row r="1" ht="30" customHeight="1">
      <x:c r="A1" s="2"/>
      <x:c r="B1" s="2"/>
      <x:c r="C1" s="2"/>
      <x:c r="D1" s="2"/>
      <x:c r="E1" s="2"/>
      <x:c r="F1" s="2"/>
      <x:c r="G1" s="2"/>
      <x:c r="H1" s="2"/>
      <x:c r="I1" s="2"/>
      <x:c r="J1" s="2"/>
      <x:c r="K1" s="2"/>
      <x:c r="L1" s="2"/>
      <x:c r="M1" s="2"/>
      <x:c r="N1" s="2"/>
      <x:c r="O1" s="2"/>
      <x:c r="P1" s="2"/>
      <x:c r="Q1" s="2"/>
      <x:c r="R1" s="2"/>
      <x:c r="S1" s="2"/>
      <x:c r="T1" s="2"/>
    </x:row>
    <x:row r="2" ht="30" customHeight="1">
      <x:c r="A2" s="19" t="str">
        <x:v>Corteqs · Pratik yaşam yanıtları</x:v>
      </x:c>
      <x:c r="B2" s="2"/>
      <x:c r="C2" s="2"/>
      <x:c r="D2" s="2"/>
      <x:c r="E2" s="2"/>
      <x:c r="F2" s="2"/>
      <x:c r="G2" s="2"/>
      <x:c r="H2" s="2"/>
      <x:c r="I2" s="2"/>
      <x:c r="J2" s="2"/>
      <x:c r="K2" s="2"/>
      <x:c r="L2" s="2"/>
      <x:c r="M2" s="2"/>
      <x:c r="N2" s="2"/>
      <x:c r="O2" s="2"/>
      <x:c r="P2" s="2"/>
      <x:c r="Q2" s="2"/>
      <x:c r="R2" s="2"/>
      <x:c r="S2" s="2"/>
      <x:c r="T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c r="M3" s="2"/>
      <x:c r="N3" s="2"/>
      <x:c r="O3" s="2"/>
      <x:c r="P3" s="2"/>
      <x:c r="Q3" s="2"/>
      <x:c r="R3" s="2"/>
      <x:c r="S3" s="2"/>
      <x:c r="T3" s="2"/>
    </x:row>
    <x:row r="4" ht="30" customHeight="1">
      <x:c r="A4" s="21"/>
      <x:c r="B4" s="21"/>
      <x:c r="C4" s="21"/>
      <x:c r="D4" s="21"/>
      <x:c r="E4" s="21"/>
      <x:c r="F4" s="21"/>
      <x:c r="G4" s="21"/>
      <x:c r="H4" s="21"/>
      <x:c r="I4" s="21"/>
      <x:c r="J4" s="21"/>
      <x:c r="K4" s="21"/>
      <x:c r="L4" s="21"/>
      <x:c r="M4" s="21"/>
      <x:c r="N4" s="21"/>
      <x:c r="O4" s="21"/>
      <x:c r="P4" s="21"/>
      <x:c r="Q4" s="21"/>
      <x:c r="R4" s="21"/>
      <x:c r="S4" s="21"/>
      <x:c r="T4" s="21"/>
    </x:row>
    <x:row r="5" ht="26" customHeight="1">
      <x:c r="A5" s="22" t="str">
        <x:v>Zorunlu</x:v>
      </x:c>
      <x:c r="B5" s="22" t="str">
        <x:v>Zorunlu</x:v>
      </x:c>
      <x:c r="C5" s="22" t="str">
        <x:v>Zorunlu</x:v>
      </x:c>
      <x:c r="D5" s="22" t="str">
        <x:v>Zorunlu</x:v>
      </x:c>
      <x:c r="E5" s="22" t="str">
        <x:v>İsteğe bağlı</x:v>
      </x:c>
      <x:c r="F5" s="22" t="str">
        <x:v>Zorunlu</x:v>
      </x:c>
      <x:c r="G5" s="22" t="str">
        <x:v>İsteğe bağlı</x:v>
      </x:c>
      <x:c r="H5" s="22" t="str">
        <x:v>İsteğe bağlı · ; ile</x:v>
      </x:c>
      <x:c r="I5" s="22" t="str">
        <x:v>Zorunlu · ; ile</x:v>
      </x:c>
      <x:c r="J5" s="22" t="str">
        <x:v>Zorunlu · tarih</x:v>
      </x:c>
      <x:c r="K5" s="22" t="str">
        <x:v>Zorunlu</x:v>
      </x:c>
      <x:c r="L5" s="22" t="str">
        <x:v>Zorunlu</x:v>
      </x:c>
      <x:c r="M5" s="22" t="str">
        <x:v>Zorunlu</x:v>
      </x:c>
      <x:c r="N5" s="22" t="str">
        <x:v>Zorunlu</x:v>
      </x:c>
      <x:c r="O5" s="22" t="str">
        <x:v>Zorunlu · alt satır</x:v>
      </x:c>
      <x:c r="P5" s="22" t="str">
        <x:v>İsteğe bağlı · alt satır</x:v>
      </x:c>
      <x:c r="Q5" s="22" t="str">
        <x:v>İsteğe bağlı</x:v>
      </x:c>
      <x:c r="R5" s="22" t="str">
        <x:v>İsteğe bağlı</x:v>
      </x:c>
      <x:c r="S5" s="22" t="str">
        <x:v>İsteğe bağlı</x:v>
      </x:c>
      <x:c r="T5" s="22" t="str">
        <x:v>İsteğe bağlı · JSON</x:v>
      </x:c>
    </x:row>
    <x:row r="6" ht="44" customHeight="1">
      <x:c r="A6" s="25" t="str">
        <x:v>İçerik kimliği</x:v>
      </x:c>
      <x:c r="B6" s="25" t="str">
        <x:v>Şehir kimliği</x:v>
      </x:c>
      <x:c r="C6" s="25" t="str">
        <x:v>Adres adı</x:v>
      </x:c>
      <x:c r="D6" s="25" t="str">
        <x:v>Başlık</x:v>
      </x:c>
      <x:c r="E6" s="25" t="str">
        <x:v>Alt başlık</x:v>
      </x:c>
      <x:c r="F6" s="25" t="str">
        <x:v>Türkçe kısa yanıt / özet</x:v>
      </x:c>
      <x:c r="G6" s="25" t="str">
        <x:v>Arama sözcükleri</x:v>
      </x:c>
      <x:c r="H6" s="25" t="str">
        <x:v>Yaşam aşamaları</x:v>
      </x:c>
      <x:c r="I6" s="25" t="str">
        <x:v>Kaynak kimlikleri</x:v>
      </x:c>
      <x:c r="J6" s="25" t="str">
        <x:v>İçerik kontrol tarihi</x:v>
      </x:c>
      <x:c r="K6" s="25" t="str">
        <x:v>Sıra</x:v>
      </x:c>
      <x:c r="L6" s="25" t="str">
        <x:v>Öne çıkar</x:v>
      </x:c>
      <x:c r="M6" s="25" t="str">
        <x:v>Editör durumu</x:v>
      </x:c>
      <x:c r="N6" s="25" t="str">
        <x:v>Konu kimliği</x:v>
      </x:c>
      <x:c r="O6" s="25" t="str">
        <x:v>İşlem adımları</x:v>
      </x:c>
      <x:c r="P6" s="25" t="str">
        <x:v>Gereken belgeler</x:v>
      </x:c>
      <x:c r="Q6" s="25" t="str">
        <x:v>Süre / son tarih</x:v>
      </x:c>
      <x:c r="R6" s="25" t="str">
        <x:v>Ücret / maliyet</x:v>
      </x:c>
      <x:c r="S6" s="25" t="str">
        <x:v>İstisna ve dikkat notu</x:v>
      </x:c>
      <x:c r="T6" s="25" t="str">
        <x:v>Görsel açıklama yapısı (JSON)</x:v>
      </x:c>
    </x:row>
    <x:row r="7" ht="32" customHeight="1">
      <x:c r="A7" s="28" t="str">
        <x:v>entry_id</x:v>
      </x:c>
      <x:c r="B7" s="28" t="str">
        <x:v>city_id</x:v>
      </x:c>
      <x:c r="C7" s="28" t="str">
        <x:v>slug</x:v>
      </x:c>
      <x:c r="D7" s="28" t="str">
        <x:v>title</x:v>
      </x:c>
      <x:c r="E7" s="28" t="str">
        <x:v>subtitle</x:v>
      </x:c>
      <x:c r="F7" s="28" t="str">
        <x:v>summary</x:v>
      </x:c>
      <x:c r="G7" s="28" t="str">
        <x:v>keywords</x:v>
      </x:c>
      <x:c r="H7" s="28" t="str">
        <x:v>stages</x:v>
      </x:c>
      <x:c r="I7" s="28" t="str">
        <x:v>source_ids</x:v>
      </x:c>
      <x:c r="J7" s="28" t="str">
        <x:v>reviewed_on</x:v>
      </x:c>
      <x:c r="K7" s="28" t="str">
        <x:v>order</x:v>
      </x:c>
      <x:c r="L7" s="28" t="str">
        <x:v>featured</x:v>
      </x:c>
      <x:c r="M7" s="28" t="str">
        <x:v>editorial_status</x:v>
      </x:c>
      <x:c r="N7" s="28" t="str">
        <x:v>topic_id</x:v>
      </x:c>
      <x:c r="O7" s="28" t="str">
        <x:v>steps</x:v>
      </x:c>
      <x:c r="P7" s="28" t="str">
        <x:v>documents</x:v>
      </x:c>
      <x:c r="Q7" s="28" t="str">
        <x:v>timing</x:v>
      </x:c>
      <x:c r="R7" s="28" t="str">
        <x:v>cost</x:v>
      </x:c>
      <x:c r="S7" s="28" t="str">
        <x:v>note</x:v>
      </x:c>
      <x:c r="T7" s="28" t="str">
        <x:v>visual_json</x:v>
      </x:c>
    </x:row>
    <x:row r="8" ht="96" customHeight="1">
      <x:c r="A8" s="29" t="str">
        <x:v>bakersfield:ilk-belgeler</x:v>
      </x:c>
      <x:c r="B8" s="29" t="str">
        <x:v>bakersfield</x:v>
      </x:c>
      <x:c r="C8" s="29" t="str">
        <x:v>ilk-belgeler</x:v>
      </x:c>
      <x:c r="D8" s="29" t="str">
        <x:v>Taşınma dosyanı kişi bazında hazırla</x:v>
      </x:c>
      <x:c r="E8" s="29" t="str">
        <x:v>Resmî işlemler</x:v>
      </x:c>
      <x:c r="F8" s="29" t="str">
        <x:v>Bakersfield'a taşınırken tek bir aile dosyası yerine her kişi için kimlik, giriş ve işlem belgelerini ayır. Pasaport, vize, varsa I-94, çalışma veya öğrenci belgesi farklı amaçlara hizmet eder. Kuruma sunacağın belge listesini ilgili başvurudan çıkar; her evraka otomatik olarak noter veya apostil yaptırmak gerekmez.</x:v>
      </x:c>
      <x:c r="G8" s="29" t="str">
        <x:v>Taşınma dosyanı kişi bazında hazırla</x:v>
      </x:c>
      <x:c r="H8" s="29" t="str">
        <x:v>before;new;settled</x:v>
      </x:c>
      <x:c r="I8" s="29" t="str">
        <x:v>bakersfield:src:17606;bakersfield:src:17607</x:v>
      </x:c>
      <x:c r="J8" s="31" t="d">
        <x:v>2026-10-24T00:00:00.000Z</x:v>
      </x:c>
      <x:c r="K8" s="35" t="n">
        <x:v>0</x:v>
      </x:c>
      <x:c r="L8" s="29" t="str">
        <x:v>Evet</x:v>
      </x:c>
      <x:c r="M8" s="29" t="str">
        <x:v>İnceleme</x:v>
      </x:c>
      <x:c r="N8" s="29" t="str">
        <x:v>bakersfield:resmi</x:v>
      </x:c>
      <x:c r="O8" s="29" t="str">
        <x:v>Her kişi için kimlik ve statü belgelerini sırala
Asılları güvenli yerde tutup okunaklı kopyalar oluştur
Okul ve sağlık kayıtlarını ayrı dosyalara ekle</x:v>
      </x:c>
      <x:c r="P8" s="29" t="str">
        <x:v>Pasaport
İlgili başvurunun belge listesi</x:v>
      </x:c>
      <x:c r="Q8" s="29" t="str">
        <x:v>Taşınmadan önce başla; kurum randevusundan önce belge asıllarını ve geçerlilik tarihlerini tamamla.</x:v>
      </x:c>
      <x:c r="R8" s="29" t="str">
        <x:v>Belge dosyası oluşturmanın başvuru harcı yoktur; gerekli tercüme, tasdik ve ek nüsha hizmetlerini ayrı bütçele.</x:v>
      </x:c>
      <x:c r="S8" s="29"/>
      <x:c r="T8" s="29"/>
    </x:row>
    <x:row r="9" ht="96" customHeight="1">
      <x:c r="A9" s="29" t="str">
        <x:v>bakersfield:i94-kaydi</x:v>
      </x:c>
      <x:c r="B9" s="29" t="str">
        <x:v>bakersfield</x:v>
      </x:c>
      <x:c r="C9" s="29" t="str">
        <x:v>i94-kaydi</x:v>
      </x:c>
      <x:c r="D9" s="29" t="str">
        <x:v>Girişinden sonra I-94 kaydını al</x:v>
      </x:c>
      <x:c r="E9" s="29" t="str">
        <x:v>Resmî işlemler</x:v>
      </x:c>
      <x:c r="F9" s="29" t="str">
        <x:v>I-94, birçok geçici statüde ABD'ye giriş sınıfını ve kabul edilen kalış süresini gösterir. CBP portalında en son giriş kaydını bulup pasaport bilgilerinle karşılaştır. Vizedeki son geçerlilik tarihiyle I-94'teki kalış tarihi aynı şey değildir; seyahat geçmişi ekranı da I-94 kaydının yerine geçmez.</x:v>
      </x:c>
      <x:c r="G9" s="29" t="str">
        <x:v>Girişinden sonra I-94 kaydını al</x:v>
      </x:c>
      <x:c r="H9" s="29" t="str">
        <x:v>before;new;settled</x:v>
      </x:c>
      <x:c r="I9" s="29" t="str">
        <x:v>bakersfield:src:6275;bakersfield:src:17605</x:v>
      </x:c>
      <x:c r="J9" s="31" t="d">
        <x:v>2026-10-24T00:00:00.000Z</x:v>
      </x:c>
      <x:c r="K9" s="35" t="n">
        <x:v>1</x:v>
      </x:c>
      <x:c r="L9" s="29" t="str">
        <x:v>Evet</x:v>
      </x:c>
      <x:c r="M9" s="29" t="str">
        <x:v>İnceleme</x:v>
      </x:c>
      <x:c r="N9" s="29" t="str">
        <x:v>bakersfield:resmi</x:v>
      </x:c>
      <x:c r="O9" s="29" t="str">
        <x:v>CBP portalından en son I-94 kaydını aç
Ad, pasaport, giriş sınıfı ve kalış alanlarını karşılaştır
Kaydı PDF olarak belge dosyana ekle</x:v>
      </x:c>
      <x:c r="P9" s="29" t="str">
        <x:v>Pasaport
Giriş bilgileri</x:v>
      </x:c>
      <x:c r="Q9" s="29" t="str">
        <x:v>Her yeni girişten sonra son I-94 kaydını incele; kalış planını admit-until alanına veya ilgili D/S koşuluna bağla.</x:v>
      </x:c>
      <x:c r="R9" s="29" t="str">
        <x:v>Mevcut I-94 kaydını görüntüleme ve yazdırma ile yeni bir provisional I-94 başvurusunun ücretini karıştırma.</x:v>
      </x:c>
      <x:c r="S9" s="29"/>
      <x:c r="T9" s="29"/>
    </x:row>
    <x:row r="10" ht="96" customHeight="1">
      <x:c r="A10" s="29" t="str">
        <x:v>bakersfield:vize-ve-statu</x:v>
      </x:c>
      <x:c r="B10" s="29" t="str">
        <x:v>bakersfield</x:v>
      </x:c>
      <x:c r="C10" s="29" t="str">
        <x:v>vize-ve-statu</x:v>
      </x:c>
      <x:c r="D10" s="29" t="str">
        <x:v>Vize, statü ve çalışma yetkisini ayır</x:v>
      </x:c>
      <x:c r="E10" s="29" t="str">
        <x:v>Resmî işlemler</x:v>
      </x:c>
      <x:c r="F10" s="29" t="str">
        <x:v>ABD vizesi, geçerlilik süresi içinde sınırda giriş talep etmene yarar. Ülkede ne kadar ve hangi koşullarla kalabileceğini giriş kaydı ve geçerli statü belgeleri belirler. İşe başlama hakkı ayrıca değerlendirilir: geçerli vize, SSN veya banka hesabı tek başına çalışma izni oluşturmaz.</x:v>
      </x:c>
      <x:c r="G10" s="29" t="str">
        <x:v>Vize, statü ve çalışma yetkisini ayır</x:v>
      </x:c>
      <x:c r="H10" s="29" t="str">
        <x:v>before;new;settled</x:v>
      </x:c>
      <x:c r="I10" s="29" t="str">
        <x:v>bakersfield:src:17608;bakersfield:src:17605;bakersfield:src:6278</x:v>
      </x:c>
      <x:c r="J10" s="31" t="d">
        <x:v>2026-10-24T00:00:00.000Z</x:v>
      </x:c>
      <x:c r="K10" s="35" t="n">
        <x:v>2</x:v>
      </x:c>
      <x:c r="L10" s="29" t="str">
        <x:v>Hayır</x:v>
      </x:c>
      <x:c r="M10" s="29" t="str">
        <x:v>İnceleme</x:v>
      </x:c>
      <x:c r="N10" s="29" t="str">
        <x:v>bakersfield:resmi</x:v>
      </x:c>
      <x:c r="O10" s="29" t="str">
        <x:v>Vize tarihini seyahat planına işle
I-94 ve varsa USCIS kararındaki koşulları ayrı kaydet
İşe başlamadan statüne uygun çalışma yetkisini belirle</x:v>
      </x:c>
      <x:c r="P10" s="29" t="str">
        <x:v>Vize
I-94
Varsa statü kararı</x:v>
      </x:c>
      <x:c r="Q10" s="29" t="str">
        <x:v>Seyahat, işe başlama ve uzatma öncesinde vize, I-94 ve çalışma yetkisini ayrı değerlendir.</x:v>
      </x:c>
      <x:c r="R10" s="29" t="str">
        <x:v>Kayıt incelemesi yeni vize veya statü başvurusu değildir; gerekiyorsa ilgili başvurunun harcı ayrıca doğar.</x:v>
      </x:c>
      <x:c r="S10" s="29"/>
      <x:c r="T10" s="29"/>
    </x:row>
    <x:row r="11" ht="96" customHeight="1">
      <x:c r="A11" s="29" t="str">
        <x:v>bakersfield:kalista-ds</x:v>
      </x:c>
      <x:c r="B11" s="29" t="str">
        <x:v>bakersfield</x:v>
      </x:c>
      <x:c r="C11" s="29" t="str">
        <x:v>kalista-ds</x:v>
      </x:c>
      <x:c r="D11" s="29" t="str">
        <x:v>I-94 kaydındaki D/S ne demek?</x:v>
      </x:c>
      <x:c r="E11" s="29" t="str">
        <x:v>Resmî işlemler</x:v>
      </x:c>
      <x:c r="F11" s="29" t="str">
        <x:v>Bazı statülerde I-94 üzerinde belirli bir tarih yerine D/S bulunur. Bu, sınırsız veya koşulsuz kalış anlamına gelmez; ilgili statünün kurallarına bağlı kalışı ifade eder. Öğrenci veya değişim programında okulun ya da program sponsorunun kayıtları ve statü belgeleri de önemlidir.</x:v>
      </x:c>
      <x:c r="G11" s="29" t="str">
        <x:v>I-94 kaydındaki D/S ne demek?</x:v>
      </x:c>
      <x:c r="H11" s="29" t="str">
        <x:v>before;new;settled</x:v>
      </x:c>
      <x:c r="I11" s="29" t="str">
        <x:v>bakersfield:src:6275</x:v>
      </x:c>
      <x:c r="J11" s="31" t="d">
        <x:v>2026-10-24T00:00:00.000Z</x:v>
      </x:c>
      <x:c r="K11" s="35" t="n">
        <x:v>3</x:v>
      </x:c>
      <x:c r="L11" s="29" t="str">
        <x:v>Hayır</x:v>
      </x:c>
      <x:c r="M11" s="29" t="str">
        <x:v>İnceleme</x:v>
      </x:c>
      <x:c r="N11" s="29" t="str">
        <x:v>bakersfield:resmi</x:v>
      </x:c>
      <x:c r="O11" s="29" t="str">
        <x:v>I-94 giriş sınıfını ve D/S kaydını birlikte oku
Okul veya sponsorun statü sorumlusuyla dosyanı eşleştir
Program değişikliği ve seyahati statü koşullarıyla planla</x:v>
      </x:c>
      <x:c r="P11" s="29" t="str">
        <x:v>I-94
Varsa I-20 veya DS-2019</x:v>
      </x:c>
      <x:c r="Q11" s="29" t="str">
        <x:v>Program bitişi, kayıt değişikliği ve seyahat öncesinde DSO veya sponsorla statü koşullarını eşleştir.</x:v>
      </x:c>
      <x:c r="R11" s="29" t="str">
        <x:v>D/S ifadesini okumak ayrı ücretli işlem değildir; statü değişikliği ya da program işlemi kendi koşullarına tabidir.</x:v>
      </x:c>
      <x:c r="S11" s="29"/>
      <x:c r="T11" s="29"/>
    </x:row>
    <x:row r="12" ht="96" customHeight="1">
      <x:c r="A12" s="29" t="str">
        <x:v>bakersfield:aile-statusu</x:v>
      </x:c>
      <x:c r="B12" s="29" t="str">
        <x:v>bakersfield</x:v>
      </x:c>
      <x:c r="C12" s="29" t="str">
        <x:v>aile-statusu</x:v>
      </x:c>
      <x:c r="D12" s="29" t="str">
        <x:v>Aile üyelerinin statülerini ayrı izle</x:v>
      </x:c>
      <x:c r="E12" s="29" t="str">
        <x:v>Resmî işlemler</x:v>
      </x:c>
      <x:c r="F12" s="29" t="str">
        <x:v>Bir kişinin iş veya öğrenci statüsü, eş ve çocuklara aynı hakları otomatik olarak vermez. Her aile üyesinin giriş kaydı, statü sınıfı ve gerekiyorsa çalışma belgesi ayrı değerlendirilir. Ortak bitiş tarihi varsaymak yerine aile takviminde kişi ve belge bazında kayıt tut.</x:v>
      </x:c>
      <x:c r="G12" s="29" t="str">
        <x:v>Aile üyelerinin statülerini ayrı izle</x:v>
      </x:c>
      <x:c r="H12" s="29" t="str">
        <x:v>before;new;settled</x:v>
      </x:c>
      <x:c r="I12" s="29" t="str">
        <x:v>bakersfield:src:6275;bakersfield:src:6278</x:v>
      </x:c>
      <x:c r="J12" s="31" t="d">
        <x:v>2026-10-24T00:00:00.000Z</x:v>
      </x:c>
      <x:c r="K12" s="35" t="n">
        <x:v>4</x:v>
      </x:c>
      <x:c r="L12" s="29" t="str">
        <x:v>Hayır</x:v>
      </x:c>
      <x:c r="M12" s="29" t="str">
        <x:v>İnceleme</x:v>
      </x:c>
      <x:c r="N12" s="29" t="str">
        <x:v>bakersfield:resmi</x:v>
      </x:c>
      <x:c r="O12" s="29" t="str">
        <x:v>Her kişinin giriş ve statü belgelerini listele
Çalışma ve eğitim koşullarını kişi bazında ayır
Uzatma veya değişiklik gerektiren dosyalara ayrı hatırlatıcı koy</x:v>
      </x:c>
      <x:c r="P12" s="29" t="str">
        <x:v>Her aile üyesinin statü belgeleri</x:v>
      </x:c>
      <x:c r="Q12" s="29" t="str">
        <x:v>Ailede herkesin belge bitişini ayrı izle; aynı gün giriş, aynı kalış veya çalışma hakkı garantisi değildir.</x:v>
      </x:c>
      <x:c r="R12" s="29" t="str">
        <x:v>Eş ve çocukların başvuru harçları işlem türüne göre ayrı olabilir; tek hane harcı varsayma.</x:v>
      </x:c>
      <x:c r="S12" s="29"/>
      <x:c r="T12" s="29"/>
    </x:row>
    <x:row r="13" ht="110" customHeight="1">
      <x:c r="A13" s="29" t="str">
        <x:v>bakersfield:ssn-basvuru</x:v>
      </x:c>
      <x:c r="B13" s="29" t="str">
        <x:v>bakersfield</x:v>
      </x:c>
      <x:c r="C13" s="29" t="str">
        <x:v>ssn-basvuru</x:v>
      </x:c>
      <x:c r="D13" s="29" t="str">
        <x:v>SSN başvurunu doğru belgeyle yap</x:v>
      </x:c>
      <x:c r="E13" s="29" t="str">
        <x:v>Resmî işlemler</x:v>
      </x:c>
      <x:c r="F13" s="29" t="str">
        <x:v>ABD vatandaşı olmayan kişilerde SSN uygunluğu genellikle DHS çalışma yetkisine dayanır; sınırlı istisnalar vardır. SSA, kimlik ve göçmenlik durumuna uygun belgeler ister. Öğrenci veya değişim ziyaretçisi için ek belgeler gerekebilir. SSN başvurusunu ücretli bir aracıya vermeden SSA'nın kendi kanalından başlatabilirsin.</x:v>
      </x:c>
      <x:c r="G13" s="29" t="str">
        <x:v>SSN başvurunu doğru belgeyle yap</x:v>
      </x:c>
      <x:c r="H13" s="29" t="str">
        <x:v>before;new;settled</x:v>
      </x:c>
      <x:c r="I13" s="29" t="str">
        <x:v>bakersfield:src:6281;bakersfield:src:6550;bakersfield:src:17607</x:v>
      </x:c>
      <x:c r="J13" s="31" t="d">
        <x:v>2026-10-24T00:00:00.000Z</x:v>
      </x:c>
      <x:c r="K13" s="35" t="n">
        <x:v>5</x:v>
      </x:c>
      <x:c r="L13" s="29" t="str">
        <x:v>Evet</x:v>
      </x:c>
      <x:c r="M13" s="29" t="str">
        <x:v>İnceleme</x:v>
      </x:c>
      <x:c r="N13" s="29" t="str">
        <x:v>bakersfield:resmi</x:v>
      </x:c>
      <x:c r="O13" s="29" t="str">
        <x:v>SSA'dan statüne uygun belge listesini çıkar
Belge asıllarını veya kurumca kabul edilen tasdikli nüshaları hazırla
Başvuru sonucunu güvenli yazışma adresinde takip et</x:v>
      </x:c>
      <x:c r="P13" s="29" t="str">
        <x:v>Pasaport
Statü ve çalışma yetkisi belgeleri</x:v>
      </x:c>
      <x:c r="Q13" s="29" t="str">
        <x:v>İlk başvuru onaylandıktan sonra SSA kart için 5–10 iş günü posta süresi bildirir. Randevu ve belge doğrulama süresi bu teslim aralığından ayrıdır.</x:v>
      </x:c>
      <x:c r="R13" s="29" t="str">
        <x:v>SSA'nın SSN numarası ve kart hizmeti ücretsizdir.</x:v>
      </x:c>
      <x:c r="S13" s="29"/>
      <x:c r="T13" s="29"/>
    </x:row>
    <x:row r="14" ht="96" customHeight="1">
      <x:c r="A14" s="29" t="str">
        <x:v>bakersfield:ssn-kart-siniri</x:v>
      </x:c>
      <x:c r="B14" s="29" t="str">
        <x:v>bakersfield</x:v>
      </x:c>
      <x:c r="C14" s="29" t="str">
        <x:v>ssn-kart-siniri</x:v>
      </x:c>
      <x:c r="D14" s="29" t="str">
        <x:v>SSN kartındaki çalışma notunu oku</x:v>
      </x:c>
      <x:c r="E14" s="29" t="str">
        <x:v>Resmî işlemler</x:v>
      </x:c>
      <x:c r="F14" s="29" t="str">
        <x:v>Social Security kartları aynı çalışma koşullarını göstermez. Kartta DHS yetkisiyle çalışma kısıtı ya da çalışmaya geçerli olmadığına ilişkin ifade bulunabilir. Kart üzerindeki notu mevcut göçmenlik belgenle birlikte değerlendir; SSN numarasının varlığını bağımsız çalışma izni gibi kullanma.</x:v>
      </x:c>
      <x:c r="G14" s="29" t="str">
        <x:v>SSN kartındaki çalışma notunu oku</x:v>
      </x:c>
      <x:c r="H14" s="29" t="str">
        <x:v>before;new;settled</x:v>
      </x:c>
      <x:c r="I14" s="29" t="str">
        <x:v>bakersfield:src:17608;bakersfield:src:6281;bakersfield:src:6278</x:v>
      </x:c>
      <x:c r="J14" s="31" t="d">
        <x:v>2026-10-24T00:00:00.000Z</x:v>
      </x:c>
      <x:c r="K14" s="35" t="n">
        <x:v>6</x:v>
      </x:c>
      <x:c r="L14" s="29" t="str">
        <x:v>Hayır</x:v>
      </x:c>
      <x:c r="M14" s="29" t="str">
        <x:v>İnceleme</x:v>
      </x:c>
      <x:c r="N14" s="29" t="str">
        <x:v>bakersfield:resmi</x:v>
      </x:c>
      <x:c r="O14" s="29" t="str">
        <x:v>Kart üzerindeki kısıt ifadesini oku
İşverenin belge incelemesi için geçerli yetki belgeni hazırla
Statün değişirse SSA kaydında gereken güncellemeyi başlat</x:v>
      </x:c>
      <x:c r="P14" s="29" t="str">
        <x:v>SSN kartı
Geçerli çalışma belgesi</x:v>
      </x:c>
      <x:c r="Q14" s="29" t="str">
        <x:v>İşe başlamadan önce kart notunu ve geçerli çalışma yetkisini birlikte değerlendir.</x:v>
      </x:c>
      <x:c r="R14" s="29" t="str">
        <x:v>SSA kart hizmeti ücretsizdir; ücretli danışman karttaki çalışma kısıtını kaldıramaz.</x:v>
      </x:c>
      <x:c r="S14" s="29"/>
      <x:c r="T14" s="29"/>
    </x:row>
    <x:row r="15" ht="96" customHeight="1">
      <x:c r="A15" s="29" t="str">
        <x:v>bakersfield:itin-basvuru</x:v>
      </x:c>
      <x:c r="B15" s="29" t="str">
        <x:v>bakersfield</x:v>
      </x:c>
      <x:c r="C15" s="29" t="str">
        <x:v>itin-basvuru</x:v>
      </x:c>
      <x:c r="D15" s="29" t="str">
        <x:v>SSN alamıyorsan ITIN'in amacını bil</x:v>
      </x:c>
      <x:c r="E15" s="29" t="str">
        <x:v>Resmî işlemler</x:v>
      </x:c>
      <x:c r="F15" s="29" t="str">
        <x:v>ITIN, SSN almaya uygun olmayan ve federal vergi amacı bulunan kişiler için IRS'nin kullandığı numaradır. Çalışma yetkisi veya göçmenlik statüsü sağlamaz. Sırf banka hesabı ya da şirket açmak için verilmez. W-7 başvurusunda vergi amacıyla birlikte kimlik ve yabancı statü belgeleri değerlendirilir.</x:v>
      </x:c>
      <x:c r="G15" s="29" t="str">
        <x:v>SSN alamıyorsan ITIN'in amacını bil</x:v>
      </x:c>
      <x:c r="H15" s="29" t="str">
        <x:v>before;new;settled</x:v>
      </x:c>
      <x:c r="I15" s="29" t="str">
        <x:v>bakersfield:src:17609</x:v>
      </x:c>
      <x:c r="J15" s="31" t="d">
        <x:v>2026-10-24T00:00:00.000Z</x:v>
      </x:c>
      <x:c r="K15" s="35" t="n">
        <x:v>7</x:v>
      </x:c>
      <x:c r="L15" s="29" t="str">
        <x:v>Hayır</x:v>
      </x:c>
      <x:c r="M15" s="29" t="str">
        <x:v>İnceleme</x:v>
      </x:c>
      <x:c r="N15" s="29" t="str">
        <x:v>bakersfield:resmi</x:v>
      </x:c>
      <x:c r="O15" s="29" t="str">
        <x:v>SSN uygunluğunu önce ayır
Federal vergi amacını ve W-7 koşullarını belirle
IRS'nin kabul ettiği belge biçimini kullan</x:v>
      </x:c>
      <x:c r="P15" s="29" t="str">
        <x:v>W-7
Vergi amacı belgesi
Kabul edilen kimlik belgesi</x:v>
      </x:c>
      <x:c r="Q15" s="29" t="str">
        <x:v>IRS genel olarak 7 hafta; 15 Ocak–30 Nisan yoğun döneminde veya yurtdışından başvuruda 11 haftaya kadar süre belirtir.</x:v>
      </x:c>
      <x:c r="R15" s="29" t="str">
        <x:v>IRS Taxpayer Assistance Center belge incelemesi ücretsizdir; özel Certified Acceptance Agent ayrı hizmet bedeli isteyebilir.</x:v>
      </x:c>
      <x:c r="S15" s="29"/>
      <x:c r="T15" s="29"/>
    </x:row>
    <x:row r="16" ht="124" customHeight="1">
      <x:c r="A16" s="29" t="str">
        <x:v>bakersfield:california-kimlik</x:v>
      </x:c>
      <x:c r="B16" s="29" t="str">
        <x:v>bakersfield</x:v>
      </x:c>
      <x:c r="C16" s="29" t="str">
        <x:v>california-kimlik</x:v>
      </x:c>
      <x:c r="D16" s="29" t="str">
        <x:v>Kimlik kartı mı, sürücü belgesi mi?</x:v>
      </x:c>
      <x:c r="E16" s="29" t="str">
        <x:v>Resmî işlemler</x:v>
      </x:c>
      <x:c r="F16" s="29" t="str">
        <x:v>Kaliforniya DMV kimlik kartı ve sürücü belgesi farklı ürünlerdir. Araç kullanmayacaksan kimlik kartı seçeneğini değerlendirebilirsin; kimlik kartı araç kullanma hakkı vermez. Araç kullanacak yeni sakin için Kaliforniya ehliyeti başvurusu gerekir. REAL ID uygunluğu ise başvurunun ayrıca ele alınan belge standardıdır.</x:v>
      </x:c>
      <x:c r="G16" s="29" t="str">
        <x:v>Kimlik kartı mı, sürücü belgesi mi?</x:v>
      </x:c>
      <x:c r="H16" s="29" t="str">
        <x:v>before;new;settled</x:v>
      </x:c>
      <x:c r="I16" s="29" t="str">
        <x:v>bakersfield:src:6282;bakersfield:src:6283;bakersfield:src:17862</x:v>
      </x:c>
      <x:c r="J16" s="31" t="d">
        <x:v>2026-10-24T00:00:00.000Z</x:v>
      </x:c>
      <x:c r="K16" s="35" t="n">
        <x:v>8</x:v>
      </x:c>
      <x:c r="L16" s="29" t="str">
        <x:v>Hayır</x:v>
      </x:c>
      <x:c r="M16" s="29" t="str">
        <x:v>İnceleme</x:v>
      </x:c>
      <x:c r="N16" s="29" t="str">
        <x:v>bakersfield:resmi</x:v>
      </x:c>
      <x:c r="O16" s="29" t="str">
        <x:v>Araç kullanıp kullanmayacağını belirle
DMV'nin uygun DL veya ID başvurusunu seç
Kimlik ve adres belgelerini seçtiğin ürünün listesine göre hazırla</x:v>
      </x:c>
      <x:c r="P16" s="29" t="str">
        <x:v>DMV başvuru belgeleri</x:v>
      </x:c>
      <x:c r="Q16" s="29" t="str">
        <x:v>DMV başvurusundan önce ürün ve belge listesini seç. Araç kullanma ve tescil süreleri farklı kurallara tabidir.</x:v>
      </x:c>
      <x:c r="R16" s="29" t="str">
        <x:v>24 Ekim 2026 kontrolünde standart Class C ilk başvuru/yenileme 46 USD, normal ID kartı 40 USD. 62 yaş ve üstü senior ID ücretsiz; uygun kişiler için indirimli ID 11 USD.</x:v>
      </x:c>
      <x:c r="S16" s="29"/>
      <x:c r="T16" s="29"/>
    </x:row>
    <x:row r="17" ht="110" customHeight="1">
      <x:c r="A17" s="29" t="str">
        <x:v>bakersfield:real-id</x:v>
      </x:c>
      <x:c r="B17" s="29" t="str">
        <x:v>bakersfield</x:v>
      </x:c>
      <x:c r="C17" s="29" t="str">
        <x:v>real-id</x:v>
      </x:c>
      <x:c r="D17" s="29" t="str">
        <x:v>REAL ID ve uçuş kimliğini karıştırma</x:v>
      </x:c>
      <x:c r="E17" s="29" t="str">
        <x:v>Resmî işlemler</x:v>
      </x:c>
      <x:c r="F17" s="29" t="str">
        <x:v>REAL ID, belirli federal kimlik kontrollerinde kullanılabilen bir kimlik standardıdır; vize veya oturum izni değildir. ABD iç hat uçuşlarında yalnız REAL ID kullanılmaz: TSA'nın kabul ettiği başka belgeler de vardır. Kaliforniya REAL ID başvurusunu yaparken kimlik ve ikamet kanıtını DMV listesine göre hazırlamak gerekir.</x:v>
      </x:c>
      <x:c r="G17" s="29" t="str">
        <x:v>REAL ID ve uçuş kimliğini karıştırma</x:v>
      </x:c>
      <x:c r="H17" s="29" t="str">
        <x:v>before;new;settled</x:v>
      </x:c>
      <x:c r="I17" s="29" t="str">
        <x:v>bakersfield:src:6392;bakersfield:src:6283;bakersfield:src:17862</x:v>
      </x:c>
      <x:c r="J17" s="31" t="d">
        <x:v>2026-10-24T00:00:00.000Z</x:v>
      </x:c>
      <x:c r="K17" s="35" t="n">
        <x:v>9</x:v>
      </x:c>
      <x:c r="L17" s="29" t="str">
        <x:v>Hayır</x:v>
      </x:c>
      <x:c r="M17" s="29" t="str">
        <x:v>İnceleme</x:v>
      </x:c>
      <x:c r="N17" s="29" t="str">
        <x:v>bakersfield:resmi</x:v>
      </x:c>
      <x:c r="O17" s="29" t="str">
        <x:v>TSA'nın kabul ettiği belgelerden elindekini belirle
REAL ID istiyorsan DMV belge kontrol listesini tamamla
Uçuşa giderken fiziksel kabul edilen kimliğini yanında taşı</x:v>
      </x:c>
      <x:c r="P17" s="29" t="str">
        <x:v>Kabul edilen kimlik
DMV'nin istediği ikamet kanıtları</x:v>
      </x:c>
      <x:c r="Q17" s="29" t="str">
        <x:v>Uçuştan önce kabul edilen fiziksel kimliği hazırla; REAL ID başvurusu yapmak kartın aynı gün eline geçeceği anlamına gelmez.</x:v>
      </x:c>
      <x:c r="R17" s="29" t="str">
        <x:v>Seçilen DL veya ID işleminin DMV tarifesi uygulanır. Geçerli, TSA tarafından kabul edilen pasaportla uçmak için ayrıca REAL ID kartı satın almak şart değildir.</x:v>
      </x:c>
      <x:c r="S17" s="29"/>
      <x:c r="T17" s="29"/>
    </x:row>
    <x:row r="18" ht="96" customHeight="1">
      <x:c r="A18" s="29" t="str">
        <x:v>bakersfield:ab60</x:v>
      </x:c>
      <x:c r="B18" s="29" t="str">
        <x:v>bakersfield</x:v>
      </x:c>
      <x:c r="C18" s="29" t="str">
        <x:v>ab60</x:v>
      </x:c>
      <x:c r="D18" s="29" t="str">
        <x:v>AB 60 sürücü belgesinin kapsamı</x:v>
      </x:c>
      <x:c r="E18" s="29" t="str">
        <x:v>Resmî işlemler</x:v>
      </x:c>
      <x:c r="F18" s="29" t="str">
        <x:v>AB 60, ABD'de yasal bulunma kanıtı sunamayan ancak DMV'nin kimlik, Kaliforniya ikameti ve sürücülük koşullarını karşılayan kişilere yöneliktir. Başvuru, bilgi ve sürüş sınavlarını ortadan kaldırmaz. AB 60 belgesi REAL ID değildir ve göçmenlik statüsü ya da çalışma yetkisi sağlamaz.</x:v>
      </x:c>
      <x:c r="G18" s="29" t="str">
        <x:v>AB 60 sürücü belgesinin kapsamı</x:v>
      </x:c>
      <x:c r="H18" s="29" t="str">
        <x:v>before;new;settled</x:v>
      </x:c>
      <x:c r="I18" s="29" t="str">
        <x:v>bakersfield:src:17610;bakersfield:src:17611;bakersfield:src:17862</x:v>
      </x:c>
      <x:c r="J18" s="31" t="d">
        <x:v>2026-10-24T00:00:00.000Z</x:v>
      </x:c>
      <x:c r="K18" s="35" t="n">
        <x:v>10</x:v>
      </x:c>
      <x:c r="L18" s="29" t="str">
        <x:v>Hayır</x:v>
      </x:c>
      <x:c r="M18" s="29" t="str">
        <x:v>İnceleme</x:v>
      </x:c>
      <x:c r="N18" s="29" t="str">
        <x:v>bakersfield:resmi</x:v>
      </x:c>
      <x:c r="O18" s="29" t="str">
        <x:v>DMV AB 60 belge listesinden uygun kanıtları seç
Bilgi sınavı ve gerekiyorsa ek belge incelemesini tamamla
Sürüş sınavını ayrı randevuyla planla</x:v>
      </x:c>
      <x:c r="P18" s="29" t="str">
        <x:v>Kimlik kanıtı
Kaliforniya ikamet kanıtı</x:v>
      </x:c>
      <x:c r="Q18" s="29" t="str">
        <x:v>Önce kimlik/ikamet ve bilgi sınavı, ardından uygun olduğunda sürüş sınavı. Ek kimlik incelemesi veya randevu beklemesi için tek süre yoktur.</x:v>
      </x:c>
      <x:c r="R18" s="29" t="str">
        <x:v>Standart Class C başvuru ücreti 46 USD; gerekiyorsa sürüş sınavı tekrarı 9 USD. Ücretler 24 Ekim 2026 DMV tarifesidir.</x:v>
      </x:c>
      <x:c r="S18" s="29"/>
      <x:c r="T18" s="29"/>
    </x:row>
    <x:row r="19" ht="110" customHeight="1">
      <x:c r="A19" s="29" t="str">
        <x:v>bakersfield:uscis-adres</x:v>
      </x:c>
      <x:c r="B19" s="29" t="str">
        <x:v>bakersfield</x:v>
      </x:c>
      <x:c r="C19" s="29" t="str">
        <x:v>uscis-adres</x:v>
      </x:c>
      <x:c r="D19" s="29" t="str">
        <x:v>Taşınırken USCIS adresini güncelle</x:v>
      </x:c>
      <x:c r="E19" s="29" t="str">
        <x:v>Resmî işlemler</x:v>
      </x:c>
      <x:c r="F19" s="29" t="str">
        <x:v>USCIS adres bildirimi, USPS posta yönlendirmesinden ayrı bir işlemdir. Bildirim yükümlülüğü bulunan yabancı uyruklu kişiler için taşınmayı izleyen 10 günlük süre önemlidir; A ve G vizesi sahipleri ile vize muafiyeti ziyaretçileri belirtilen istisnalardandır. Bekleyen dosyaların yazışma adresini de yeni adrese bağla.</x:v>
      </x:c>
      <x:c r="G19" s="29" t="str">
        <x:v>Taşınırken USCIS adresini güncelle</x:v>
      </x:c>
      <x:c r="H19" s="29" t="str">
        <x:v>before;new;settled</x:v>
      </x:c>
      <x:c r="I19" s="29" t="str">
        <x:v>bakersfield:src:6361;bakersfield:src:6276</x:v>
      </x:c>
      <x:c r="J19" s="31" t="d">
        <x:v>2026-10-24T00:00:00.000Z</x:v>
      </x:c>
      <x:c r="K19" s="35" t="n">
        <x:v>11</x:v>
      </x:c>
      <x:c r="L19" s="29" t="str">
        <x:v>Hayır</x:v>
      </x:c>
      <x:c r="M19" s="29" t="str">
        <x:v>İnceleme</x:v>
      </x:c>
      <x:c r="N19" s="29" t="str">
        <x:v>bakersfield:resmi</x:v>
      </x:c>
      <x:c r="O19" s="29" t="str">
        <x:v>USCIS hesabında yeni adresi bildir
Bekleyen başvuru numaralarını güncellemeye dahil et
Onayı kaydet ve USPS işlemini ayrıca yap</x:v>
      </x:c>
      <x:c r="P19" s="29" t="str">
        <x:v>Yeni adres
USCIS dosya numaraları</x:v>
      </x:c>
      <x:c r="Q19" s="29" t="str">
        <x:v>Bildirim yükümlülüğüne tabiysen taşınmadan itibaren 10 gün içinde USCIS'ye bildir. A ve G vizesi sahipleri ile vize muafiyeti ziyaretçileri belirtilen istisnalardır.</x:v>
      </x:c>
      <x:c r="R19" s="29" t="str">
        <x:v>Adres güncellemesini USCIS'nin kendi hesap veya form kanalıyla yap; farklı başvuruların harçlarıyla karıştırma.</x:v>
      </x:c>
      <x:c r="S19" s="29"/>
      <x:c r="T19" s="29"/>
    </x:row>
    <x:row r="20" ht="110" customHeight="1">
      <x:c r="A20" s="29" t="str">
        <x:v>bakersfield:posta-yonlendirme</x:v>
      </x:c>
      <x:c r="B20" s="29" t="str">
        <x:v>bakersfield</x:v>
      </x:c>
      <x:c r="C20" s="29" t="str">
        <x:v>posta-yonlendirme</x:v>
      </x:c>
      <x:c r="D20" s="29" t="str">
        <x:v>USPS yönlendirmesi her kaydı değiştirmez</x:v>
      </x:c>
      <x:c r="E20" s="29" t="str">
        <x:v>Resmî işlemler</x:v>
      </x:c>
      <x:c r="F20" s="29" t="str">
        <x:v>USPS adres değişikliği, postanın yeni adrese yönlendirilmesi içindir. Banka, sigorta, okul, DMV ve USCIS kayıtlarını kendiliğinden değiştirmez. USPS özellikle bazı gönderi türlerine farklı kurallar uygular; önemli kurumlara doğrudan yeni adres bildirmek posta kaybını azaltır.</x:v>
      </x:c>
      <x:c r="G20" s="29" t="str">
        <x:v>USPS yönlendirmesi her kaydı değiştirmez</x:v>
      </x:c>
      <x:c r="H20" s="29" t="str">
        <x:v>before;new;settled</x:v>
      </x:c>
      <x:c r="I20" s="29" t="str">
        <x:v>bakersfield:src:6361;bakersfield:src:6276</x:v>
      </x:c>
      <x:c r="J20" s="31" t="d">
        <x:v>2026-10-24T00:00:00.000Z</x:v>
      </x:c>
      <x:c r="K20" s="35" t="n">
        <x:v>12</x:v>
      </x:c>
      <x:c r="L20" s="29" t="str">
        <x:v>Hayır</x:v>
      </x:c>
      <x:c r="M20" s="29" t="str">
        <x:v>İnceleme</x:v>
      </x:c>
      <x:c r="N20" s="29" t="str">
        <x:v>bakersfield:resmi</x:v>
      </x:c>
      <x:c r="O20" s="29" t="str">
        <x:v>USPS'nin resmî taşınma kanalını kullan
Banka, sigorta ve kamu kurumlarını ayrı güncelle
Eski adrese beklenen önemli gönderileri listele</x:v>
      </x:c>
      <x:c r="P20" s="29" t="str">
        <x:v>Eski ve yeni adres
Taşınma tarihi</x:v>
      </x:c>
      <x:c r="Q20" s="29" t="str">
        <x:v>Talebin ve kimlik doğrulamasının onayından sonra yönlendirmenin başlaması için en az 7–10 iş günü planla. USCIS ve diğer kurum adreslerini ayrıca değiştir.</x:v>
      </x:c>
      <x:c r="R20" s="29" t="str">
        <x:v>USPS çevrim içi adres değişikliğinde 1,25 USD kimlik doğrulama ücreti gösteriyor. Bu, ücretli üçüncü taraf taşınma paketlerinden farklıdır.</x:v>
      </x:c>
      <x:c r="S20" s="29"/>
      <x:c r="T20" s="29"/>
    </x:row>
    <x:row r="21" ht="96" customHeight="1">
      <x:c r="A21" s="29" t="str">
        <x:v>bakersfield:dmv-adres</x:v>
      </x:c>
      <x:c r="B21" s="29" t="str">
        <x:v>bakersfield</x:v>
      </x:c>
      <x:c r="C21" s="29" t="str">
        <x:v>dmv-adres</x:v>
      </x:c>
      <x:c r="D21" s="29" t="str">
        <x:v>DMV adresini ayrıca değiştir</x:v>
      </x:c>
      <x:c r="E21" s="29" t="str">
        <x:v>Resmî işlemler</x:v>
      </x:c>
      <x:c r="F21" s="29" t="str">
        <x:v>Kaliforniya'da taşındığında DMV'ye yeni adresini 10 gün içinde bildirmen gerekir. Sürücü veya kimlik kaydıyla araç kayıtlarını birlikte ele al. İşlemi çevrim içi ya da DMV'nin izin verdiği posta yöntemiyle yapabilirsin. Adresin güncellenmesi otomatik yeni basılı kart göndermez; replacement kart ayrı ve ücretli işlemdir.</x:v>
      </x:c>
      <x:c r="G21" s="29" t="str">
        <x:v>DMV adresini ayrıca değiştir</x:v>
      </x:c>
      <x:c r="H21" s="29" t="str">
        <x:v>before;new;settled</x:v>
      </x:c>
      <x:c r="I21" s="29" t="str">
        <x:v>bakersfield:src:17864;bakersfield:src:6918</x:v>
      </x:c>
      <x:c r="J21" s="31" t="d">
        <x:v>2026-10-24T00:00:00.000Z</x:v>
      </x:c>
      <x:c r="K21" s="35" t="n">
        <x:v>13</x:v>
      </x:c>
      <x:c r="L21" s="29" t="str">
        <x:v>Hayır</x:v>
      </x:c>
      <x:c r="M21" s="29" t="str">
        <x:v>İnceleme</x:v>
      </x:c>
      <x:c r="N21" s="29" t="str">
        <x:v>bakersfield:resmi</x:v>
      </x:c>
      <x:c r="O21" s="29" t="str">
        <x:v>DMV adres hizmetinde uygun kayıtlarını seç
Yeni adres ve taşınma bilgilerini gir
İşlem onayını sakla ve gerekiyorsa kart yenilemesini ayrı başlat</x:v>
      </x:c>
      <x:c r="P21" s="29" t="str">
        <x:v>DMV kayıt bilgileri
Yeni adres</x:v>
      </x:c>
      <x:c r="Q21" s="29" t="str">
        <x:v>Taşınmadan sonraki 10 gün içinde DMV'ye yeni adresi bildir.</x:v>
      </x:c>
      <x:c r="R21" s="29" t="str">
        <x:v>Adres kaydı değişikliği otomatik yeni kart gönderimi değildir; yeni kart istersen ayrı replacement ücreti uygulanır.</x:v>
      </x:c>
      <x:c r="S21" s="29"/>
      <x:c r="T21" s="29"/>
    </x:row>
    <x:row r="22" ht="96" customHeight="1">
      <x:c r="A22" s="29" t="str">
        <x:v>bakersfield:tercume</x:v>
      </x:c>
      <x:c r="B22" s="29" t="str">
        <x:v>bakersfield</x:v>
      </x:c>
      <x:c r="C22" s="29" t="str">
        <x:v>tercume</x:v>
      </x:c>
      <x:c r="D22" s="29" t="str">
        <x:v>Belge tercümesini alıcı kuruma göre yaptır</x:v>
      </x:c>
      <x:c r="E22" s="29" t="str">
        <x:v>Resmî işlemler</x:v>
      </x:c>
      <x:c r="F22" s="29" t="str">
        <x:v>Türkçe bir belgenin ABD'deki her işlem için aynı tercüme biçimiyle kabul edileceği varsayılamaz. USCIS, yabancı dildeki belgeler için tam İngilizce çeviri ve çevirmenin yeterlilik ile doğruluk beyanını ister. Okul, mahkeme ve DMV kendi belge kurallarını uygulayabilir.</x:v>
      </x:c>
      <x:c r="G22" s="29" t="str">
        <x:v>Belge tercümesini alıcı kuruma göre yaptır</x:v>
      </x:c>
      <x:c r="H22" s="29" t="str">
        <x:v>before;new;settled</x:v>
      </x:c>
      <x:c r="I22" s="29" t="str">
        <x:v>bakersfield:src:17654;bakersfield:src:17606</x:v>
      </x:c>
      <x:c r="J22" s="31" t="d">
        <x:v>2026-10-24T00:00:00.000Z</x:v>
      </x:c>
      <x:c r="K22" s="35" t="n">
        <x:v>14</x:v>
      </x:c>
      <x:c r="L22" s="29" t="str">
        <x:v>Hayır</x:v>
      </x:c>
      <x:c r="M22" s="29" t="str">
        <x:v>İnceleme</x:v>
      </x:c>
      <x:c r="N22" s="29" t="str">
        <x:v>bakersfield:resmi</x:v>
      </x:c>
      <x:c r="O22" s="29" t="str">
        <x:v>Belgeyi isteyen kurumun çeviri koşulunu kaydet
Belgenin tamamını ve eklerini çeviriye dahil et
Asıl belge ile çeviri ve beyanı birlikte dosyala</x:v>
      </x:c>
      <x:c r="P22" s="29" t="str">
        <x:v>Asıl belge
Tam tercüme
İstenen beyan</x:v>
      </x:c>
      <x:c r="Q22" s="29" t="str">
        <x:v>Tercümeyi belgeyi sunmadan önce tamamla; tam İngilizce metin ile çevirmenin yeterlilik ve doğruluk beyanını birlikte dosyala.</x:v>
      </x:c>
      <x:c r="R22" s="29" t="str">
        <x:v>Çevirmen veya kurumun tercüme bedeli belgeye ve hizmete bağlıdır; USCIS adına tek bir tercüme tarifesi yoktur.</x:v>
      </x:c>
      <x:c r="S22" s="29"/>
      <x:c r="T22" s="29"/>
    </x:row>
    <x:row r="23" ht="124" customHeight="1">
      <x:c r="A23" s="29" t="str">
        <x:v>bakersfield:apostil</x:v>
      </x:c>
      <x:c r="B23" s="29" t="str">
        <x:v>bakersfield</x:v>
      </x:c>
      <x:c r="C23" s="29" t="str">
        <x:v>apostil</x:v>
      </x:c>
      <x:c r="D23" s="29" t="str">
        <x:v>Apostil ile tercüme aynı işlem değildir</x:v>
      </x:c>
      <x:c r="E23" s="29" t="str">
        <x:v>Resmî işlemler</x:v>
      </x:c>
      <x:c r="F23" s="29" t="str">
        <x:v>Apostil, belgenin içeriğini doğrulayan bir çeviri değildir. Kaliforniya kaynaklı uygun kamu belgelerinin yurtdışında kullanımı için California Secretary of State işlemi gerekebilir. Türkiye'de düzenlenen belgeye Kaliforniya makamından apostil alınmaz; düzenleyen ülkenin yetkili makamı ve alıcı kurumun koşulu birlikte dikkate alınır.</x:v>
      </x:c>
      <x:c r="G23" s="29" t="str">
        <x:v>Apostil ile tercüme aynı işlem değildir</x:v>
      </x:c>
      <x:c r="H23" s="29" t="str">
        <x:v>before;new;settled</x:v>
      </x:c>
      <x:c r="I23" s="29" t="str">
        <x:v>bakersfield:src:113;bakersfield:src:6284;bakersfield:src:17865</x:v>
      </x:c>
      <x:c r="J23" s="31" t="d">
        <x:v>2026-10-24T00:00:00.000Z</x:v>
      </x:c>
      <x:c r="K23" s="35" t="n">
        <x:v>15</x:v>
      </x:c>
      <x:c r="L23" s="29" t="str">
        <x:v>Hayır</x:v>
      </x:c>
      <x:c r="M23" s="29" t="str">
        <x:v>İnceleme</x:v>
      </x:c>
      <x:c r="N23" s="29" t="str">
        <x:v>bakersfield:resmi</x:v>
      </x:c>
      <x:c r="O23" s="29" t="str">
        <x:v>Belgenin hangi ülkede düzenlendiğini belirle
Alıcı kurumdan apostil gerekip gerekmediğini öğren
Uygun tasdik ve tercüme adımlarını ayrı planla</x:v>
      </x:c>
      <x:c r="P23" s="29" t="str">
        <x:v>İşleme uygun kamu belgesi
Alıcı kurum koşulu</x:v>
      </x:c>
      <x:c r="Q23" s="29" t="str">
        <x:v>Önce alıcı ülke ve kurumun tasdik gereğini belirle. Posta ile ve yüz yüze işlem sürelerini aynı kabul etme; teslim yöntemini buna göre seç.</x:v>
      </x:c>
      <x:c r="R23" s="29" t="str">
        <x:v>California Secretary of State apostil ücreti belge başına 20 USD; Sacramento yüz yüze formunda her farklı kamu görevlisi imzası için 6 USD özel işlem bedeli ayrıca yer alır.</x:v>
      </x:c>
      <x:c r="S23" s="29"/>
      <x:c r="T23" s="29"/>
    </x:row>
    <x:row r="24" ht="96" customHeight="1">
      <x:c r="A24" s="29" t="str">
        <x:v>bakersfield:bakersfield-yetki-alani</x:v>
      </x:c>
      <x:c r="B24" s="29" t="str">
        <x:v>bakersfield</x:v>
      </x:c>
      <x:c r="C24" s="29" t="str">
        <x:v>bakersfield-yetki-alani</x:v>
      </x:c>
      <x:c r="D24" s="29" t="str">
        <x:v>Posta adresi belediye sınırı demek değildir</x:v>
      </x:c>
      <x:c r="E24" s="29" t="str">
        <x:v>Resmî işlemler</x:v>
      </x:c>
      <x:c r="F24" s="29" t="str">
        <x:v>Bakersfield yazan bir posta adresi, mutlaka City of Bakersfield sınırında bulunmayabilir. İlçe yönetimindeki alanlarda bazı hizmetler Kern County veya ayrı bir özel bölge tarafından yürütülür. Çöp, hayvan ruhsatı, park ve izin işlemlerinde yalnız posta adına dayanmak yerine adrese bağlı yetki alanını kullan.</x:v>
      </x:c>
      <x:c r="G24" s="29" t="str">
        <x:v>Posta adresi belediye sınırı demek değildir</x:v>
      </x:c>
      <x:c r="H24" s="29" t="str">
        <x:v>before;new;settled</x:v>
      </x:c>
      <x:c r="I24" s="29" t="str">
        <x:v>bakersfield:src:17603;bakersfield:src:17604</x:v>
      </x:c>
      <x:c r="J24" s="31" t="d">
        <x:v>2026-10-24T00:00:00.000Z</x:v>
      </x:c>
      <x:c r="K24" s="35" t="n">
        <x:v>16</x:v>
      </x:c>
      <x:c r="L24" s="29" t="str">
        <x:v>Hayır</x:v>
      </x:c>
      <x:c r="M24" s="29" t="str">
        <x:v>İnceleme</x:v>
      </x:c>
      <x:c r="N24" s="29" t="str">
        <x:v>bakersfield:resmi</x:v>
      </x:c>
      <x:c r="O24" s="29" t="str">
        <x:v>Belediyenin GIS haritasında adresini bul
Şehir sınırı ve ilgili hizmet bölgesini kaydet
Başvuruyu o adresin yetkili kurumuna yönelt</x:v>
      </x:c>
      <x:c r="P24" s="29" t="str">
        <x:v>Tam sokak adresi</x:v>
      </x:c>
      <x:c r="Q24" s="29" t="str">
        <x:v>Kira imzasından ve yerel hizmet başvurusundan önce sokak adresinin yetki alanını belirle.</x:v>
      </x:c>
      <x:c r="R24" s="29" t="str">
        <x:v>Yetki alanını haritadan belirlemek hizmet aboneliği değildir; sonraki hizmet bedeli ilgili kurum ve adrese bağlıdır.</x:v>
      </x:c>
      <x:c r="S24" s="29"/>
      <x:c r="T24" s="29"/>
    </x:row>
    <x:row r="25" ht="96" customHeight="1">
      <x:c r="A25" s="29" t="str">
        <x:v>bakersfield:basvuru-takibi</x:v>
      </x:c>
      <x:c r="B25" s="29" t="str">
        <x:v>bakersfield</x:v>
      </x:c>
      <x:c r="C25" s="29" t="str">
        <x:v>basvuru-takibi</x:v>
      </x:c>
      <x:c r="D25" s="29" t="str">
        <x:v>Kurum randevularını ve dosya numaralarını ayır</x:v>
      </x:c>
      <x:c r="E25" s="29" t="str">
        <x:v>Resmî işlemler</x:v>
      </x:c>
      <x:c r="F25" s="29" t="str">
        <x:v>USCIS, SSA, DMV ve konsolosluk aynı randevu sistemini kullanmaz. Her işlem için resmî adresi, başvuru numarasını, teslim edilen belgeleri ve yanıt tarihini tek kayıt altında tutmak tekrar başvuruyu ve yanlış yere ödeme yapmayı önler. Bir işlemin randevusu diğer kurumda öncelik sağlamaz.</x:v>
      </x:c>
      <x:c r="G25" s="29" t="str">
        <x:v>Kurum randevularını ve dosya numaralarını ayır</x:v>
      </x:c>
      <x:c r="H25" s="29" t="str">
        <x:v>before;new;settled</x:v>
      </x:c>
      <x:c r="I25" s="29" t="str">
        <x:v>bakersfield:src:6545;bakersfield:src:17610;bakersfield:src:113</x:v>
      </x:c>
      <x:c r="J25" s="31" t="d">
        <x:v>2026-10-24T00:00:00.000Z</x:v>
      </x:c>
      <x:c r="K25" s="35" t="n">
        <x:v>17</x:v>
      </x:c>
      <x:c r="L25" s="29" t="str">
        <x:v>Hayır</x:v>
      </x:c>
      <x:c r="M25" s="29" t="str">
        <x:v>İnceleme</x:v>
      </x:c>
      <x:c r="N25" s="29" t="str">
        <x:v>bakersfield:resmi</x:v>
      </x:c>
      <x:c r="O25" s="29" t="str">
        <x:v>Kurum ve işlem adıyla ayrı kayıt aç
Randevu onayı ile ödeme makbuzunu sakla
Gelen yazıyı dosya numarasıyla eşleştir</x:v>
      </x:c>
      <x:c r="P25" s="29" t="str">
        <x:v>Başvuru veya randevu numarası</x:v>
      </x:c>
      <x:c r="Q25" s="29" t="str">
        <x:v>Her başvuruyu gönderdiğin gün kaydet; kurumdan gelen gerçek süre ve randevu tarihini ilgili dosyaya işle.</x:v>
      </x:c>
      <x:c r="R25" s="29" t="str">
        <x:v>Takip kaydı tutmanın harcı yoktur; kurumun başvuru harcı ve üçüncü taraf hizmet bedelini ayrı kaydet.</x:v>
      </x:c>
      <x:c r="S25" s="29"/>
      <x:c r="T25" s="29"/>
    </x:row>
    <x:row r="26" ht="124" customHeight="1">
      <x:c r="A26" s="29" t="str">
        <x:v>bakersfield:ssn-ad-duzeltme</x:v>
      </x:c>
      <x:c r="B26" s="29" t="str">
        <x:v>bakersfield</x:v>
      </x:c>
      <x:c r="C26" s="29" t="str">
        <x:v>ssn-ad-duzeltme</x:v>
      </x:c>
      <x:c r="D26" s="29" t="str">
        <x:v>Adın değiştiğinde SSN kaydını düzelt</x:v>
      </x:c>
      <x:c r="E26" s="29" t="str">
        <x:v>Resmî işlemler</x:v>
      </x:c>
      <x:c r="F26" s="29" t="str">
        <x:v>Evlilik, boşanma veya mahkeme kararıyla değişen ad, Social Security kaydında ayrıca güncellenir. Yeni kartta aynı kişinin doğru yasal adı yer alır; bu işlem yeni bir kimlik numarası edinmek için kullanılmaz. SSA, kimlik ve ad değişikliğinin dayanağını ister; duruma göre vatandaşlık veya göçmenlik belgesi de gerekir. Online uygunluk değerlendirmesi yüz yüze randevu gerekip gerekmediğini gösterir.</x:v>
      </x:c>
      <x:c r="G26" s="29" t="str">
        <x:v>Adın değiştiğinde SSN kaydını düzelt</x:v>
      </x:c>
      <x:c r="H26" s="29" t="str">
        <x:v>before;new;settled</x:v>
      </x:c>
      <x:c r="I26" s="29" t="str">
        <x:v>bakersfield:src:6281;bakersfield:src:17739;bakersfield:src:17607</x:v>
      </x:c>
      <x:c r="J26" s="31" t="d">
        <x:v>2026-10-24T00:00:00.000Z</x:v>
      </x:c>
      <x:c r="K26" s="35" t="n">
        <x:v>18</x:v>
      </x:c>
      <x:c r="L26" s="29" t="str">
        <x:v>Hayır</x:v>
      </x:c>
      <x:c r="M26" s="29" t="str">
        <x:v>İnceleme</x:v>
      </x:c>
      <x:c r="N26" s="29" t="str">
        <x:v>bakersfield:resmi</x:v>
      </x:c>
      <x:c r="O26" s="29" t="str">
        <x:v>SSA'nın düzeltilmiş kart akışını aç
Kimlik ve ad değişikliği belgesini hazırla
Gerekliyse SSA randevusunu oluştur</x:v>
      </x:c>
      <x:c r="P26" s="29" t="str">
        <x:v>Kimlik
Ad değişikliğini kanıtlayan belge</x:v>
      </x:c>
      <x:c r="Q26" s="29" t="str">
        <x:v>Yasal ad değişikliğinden sonra SSA kaydını güncelle; gerekli belge doğrulaması tamamlanmadan posta teslim tarihini kesin kabul etme.</x:v>
      </x:c>
      <x:c r="R26" s="29" t="str">
        <x:v>SSA kart hizmeti ücretsizdir; ad değişikliğinin mahkeme veya belge temin maliyeti ayrı olabilir.</x:v>
      </x:c>
      <x:c r="S26" s="29"/>
      <x:c r="T26" s="29"/>
    </x:row>
    <x:row r="27" ht="110" customHeight="1">
      <x:c r="A27" s="29" t="str">
        <x:v>bakersfield:belge-takvimi</x:v>
      </x:c>
      <x:c r="B27" s="29" t="str">
        <x:v>bakersfield</x:v>
      </x:c>
      <x:c r="C27" s="29" t="str">
        <x:v>belge-takvimi</x:v>
      </x:c>
      <x:c r="D27" s="29" t="str">
        <x:v>Belge tarihleri için tek bir takvim kur</x:v>
      </x:c>
      <x:c r="E27" s="29" t="str">
        <x:v>Resmî işlemler</x:v>
      </x:c>
      <x:c r="F27" s="29" t="str">
        <x:v>Pasaport, vize, I-94, çalışma belgesi, sürücü belgesi ve sigorta aynı tarihte sona ermez. Tarihleri aynı başlık altında toplamak, farklı işlemlerin birbirinin yerine geçtiği yanılgısını yaratabilir. Takvimde belgenin sahibi, işlem türü ve yetkili kurum ayrı görünmeli; uzatma başvurusunun etkisi de ilgili statüye göre ele alınmalıdır.</x:v>
      </x:c>
      <x:c r="G27" s="29" t="str">
        <x:v>Belge tarihleri için tek bir takvim kur</x:v>
      </x:c>
      <x:c r="H27" s="29" t="str">
        <x:v>before;new;settled</x:v>
      </x:c>
      <x:c r="I27" s="29" t="str">
        <x:v>bakersfield:src:17610;bakersfield:src:6275;bakersfield:src:6278</x:v>
      </x:c>
      <x:c r="J27" s="31" t="d">
        <x:v>2026-10-24T00:00:00.000Z</x:v>
      </x:c>
      <x:c r="K27" s="35" t="n">
        <x:v>19</x:v>
      </x:c>
      <x:c r="L27" s="29" t="str">
        <x:v>Hayır</x:v>
      </x:c>
      <x:c r="M27" s="29" t="str">
        <x:v>İnceleme</x:v>
      </x:c>
      <x:c r="N27" s="29" t="str">
        <x:v>bakersfield:resmi</x:v>
      </x:c>
      <x:c r="O27" s="29" t="str">
        <x:v>Belge sahibi ve bitiş tarihlerini ayrı satırlara yaz
İşlem hazırlığı için kişisel hatırlatıcılar ekle
Uzatma veya yenileme kararını ilgili kurumun koşuluyla eşleştir</x:v>
      </x:c>
      <x:c r="P27" s="29" t="str">
        <x:v>Kişi bazında belge listesi</x:v>
      </x:c>
      <x:c r="Q27" s="29" t="str">
        <x:v>Her kişinin belge bitişi ve işlem son tarihini ayrı kaydet; uzatma başvurusunun otomatik hak sağladığını varsayma.</x:v>
      </x:c>
      <x:c r="R27" s="29" t="str">
        <x:v>Kişisel takvim ücretsiz tutulabilir; yenileme, başvuru ve belge harçlarını ilgili işlem altında ayrı planla.</x:v>
      </x:c>
      <x:c r="S27" s="29"/>
      <x:c r="T27" s="29"/>
    </x:row>
    <x:row r="28" ht="110" customHeight="1">
      <x:c r="A28" s="29" t="str">
        <x:v>bakersfield:ev-bulma</x:v>
      </x:c>
      <x:c r="B28" s="29" t="str">
        <x:v>bakersfield</x:v>
      </x:c>
      <x:c r="C28" s="29" t="str">
        <x:v>ev-bulma</x:v>
      </x:c>
      <x:c r="D28" s="29" t="str">
        <x:v>Evi yalnız kira bedeliyle seçme</x:v>
      </x:c>
      <x:c r="E28" s="29" t="str">
        <x:v>Ev ve yerleşim</x:v>
      </x:c>
      <x:c r="F28" s="29" t="str">
        <x:v>Bakersfield'da ev karşılaştırırken kira dışında iş yolu, okul bölgesi, yazın soğutma ihtiyacı ve adrese hizmet veren kurumları birlikte düşün. Aynı posta kodundaki iki ev farklı okul veya hizmet sınırında kalabilir. Kişisel bütçende kira, abonelik, ulaşım ve taşınma giderlerini ayrı göster.</x:v>
      </x:c>
      <x:c r="G28" s="29" t="str">
        <x:v>Evi yalnız kira bedeliyle seçme</x:v>
      </x:c>
      <x:c r="H28" s="29" t="str">
        <x:v>before;new;settled</x:v>
      </x:c>
      <x:c r="I28" s="29" t="str">
        <x:v>bakersfield:src:17618;bakersfield:src:17658;bakersfield:src:17603</x:v>
      </x:c>
      <x:c r="J28" s="31" t="d">
        <x:v>2026-10-24T00:00:00.000Z</x:v>
      </x:c>
      <x:c r="K28" s="35" t="n">
        <x:v>20</x:v>
      </x:c>
      <x:c r="L28" s="29" t="str">
        <x:v>Evet</x:v>
      </x:c>
      <x:c r="M28" s="29" t="str">
        <x:v>İnceleme</x:v>
      </x:c>
      <x:c r="N28" s="29" t="str">
        <x:v>bakersfield:ev</x:v>
      </x:c>
      <x:c r="O28" s="29" t="str">
        <x:v>Tam adresi şehir ve okul haritalarında bul
İş ve okul yolunu kendi saatlerinde planla
İlana dahil olmayan giderleri yazılı sor</x:v>
      </x:c>
      <x:c r="P28" s="29" t="str">
        <x:v>Tam adres
Aylık bütçe taslağı</x:v>
      </x:c>
      <x:c r="Q28" s="29" t="str">
        <x:v>Sözleşme imzalamadan önce adresin iş ve okul bağlantılarını incele; yaz ve kış enerji giderlerini birlikte düşün.</x:v>
      </x:c>
      <x:c r="R28" s="29" t="str">
        <x:v>Kira, depozito, başvuru incelemesi, abonelik, sigorta ve ulaşımı ayrı kalemlerde karşılaştır; tek bir şehir ortalamasını kişisel bütçe yerine kullanma.</x:v>
      </x:c>
      <x:c r="S28" s="29"/>
      <x:c r="T28" s="29"/>
    </x:row>
    <x:row r="29" ht="110" customHeight="1">
      <x:c r="A29" s="29" t="str">
        <x:v>bakersfield:kiralik-ilan</x:v>
      </x:c>
      <x:c r="B29" s="29" t="str">
        <x:v>bakersfield</x:v>
      </x:c>
      <x:c r="C29" s="29" t="str">
        <x:v>kiralik-ilan</x:v>
      </x:c>
      <x:c r="D29" s="29" t="str">
        <x:v>Kiralık ilanın yetkilisini doğrula</x:v>
      </x:c>
      <x:c r="E29" s="29" t="str">
        <x:v>Ev ve yerleşim</x:v>
      </x:c>
      <x:c r="F29" s="29" t="str">
        <x:v>İlanın güzel fotoğrafları, kiraya verenin o konut üzerinde yetkili olduğunu kanıtlamaz. Evi ve sözleşmenin tarafını doğrulamadan para göndermek risklidir. Emlak aracısı kullanıyorsan Kaliforniya ruhsat kaydından unvan ve ruhsatı karşılaştır; yalnız mesajlaşma hesabına veya ödeme talimatına güvenme.</x:v>
      </x:c>
      <x:c r="G29" s="29" t="str">
        <x:v>Kiralık ilanın yetkilisini doğrula</x:v>
      </x:c>
      <x:c r="H29" s="29" t="str">
        <x:v>before;new;settled</x:v>
      </x:c>
      <x:c r="I29" s="29" t="str">
        <x:v>bakersfield:src:17618;bakersfield:src:17908</x:v>
      </x:c>
      <x:c r="J29" s="31" t="d">
        <x:v>2026-10-24T00:00:00.000Z</x:v>
      </x:c>
      <x:c r="K29" s="35" t="n">
        <x:v>21</x:v>
      </x:c>
      <x:c r="L29" s="29" t="str">
        <x:v>Hayır</x:v>
      </x:c>
      <x:c r="M29" s="29" t="str">
        <x:v>İnceleme</x:v>
      </x:c>
      <x:c r="N29" s="29" t="str">
        <x:v>bakersfield:ev</x:v>
      </x:c>
      <x:c r="O29" s="29" t="str">
        <x:v>Evi ve kiraya verme yetkisini doğrula
Varsa aracının DRE ruhsatını karşılaştır
Ödeme alıcısını imzalanacak sözleşmeyle eşleştir</x:v>
      </x:c>
      <x:c r="P29" s="29" t="str">
        <x:v>İlan kaydı
Taraf ve ruhsat bilgileri</x:v>
      </x:c>
      <x:c r="Q29" s="29" t="str">
        <x:v>Başvuru veya depozito ödemesinden önce doğrulamayı bitir; acele ödeme baskısıyla kontrol adımlarını atlama.</x:v>
      </x:c>
      <x:c r="R29" s="29" t="str">
        <x:v>Evi, kiraya verme yetkisini ve ödeme alıcısını doğrulamadan kapora gönderme. Hediye kartı veya kripto para talebi ciddi dolandırıcılık işaretidir.</x:v>
      </x:c>
      <x:c r="S29" s="29"/>
      <x:c r="T29" s="29"/>
    </x:row>
    <x:row r="30" ht="110" customHeight="1">
      <x:c r="A30" s="29" t="str">
        <x:v>bakersfield:kira-basvuru</x:v>
      </x:c>
      <x:c r="B30" s="29" t="str">
        <x:v>bakersfield</x:v>
      </x:c>
      <x:c r="C30" s="29" t="str">
        <x:v>kira-basvuru</x:v>
      </x:c>
      <x:c r="D30" s="29" t="str">
        <x:v>Kira başvuru ölçütlerini baştan al</x:v>
      </x:c>
      <x:c r="E30" s="29" t="str">
        <x:v>Ev ve yerleşim</x:v>
      </x:c>
      <x:c r="F30" s="29" t="str">
        <x:v>Gelir, kredi geçmişi ve önceki kiracılık belgeleri için başvurulan konutun yazılı değerlendirme ölçütlerini iste. Yeni taşınmış biri olarak ABD kredi geçmişinin kısa olması durumunda hangi alternatif belgelerin kabul edildiğini baştan konuş. Ekranlama ücreti, depozito ve aylık kira birbirinden farklı kalemlerdir.</x:v>
      </x:c>
      <x:c r="G30" s="29" t="str">
        <x:v>Kira başvuru ölçütlerini baştan al</x:v>
      </x:c>
      <x:c r="H30" s="29" t="str">
        <x:v>before;new;settled</x:v>
      </x:c>
      <x:c r="I30" s="29" t="str">
        <x:v>bakersfield:src:17618;bakersfield:src:17685</x:v>
      </x:c>
      <x:c r="J30" s="31" t="d">
        <x:v>2026-10-24T00:00:00.000Z</x:v>
      </x:c>
      <x:c r="K30" s="35" t="n">
        <x:v>22</x:v>
      </x:c>
      <x:c r="L30" s="29" t="str">
        <x:v>Hayır</x:v>
      </x:c>
      <x:c r="M30" s="29" t="str">
        <x:v>İnceleme</x:v>
      </x:c>
      <x:c r="N30" s="29" t="str">
        <x:v>bakersfield:ev</x:v>
      </x:c>
      <x:c r="O30" s="29" t="str">
        <x:v>Yazılı başvuru ölçütlerini al
Kabul edilen gelir ve referans belgelerini hazırla
Ücretin hangi incelemeye karşılık geldiğini kaydet</x:v>
      </x:c>
      <x:c r="P30" s="29" t="str">
        <x:v>Başvuru formu
Kabul edilen gelir kanıtları</x:v>
      </x:c>
      <x:c r="Q30" s="29" t="str">
        <x:v>Belge göndermeden önce yazılı değerlendirme ölçütünü al. Ücret ödediysen ev sahibinin aldığı kredi raporunun kopyası 7 gün içinde sana verilmelidir.</x:v>
      </x:c>
      <x:c r="R30" s="29" t="str">
        <x:v>Başvuru inceleme ücreti, aylık kira ve iade edilebilir güvence depozitosunu ayrı iste.</x:v>
      </x:c>
      <x:c r="S30" s="29"/>
      <x:c r="T30" s="29"/>
    </x:row>
    <x:row r="31" ht="124" customHeight="1">
      <x:c r="A31" s="29" t="str">
        <x:v>bakersfield:basvuru-ucreti</x:v>
      </x:c>
      <x:c r="B31" s="29" t="str">
        <x:v>bakersfield</x:v>
      </x:c>
      <x:c r="C31" s="29" t="str">
        <x:v>basvuru-ucreti</x:v>
      </x:c>
      <x:c r="D31" s="29" t="str">
        <x:v>Başvuru ücretinin iade koşulunu öğren</x:v>
      </x:c>
      <x:c r="E31" s="29" t="str">
        <x:v>Ev ve yerleşim</x:v>
      </x:c>
      <x:c r="F31" s="29" t="str">
        <x:v>Kaliforniya'da başvuru ekranlama ücretinin alınma ve iade koşulları yasayla sınırlandırılır. Tek bir “başvuru ücreti hiçbir zaman iade edilmez” kuralı yoktur. İzlenen değerlendirme yöntemi, başvurunun gerçekten incelenip incelenmediği ve kullanılmayan giderler sonucu etkiler. Yıllık parasal sınırı eski yıl tutarıyla karıştırma.</x:v>
      </x:c>
      <x:c r="G31" s="29" t="str">
        <x:v>Başvuru ücretinin iade koşulunu öğren</x:v>
      </x:c>
      <x:c r="H31" s="29" t="str">
        <x:v>before;new;settled</x:v>
      </x:c>
      <x:c r="I31" s="29" t="str">
        <x:v>bakersfield:src:17618;bakersfield:src:17685</x:v>
      </x:c>
      <x:c r="J31" s="31" t="d">
        <x:v>2026-10-24T00:00:00.000Z</x:v>
      </x:c>
      <x:c r="K31" s="35" t="n">
        <x:v>23</x:v>
      </x:c>
      <x:c r="L31" s="29" t="str">
        <x:v>Hayır</x:v>
      </x:c>
      <x:c r="M31" s="29" t="str">
        <x:v>İnceleme</x:v>
      </x:c>
      <x:c r="N31" s="29" t="str">
        <x:v>bakersfield:ev</x:v>
      </x:c>
      <x:c r="O31" s="29" t="str">
        <x:v>Ücret ve değerlendirme yöntemini yazılı al
Kalemli makbuz ve kredi raporu kopyasını sakla
İnceleme yapılmadıysa iade durumunu yazılı sor</x:v>
      </x:c>
      <x:c r="P31" s="29" t="str">
        <x:v>Başvuru koşulları
Ücret makbuzu</x:v>
      </x:c>
      <x:c r="Q31" s="29" t="str">
        <x:v>Seçilmeyen herkese iade yönteminde süre, başka adayın seçilmesinden sonra 7 gün veya başvurudan sonra 30 günden erken olanıdır. Sıralı değerlendirme yönteminin iade koşulları farklıdır.</x:v>
      </x:c>
      <x:c r="R31" s="29" t="str">
        <x:v>Ücret gerçek inceleme gideri ve makul işlem zamanını aşamaz; yıllık CPI ile güncellenen yasal üst sınır ayrıca uygulanır. Kullanılmayan giderin iadesi ve kalemli makbuz hakkı vardır.</x:v>
      </x:c>
      <x:c r="S31" s="29"/>
      <x:c r="T31" s="29"/>
    </x:row>
    <x:row r="32" ht="96" customHeight="1">
      <x:c r="A32" s="29" t="str">
        <x:v>bakersfield:sozlesme</x:v>
      </x:c>
      <x:c r="B32" s="29" t="str">
        <x:v>bakersfield</x:v>
      </x:c>
      <x:c r="C32" s="29" t="str">
        <x:v>sozlesme</x:v>
      </x:c>
      <x:c r="D32" s="29" t="str">
        <x:v>Kira sözleşmesinin tüm eklerini oku</x:v>
      </x:c>
      <x:c r="E32" s="29" t="str">
        <x:v>Ev ve yerleşim</x:v>
      </x:c>
      <x:c r="F32" s="29" t="str">
        <x:v>Aylık kira kadar sözleşme süresi, ödeme günü, yenileme, otopark, evcil hayvan, ortak gider ve bakım maddeleri de günlük düzenini etkiler. İlan veya görüşmedeki vaatleri imzalı sözleşmede aramak, daha sonra neyin anlaşmaya dahil olduğunu göstermeyi kolaylaştırır. Boş bırakılmış ödeme veya taraf alanlarını imzalama.</x:v>
      </x:c>
      <x:c r="G32" s="29" t="str">
        <x:v>Kira sözleşmesinin tüm eklerini oku</x:v>
      </x:c>
      <x:c r="H32" s="29" t="str">
        <x:v>before;new;settled</x:v>
      </x:c>
      <x:c r="I32" s="29" t="str">
        <x:v>bakersfield:src:17617</x:v>
      </x:c>
      <x:c r="J32" s="31" t="d">
        <x:v>2026-10-24T00:00:00.000Z</x:v>
      </x:c>
      <x:c r="K32" s="35" t="n">
        <x:v>24</x:v>
      </x:c>
      <x:c r="L32" s="29" t="str">
        <x:v>Hayır</x:v>
      </x:c>
      <x:c r="M32" s="29" t="str">
        <x:v>İnceleme</x:v>
      </x:c>
      <x:c r="N32" s="29" t="str">
        <x:v>bakersfield:ev</x:v>
      </x:c>
      <x:c r="O32" s="29" t="str">
        <x:v>Ana metin ve ekleri birlikte oku
Sözlü vaatleri yazılı metne eklet
İmzalı nüsha ve tüm makbuzları sakla</x:v>
      </x:c>
      <x:c r="P32" s="29" t="str">
        <x:v>Taslak sözleşme
Ek kurallar</x:v>
      </x:c>
      <x:c r="Q32" s="29" t="str">
        <x:v>İmzadan önce ana metin ve ekleri bitir; imzalı nüsha, başlangıç ve bitiş tarihlerini aynı dosyada sakla.</x:v>
      </x:c>
      <x:c r="R32" s="29" t="str">
        <x:v>Toplam aylık ödeme yanında otopark, sigorta, hizmet ve gecikme kalemlerini ayrı gör; sözlü fiyatın tamamını sözleşmeyle eşleştir.</x:v>
      </x:c>
      <x:c r="S32" s="29"/>
      <x:c r="T32" s="29"/>
    </x:row>
    <x:row r="33" ht="152" customHeight="1">
      <x:c r="A33" s="29" t="str">
        <x:v>bakersfield:depozito-siniri</x:v>
      </x:c>
      <x:c r="B33" s="29" t="str">
        <x:v>bakersfield</x:v>
      </x:c>
      <x:c r="C33" s="29" t="str">
        <x:v>depozito-siniri</x:v>
      </x:c>
      <x:c r="D33" s="29" t="str">
        <x:v>Depozitonun genel sınırını ve istisnasını ayır</x:v>
      </x:c>
      <x:c r="E33" s="29" t="str">
        <x:v>Ev ve yerleşim</x:v>
      </x:c>
      <x:c r="F33" s="29" t="str">
        <x:v>Kaliforniya'da yeni konut kiralamalarında genel depozito üst sınırı bir aylık kiradır. Yasada tanımlanan belirli küçük ev sahipleri için iki aylık kira istisnası bulunur; bu istisna herkese uygulanmaz. “Evcil hayvan” veya “temizlik” adı kullanılması, güvence parasını otomatik olarak sınırın dışına çıkarmaz.</x:v>
      </x:c>
      <x:c r="G33" s="29" t="str">
        <x:v>Depozitonun genel sınırını ve istisnasını ayır</x:v>
      </x:c>
      <x:c r="H33" s="29" t="str">
        <x:v>before;new;settled</x:v>
      </x:c>
      <x:c r="I33" s="29" t="str">
        <x:v>bakersfield:src:17684</x:v>
      </x:c>
      <x:c r="J33" s="31" t="d">
        <x:v>2026-10-24T00:00:00.000Z</x:v>
      </x:c>
      <x:c r="K33" s="35" t="n">
        <x:v>25</x:v>
      </x:c>
      <x:c r="L33" s="29" t="str">
        <x:v>Hayır</x:v>
      </x:c>
      <x:c r="M33" s="29" t="str">
        <x:v>İnceleme</x:v>
      </x:c>
      <x:c r="N33" s="29" t="str">
        <x:v>bakersfield:ev</x:v>
      </x:c>
      <x:c r="O33" s="29" t="str">
        <x:v>İstenen tüm güvence kalemlerini topla
İstisna uygulanıyorsa dayanağını yazılı iste
Kira ile depozitoyu ayrı makbuzlarda göster</x:v>
      </x:c>
      <x:c r="P33" s="29" t="str">
        <x:v>Sözleşme
Depozito dökümü</x:v>
      </x:c>
      <x:c r="Q33" s="29" t="str">
        <x:v>1 Temmuz 2024 sonrası alınan yeni depozitolarda güncel sınırı değerlendir; eski, yasal olarak alınmış depozitoların geçmiş koşullarını ayrı ele al.</x:v>
      </x:c>
      <x:c r="R33" s="29" t="str">
        <x:v>Genel üst sınır bir aylık kiradır. En çok iki konut mülkünde toplam en çok dört birime sahip, yasadaki kişi/LLC koşulunu karşılayan küçük ev sahiplerinde iki ay istisnası olabilir; askerî hizmet mensupları için bu istisna uygulanmaz.</x:v>
      </x:c>
      <x:c r="S33" s="29"/>
      <x:c r="T33" s="29"/>
    </x:row>
    <x:row r="34" ht="110" customHeight="1">
      <x:c r="A34" s="29" t="str">
        <x:v>bakersfield:giris-tutanagi</x:v>
      </x:c>
      <x:c r="B34" s="29" t="str">
        <x:v>bakersfield</x:v>
      </x:c>
      <x:c r="C34" s="29" t="str">
        <x:v>giris-tutanagi</x:v>
      </x:c>
      <x:c r="D34" s="29" t="str">
        <x:v>Anahtarı alırken evin durumunu kaydet</x:v>
      </x:c>
      <x:c r="E34" s="29" t="str">
        <x:v>Ev ve yerleşim</x:v>
      </x:c>
      <x:c r="F34" s="29" t="str">
        <x:v>1 Temmuz 2025 ve sonrasında başlayan kiracılıklarda ev sahibi, konutun başlangıç durumunu fotoğraflamak zorundadır. Sen de eşyalar girmeden duvar, zemin ve cihazların durumunu tarihli fotoğraflarla kaydet. Mevcut hasarların yazılı teslim listesinde bulunması, çıkışta yeni hasarla eski aşınmayı ayırır. Kendi kaydın ile ev sahibinin başlangıç fotoğraflarını aynı dosyada sakla.</x:v>
      </x:c>
      <x:c r="G34" s="29" t="str">
        <x:v>Anahtarı alırken evin durumunu kaydet</x:v>
      </x:c>
      <x:c r="H34" s="29" t="str">
        <x:v>before;new;settled</x:v>
      </x:c>
      <x:c r="I34" s="29" t="str">
        <x:v>bakersfield:src:17746;bakersfield:src:6290</x:v>
      </x:c>
      <x:c r="J34" s="31" t="d">
        <x:v>2026-10-24T00:00:00.000Z</x:v>
      </x:c>
      <x:c r="K34" s="35" t="n">
        <x:v>26</x:v>
      </x:c>
      <x:c r="L34" s="29" t="str">
        <x:v>Hayır</x:v>
      </x:c>
      <x:c r="M34" s="29" t="str">
        <x:v>İnceleme</x:v>
      </x:c>
      <x:c r="N34" s="29" t="str">
        <x:v>bakersfield:ev</x:v>
      </x:c>
      <x:c r="O34" s="29" t="str">
        <x:v>Oda ve cihaz bazında fotoğraf çek
Hasar listesini kiraya verene yazılı gönder
Anahtar sayısı ve sayaç değerlerini teslim kaydına ekle</x:v>
      </x:c>
      <x:c r="P34" s="29" t="str">
        <x:v>Teslim formu
Tarihli fotoğraflar</x:v>
      </x:c>
      <x:c r="Q34" s="29" t="str">
        <x:v>1 Temmuz 2025 ve sonrası başlayan kiracılıklarda ev sahibinin başlangıç fotoğrafları gerekir; kendi kaydını eşya taşımadan önce çek.</x:v>
      </x:c>
      <x:c r="R34" s="29" t="str">
        <x:v>Kendi durum kaydını telefonla oluşturabilirsin; mevcut hasarın tekrar depozitodan düşülmemesi için yazılı teslim listesi önemlidir.</x:v>
      </x:c>
      <x:c r="S34" s="29"/>
      <x:c r="T34" s="29"/>
    </x:row>
    <x:row r="35" ht="96" customHeight="1">
      <x:c r="A35" s="29" t="str">
        <x:v>bakersfield:evde-onarim</x:v>
      </x:c>
      <x:c r="B35" s="29" t="str">
        <x:v>bakersfield</x:v>
      </x:c>
      <x:c r="C35" s="29" t="str">
        <x:v>evde-onarim</x:v>
      </x:c>
      <x:c r="D35" s="29" t="str">
        <x:v>Arızayı somut ve yazılı bildir</x:v>
      </x:c>
      <x:c r="E35" s="29" t="str">
        <x:v>Ev ve yerleşim</x:v>
      </x:c>
      <x:c r="F35" s="29" t="str">
        <x:v>Su sızıntısı, bozuk ısıtma veya elektrik sorunu gibi arızaları yer, tarih ve etkisiyle kaydet. Acil durumda önce güvenliği sağla, ardından bildirimi yazılı hale getir. Onarım yaptırıp kiradan düşme veya kira ödemesini durdurma yollarının yasal koşulları vardır; bunları sıradan bir bakım talebiyle aynı işlem sayma.</x:v>
      </x:c>
      <x:c r="G35" s="29" t="str">
        <x:v>Arızayı somut ve yazılı bildir</x:v>
      </x:c>
      <x:c r="H35" s="29" t="str">
        <x:v>before;new;settled</x:v>
      </x:c>
      <x:c r="I35" s="29" t="str">
        <x:v>bakersfield:src:17689;bakersfield:src:17620</x:v>
      </x:c>
      <x:c r="J35" s="31" t="d">
        <x:v>2026-10-24T00:00:00.000Z</x:v>
      </x:c>
      <x:c r="K35" s="35" t="n">
        <x:v>27</x:v>
      </x:c>
      <x:c r="L35" s="29" t="str">
        <x:v>Hayır</x:v>
      </x:c>
      <x:c r="M35" s="29" t="str">
        <x:v>İnceleme</x:v>
      </x:c>
      <x:c r="N35" s="29" t="str">
        <x:v>bakersfield:ev</x:v>
      </x:c>
      <x:c r="O35" s="29" t="str">
        <x:v>Arızanın yerini ve başlangıç tarihini kaydet
Yöneticiye yazılı onarım talebi gönder
Çözülmezse ilgili kurum veya hukuk yardımından durumuna uygun yol al</x:v>
      </x:c>
      <x:c r="P35" s="29" t="str">
        <x:v>Arıza kaydı
Yazılı bildirim</x:v>
      </x:c>
      <x:c r="Q35" s="29" t="str">
        <x:v>Sorunu öğrendiğinde tarihli yazılı bildirim yap. Makul onarım süresi sorunun aciliyetine bağlıdır; her arızaya tek bir 30 gün kuralı uygulanmaz.</x:v>
      </x:c>
      <x:c r="R35" s="29" t="str">
        <x:v>Onarım sorumluluğu arıza nedeni ve sözleşme/yasaya bağlıdır. Kiradan kesme yolunu koşulları oluşmadan kullanma.</x:v>
      </x:c>
      <x:c r="S35" s="29"/>
      <x:c r="T35" s="29"/>
    </x:row>
    <x:row r="36" ht="138" customHeight="1">
      <x:c r="A36" s="29" t="str">
        <x:v>bakersfield:ev-sogutma</x:v>
      </x:c>
      <x:c r="B36" s="29" t="str">
        <x:v>bakersfield</x:v>
      </x:c>
      <x:c r="C36" s="29" t="str">
        <x:v>ev-sogutma</x:v>
      </x:c>
      <x:c r="D36" s="29" t="str">
        <x:v>Soğutmayı ve mutfak cihazlarını taşınmadan incele</x:v>
      </x:c>
      <x:c r="E36" s="29" t="str">
        <x:v>Ev ve yerleşim</x:v>
      </x:c>
      <x:c r="F36" s="29" t="str">
        <x:v>Bakersfield'ın sıcak yazında soğutma sisteminin türü, çalışması ve elektrik gideri ev seçiminde önemlidir; her kiralık konutta klima bulunduğunu varsayma. 1 Ocak 2026 ve sonrasında yapılan, değiştirilen veya uzatılan sözleşmelerde, yasadaki istisnalar dışında çalışır ocak ve buzdolabı kuralları da uygulanır. Kiracının kendi buzdolabını sağlaması yazılı ve gönüllü bir anlaşmaya bağlıdır. Soğutma ve mutfak cihazlarını teslim listesinde ayrı göster.</x:v>
      </x:c>
      <x:c r="G36" s="29" t="str">
        <x:v>Soğutmayı ve mutfak cihazlarını taşınmadan incele</x:v>
      </x:c>
      <x:c r="H36" s="29" t="str">
        <x:v>before;new;settled</x:v>
      </x:c>
      <x:c r="I36" s="29" t="str">
        <x:v>bakersfield:src:17689;bakersfield:src:17866;bakersfield:src:6823</x:v>
      </x:c>
      <x:c r="J36" s="31" t="d">
        <x:v>2026-10-24T00:00:00.000Z</x:v>
      </x:c>
      <x:c r="K36" s="35" t="n">
        <x:v>28</x:v>
      </x:c>
      <x:c r="L36" s="29" t="str">
        <x:v>Hayır</x:v>
      </x:c>
      <x:c r="M36" s="29" t="str">
        <x:v>İnceleme</x:v>
      </x:c>
      <x:c r="N36" s="29" t="str">
        <x:v>bakersfield:ev</x:v>
      </x:c>
      <x:c r="O36" s="29" t="str">
        <x:v>Soğutma cihazını yerinde gör
Bakım ve filtre sorumluluğunu yazılı netleştir
Tarife ve kullanım alışkanlığını aylık bütçeye ekle</x:v>
      </x:c>
      <x:c r="P36" s="29" t="str">
        <x:v>Sözleşmedeki cihaz listesi</x:v>
      </x:c>
      <x:c r="Q36" s="29" t="str">
        <x:v>Evi gezerken soğutmayı ve cihazları dene. Yeni cihaz yükümlülüğünün sözleşmenin yapılma, değişme veya uzama tarihine uygulanmasını ayır.</x:v>
      </x:c>
      <x:c r="R36" s="29" t="str">
        <x:v>Klima tüketimi tarifeye, yalıtıma ve kullanıma bağlıdır. Kiracıya ait buzdolabının temini ve bakımı, ev sahibinin sağladığı cihazlarla aynı sorumluluk değildir.</x:v>
      </x:c>
      <x:c r="S36" s="29"/>
      <x:c r="T36" s="29"/>
    </x:row>
    <x:row r="37" ht="96" customHeight="1">
      <x:c r="A37" s="29" t="str">
        <x:v>bakersfield:ev-sayac</x:v>
      </x:c>
      <x:c r="B37" s="29" t="str">
        <x:v>bakersfield</x:v>
      </x:c>
      <x:c r="C37" s="29" t="str">
        <x:v>ev-sayac</x:v>
      </x:c>
      <x:c r="D37" s="29" t="str">
        <x:v>Su ve enerji giderinin nasıl bölündüğünü öğren</x:v>
      </x:c>
      <x:c r="E37" s="29" t="str">
        <x:v>Ev ve yerleşim</x:v>
      </x:c>
      <x:c r="F37" s="29" t="str">
        <x:v>Kira ilanındaki “utilities included” ifadesinin hangi hizmetleri kapsadığını açıkça yazdır. Ayrı sayaç, ortak sayaç, alt sayaç veya ev sahibinin yaptığı gider dağıtımı farklı faturalama düzenleri oluşturur. Hesabı kimin açacağı, tahsilat dönemi ve ek hizmet ücretleri taşınmadan önce net olmalıdır.</x:v>
      </x:c>
      <x:c r="G37" s="29" t="str">
        <x:v>Su ve enerji giderinin nasıl bölündüğünü öğren</x:v>
      </x:c>
      <x:c r="H37" s="29" t="str">
        <x:v>before;new;settled</x:v>
      </x:c>
      <x:c r="I37" s="29" t="str">
        <x:v>bakersfield:src:6816;bakersfield:src:17617;bakersfield:src:17626</x:v>
      </x:c>
      <x:c r="J37" s="31" t="d">
        <x:v>2026-10-24T00:00:00.000Z</x:v>
      </x:c>
      <x:c r="K37" s="35" t="n">
        <x:v>29</x:v>
      </x:c>
      <x:c r="L37" s="29" t="str">
        <x:v>Hayır</x:v>
      </x:c>
      <x:c r="M37" s="29" t="str">
        <x:v>İnceleme</x:v>
      </x:c>
      <x:c r="N37" s="29" t="str">
        <x:v>bakersfield:ev</x:v>
      </x:c>
      <x:c r="O37" s="29" t="str">
        <x:v>Dahil olan hizmetleri tek tek listele
Sayaç ve gider bölüşüm yöntemini sor
Başlatman gereken aboneliklerin tarihini belirle</x:v>
      </x:c>
      <x:c r="P37" s="29" t="str">
        <x:v>Gider maddeleri
Sayaç bilgileri</x:v>
      </x:c>
      <x:c r="Q37" s="29" t="str">
        <x:v>Anahtar tesliminden önce hangi aboneliği kendi adına açacağını ve başlangıç tarihini belirle.</x:v>
      </x:c>
      <x:c r="R37" s="29" t="str">
        <x:v>Ortak sayaç veya gider bölüşümü varsa hangi hesapla hangi hizmete ödeme yaptığını yazılı öğren; ek tahsilatın dayanağını iste.</x:v>
      </x:c>
      <x:c r="S37" s="29"/>
      <x:c r="T37" s="29"/>
    </x:row>
    <x:row r="38" ht="110" customHeight="1">
      <x:c r="A38" s="29" t="str">
        <x:v>bakersfield:ev-paylasimi</x:v>
      </x:c>
      <x:c r="B38" s="29" t="str">
        <x:v>bakersfield</x:v>
      </x:c>
      <x:c r="C38" s="29" t="str">
        <x:v>ev-paylasimi</x:v>
      </x:c>
      <x:c r="D38" s="29" t="str">
        <x:v>Ev arkadaşlığı için sorumlulukları yaz</x:v>
      </x:c>
      <x:c r="E38" s="29" t="str">
        <x:v>Ev ve yerleşim</x:v>
      </x:c>
      <x:c r="F38" s="29" t="str">
        <x:v>Birden fazla kişinin aynı sözleşmeyi imzalaması, herkesin yalnız kendi oda kirasından sorumlu olduğu anlamına gelmez. Sözleşmedeki ortak sorumluluk, alt kiralama ve yeni kişi kabulü maddelerini incele. Ev arkadaşları arasındaki gider paylaşımını ayrıca yazılı hale getirmek, ev sahibiyle yapılan sözleşmeyi kendiliğinden değiştirmez.</x:v>
      </x:c>
      <x:c r="G38" s="29" t="str">
        <x:v>Ev arkadaşlığı için sorumlulukları yaz</x:v>
      </x:c>
      <x:c r="H38" s="29" t="str">
        <x:v>before;new;settled</x:v>
      </x:c>
      <x:c r="I38" s="29" t="str">
        <x:v>bakersfield:src:17617</x:v>
      </x:c>
      <x:c r="J38" s="31" t="d">
        <x:v>2026-10-24T00:00:00.000Z</x:v>
      </x:c>
      <x:c r="K38" s="35" t="n">
        <x:v>30</x:v>
      </x:c>
      <x:c r="L38" s="29" t="str">
        <x:v>Hayır</x:v>
      </x:c>
      <x:c r="M38" s="29" t="str">
        <x:v>İnceleme</x:v>
      </x:c>
      <x:c r="N38" s="29" t="str">
        <x:v>bakersfield:ev</x:v>
      </x:c>
      <x:c r="O38" s="29" t="str">
        <x:v>İmza ve ödeme sorumluluğunu sözleşmede belirle
Oda, fatura ve depozito paylaşımını yaz
Bir kişi ayrılırsa uygulanacak yolu kararlaştır</x:v>
      </x:c>
      <x:c r="P38" s="29" t="str">
        <x:v>Kira sözleşmesi
Paylaşım kaydı</x:v>
      </x:c>
      <x:c r="Q38" s="29" t="str">
        <x:v>Bir kişi taşınmadan veya ayrılmadan önce imza, alt kiralama ve devir koşullarını yazılı kararlaştır.</x:v>
      </x:c>
      <x:c r="R38" s="29" t="str">
        <x:v>Ortak sözleşme, yalnız kendi oda payından sorumlu olduğun anlamına gelmeyebilir. Kira ve depozito paylaşımı ev sahibiyle sözleşmeyi değiştirmez.</x:v>
      </x:c>
      <x:c r="S38" s="29"/>
      <x:c r="T38" s="29"/>
    </x:row>
    <x:row r="39" ht="110" customHeight="1">
      <x:c r="A39" s="29" t="str">
        <x:v>bakersfield:kiraci-sigorta</x:v>
      </x:c>
      <x:c r="B39" s="29" t="str">
        <x:v>bakersfield</x:v>
      </x:c>
      <x:c r="C39" s="29" t="str">
        <x:v>kiraci-sigorta</x:v>
      </x:c>
      <x:c r="D39" s="29" t="str">
        <x:v>Kiracı sigortasının neyi koruduğunu ayır</x:v>
      </x:c>
      <x:c r="E39" s="29" t="str">
        <x:v>Ev ve yerleşim</x:v>
      </x:c>
      <x:c r="F39" s="29" t="str">
        <x:v>Ev sahibinin bina sigortası, kiracının eşyalarını ve kişisel sorumluluğunu otomatik olarak kapsamaz. Kiracı poliçesinde eşya, sorumluluk, muafiyet ve geçici konaklama koşulları ayrı değerlendirilir. Sel ve deprem gibi riskler standart kapsamın dışında olabilir; teklifleri yalnız aylık prime göre karşılaştırma.</x:v>
      </x:c>
      <x:c r="G39" s="29" t="str">
        <x:v>Kiracı sigortasının neyi koruduğunu ayır</x:v>
      </x:c>
      <x:c r="H39" s="29" t="str">
        <x:v>before;new;settled</x:v>
      </x:c>
      <x:c r="I39" s="29" t="str">
        <x:v>bakersfield:src:17686</x:v>
      </x:c>
      <x:c r="J39" s="31" t="d">
        <x:v>2026-10-24T00:00:00.000Z</x:v>
      </x:c>
      <x:c r="K39" s="35" t="n">
        <x:v>31</x:v>
      </x:c>
      <x:c r="L39" s="29" t="str">
        <x:v>Hayır</x:v>
      </x:c>
      <x:c r="M39" s="29" t="str">
        <x:v>İnceleme</x:v>
      </x:c>
      <x:c r="N39" s="29" t="str">
        <x:v>bakersfield:ev</x:v>
      </x:c>
      <x:c r="O39" s="29" t="str">
        <x:v>Eşya ve sorumluluk ihtiyacını listele
Muafiyet ve kapsam dışı riskleri oku
Sözleşmedeki sigorta koşulunu poliçeyle eşleştir</x:v>
      </x:c>
      <x:c r="P39" s="29" t="str">
        <x:v>Poliçe teklifi
Eşya listesi</x:v>
      </x:c>
      <x:c r="Q39" s="29" t="str">
        <x:v>Poliçe başlangıcını anahtar teslimi ve eşya taşınmasıyla eşleştir; taşınınca yeni adresi sigortacıya bildir.</x:v>
      </x:c>
      <x:c r="R39" s="29" t="str">
        <x:v>Prim, eşya limiti, kişisel sorumluluk, muafiyet ve kapsam dışı riskleri birlikte karşılaştır. Standart poliçede sel veya deprem için ayrı teminat gerekebilir.</x:v>
      </x:c>
      <x:c r="S39" s="29"/>
      <x:c r="T39" s="29"/>
    </x:row>
    <x:row r="40" ht="110" customHeight="1">
      <x:c r="A40" s="29" t="str">
        <x:v>bakersfield:evcil-hayvan-kira</x:v>
      </x:c>
      <x:c r="B40" s="29" t="str">
        <x:v>bakersfield</x:v>
      </x:c>
      <x:c r="C40" s="29" t="str">
        <x:v>evcil-hayvan-kira</x:v>
      </x:c>
      <x:c r="D40" s="29" t="str">
        <x:v>Evcil hayvan koşulunu baştan konuş</x:v>
      </x:c>
      <x:c r="E40" s="29" t="str">
        <x:v>Ev ve yerleşim</x:v>
      </x:c>
      <x:c r="F40" s="29" t="str">
        <x:v>Hayvan kabulü, sayı veya tür kısıtları ve ek giderler konut sözleşmesinde farklılık gösterebilir. Engellilikle ilişkili yardım hayvanı için makul düzenleme süreci, sıradan evcil hayvan politikasından ayrı değerlendirilir. Depozito taleplerinin yasal güvence sınırlarıyla uyumunu da kontrol et.</x:v>
      </x:c>
      <x:c r="G40" s="29" t="str">
        <x:v>Evcil hayvan koşulunu baştan konuş</x:v>
      </x:c>
      <x:c r="H40" s="29" t="str">
        <x:v>before;new;settled</x:v>
      </x:c>
      <x:c r="I40" s="29" t="str">
        <x:v>bakersfield:src:17684;bakersfield:src:6950</x:v>
      </x:c>
      <x:c r="J40" s="31" t="d">
        <x:v>2026-10-24T00:00:00.000Z</x:v>
      </x:c>
      <x:c r="K40" s="35" t="n">
        <x:v>32</x:v>
      </x:c>
      <x:c r="L40" s="29" t="str">
        <x:v>Hayır</x:v>
      </x:c>
      <x:c r="M40" s="29" t="str">
        <x:v>İnceleme</x:v>
      </x:c>
      <x:c r="N40" s="29" t="str">
        <x:v>bakersfield:ev</x:v>
      </x:c>
      <x:c r="O40" s="29" t="str">
        <x:v>Evcil hayvan koşulunu yazılı al
Tüm ek para taleplerini depozito dökümüne ekle
Yardım hayvanı söz konusuysa makul düzenleme sürecini kullan</x:v>
      </x:c>
      <x:c r="P40" s="29" t="str">
        <x:v>Sözleşme
Gerekliyse düzenleme talebi</x:v>
      </x:c>
      <x:c r="Q40" s="29" t="str">
        <x:v>Sözleşmeden önce hayvan koşulunu yazılı al; engellilikle ilgili makul düzenleme talebini ilgili konut sürecinde ilet.</x:v>
      </x:c>
      <x:c r="R40" s="29" t="str">
        <x:v>Evcil hayvan için alınan güvence parası toplam depozito sınırının dışında değildir. Yardım hayvanı düzenlemesini sıradan evcil hayvan ücretleriyle bir tutma.</x:v>
      </x:c>
      <x:c r="S40" s="29"/>
      <x:c r="T40" s="29"/>
    </x:row>
    <x:row r="41" ht="96" customHeight="1">
      <x:c r="A41" s="29" t="str">
        <x:v>bakersfield:ev-sel-yangin</x:v>
      </x:c>
      <x:c r="B41" s="29" t="str">
        <x:v>bakersfield</x:v>
      </x:c>
      <x:c r="C41" s="29" t="str">
        <x:v>ev-sel-yangin</x:v>
      </x:c>
      <x:c r="D41" s="29" t="str">
        <x:v>Adrese ait çevre riskini incele</x:v>
      </x:c>
      <x:c r="E41" s="29" t="str">
        <x:v>Ev ve yerleşim</x:v>
      </x:c>
      <x:c r="F41" s="29" t="str">
        <x:v>Bir mahallenin adı tek başına taşkın veya yangın riskini belirlemez. Ev ararken FEMA taşkın haritası ve CAL FIRE tehlike haritasını tam adresle kullan. Haritada riskin düşük görünmesi, hiçbir hasar olamayacağı anlamına gelmez; sigorta kapsamı ve tahliye planı ayrı kararlardır.</x:v>
      </x:c>
      <x:c r="G41" s="29" t="str">
        <x:v>Adrese ait çevre riskini incele</x:v>
      </x:c>
      <x:c r="H41" s="29" t="str">
        <x:v>before;new;settled</x:v>
      </x:c>
      <x:c r="I41" s="29" t="str">
        <x:v>bakersfield:src:17672;bakersfield:src:14202;bakersfield:src:17621</x:v>
      </x:c>
      <x:c r="J41" s="31" t="d">
        <x:v>2026-10-24T00:00:00.000Z</x:v>
      </x:c>
      <x:c r="K41" s="35" t="n">
        <x:v>33</x:v>
      </x:c>
      <x:c r="L41" s="29" t="str">
        <x:v>Hayır</x:v>
      </x:c>
      <x:c r="M41" s="29" t="str">
        <x:v>İnceleme</x:v>
      </x:c>
      <x:c r="N41" s="29" t="str">
        <x:v>bakersfield:ev</x:v>
      </x:c>
      <x:c r="O41" s="29" t="str">
        <x:v>Tam adresle resmî haritaları aç
Poliçenin sel ve yangın kapsamını karşılaştır
Evden çıkış ve iletişim planını oluştur</x:v>
      </x:c>
      <x:c r="P41" s="29" t="str">
        <x:v>Tam adres
Sigorta teklifi</x:v>
      </x:c>
      <x:c r="Q41" s="29" t="str">
        <x:v>Kira veya satın alma kararından önce tam adresi haritalarda incele; ReadyKern bildirim bilgilerini taşınma sonrasında güncelle.</x:v>
      </x:c>
      <x:c r="R41" s="29" t="str">
        <x:v>Sigorta teklifinde sel ve yangın teminatı, muafiyet ve yeniden yapım limitini ayır; harita rengi poliçe kapsamı garantisi değildir.</x:v>
      </x:c>
      <x:c r="S41" s="29"/>
      <x:c r="T41" s="29"/>
    </x:row>
    <x:row r="42" ht="124" customHeight="1">
      <x:c r="A42" s="29" t="str">
        <x:v>bakersfield:kira-artisi</x:v>
      </x:c>
      <x:c r="B42" s="29" t="str">
        <x:v>bakersfield</x:v>
      </x:c>
      <x:c r="C42" s="29" t="str">
        <x:v>kira-artisi</x:v>
      </x:c>
      <x:c r="D42" s="29" t="str">
        <x:v>Kira artışı korumasının kapsamını belirle</x:v>
      </x:c>
      <x:c r="E42" s="29" t="str">
        <x:v>Ev ve yerleşim</x:v>
      </x:c>
      <x:c r="F42" s="29" t="str">
        <x:v>Kaliforniya Tenant Protection Act kapsamındaki konutlarda artış, 12 ayda yüzde 10 ile yüzde 5 artı ilgili yaşam maliyeti değişiminden düşük olanla sınırlandırılır. Her konut aynı kapsama girmez; yapı yaşı, mülkiyet türü ve yasal istisnalar önemlidir. Bildirim süresi de oran hesabından ayrı değerlendirilir.</x:v>
      </x:c>
      <x:c r="G42" s="29" t="str">
        <x:v>Kira artışı korumasının kapsamını belirle</x:v>
      </x:c>
      <x:c r="H42" s="29" t="str">
        <x:v>before;new;settled</x:v>
      </x:c>
      <x:c r="I42" s="29" t="str">
        <x:v>bakersfield:src:6289;bakersfield:src:17617</x:v>
      </x:c>
      <x:c r="J42" s="31" t="d">
        <x:v>2026-10-24T00:00:00.000Z</x:v>
      </x:c>
      <x:c r="K42" s="35" t="n">
        <x:v>34</x:v>
      </x:c>
      <x:c r="L42" s="29" t="str">
        <x:v>Hayır</x:v>
      </x:c>
      <x:c r="M42" s="29" t="str">
        <x:v>İnceleme</x:v>
      </x:c>
      <x:c r="N42" s="29" t="str">
        <x:v>bakersfield:ev</x:v>
      </x:c>
      <x:c r="O42" s="29" t="str">
        <x:v>Konuta ilişkin kapsam veya istisna bilgisini al
Son 12 aylık artışları birlikte hesapla
Bildirimin tarihini ve dayanağını kaydet</x:v>
      </x:c>
      <x:c r="P42" s="29" t="str">
        <x:v>Kira artış bildirimi
Önceki kira kayıtları</x:v>
      </x:c>
      <x:c r="Q42" s="29" t="str">
        <x:v>Oran sınırı ve yazılı bildirim süresi farklıdır; dönemsel kirada artışın oranına ve tebliğ biçimine göre 30/90 gün ve posta ek süreleri gündeme gelir.</x:v>
      </x:c>
      <x:c r="R42" s="29" t="str">
        <x:v>TPA kapsamındaki konutlarda 12 ayda en çok yüzde 5 + ilgili CPI ya da yüzde 10'dan düşük olanı uygulanır. Kapsam ve istisna belirlenmeden bu formülü her konuta uygulama.</x:v>
      </x:c>
      <x:c r="S42" s="29"/>
      <x:c r="T42" s="29"/>
    </x:row>
    <x:row r="43" ht="110" customHeight="1">
      <x:c r="A43" s="29" t="str">
        <x:v>bakersfield:ev-sahibi-girisi</x:v>
      </x:c>
      <x:c r="B43" s="29" t="str">
        <x:v>bakersfield</x:v>
      </x:c>
      <x:c r="C43" s="29" t="str">
        <x:v>ev-sahibi-girisi</x:v>
      </x:c>
      <x:c r="D43" s="29" t="str">
        <x:v>Ev sahibinin giriş bildirimini değerlendir</x:v>
      </x:c>
      <x:c r="E43" s="29" t="str">
        <x:v>Ev ve yerleşim</x:v>
      </x:c>
      <x:c r="F43" s="29" t="str">
        <x:v>Ev sahibinin konuta girişi belirli yasal amaçlara bağlıdır. Olağan onarım ve benzeri girişlerde önceden bildirim gerekir; acil durum veya o anda verilen rıza gibi istisnalar vardır. Her giriş için “kesinlikle 24 saat” veya “ev sahibi istediği zaman girer” şeklinde tek bir kural kullanma.</x:v>
      </x:c>
      <x:c r="G43" s="29" t="str">
        <x:v>Ev sahibinin giriş bildirimini değerlendir</x:v>
      </x:c>
      <x:c r="H43" s="29" t="str">
        <x:v>before;new;settled</x:v>
      </x:c>
      <x:c r="I43" s="29" t="str">
        <x:v>bakersfield:src:17690</x:v>
      </x:c>
      <x:c r="J43" s="31" t="d">
        <x:v>2026-10-24T00:00:00.000Z</x:v>
      </x:c>
      <x:c r="K43" s="35" t="n">
        <x:v>35</x:v>
      </x:c>
      <x:c r="L43" s="29" t="str">
        <x:v>Hayır</x:v>
      </x:c>
      <x:c r="M43" s="29" t="str">
        <x:v>İnceleme</x:v>
      </x:c>
      <x:c r="N43" s="29" t="str">
        <x:v>bakersfield:ev</x:v>
      </x:c>
      <x:c r="O43" s="29" t="str">
        <x:v>Girişin amacını ve tarihini yazılı al
Acil durum ile planlı bakım ayrımını yap
Uyuşmazlıkta bildirimleri saklayıp hukuk yardımı al</x:v>
      </x:c>
      <x:c r="P43" s="29" t="str">
        <x:v>Giriş bildirimi
Yazışmalar</x:v>
      </x:c>
      <x:c r="Q43" s="29" t="str">
        <x:v>Olağan girişlerde 24 saatlik yazılı bildirim genellikle makul kabul edilir. Acil durum, rıza ve satış gösterimi gibi istisnalar ile tebliğ biçimi sonucu değiştirebilir.</x:v>
      </x:c>
      <x:c r="R43" s="29" t="str">
        <x:v>Planlı giriş bildirimi tek başına kiracıya yeni hizmet ücreti doğurmaz; onarım giderinin sorumluluğu ayrı değerlendirilir.</x:v>
      </x:c>
      <x:c r="S43" s="29"/>
      <x:c r="T43" s="29"/>
    </x:row>
    <x:row r="44" ht="110" customHeight="1">
      <x:c r="A44" s="29" t="str">
        <x:v>bakersfield:evden-cikis</x:v>
      </x:c>
      <x:c r="B44" s="29" t="str">
        <x:v>bakersfield</x:v>
      </x:c>
      <x:c r="C44" s="29" t="str">
        <x:v>evden-cikis</x:v>
      </x:c>
      <x:c r="D44" s="29" t="str">
        <x:v>Evden ayrılma bildirimini planla</x:v>
      </x:c>
      <x:c r="E44" s="29" t="str">
        <x:v>Ev ve yerleşim</x:v>
      </x:c>
      <x:c r="F44" s="29" t="str">
        <x:v>Belirli süreli sözleşme ile aydan aya kiralama aynı çıkış koşullarına sahip olmayabilir. Anahtarı bırakmak, gereken yazılı bildirimin yerini otomatik olarak almaz. Taşınma kararında sözleşme süresi, bildirim yöntemi, son ödeme ve ön inceleme hakkını birlikte ele al.</x:v>
      </x:c>
      <x:c r="G44" s="29" t="str">
        <x:v>Evden ayrılma bildirimini planla</x:v>
      </x:c>
      <x:c r="H44" s="29" t="str">
        <x:v>before;new;settled</x:v>
      </x:c>
      <x:c r="I44" s="29" t="str">
        <x:v>bakersfield:src:17691</x:v>
      </x:c>
      <x:c r="J44" s="31" t="d">
        <x:v>2026-10-24T00:00:00.000Z</x:v>
      </x:c>
      <x:c r="K44" s="35" t="n">
        <x:v>36</x:v>
      </x:c>
      <x:c r="L44" s="29" t="str">
        <x:v>Hayır</x:v>
      </x:c>
      <x:c r="M44" s="29" t="str">
        <x:v>İnceleme</x:v>
      </x:c>
      <x:c r="N44" s="29" t="str">
        <x:v>bakersfield:ev</x:v>
      </x:c>
      <x:c r="O44" s="29" t="str">
        <x:v>Sözleşmenin çıkış ve bildirim maddesini oku
Bildirimi kanıtlanabilir yolla ilet
Ön inceleme ve anahtar teslimini yazılı planla</x:v>
      </x:c>
      <x:c r="P44" s="29" t="str">
        <x:v>Sözleşme
Çıkış bildirimi</x:v>
      </x:c>
      <x:c r="Q44" s="29" t="str">
        <x:v>Aydan aya kirada genel yazılı bildirim süresi en az 30 gündür; sözleşme ve özel durumlar ayrıca incelenir. Belirli süreli sözleşme aynı kurala indirgenmez.</x:v>
      </x:c>
      <x:c r="R44" s="29" t="str">
        <x:v>Erken ayrılma, kalan kira ve depozito hesabını etkileyebilir; anahtar teslimi tek başına borcu sona erdirmez.</x:v>
      </x:c>
      <x:c r="S44" s="29"/>
      <x:c r="T44" s="29"/>
    </x:row>
    <x:row r="45" ht="124" customHeight="1">
      <x:c r="A45" s="29" t="str">
        <x:v>bakersfield:depozito-iade</x:v>
      </x:c>
      <x:c r="B45" s="29" t="str">
        <x:v>bakersfield</x:v>
      </x:c>
      <x:c r="C45" s="29" t="str">
        <x:v>depozito-iade</x:v>
      </x:c>
      <x:c r="D45" s="29" t="str">
        <x:v>Depozito iadesini 21 günlük takvimle izle</x:v>
      </x:c>
      <x:c r="E45" s="29" t="str">
        <x:v>Ev ve yerleşim</x:v>
      </x:c>
      <x:c r="F45" s="29" t="str">
        <x:v>Kiracı çıktıktan sonra ev sahibinin depozitoyu iade etmesi veya yasal kesintileri kalemli dökümle bildirmesi için genel süre 21 gündür. Normal yıpranma, kiracı hasarıyla aynı sayılmaz. Bazı tamamlanmamış onarımlarda tahmin ve sonraki belge gönderimi kuralları bulunur; teslim fotoğrafların ve makbuzların itirazda önemlidir.</x:v>
      </x:c>
      <x:c r="G45" s="29" t="str">
        <x:v>Depozito iadesini 21 günlük takvimle izle</x:v>
      </x:c>
      <x:c r="H45" s="29" t="str">
        <x:v>before;new;settled</x:v>
      </x:c>
      <x:c r="I45" s="29" t="str">
        <x:v>bakersfield:src:6290</x:v>
      </x:c>
      <x:c r="J45" s="31" t="d">
        <x:v>2026-10-24T00:00:00.000Z</x:v>
      </x:c>
      <x:c r="K45" s="35" t="n">
        <x:v>37</x:v>
      </x:c>
      <x:c r="L45" s="29" t="str">
        <x:v>Hayır</x:v>
      </x:c>
      <x:c r="M45" s="29" t="str">
        <x:v>İnceleme</x:v>
      </x:c>
      <x:c r="N45" s="29" t="str">
        <x:v>bakersfield:ev</x:v>
      </x:c>
      <x:c r="O45" s="29" t="str">
        <x:v>Çıkış tarihi ve yeni yazışma adresini kaydet
İade ve kesinti dökümünü karşılaştır
Uyuşmazlığı yazılı talep ve gerekiyorsa hukuki yolla takip et</x:v>
      </x:c>
      <x:c r="P45" s="29" t="str">
        <x:v>Teslim fotoğrafları
Kesinti dökümü
Makbuzlar</x:v>
      </x:c>
      <x:c r="Q45" s="29" t="str">
        <x:v>Çıkıştan sonra genel süre 21 gün. Haklı nedenle iş bitmediyse iyi niyetli tahmin verilebilir; işin bitmesi veya faturanın alınmasından sonra 14 günlük nihai belge süresi ayrıca bulunur.</x:v>
      </x:c>
      <x:c r="R45" s="29" t="str">
        <x:v>Normal yıpranma hasar kesintisi değildir. Genel olarak 125 USD'yi aşan onarım/temizlik kesintilerinde belge kuralları uygulanır.</x:v>
      </x:c>
      <x:c r="S45" s="29"/>
      <x:c r="T45" s="29"/>
    </x:row>
    <x:row r="46" ht="96" customHeight="1">
      <x:c r="A46" s="29" t="str">
        <x:v>bakersfield:tahliye-bildirimi</x:v>
      </x:c>
      <x:c r="B46" s="29" t="str">
        <x:v>bakersfield</x:v>
      </x:c>
      <x:c r="C46" s="29" t="str">
        <x:v>tahliye-bildirimi</x:v>
      </x:c>
      <x:c r="D46" s="29" t="str">
        <x:v>Tahliye evrakını geciktirmeden ele al</x:v>
      </x:c>
      <x:c r="E46" s="29" t="str">
        <x:v>Ev ve yerleşim</x:v>
      </x:c>
      <x:c r="F46" s="29" t="str">
        <x:v>Ev sahibinin gönderdiği bildirim ile mahkemenin verdiği tahliye kararı aynı belge değildir. Yasal süreç tamamlanmadan kilit değiştirmek veya temel hizmetleri kesmek ayrı ihlaller doğurabilir. Bildirim ve dava evrakındaki süreler kısa olabildiği için dosyayı aldıktan sonra yerel hukuk yardımına hızla başvur.</x:v>
      </x:c>
      <x:c r="G46" s="29" t="str">
        <x:v>Tahliye evrakını geciktirmeden ele al</x:v>
      </x:c>
      <x:c r="H46" s="29" t="str">
        <x:v>before;new;settled</x:v>
      </x:c>
      <x:c r="I46" s="29" t="str">
        <x:v>bakersfield:src:6289;bakersfield:src:17619;bakersfield:src:17620</x:v>
      </x:c>
      <x:c r="J46" s="31" t="d">
        <x:v>2026-10-24T00:00:00.000Z</x:v>
      </x:c>
      <x:c r="K46" s="35" t="n">
        <x:v>38</x:v>
      </x:c>
      <x:c r="L46" s="29" t="str">
        <x:v>Hayır</x:v>
      </x:c>
      <x:c r="M46" s="29" t="str">
        <x:v>İnceleme</x:v>
      </x:c>
      <x:c r="N46" s="29" t="str">
        <x:v>bakersfield:ev</x:v>
      </x:c>
      <x:c r="O46" s="29" t="str">
        <x:v>Tebliğ edilen evrakı ve teslim tarihini sakla
Mahkeme dosyası varsa resmi kayıttan doğrula
Greater Bakersfield Legal Assistance veya mahkeme yardım birimine başvur</x:v>
      </x:c>
      <x:c r="P46" s="29" t="str">
        <x:v>Bildirim
Mahkeme evrakı
Kira sözleşmesi</x:v>
      </x:c>
      <x:c r="Q46" s="29" t="str">
        <x:v>Evrakı aldığın gün tebliğ tarihini kaydet ve yardım iste. Bildirim ile mahkeme cevap süresini aynı sayma.</x:v>
      </x:c>
      <x:c r="R46" s="29" t="str">
        <x:v>Hukuk yardımı uygunluğunu GBLA'dan öğren; dava harcı ve olası fee-waiver mahkeme sürecine bağlıdır.</x:v>
      </x:c>
      <x:c r="S46" s="29"/>
      <x:c r="T46" s="29"/>
    </x:row>
    <x:row r="47" ht="110" customHeight="1">
      <x:c r="A47" s="29" t="str">
        <x:v>bakersfield:adil-konut</x:v>
      </x:c>
      <x:c r="B47" s="29" t="str">
        <x:v>bakersfield</x:v>
      </x:c>
      <x:c r="C47" s="29" t="str">
        <x:v>adil-konut</x:v>
      </x:c>
      <x:c r="D47" s="29" t="str">
        <x:v>Konut ayrımcılığını belgeyle bildir</x:v>
      </x:c>
      <x:c r="E47" s="29" t="str">
        <x:v>Ev ve yerleşim</x:v>
      </x:c>
      <x:c r="F47" s="29" t="str">
        <x:v>Kaliforniya'da konut hizmetlerinde korunan özelliklere dayalı ayrımcılığa karşı başvuru yolları vardır. Engellilik nedeniyle makul düzenleme talebi de bu çerçevenin parçasıdır. İlan, mesaj, başvuru ölçütü ve reddin yazılı gerekçesini saklamak, olayı yalnız izlenimle değil somut kayıtlarla açıklamayı sağlar.</x:v>
      </x:c>
      <x:c r="G47" s="29" t="str">
        <x:v>Konut ayrımcılığını belgeyle bildir</x:v>
      </x:c>
      <x:c r="H47" s="29" t="str">
        <x:v>before;new;settled</x:v>
      </x:c>
      <x:c r="I47" s="29" t="str">
        <x:v>bakersfield:src:17620;bakersfield:src:6950</x:v>
      </x:c>
      <x:c r="J47" s="31" t="d">
        <x:v>2026-10-24T00:00:00.000Z</x:v>
      </x:c>
      <x:c r="K47" s="35" t="n">
        <x:v>39</x:v>
      </x:c>
      <x:c r="L47" s="29" t="str">
        <x:v>Hayır</x:v>
      </x:c>
      <x:c r="M47" s="29" t="str">
        <x:v>İnceleme</x:v>
      </x:c>
      <x:c r="N47" s="29" t="str">
        <x:v>bakersfield:ev</x:v>
      </x:c>
      <x:c r="O47" s="29" t="str">
        <x:v>İlan ve yazışmaların tarihli kopyalarını sakla
Olayları kısa bir zaman çizelgesine yaz
CRD veya yerel hukuk yardımından uygun başvuru yolunu al</x:v>
      </x:c>
      <x:c r="P47" s="29" t="str">
        <x:v>İlan
Yazışmalar
Başvuru ve ret kaydı</x:v>
      </x:c>
      <x:c r="Q47" s="29" t="str">
        <x:v>CRD, konut ayrımcılığı şikâyetinde genel olarak olay tarihinden itibaren bir yıl sınırı belirtir. Başka başvuru veya dava süreleri farklı olabilir; erken başvur.</x:v>
      </x:c>
      <x:c r="R47" s="29" t="str">
        <x:v>CRD başvurusu için aracı satın almak şart değildir; avukatlık veya dava hizmetinin koşulları ayrı olabilir.</x:v>
      </x:c>
      <x:c r="S47" s="29"/>
      <x:c r="T47" s="29"/>
    </x:row>
    <x:row r="48" ht="96" customHeight="1">
      <x:c r="A48" s="29" t="str">
        <x:v>bakersfield:abonelik-saglayici</x:v>
      </x:c>
      <x:c r="B48" s="29" t="str">
        <x:v>bakersfield</x:v>
      </x:c>
      <x:c r="C48" s="29" t="str">
        <x:v>abonelik-saglayici</x:v>
      </x:c>
      <x:c r="D48" s="29" t="str">
        <x:v>Her hizmetin sağlayıcısını adreste belirle</x:v>
      </x:c>
      <x:c r="E48" s="29" t="str">
        <x:v>Faturalar ve internet</x:v>
      </x:c>
      <x:c r="F48" s="29" t="str">
        <x:v>Bakersfield'da elektrik, gaz, su, çöp ve internet tek bir belediye hesabında birleşmez. Aynı posta bölgesinde farklı hizmet sınırları bulunabilir. Evin mevcut faturası, sözleşmedeki gider maddeleri ve sağlayıcının adres sorgusu birlikte kullanılmalı; yalnız komşunun şirketini esas almak yeterli değildir.</x:v>
      </x:c>
      <x:c r="G48" s="29" t="str">
        <x:v>Her hizmetin sağlayıcısını adreste belirle</x:v>
      </x:c>
      <x:c r="H48" s="29" t="str">
        <x:v>before;new;settled</x:v>
      </x:c>
      <x:c r="I48" s="29" t="str">
        <x:v>bakersfield:src:6816;bakersfield:src:17625;bakersfield:src:17603</x:v>
      </x:c>
      <x:c r="J48" s="31" t="d">
        <x:v>2026-10-24T00:00:00.000Z</x:v>
      </x:c>
      <x:c r="K48" s="35" t="n">
        <x:v>40</x:v>
      </x:c>
      <x:c r="L48" s="29" t="str">
        <x:v>Evet</x:v>
      </x:c>
      <x:c r="M48" s="29" t="str">
        <x:v>İnceleme</x:v>
      </x:c>
      <x:c r="N48" s="29" t="str">
        <x:v>bakersfield:fatura</x:v>
      </x:c>
      <x:c r="O48" s="29" t="str">
        <x:v>Her hizmet için mevcut sağlayıcıyı öğren
Kira içinde ödenen kalemleri ayır
Hesap açılması gerekenleri taşınma tarihine bağla</x:v>
      </x:c>
      <x:c r="P48" s="29" t="str">
        <x:v>Tam adres
Sözleşme gider maddeleri</x:v>
      </x:c>
      <x:c r="Q48" s="29" t="str">
        <x:v>Anahtar tesliminden önce her hizmet için başlangıç tarihini belirle.</x:v>
      </x:c>
      <x:c r="R48" s="29" t="str">
        <x:v>Abonelik açma, depozito ve tüketim bedelleri sağlayıcıya göre değişir; kira içindeki kalemleri tekrar ödeme.</x:v>
      </x:c>
      <x:c r="S48" s="29"/>
      <x:c r="T48" s="29"/>
    </x:row>
    <x:row r="49" ht="96" customHeight="1">
      <x:c r="A49" s="29" t="str">
        <x:v>bakersfield:elektrik-baslat</x:v>
      </x:c>
      <x:c r="B49" s="29" t="str">
        <x:v>bakersfield</x:v>
      </x:c>
      <x:c r="C49" s="29" t="str">
        <x:v>elektrik-baslat</x:v>
      </x:c>
      <x:c r="D49" s="29" t="str">
        <x:v>PG&amp;E aboneliğini teslim tarihine bağla</x:v>
      </x:c>
      <x:c r="E49" s="29" t="str">
        <x:v>Faturalar ve internet</x:v>
      </x:c>
      <x:c r="F49" s="29" t="str">
        <x:v>PG&amp;E'nin hizmet verdiği adreste yeni abonelik, hizmet taşıma ve kapatma işlemleri ayrı seçeneklerdir. Anahtar teslimiyle hesabın başlangıcını eşleştir; önceki kiracının hesabının devam edeceğini varsayma. Başvuru sırasında kimlik, iletişim ve hizmet adresi bilgilerini şirketin kabul ettiği biçimde sun.</x:v>
      </x:c>
      <x:c r="G49" s="29" t="str">
        <x:v>PG&amp;E aboneliğini teslim tarihine bağla</x:v>
      </x:c>
      <x:c r="H49" s="29" t="str">
        <x:v>before;new;settled</x:v>
      </x:c>
      <x:c r="I49" s="29" t="str">
        <x:v>bakersfield:src:6816</x:v>
      </x:c>
      <x:c r="J49" s="31" t="d">
        <x:v>2026-10-24T00:00:00.000Z</x:v>
      </x:c>
      <x:c r="K49" s="35" t="n">
        <x:v>41</x:v>
      </x:c>
      <x:c r="L49" s="29" t="str">
        <x:v>Hayır</x:v>
      </x:c>
      <x:c r="M49" s="29" t="str">
        <x:v>İnceleme</x:v>
      </x:c>
      <x:c r="N49" s="29" t="str">
        <x:v>bakersfield:fatura</x:v>
      </x:c>
      <x:c r="O49" s="29" t="str">
        <x:v>Adresin hizmet kapsamını belirle
Başlangıç tarihini ev teslimiyle eşleştir
Başvuru onayını ve hesap numarasını kaydet</x:v>
      </x:c>
      <x:c r="P49" s="29" t="str">
        <x:v>Hizmet adresi
Kimlik ve iletişim bilgileri</x:v>
      </x:c>
      <x:c r="Q49" s="29" t="str">
        <x:v>Başlangıç gününü ev teslimine bağla; fiziksel bağlantı gerekiyorsa şirketin verdiği randevu esas alınır.</x:v>
      </x:c>
      <x:c r="R49" s="29" t="str">
        <x:v>Hesabın tarife, varsa başlangıç ve güvence kalemlerini başvuru özetinde ayrı gör.</x:v>
      </x:c>
      <x:c r="S49" s="29"/>
      <x:c r="T49" s="29"/>
    </x:row>
    <x:row r="50" ht="96" customHeight="1">
      <x:c r="A50" s="29" t="str">
        <x:v>bakersfield:enerji-tasima</x:v>
      </x:c>
      <x:c r="B50" s="29" t="str">
        <x:v>bakersfield</x:v>
      </x:c>
      <x:c r="C50" s="29" t="str">
        <x:v>enerji-tasima</x:v>
      </x:c>
      <x:c r="D50" s="29" t="str">
        <x:v>Taşınırken eski enerji hesabını kapat</x:v>
      </x:c>
      <x:c r="E50" s="29" t="str">
        <x:v>Faturalar ve internet</x:v>
      </x:c>
      <x:c r="F50" s="29" t="str">
        <x:v>Yeni adreste hizmet açılması, eski adresteki hesabı her durumda kendiliğinden sona erdirmez. Hizmet taşıma işleminde iki adresin tarihlerini ayrı kontrol et. Son fatura ve varsa bakiye veya iade, taşınma bittikten sonra gelebilir; iletişim adresini ve ödeme kaydını erişilebilir tut.</x:v>
      </x:c>
      <x:c r="G50" s="29" t="str">
        <x:v>Taşınırken eski enerji hesabını kapat</x:v>
      </x:c>
      <x:c r="H50" s="29" t="str">
        <x:v>before;new;settled</x:v>
      </x:c>
      <x:c r="I50" s="29" t="str">
        <x:v>bakersfield:src:6816</x:v>
      </x:c>
      <x:c r="J50" s="31" t="d">
        <x:v>2026-10-24T00:00:00.000Z</x:v>
      </x:c>
      <x:c r="K50" s="35" t="n">
        <x:v>42</x:v>
      </x:c>
      <x:c r="L50" s="29" t="str">
        <x:v>Hayır</x:v>
      </x:c>
      <x:c r="M50" s="29" t="str">
        <x:v>İnceleme</x:v>
      </x:c>
      <x:c r="N50" s="29" t="str">
        <x:v>bakersfield:fatura</x:v>
      </x:c>
      <x:c r="O50" s="29" t="str">
        <x:v>Eski adres için durdurma tarihini kaydet
Yeni adres için başlatma onayını al
Son faturayı ve iade durumunu takip et</x:v>
      </x:c>
      <x:c r="P50" s="29" t="str">
        <x:v>Eski ve yeni adres
Hesap numarası</x:v>
      </x:c>
      <x:c r="Q50" s="29" t="str">
        <x:v>Eski adreste bitiş, yeni adreste başlangıç tarihini ayrı onayla.</x:v>
      </x:c>
      <x:c r="R50" s="29" t="str">
        <x:v>Eski hesabın son faturası ve yeni hesabın tüketimi farklı dönemlerdir; varsa iade ve bakiye takibini sürdür.</x:v>
      </x:c>
      <x:c r="S50" s="29"/>
      <x:c r="T50" s="29"/>
    </x:row>
    <x:row r="51" ht="96" customHeight="1">
      <x:c r="A51" s="29" t="str">
        <x:v>bakersfield:elektrik-tarife</x:v>
      </x:c>
      <x:c r="B51" s="29" t="str">
        <x:v>bakersfield</x:v>
      </x:c>
      <x:c r="C51" s="29" t="str">
        <x:v>elektrik-tarife</x:v>
      </x:c>
      <x:c r="D51" s="29" t="str">
        <x:v>Elektrik tarifesini kullanım saatine göre seç</x:v>
      </x:c>
      <x:c r="E51" s="29" t="str">
        <x:v>Faturalar ve internet</x:v>
      </x:c>
      <x:c r="F51" s="29" t="str">
        <x:v>Zamana göre fiyatlanan bir elektrik tarifesinde yalnız toplam tüketim değil, tüketimin hangi saatlerde yapıldığı da önemlidir. Tarifenin yoğun saatlerini, mevsim koşullarını ve sabit kalemlerini ayrı oku. Evden çalışma, soğutma ve araç şarjı gibi düzenlerin varsa bunları aynı hesap üzerinde karşılaştır.</x:v>
      </x:c>
      <x:c r="G51" s="29" t="str">
        <x:v>Elektrik tarifesini kullanım saatine göre seç</x:v>
      </x:c>
      <x:c r="H51" s="29" t="str">
        <x:v>before;new;settled</x:v>
      </x:c>
      <x:c r="I51" s="29" t="str">
        <x:v>bakersfield:src:6823</x:v>
      </x:c>
      <x:c r="J51" s="31" t="d">
        <x:v>2026-10-24T00:00:00.000Z</x:v>
      </x:c>
      <x:c r="K51" s="35" t="n">
        <x:v>43</x:v>
      </x:c>
      <x:c r="L51" s="29" t="str">
        <x:v>Hayır</x:v>
      </x:c>
      <x:c r="M51" s="29" t="str">
        <x:v>İnceleme</x:v>
      </x:c>
      <x:c r="N51" s="29" t="str">
        <x:v>bakersfield:fatura</x:v>
      </x:c>
      <x:c r="O51" s="29" t="str">
        <x:v>Mevcut kullanım bilgini veya cihaz planını çıkar
Şirketin tarife karşılaştırmasını kullan
Tarife adı ve yürürlük tarihini kaydet</x:v>
      </x:c>
      <x:c r="P51" s="29" t="str">
        <x:v>Tarife bilgisi
Varsa tüketim dökümü</x:v>
      </x:c>
      <x:c r="Q51" s="29" t="str">
        <x:v>Tarife karşılaştırmasında yürürlük tarihini ve mevsimi kaydet.</x:v>
      </x:c>
      <x:c r="R51" s="29" t="str">
        <x:v>Tüketim, yoğun saat ve sabit kalemler birlikte toplam faturayı oluşturur; yalnız kWh başlığına göre karar verme.</x:v>
      </x:c>
      <x:c r="S51" s="29"/>
      <x:c r="T51" s="29"/>
    </x:row>
    <x:row r="52" ht="96" customHeight="1">
      <x:c r="A52" s="29" t="str">
        <x:v>bakersfield:yaz-elektrik</x:v>
      </x:c>
      <x:c r="B52" s="29" t="str">
        <x:v>bakersfield</x:v>
      </x:c>
      <x:c r="C52" s="29" t="str">
        <x:v>yaz-elektrik</x:v>
      </x:c>
      <x:c r="D52" s="29" t="str">
        <x:v>Yaz faturasını tek aylık örnekle tahmin etme</x:v>
      </x:c>
      <x:c r="E52" s="29" t="str">
        <x:v>Faturalar ve internet</x:v>
      </x:c>
      <x:c r="F52" s="29" t="str">
        <x:v>Bakersfield'da soğutma ihtiyacı enerji bütçesinde önemli bir kişisel değişkendir. Küçük bir evin faturası, yalıtım ve cihaz nedeniyle daha büyük başka bir evden yüksek olabilir. Tek bir “ortalama fatura” rakamını kesin gider gibi kullanmak yerine mevsimlik tüketim ve tarife üzerinden kendi senaryonu kur.</x:v>
      </x:c>
      <x:c r="G52" s="29" t="str">
        <x:v>Yaz faturasını tek aylık örnekle tahmin etme</x:v>
      </x:c>
      <x:c r="H52" s="29" t="str">
        <x:v>before;new;settled</x:v>
      </x:c>
      <x:c r="I52" s="29" t="str">
        <x:v>bakersfield:src:17671;bakersfield:src:6823</x:v>
      </x:c>
      <x:c r="J52" s="31" t="d">
        <x:v>2026-10-24T00:00:00.000Z</x:v>
      </x:c>
      <x:c r="K52" s="35" t="n">
        <x:v>44</x:v>
      </x:c>
      <x:c r="L52" s="29" t="str">
        <x:v>Hayır</x:v>
      </x:c>
      <x:c r="M52" s="29" t="str">
        <x:v>İnceleme</x:v>
      </x:c>
      <x:c r="N52" s="29" t="str">
        <x:v>bakersfield:fatura</x:v>
      </x:c>
      <x:c r="O52" s="29" t="str">
        <x:v>Evin soğutma türünü ve cihazlarını listele
Mümkünse geçmiş mevsimlik tüketimi iste
Bütçende sıcak aylar için ayrı senaryo oluştur</x:v>
      </x:c>
      <x:c r="P52" s="29" t="str">
        <x:v>Cihaz listesi
Tüketim bilgileri</x:v>
      </x:c>
      <x:c r="Q52" s="29" t="str">
        <x:v>Yazdan önce filtre/bakım sorumluluğunu ve ödeme düzenini planla.</x:v>
      </x:c>
      <x:c r="R52" s="29" t="str">
        <x:v>Sıcak ay için ayrı tüketim senaryosu kur; yalıtım ve klima kullanımına bağlı gideri kesin şehir ortalaması gibi yazma.</x:v>
      </x:c>
      <x:c r="S52" s="29"/>
      <x:c r="T52" s="29"/>
    </x:row>
    <x:row r="53" ht="96" customHeight="1">
      <x:c r="A53" s="29" t="str">
        <x:v>bakersfield:care</x:v>
      </x:c>
      <x:c r="B53" s="29" t="str">
        <x:v>bakersfield</x:v>
      </x:c>
      <x:c r="C53" s="29" t="str">
        <x:v>care</x:v>
      </x:c>
      <x:c r="D53" s="29" t="str">
        <x:v>CARE indirimine uygunluğunu değerlendir</x:v>
      </x:c>
      <x:c r="E53" s="29" t="str">
        <x:v>Faturalar ve internet</x:v>
      </x:c>
      <x:c r="F53" s="29" t="str">
        <x:v>PG&amp;E CARE programında uygunluk hane geliri veya belirli yardım programlarına katılım üzerinden değerlendirilebilir. Başvuru sonucunu almadan indirim uygulanacağını bütçene kesin gelir gibi yazma. Hane büyüklüğü, gelir koşulları ve yenileme bildirimleri programın kendi takvimine bağlıdır.</x:v>
      </x:c>
      <x:c r="G53" s="29" t="str">
        <x:v>CARE indirimine uygunluğunu değerlendir</x:v>
      </x:c>
      <x:c r="H53" s="29" t="str">
        <x:v>before;new;settled</x:v>
      </x:c>
      <x:c r="I53" s="29" t="str">
        <x:v>bakersfield:src:6824</x:v>
      </x:c>
      <x:c r="J53" s="31" t="d">
        <x:v>2026-10-24T00:00:00.000Z</x:v>
      </x:c>
      <x:c r="K53" s="35" t="n">
        <x:v>45</x:v>
      </x:c>
      <x:c r="L53" s="29" t="str">
        <x:v>Hayır</x:v>
      </x:c>
      <x:c r="M53" s="29" t="str">
        <x:v>İnceleme</x:v>
      </x:c>
      <x:c r="N53" s="29" t="str">
        <x:v>bakersfield:fatura</x:v>
      </x:c>
      <x:c r="O53" s="29" t="str">
        <x:v>CARE uygunluk seçeneklerini oku
Hane ve gelir bilgilerini doğru bildir
Onay ve yenileme yazılarını sakla</x:v>
      </x:c>
      <x:c r="P53" s="29" t="str">
        <x:v>Hane ve uygunluk bilgileri</x:v>
      </x:c>
      <x:c r="Q53" s="29" t="str">
        <x:v>Başvurudan sonra onay ve yeniden uygunluk bildirimlerini izle.</x:v>
      </x:c>
      <x:c r="R53" s="29" t="str">
        <x:v>CARE uygun hanelerin enerji faturasını azaltır; indirim onayı ve hesabına yansıması kesinleşmeden bütçeye indirim ekleme.</x:v>
      </x:c>
      <x:c r="S53" s="29"/>
      <x:c r="T53" s="29"/>
    </x:row>
    <x:row r="54" ht="96" customHeight="1">
      <x:c r="A54" s="29" t="str">
        <x:v>bakersfield:medical-baseline</x:v>
      </x:c>
      <x:c r="B54" s="29" t="str">
        <x:v>bakersfield</x:v>
      </x:c>
      <x:c r="C54" s="29" t="str">
        <x:v>medical-baseline</x:v>
      </x:c>
      <x:c r="D54" s="29" t="str">
        <x:v>Tıbbi cihaz için Medical Baseline'ı öğren</x:v>
      </x:c>
      <x:c r="E54" s="29" t="str">
        <x:v>Faturalar ve internet</x:v>
      </x:c>
      <x:c r="F54" s="29" t="str">
        <x:v>Evde uygun bir tıbbi cihaz veya koşul nedeniyle enerji ihtiyacı varsa PG&amp;E Medical Baseline programı ayrı başvuru gerektirebilir. Program elektrik kesilmeyeceği garantisi değildir. Enerjiye bağımlı cihaz için sağlık ekibin ve cihaz sağlayıcınla kesinti planını ayrıca kur.</x:v>
      </x:c>
      <x:c r="G54" s="29" t="str">
        <x:v>Tıbbi cihaz için Medical Baseline'ı öğren</x:v>
      </x:c>
      <x:c r="H54" s="29" t="str">
        <x:v>before;new;settled</x:v>
      </x:c>
      <x:c r="I54" s="29" t="str">
        <x:v>bakersfield:src:17624;bakersfield:src:17869;bakersfield:src:17623</x:v>
      </x:c>
      <x:c r="J54" s="31" t="d">
        <x:v>2026-10-24T00:00:00.000Z</x:v>
      </x:c>
      <x:c r="K54" s="35" t="n">
        <x:v>46</x:v>
      </x:c>
      <x:c r="L54" s="29" t="str">
        <x:v>Hayır</x:v>
      </x:c>
      <x:c r="M54" s="29" t="str">
        <x:v>İnceleme</x:v>
      </x:c>
      <x:c r="N54" s="29" t="str">
        <x:v>bakersfield:fatura</x:v>
      </x:c>
      <x:c r="O54" s="29" t="str">
        <x:v>Programın tıbbi uygunluk koşulunu incele
Gerekli sağlık onayını başvuruya ekle
Cihaz için yedek güç ve iletişim planını oluştur</x:v>
      </x:c>
      <x:c r="P54" s="29" t="str">
        <x:v>Programın istediği sağlık onayı
Cihaz bilgileri</x:v>
      </x:c>
      <x:c r="Q54" s="29" t="str">
        <x:v>Başvuru kodunu sağlık uygulayıcısıyla paylaş; kesinti hazırlığını onay sürecinden bağımsız tamamla.</x:v>
      </x:c>
      <x:c r="R54" s="29" t="str">
        <x:v>Uygun enerji tahsisini etkileyen programdır; sıfır fatura veya kesintisiz enerji hizmeti değildir.</x:v>
      </x:c>
      <x:c r="S54" s="29"/>
      <x:c r="T54" s="29"/>
    </x:row>
    <x:row r="55" ht="96" customHeight="1">
      <x:c r="A55" s="29" t="str">
        <x:v>bakersfield:enerji-kesintisi</x:v>
      </x:c>
      <x:c r="B55" s="29" t="str">
        <x:v>bakersfield</x:v>
      </x:c>
      <x:c r="C55" s="29" t="str">
        <x:v>enerji-kesintisi</x:v>
      </x:c>
      <x:c r="D55" s="29" t="str">
        <x:v>Kesinti haritası ve bildirimlerini hazır tut</x:v>
      </x:c>
      <x:c r="E55" s="29" t="str">
        <x:v>Faturalar ve internet</x:v>
      </x:c>
      <x:c r="F55" s="29" t="str">
        <x:v>PG&amp;E kesinti hizmetleri, adresteki bildirimi ve mevcut kesintinin durumunu takip etmeye yarar. Haritada bir tahmin görülmesi, elektriğin kesin o saatte geleceği anlamına gelmez. Evde şarj, aydınlatma, ilaç saklama veya tıbbi cihaz ihtiyacı varsa kendi hazırlığını bu belirsizliğe göre yap.</x:v>
      </x:c>
      <x:c r="G55" s="29" t="str">
        <x:v>Kesinti haritası ve bildirimlerini hazır tut</x:v>
      </x:c>
      <x:c r="H55" s="29" t="str">
        <x:v>before;new;settled</x:v>
      </x:c>
      <x:c r="I55" s="29" t="str">
        <x:v>bakersfield:src:17624</x:v>
      </x:c>
      <x:c r="J55" s="31" t="d">
        <x:v>2026-10-24T00:00:00.000Z</x:v>
      </x:c>
      <x:c r="K55" s="35" t="n">
        <x:v>47</x:v>
      </x:c>
      <x:c r="L55" s="29" t="str">
        <x:v>Hayır</x:v>
      </x:c>
      <x:c r="M55" s="29" t="str">
        <x:v>İnceleme</x:v>
      </x:c>
      <x:c r="N55" s="29" t="str">
        <x:v>bakersfield:fatura</x:v>
      </x:c>
      <x:c r="O55" s="29" t="str">
        <x:v>Hesabındaki telefon ve e-posta bilgilerini güncelle
Kesintiyi resmî haritadan izle veya bildir
Önemli cihazlar için yedek planı erişilebilir tut</x:v>
      </x:c>
      <x:c r="P55" s="29" t="str">
        <x:v>Hizmet adresi
Hesap iletişim bilgileri</x:v>
      </x:c>
      <x:c r="Q55" s="29" t="str">
        <x:v>Kesinti bildirimindeki tahmini dönüş saati değişebilir; acil tıbbi ihtiyaçta enerji dönüşünü bekleme.</x:v>
      </x:c>
      <x:c r="R55" s="29" t="str">
        <x:v>Yedek güç, soğuk saklama ve ulaşım giderlerini kişisel ihtiyaca göre planla; harita otomatik tazminat kararı değildir.</x:v>
      </x:c>
      <x:c r="S55" s="29"/>
      <x:c r="T55" s="29"/>
    </x:row>
    <x:row r="56" ht="96" customHeight="1">
      <x:c r="A56" s="29" t="str">
        <x:v>bakersfield:dogalgaz</x:v>
      </x:c>
      <x:c r="B56" s="29" t="str">
        <x:v>bakersfield</x:v>
      </x:c>
      <x:c r="C56" s="29" t="str">
        <x:v>dogalgaz</x:v>
      </x:c>
      <x:c r="D56" s="29" t="str">
        <x:v>Gaz sağlayıcısını elektrik hesabından ayrı doğrula</x:v>
      </x:c>
      <x:c r="E56" s="29" t="str">
        <x:v>Faturalar ve internet</x:v>
      </x:c>
      <x:c r="F56" s="29" t="str">
        <x:v>Elektrik ve doğal gaz aynı şirketten gelmek zorunda değildir. Bakersfield çevresinde gaz hesabı açarken adresin hizmet kapsamını sağlayıcıdan doğrula. Açılış için ekip ziyareti veya yetişkinin adreste bulunması gerekiyorsa bu koşulu ev teslimiyle eşleştir; mevcut tesisata kendi müdahaleni yapma.</x:v>
      </x:c>
      <x:c r="G56" s="29" t="str">
        <x:v>Gaz sağlayıcısını elektrik hesabından ayrı doğrula</x:v>
      </x:c>
      <x:c r="H56" s="29" t="str">
        <x:v>before;new;settled</x:v>
      </x:c>
      <x:c r="I56" s="29" t="str">
        <x:v>bakersfield:src:6816;bakersfield:src:6302</x:v>
      </x:c>
      <x:c r="J56" s="31" t="d">
        <x:v>2026-10-24T00:00:00.000Z</x:v>
      </x:c>
      <x:c r="K56" s="35" t="n">
        <x:v>48</x:v>
      </x:c>
      <x:c r="L56" s="29" t="str">
        <x:v>Hayır</x:v>
      </x:c>
      <x:c r="M56" s="29" t="str">
        <x:v>İnceleme</x:v>
      </x:c>
      <x:c r="N56" s="29" t="str">
        <x:v>bakersfield:fatura</x:v>
      </x:c>
      <x:c r="O56" s="29" t="str">
        <x:v>Gaz sağlayıcısını tam adresle belirle
Açılış koşulu ve randevuyu al
Hesap başlangıç tarihini sözleşme dosyana ekle</x:v>
      </x:c>
      <x:c r="P56" s="29" t="str">
        <x:v>Tam adres
Abonelik bilgileri</x:v>
      </x:c>
      <x:c r="Q56" s="29" t="str">
        <x:v>Ekip erişimi ve yetişkinin adreste bulunması gerekiyorsa teslim gününden önce randevu oluştur.</x:v>
      </x:c>
      <x:c r="R56" s="29" t="str">
        <x:v>Gaz ve elektrik faturalarını ayrı hesapla; başlangıç veya ziyaret bedeli varsa sağlayıcının işlem özetinden öğren.</x:v>
      </x:c>
      <x:c r="S56" s="29"/>
      <x:c r="T56" s="29"/>
    </x:row>
    <x:row r="57" ht="96" customHeight="1">
      <x:c r="A57" s="29" t="str">
        <x:v>bakersfield:su-baslat</x:v>
      </x:c>
      <x:c r="B57" s="29" t="str">
        <x:v>bakersfield</x:v>
      </x:c>
      <x:c r="C57" s="29" t="str">
        <x:v>su-baslat</x:v>
      </x:c>
      <x:c r="D57" s="29" t="str">
        <x:v>Su aboneliğini doğru hizmet bölgesinde aç</x:v>
      </x:c>
      <x:c r="E57" s="29" t="str">
        <x:v>Faturalar ve internet</x:v>
      </x:c>
      <x:c r="F57" s="29" t="str">
        <x:v>Cal Water'ın Bakersfield sayfası hem bölge bilgilerini hem hizmet kanallarını gösterir. Başlatma sayfasında doğru hizmet bölgesini seçmek önemlidir; sitenin önceden seçili bölgesi adresinle aynı olmayabilir. Cal Water su açılışında 18 yaş ve adreste yetişkin bulunması koşullarını açıklar.</x:v>
      </x:c>
      <x:c r="G57" s="29" t="str">
        <x:v>Su aboneliğini doğru hizmet bölgesinde aç</x:v>
      </x:c>
      <x:c r="H57" s="29" t="str">
        <x:v>before;new;settled</x:v>
      </x:c>
      <x:c r="I57" s="29" t="str">
        <x:v>bakersfield:src:17625;bakersfield:src:17626</x:v>
      </x:c>
      <x:c r="J57" s="31" t="d">
        <x:v>2026-10-24T00:00:00.000Z</x:v>
      </x:c>
      <x:c r="K57" s="35" t="n">
        <x:v>49</x:v>
      </x:c>
      <x:c r="L57" s="29" t="str">
        <x:v>Hayır</x:v>
      </x:c>
      <x:c r="M57" s="29" t="str">
        <x:v>İnceleme</x:v>
      </x:c>
      <x:c r="N57" s="29" t="str">
        <x:v>bakersfield:fatura</x:v>
      </x:c>
      <x:c r="O57" s="29" t="str">
        <x:v>Bakersfield hizmet bölgesi ve adresini eşleştir
Başlatma tarihini ve adreste bulunma koşulunu planla
Onay ve sayaç bilgisini kaydet</x:v>
      </x:c>
      <x:c r="P57" s="29" t="str">
        <x:v>Hizmet adresi
Başlangıç tarihi</x:v>
      </x:c>
      <x:c r="Q57" s="29" t="str">
        <x:v>Başvuran en az 18 yaşında olmalı; su açılırken adreste 18 yaş ve üstü biri bulunmalıdır.</x:v>
      </x:c>
      <x:c r="R57" s="29" t="str">
        <x:v>Su hizmeti ücreti, sayaç ve tarife koşullarına bağlıdır; başvuru ve tüketimi ayrı izle.</x:v>
      </x:c>
      <x:c r="S57" s="29"/>
      <x:c r="T57" s="29"/>
    </x:row>
    <x:row r="58" ht="96" customHeight="1">
      <x:c r="A58" s="29" t="str">
        <x:v>bakersfield:su-kanallari</x:v>
      </x:c>
      <x:c r="B58" s="29" t="str">
        <x:v>bakersfield</x:v>
      </x:c>
      <x:c r="C58" s="29" t="str">
        <x:v>su-kanallari</x:v>
      </x:c>
      <x:c r="D58" s="29" t="str">
        <x:v>Cal Water için şubeye gitmeden hizmet kanalını seç</x:v>
      </x:c>
      <x:c r="E58" s="29" t="str">
        <x:v>Faturalar ve internet</x:v>
      </x:c>
      <x:c r="F58" s="29" t="str">
        <x:v>Cal Water'ın Bakersfield bölge sayfası, South H Street adresinde yüz yüze müşteri hizmeti verilmediğini belirtir. İşlemini telefon, e-posta, çevrim içi hesap veya belirtilen ödeme kanalları üzerinden planlamak gereksiz yolculuğu önler. Bölge telefonu ve ödeme yöntemi, genel şirket merkezinden farklı olabilir.</x:v>
      </x:c>
      <x:c r="G58" s="29" t="str">
        <x:v>Cal Water için şubeye gitmeden hizmet kanalını seç</x:v>
      </x:c>
      <x:c r="H58" s="29" t="str">
        <x:v>before;new;settled</x:v>
      </x:c>
      <x:c r="I58" s="29" t="str">
        <x:v>bakersfield:src:17625</x:v>
      </x:c>
      <x:c r="J58" s="31" t="d">
        <x:v>2026-10-24T00:00:00.000Z</x:v>
      </x:c>
      <x:c r="K58" s="35" t="n">
        <x:v>50</x:v>
      </x:c>
      <x:c r="L58" s="29" t="str">
        <x:v>Hayır</x:v>
      </x:c>
      <x:c r="M58" s="29" t="str">
        <x:v>İnceleme</x:v>
      </x:c>
      <x:c r="N58" s="29" t="str">
        <x:v>bakersfield:fatura</x:v>
      </x:c>
      <x:c r="O58" s="29" t="str">
        <x:v>Bakersfield bölge sayfasındaki kanalı seç
Hesap ve hizmet adresini hazırla
İşlem sonucunu yazılı kayıtla sakla</x:v>
      </x:c>
      <x:c r="P58" s="29" t="str">
        <x:v>Hesap numarası
Hizmet adresi</x:v>
      </x:c>
      <x:c r="Q58" s="29" t="str">
        <x:v>Bakersfield müşteri hizmeti pazartesi–cuma 07.00–19.00; (661) 837-7200. South H Street noktasında yüz yüze hizmet verilmiyor.</x:v>
      </x:c>
      <x:c r="R58" s="29" t="str">
        <x:v>Ödeme kanalının varsa hizmet bedelini işlemden önce gör; yüz yüze hizmet varmış gibi adrese gitme.</x:v>
      </x:c>
      <x:c r="S58" s="29"/>
      <x:c r="T58" s="29"/>
    </x:row>
    <x:row r="59" ht="96" customHeight="1">
      <x:c r="A59" s="29" t="str">
        <x:v>bakersfield:su-kacak</x:v>
      </x:c>
      <x:c r="B59" s="29" t="str">
        <x:v>bakersfield</x:v>
      </x:c>
      <x:c r="C59" s="29" t="str">
        <x:v>su-kacak</x:v>
      </x:c>
      <x:c r="D59" s="29" t="str">
        <x:v>Su kaçağında yer ve sayaç kaydı tut</x:v>
      </x:c>
      <x:c r="E59" s="29" t="str">
        <x:v>Faturalar ve internet</x:v>
      </x:c>
      <x:c r="F59" s="29" t="str">
        <x:v>Su tüketiminde beklenmedik artış olduğunda fatura dönemi, sayaç okuması ve görünür kaçakları birlikte değerlendir. Kiralık evde bina içi bakım talebi ile sağlayıcının şebeke arızası bildirimi farklı olabilir. Sorunun yeri ve zamanını kaydetmek doğru kuruma ulaşmayı kolaylaştırır.</x:v>
      </x:c>
      <x:c r="G59" s="29" t="str">
        <x:v>Su kaçağında yer ve sayaç kaydı tut</x:v>
      </x:c>
      <x:c r="H59" s="29" t="str">
        <x:v>before;new;settled</x:v>
      </x:c>
      <x:c r="I59" s="29" t="str">
        <x:v>bakersfield:src:17625;bakersfield:src:17689</x:v>
      </x:c>
      <x:c r="J59" s="31" t="d">
        <x:v>2026-10-24T00:00:00.000Z</x:v>
      </x:c>
      <x:c r="K59" s="35" t="n">
        <x:v>51</x:v>
      </x:c>
      <x:c r="L59" s="29" t="str">
        <x:v>Hayır</x:v>
      </x:c>
      <x:c r="M59" s="29" t="str">
        <x:v>İnceleme</x:v>
      </x:c>
      <x:c r="N59" s="29" t="str">
        <x:v>bakersfield:fatura</x:v>
      </x:c>
      <x:c r="O59" s="29" t="str">
        <x:v>Faturadaki dönem ve tüketimi karşılaştır
Kaçağın yerini fotoğrafla kaydet
Ev yönetimi veya su sağlayıcısına uygun bildirimi yap</x:v>
      </x:c>
      <x:c r="P59" s="29" t="str">
        <x:v>Fatura
Sayaç bilgisi
Arıza kaydı</x:v>
      </x:c>
      <x:c r="Q59" s="29" t="str">
        <x:v>Ani tüketim artışı veya görünür kaçakta kaydı geciktirmeden oluştur ve ilgili sorumluya bildir.</x:v>
      </x:c>
      <x:c r="R59" s="29" t="str">
        <x:v>Onarım bedelinin kime ait olduğu kaçağın yerine ve sorumluluğa bağlıdır; şebeke arızasıyla kiracı hasarını ayır.</x:v>
      </x:c>
      <x:c r="S59" s="29"/>
      <x:c r="T59" s="29"/>
    </x:row>
    <x:row r="60" ht="96" customHeight="1">
      <x:c r="A60" s="29" t="str">
        <x:v>bakersfield:su-destek</x:v>
      </x:c>
      <x:c r="B60" s="29" t="str">
        <x:v>bakersfield</x:v>
      </x:c>
      <x:c r="C60" s="29" t="str">
        <x:v>su-destek</x:v>
      </x:c>
      <x:c r="D60" s="29" t="str">
        <x:v>Su faturası desteğini enerji indiriminden ayır</x:v>
      </x:c>
      <x:c r="E60" s="29" t="str">
        <x:v>Faturalar ve internet</x:v>
      </x:c>
      <x:c r="F60" s="29" t="str">
        <x:v>Cal Water müşteri destek seçenekleri kendi başvuru ve uygunluk koşullarına sahiptir. PG&amp;E CARE onayı, su hesabında bütün yardımların kendiliğinden başlayacağı anlamına gelmez. Su sağlayıcısının destek sayfasından adresin ve hesabın için geçerli seçeneği belirle.</x:v>
      </x:c>
      <x:c r="G60" s="29" t="str">
        <x:v>Su faturası desteğini enerji indiriminden ayır</x:v>
      </x:c>
      <x:c r="H60" s="29" t="str">
        <x:v>before;new;settled</x:v>
      </x:c>
      <x:c r="I60" s="29" t="str">
        <x:v>bakersfield:src:17627</x:v>
      </x:c>
      <x:c r="J60" s="31" t="d">
        <x:v>2026-10-24T00:00:00.000Z</x:v>
      </x:c>
      <x:c r="K60" s="35" t="n">
        <x:v>52</x:v>
      </x:c>
      <x:c r="L60" s="29" t="str">
        <x:v>Hayır</x:v>
      </x:c>
      <x:c r="M60" s="29" t="str">
        <x:v>İnceleme</x:v>
      </x:c>
      <x:c r="N60" s="29" t="str">
        <x:v>bakersfield:fatura</x:v>
      </x:c>
      <x:c r="O60" s="29" t="str">
        <x:v>Su sağlayıcını ve hesabını doğrula
Müşteri destek koşullarını incele
İstenen uygunluk belgeleriyle başvuruyu tamamla</x:v>
      </x:c>
      <x:c r="P60" s="29" t="str">
        <x:v>Hesap bilgisi
İstenen uygunluk kanıtı</x:v>
      </x:c>
      <x:c r="Q60" s="29" t="str">
        <x:v>Uygunluk genel olarak iki yılda; 62 yaş üstü veya engelli müşteride dört yılda yeniden belgelenir.</x:v>
      </x:c>
      <x:c r="R60" s="29" t="str">
        <x:v>Cal Water CAP, uygun müşteriye 5/8 × 3/4 inç sayaç hizmet bedelinin yüzde 50’si kadar sabit aylık indirim sağlar; tüm faturanın yarısı değildir.</x:v>
      </x:c>
      <x:c r="S60" s="29"/>
      <x:c r="T60" s="29"/>
    </x:row>
    <x:row r="61" ht="96" customHeight="1">
      <x:c r="A61" s="29" t="str">
        <x:v>bakersfield:internet-adres</x:v>
      </x:c>
      <x:c r="B61" s="29" t="str">
        <x:v>bakersfield</x:v>
      </x:c>
      <x:c r="C61" s="29" t="str">
        <x:v>internet-adres</x:v>
      </x:c>
      <x:c r="D61" s="29" t="str">
        <x:v>İnternet teklifini tam adreste karşılaştır</x:v>
      </x:c>
      <x:c r="E61" s="29" t="str">
        <x:v>Faturalar ve internet</x:v>
      </x:c>
      <x:c r="F61" s="29" t="str">
        <x:v>Bir sağlayıcının Bakersfield'da hizmet vermesi, seçtiğin binada aynı hız veya bağlantı türünü sunacağı anlamına gelmez. FCC geniş bant haritası başlangıç noktasıdır; kurulumun binada mümkün olması ve teklifin koşulları sağlayıcıyla netleşir. Upload hızı, veri sınırı ve ekipman ücreti evden çalışmada özellikle önemlidir.</x:v>
      </x:c>
      <x:c r="G61" s="29" t="str">
        <x:v>İnternet teklifini tam adreste karşılaştır</x:v>
      </x:c>
      <x:c r="H61" s="29" t="str">
        <x:v>before;new;settled</x:v>
      </x:c>
      <x:c r="I61" s="29" t="str">
        <x:v>bakersfield:src:6304;bakersfield:src:6827</x:v>
      </x:c>
      <x:c r="J61" s="31" t="d">
        <x:v>2026-10-24T00:00:00.000Z</x:v>
      </x:c>
      <x:c r="K61" s="35" t="n">
        <x:v>53</x:v>
      </x:c>
      <x:c r="L61" s="29" t="str">
        <x:v>Hayır</x:v>
      </x:c>
      <x:c r="M61" s="29" t="str">
        <x:v>İnceleme</x:v>
      </x:c>
      <x:c r="N61" s="29" t="str">
        <x:v>bakersfield:fatura</x:v>
      </x:c>
      <x:c r="O61" s="29" t="str">
        <x:v>FCC haritasında tam adresi sorgula
Binadaki kurulum ve bağlantı türünü sağlayıcıyla eşleştir
Toplam aylık ve ilk kurulum bedelini karşılaştır</x:v>
      </x:c>
      <x:c r="P61" s="29" t="str">
        <x:v>Tam adres
Sağlayıcı teklifleri</x:v>
      </x:c>
      <x:c r="Q61" s="29" t="str">
        <x:v>Sözleşmeden önce binada gerçek bağlantı/kurulum imkanını sağlayıcıyla teyit et.</x:v>
      </x:c>
      <x:c r="R61" s="29" t="str">
        <x:v>İlk kurulum, modem, aylık ücret, veri aşımı ve kampanya sonu fiyatını birlikte karşılaştır.</x:v>
      </x:c>
      <x:c r="S61" s="29"/>
      <x:c r="T61" s="29"/>
    </x:row>
    <x:row r="62" ht="96" customHeight="1">
      <x:c r="A62" s="29" t="str">
        <x:v>bakersfield:internet-etiket</x:v>
      </x:c>
      <x:c r="B62" s="29" t="str">
        <x:v>bakersfield</x:v>
      </x:c>
      <x:c r="C62" s="29" t="str">
        <x:v>internet-etiket</x:v>
      </x:c>
      <x:c r="D62" s="29" t="str">
        <x:v>Geniş bant etiketindeki toplam bedeli oku</x:v>
      </x:c>
      <x:c r="E62" s="29" t="str">
        <x:v>Faturalar ve internet</x:v>
      </x:c>
      <x:c r="F62" s="29" t="str">
        <x:v>Geniş bant tüketici etiketi, tarifelerin fiyat ve performans bilgilerini karşılaştırmayı kolaylaştırır. Reklamdaki başlangıç bedeliyle kampanya sonrası fiyatı ayır. Modem, kurulum, sözleşme sonlandırma ve veri sınırı gibi kalemleri de değerlendir; yalnız en yüksek indirme hızına göre karar verme.</x:v>
      </x:c>
      <x:c r="G62" s="29" t="str">
        <x:v>Geniş bant etiketindeki toplam bedeli oku</x:v>
      </x:c>
      <x:c r="H62" s="29" t="str">
        <x:v>before;new;settled</x:v>
      </x:c>
      <x:c r="I62" s="29" t="str">
        <x:v>bakersfield:src:6304</x:v>
      </x:c>
      <x:c r="J62" s="31" t="d">
        <x:v>2026-10-24T00:00:00.000Z</x:v>
      </x:c>
      <x:c r="K62" s="35" t="n">
        <x:v>54</x:v>
      </x:c>
      <x:c r="L62" s="29" t="str">
        <x:v>Hayır</x:v>
      </x:c>
      <x:c r="M62" s="29" t="str">
        <x:v>İnceleme</x:v>
      </x:c>
      <x:c r="N62" s="29" t="str">
        <x:v>bakersfield:fatura</x:v>
      </x:c>
      <x:c r="O62" s="29" t="str">
        <x:v>Tarifenin tüketici etiketini kaydet
Kampanya sonu ve ek ücretleri işaretle
İndirme, yükleme ve gecikme değerlerini ihtiyacınla karşılaştır</x:v>
      </x:c>
      <x:c r="P62" s="29" t="str">
        <x:v>Tarife etiketi
Sözleşme</x:v>
      </x:c>
      <x:c r="Q62" s="29" t="str">
        <x:v>Teklif anındaki etiketi sakla; kampanya bitiş tarihine hatırlatıcı koy.</x:v>
      </x:c>
      <x:c r="R62" s="29" t="str">
        <x:v>Etikette aylık fiyat ve ek ücretleri ayır; kampanya bitişinden sonraki tutarı bütçene işle.</x:v>
      </x:c>
      <x:c r="S62" s="29"/>
      <x:c r="T62" s="29"/>
    </x:row>
    <x:row r="63" ht="96" customHeight="1">
      <x:c r="A63" s="29" t="str">
        <x:v>bakersfield:telefon-tasima</x:v>
      </x:c>
      <x:c r="B63" s="29" t="str">
        <x:v>bakersfield</x:v>
      </x:c>
      <x:c r="C63" s="29" t="str">
        <x:v>telefon-tasima</x:v>
      </x:c>
      <x:c r="D63" s="29" t="str">
        <x:v>Telefon numaranı taşırken eski hattı erken kapatma</x:v>
      </x:c>
      <x:c r="E63" s="29" t="str">
        <x:v>Faturalar ve internet</x:v>
      </x:c>
      <x:c r="F63" s="29" t="str">
        <x:v>Numara taşıma işlemini yeni sağlayıcı başlatır. Eski hesabı işlem tamamlanmadan kapatmak numaranın taşınmasını zorlaştırabilir. Hesap numarası, taşıma PIN'i, cihaz kilidi ve kalan cihaz borcu farklı konulardır; telefonun yeni şebekeyle uyumunu da ayrıca değerlendirmek gerekir.</x:v>
      </x:c>
      <x:c r="G63" s="29" t="str">
        <x:v>Telefon numaranı taşırken eski hattı erken kapatma</x:v>
      </x:c>
      <x:c r="H63" s="29" t="str">
        <x:v>before;new;settled</x:v>
      </x:c>
      <x:c r="I63" s="29" t="str">
        <x:v>bakersfield:src:6305</x:v>
      </x:c>
      <x:c r="J63" s="31" t="d">
        <x:v>2026-10-24T00:00:00.000Z</x:v>
      </x:c>
      <x:c r="K63" s="35" t="n">
        <x:v>55</x:v>
      </x:c>
      <x:c r="L63" s="29" t="str">
        <x:v>Hayır</x:v>
      </x:c>
      <x:c r="M63" s="29" t="str">
        <x:v>İnceleme</x:v>
      </x:c>
      <x:c r="N63" s="29" t="str">
        <x:v>bakersfield:fatura</x:v>
      </x:c>
      <x:c r="O63" s="29" t="str">
        <x:v>Yeni sağlayıcıdan taşıma koşullarını al
Hesap ve taşıma bilgilerini hazırla
Yeni hat çalıştıktan sonra eski hesabın kapanışını doğrula</x:v>
      </x:c>
      <x:c r="P63" s="29" t="str">
        <x:v>Eski hesap numarası
Gerekli taşıma PIN'i</x:v>
      </x:c>
      <x:c r="Q63" s="29" t="str">
        <x:v>Yeni sağlayıcıyla süreci başlatmadan eski hattı kapatma; cihaz ve hesap bilgileri tamamlanmadan tek süre vaat edilemez.</x:v>
      </x:c>
      <x:c r="R63" s="29" t="str">
        <x:v>Cihaz borcu ve sözleşme sonlandırma bedeli numara taşımadan ayrıdır; taşıma bedeli varsa önceden sor.</x:v>
      </x:c>
      <x:c r="S63" s="29"/>
      <x:c r="T63" s="29"/>
    </x:row>
    <x:row r="64" ht="138" customHeight="1">
      <x:c r="A64" s="29" t="str">
        <x:v>bakersfield:lifeline</x:v>
      </x:c>
      <x:c r="B64" s="29" t="str">
        <x:v>bakersfield</x:v>
      </x:c>
      <x:c r="C64" s="29" t="str">
        <x:v>lifeline</x:v>
      </x:c>
      <x:c r="D64" s="29" t="str">
        <x:v>LifeLine telefon desteğinin koşullarını ayır</x:v>
      </x:c>
      <x:c r="E64" s="29" t="str">
        <x:v>Faturalar ve internet</x:v>
      </x:c>
      <x:c r="F64" s="29" t="str">
        <x:v>California LifeLine, uygun haneler için iletişim hizmeti desteği sunar. Katılan şirketler, uygunluk ve hane başına yararlanma koşulları program kurallarına bağlıdır. İnternetteki her “ücretsiz telefon” ilanı aynı programı temsil etmez; başvuruyu resmî program ve katılımcı sağlayıcı üzerinden değerlendir.</x:v>
      </x:c>
      <x:c r="G64" s="29" t="str">
        <x:v>LifeLine telefon desteğinin koşullarını ayır</x:v>
      </x:c>
      <x:c r="H64" s="29" t="str">
        <x:v>before;new;settled</x:v>
      </x:c>
      <x:c r="I64" s="29" t="str">
        <x:v>bakersfield:src:17868;bakersfield:src:17629</x:v>
      </x:c>
      <x:c r="J64" s="31" t="d">
        <x:v>2026-10-24T00:00:00.000Z</x:v>
      </x:c>
      <x:c r="K64" s="35" t="n">
        <x:v>56</x:v>
      </x:c>
      <x:c r="L64" s="29" t="str">
        <x:v>Hayır</x:v>
      </x:c>
      <x:c r="M64" s="29" t="str">
        <x:v>İnceleme</x:v>
      </x:c>
      <x:c r="N64" s="29" t="str">
        <x:v>bakersfield:fatura</x:v>
      </x:c>
      <x:c r="O64" s="29" t="str">
        <x:v>Programın gelir veya yardım uygunluğunu oku
Katılımcı sağlayıcıyı belirle
Hane bilgileri ve yenileme bildirimlerini takip et</x:v>
      </x:c>
      <x:c r="P64" s="29" t="str">
        <x:v>Uygunluk belgeleri
Hane bilgileri</x:v>
      </x:c>
      <x:c r="Q64" s="29" t="str">
        <x:v>Gelir veya uygun yardım programı yolunu seç; başvuru ve yenileme bildirimindeki son tarihi izle.</x:v>
      </x:c>
      <x:c r="R64" s="29" t="str">
        <x:v>California LifeLine hane başına bir indirimli telefon hizmeti sağlar; istisnalar program kurallarındadır. Tek kişide yıllık brüt gelir eşiği 24.600 USD, dört kişide 50.800 USD (1 Haziran 2026–31 Mayıs 2027).</x:v>
      </x:c>
      <x:c r="S64" s="29"/>
      <x:c r="T64" s="29"/>
    </x:row>
    <x:row r="65" ht="96" customHeight="1">
      <x:c r="A65" s="29" t="str">
        <x:v>bakersfield:otomatik-odeme</x:v>
      </x:c>
      <x:c r="B65" s="29" t="str">
        <x:v>bakersfield</x:v>
      </x:c>
      <x:c r="C65" s="29" t="str">
        <x:v>otomatik-odeme</x:v>
      </x:c>
      <x:c r="D65" s="29" t="str">
        <x:v>Otomatik ödemede ilk ve son faturayı izle</x:v>
      </x:c>
      <x:c r="E65" s="29" t="str">
        <x:v>Faturalar ve internet</x:v>
      </x:c>
      <x:c r="F65" s="29" t="str">
        <x:v>Otomatik ödeme kurmak, bütün faturaların doğru ve tartışmasız olduğu anlamına gelmez. Aboneliğin ilk döneminde kurulum ve kısmi dönem bedelleri, kapanışta ise son tüketim ve iade görülebilir. Hesap sahibinin e-posta adresi ve ödeme yöntemi erişilebilir olmalı; başkasının hesabını kalıcı çözüm olarak kullanma.</x:v>
      </x:c>
      <x:c r="G65" s="29" t="str">
        <x:v>Otomatik ödemede ilk ve son faturayı izle</x:v>
      </x:c>
      <x:c r="H65" s="29" t="str">
        <x:v>before;new;settled</x:v>
      </x:c>
      <x:c r="I65" s="29" t="str">
        <x:v>bakersfield:src:6816;bakersfield:src:17626</x:v>
      </x:c>
      <x:c r="J65" s="31" t="d">
        <x:v>2026-10-24T00:00:00.000Z</x:v>
      </x:c>
      <x:c r="K65" s="35" t="n">
        <x:v>57</x:v>
      </x:c>
      <x:c r="L65" s="29" t="str">
        <x:v>Hayır</x:v>
      </x:c>
      <x:c r="M65" s="29" t="str">
        <x:v>İnceleme</x:v>
      </x:c>
      <x:c r="N65" s="29" t="str">
        <x:v>bakersfield:fatura</x:v>
      </x:c>
      <x:c r="O65" s="29" t="str">
        <x:v>Otomatik ödemenin başlama tarihini kaydet
İlk iki faturayı kalem bazında karşılaştır
Taşınırken kapatma ve son ödeme onaylarını sakla</x:v>
      </x:c>
      <x:c r="P65" s="29" t="str">
        <x:v>Abonelik onayı
Ödeme kayıtları</x:v>
      </x:c>
      <x:c r="Q65" s="29" t="str">
        <x:v>İlk ödeme tarihinden önce hesabın etkinleşmesini gör; taşınma sonrasında son faturayı bekle.</x:v>
      </x:c>
      <x:c r="R65" s="29" t="str">
        <x:v>Kurulum, kısmi dönem ve kapanış bedellerini otomatik ödemeden bağımsız incele.</x:v>
      </x:c>
      <x:c r="S65" s="29"/>
      <x:c r="T65" s="29"/>
    </x:row>
    <x:row r="66" ht="96" customHeight="1">
      <x:c r="A66" s="29" t="str">
        <x:v>bakersfield:fatura-itirazi</x:v>
      </x:c>
      <x:c r="B66" s="29" t="str">
        <x:v>bakersfield</x:v>
      </x:c>
      <x:c r="C66" s="29" t="str">
        <x:v>fatura-itirazi</x:v>
      </x:c>
      <x:c r="D66" s="29" t="str">
        <x:v>Yanlış faturayı belgeyle itiraz et</x:v>
      </x:c>
      <x:c r="E66" s="29" t="str">
        <x:v>Faturalar ve internet</x:v>
      </x:c>
      <x:c r="F66" s="29" t="str">
        <x:v>Beklenmedik faturada hesap numarası, dönem, sayaç veya tarife bilgisi ve önceki ödeme kaydını bir araya getir. Önce sağlayıcının müşteri kanalına somut itiraz ilet. Çözülemeyen düzenlemeye tabi hizmet şikâyetlerinde CPUC'nin kapsamına girip girmediğini değerlendir; her belediye hizmeti CPUC yetkisinde değildir.</x:v>
      </x:c>
      <x:c r="G66" s="29" t="str">
        <x:v>Yanlış faturayı belgeyle itiraz et</x:v>
      </x:c>
      <x:c r="H66" s="29" t="str">
        <x:v>before;new;settled</x:v>
      </x:c>
      <x:c r="I66" s="29" t="str">
        <x:v>bakersfield:src:17628</x:v>
      </x:c>
      <x:c r="J66" s="31" t="d">
        <x:v>2026-10-24T00:00:00.000Z</x:v>
      </x:c>
      <x:c r="K66" s="35" t="n">
        <x:v>58</x:v>
      </x:c>
      <x:c r="L66" s="29" t="str">
        <x:v>Hayır</x:v>
      </x:c>
      <x:c r="M66" s="29" t="str">
        <x:v>İnceleme</x:v>
      </x:c>
      <x:c r="N66" s="29" t="str">
        <x:v>bakersfield:fatura</x:v>
      </x:c>
      <x:c r="O66" s="29" t="str">
        <x:v>İtiraz edilen kalemi ve tutarı belirle
Sağlayıcıdan dosya veya başvuru numarası al
Yanıt ve kanıtlarla uygun düzenleyici başvurusunu yap</x:v>
      </x:c>
      <x:c r="P66" s="29" t="str">
        <x:v>Fatura
Ödeme kanıtı
İtiraz kaydı</x:v>
      </x:c>
      <x:c r="Q66" s="29" t="str">
        <x:v>Önce sağlayıcıya başvur, dosya numarası al; sonuç ve yetki kapsamına göre CPUC kanalına taşı.</x:v>
      </x:c>
      <x:c r="R66" s="29" t="str">
        <x:v>Tartışmalı tutarı ve ödediğin tutarı ayrı kaydet; itiraz açılması bütün ödemeleri kendiliğinden durdurmaz.</x:v>
      </x:c>
      <x:c r="S66" s="29"/>
      <x:c r="T66" s="29"/>
    </x:row>
    <x:row r="67" ht="124" customHeight="1">
      <x:c r="A67" s="29" t="str">
        <x:v>bakersfield:zorunlu-internet</x:v>
      </x:c>
      <x:c r="B67" s="29" t="str">
        <x:v>bakersfield</x:v>
      </x:c>
      <x:c r="C67" s="29" t="str">
        <x:v>zorunlu-internet</x:v>
      </x:c>
      <x:c r="D67" s="29" t="str">
        <x:v>Kira paketindeki interneti ayrıca değerlendir</x:v>
      </x:c>
      <x:c r="E67" s="29" t="str">
        <x:v>Faturalar ve internet</x:v>
      </x:c>
      <x:c r="F67" s="29" t="str">
        <x:v>Kaliforniya'da 1 Ocak 2026 ve sonrasında başlayan, yenilenen veya aydan aya ya da diğer dönemsel biçimde devam eden konut kiralamalarında, kiraya bağlı üçüncü taraf internet aboneliğine ödeme yapmaktan çıkma hakkı bulunur. Kural, toplu internet anlaşmasını tümüyle yasaklamaz; kiracıya seçim sağlar. Sözleşme türünü ve internet bedelini ayrı kaydet; kiradan kesme gibi yasal bir yolu somut koşullarıyla değerlendir.</x:v>
      </x:c>
      <x:c r="G67" s="29" t="str">
        <x:v>Kira paketindeki interneti ayrıca değerlendir</x:v>
      </x:c>
      <x:c r="H67" s="29" t="str">
        <x:v>before;new;settled</x:v>
      </x:c>
      <x:c r="I67" s="29" t="str">
        <x:v>bakersfield:src:17617;bakersfield:src:17867</x:v>
      </x:c>
      <x:c r="J67" s="31" t="d">
        <x:v>2026-10-24T00:00:00.000Z</x:v>
      </x:c>
      <x:c r="K67" s="35" t="n">
        <x:v>59</x:v>
      </x:c>
      <x:c r="L67" s="29" t="str">
        <x:v>Hayır</x:v>
      </x:c>
      <x:c r="M67" s="29" t="str">
        <x:v>İnceleme</x:v>
      </x:c>
      <x:c r="N67" s="29" t="str">
        <x:v>bakersfield:fatura</x:v>
      </x:c>
      <x:c r="O67" s="29" t="str">
        <x:v>Sözleşmenin dönemsel olup olmadığını belirle
İnternet ücretinin ayrı kalemini bul
Koşullar uygunsa seçimini ev sahibine yazılı ilet</x:v>
      </x:c>
      <x:c r="P67" s="29" t="str">
        <x:v>Kira sözleşmesi
İnternet ücret dökümü</x:v>
      </x:c>
      <x:c r="Q67" s="29" t="str">
        <x:v>1 Ocak 2026 ve sonrasında başlayan, yenilenen veya aydan aya/diğer dönemsel biçimde devam eden kiralamaların kapsamını sözleşmene uygula.</x:v>
      </x:c>
      <x:c r="R67" s="29" t="str">
        <x:v>Kapsama giren internet aboneliğinden çıkma hakkını ve ayrı bedeli yazılı belirt; diğer kira borçlarından bağımsız değerlendir.</x:v>
      </x:c>
      <x:c r="S67" s="29"/>
      <x:c r="T67" s="29"/>
    </x:row>
    <x:row r="68" ht="96" customHeight="1">
      <x:c r="A68" s="29" t="str">
        <x:v>bakersfield:banka-hesabi</x:v>
      </x:c>
      <x:c r="B68" s="29" t="str">
        <x:v>bakersfield</x:v>
      </x:c>
      <x:c r="C68" s="29" t="str">
        <x:v>banka-hesabi</x:v>
      </x:c>
      <x:c r="D68" s="29" t="str">
        <x:v>Banka hesabını toplam maliyetle karşılaştır</x:v>
      </x:c>
      <x:c r="E68" s="29" t="str">
        <x:v>Banka ve para</x:v>
      </x:c>
      <x:c r="F68" s="29" t="str">
        <x:v>ABD'de günlük ödeme için checking, birikim için savings hesabı seçenekleriyle karşılaşırsın. Hesap açılış belgeleri bankaya ve ürüne göre değişir; tek bir bankanın SSN veya adres koşulunu bütün bankalara genelleme. Aylık ücret, minimum bakiye, ATM ve transfer masrafını birlikte karşılaştır.</x:v>
      </x:c>
      <x:c r="G68" s="29" t="str">
        <x:v>Banka hesabını toplam maliyetle karşılaştır</x:v>
      </x:c>
      <x:c r="H68" s="29" t="str">
        <x:v>before;new;settled</x:v>
      </x:c>
      <x:c r="I68" s="29" t="str">
        <x:v>bakersfield:src:6306</x:v>
      </x:c>
      <x:c r="J68" s="31" t="d">
        <x:v>2026-10-24T00:00:00.000Z</x:v>
      </x:c>
      <x:c r="K68" s="35" t="n">
        <x:v>60</x:v>
      </x:c>
      <x:c r="L68" s="29" t="str">
        <x:v>Evet</x:v>
      </x:c>
      <x:c r="M68" s="29" t="str">
        <x:v>İnceleme</x:v>
      </x:c>
      <x:c r="N68" s="29" t="str">
        <x:v>bakersfield:para</x:v>
      </x:c>
      <x:c r="O68" s="29" t="str">
        <x:v>Kimlik ve adres için kabul edilen belgeleri bankadan al
Aylık ücret ve muafiyet koşullarını yaz
Hesabın resmî ücret çizelgesini sakla</x:v>
      </x:c>
      <x:c r="P68" s="29" t="str">
        <x:v>Bankanın kabul ettiği kimlik ve adres belgeleri</x:v>
      </x:c>
      <x:c r="Q68" s="29" t="str">
        <x:v>Başvuru öncesi belgeleri hazırla; açılış ve kart teslim süresi bankanın kimlik incelemesine bağlıdır.</x:v>
      </x:c>
      <x:c r="R68" s="29" t="str">
        <x:v>Aylık bakım, ATM, havale ve minimum bakiye koşulları ürüne göre değişir; bankanın ücret çizelgesini esas al.</x:v>
      </x:c>
      <x:c r="S68" s="29"/>
      <x:c r="T68" s="29"/>
    </x:row>
    <x:row r="69" ht="96" customHeight="1">
      <x:c r="A69" s="29" t="str">
        <x:v>bakersfield:banka-kartlari</x:v>
      </x:c>
      <x:c r="B69" s="29" t="str">
        <x:v>bakersfield</x:v>
      </x:c>
      <x:c r="C69" s="29" t="str">
        <x:v>banka-kartlari</x:v>
      </x:c>
      <x:c r="D69" s="29" t="str">
        <x:v>Debit ve credit kartı ayır</x:v>
      </x:c>
      <x:c r="E69" s="29" t="str">
        <x:v>Banka ve para</x:v>
      </x:c>
      <x:c r="F69" s="29" t="str">
        <x:v>Debit kart genellikle mevcut hesabındaki parayı kullanır; credit kart borçlanma ve geri ödeme düzeni oluşturur. İkisinin harcama limiti, itiraz işlemi ve ücretleri aynı değildir. Kredi geçmişi oluşturmak istiyorsan ürünün kredi bürolarına raporlama biçimini ayrıca öğren; debit kart kullanımını bununla eş tutma.</x:v>
      </x:c>
      <x:c r="G69" s="29" t="str">
        <x:v>Debit ve credit kartı ayır</x:v>
      </x:c>
      <x:c r="H69" s="29" t="str">
        <x:v>before;new;settled</x:v>
      </x:c>
      <x:c r="I69" s="29" t="str">
        <x:v>bakersfield:src:6306;bakersfield:src:6309</x:v>
      </x:c>
      <x:c r="J69" s="31" t="d">
        <x:v>2026-10-24T00:00:00.000Z</x:v>
      </x:c>
      <x:c r="K69" s="35" t="n">
        <x:v>61</x:v>
      </x:c>
      <x:c r="L69" s="29" t="str">
        <x:v>Hayır</x:v>
      </x:c>
      <x:c r="M69" s="29" t="str">
        <x:v>İnceleme</x:v>
      </x:c>
      <x:c r="N69" s="29" t="str">
        <x:v>bakersfield:para</x:v>
      </x:c>
      <x:c r="O69" s="29" t="str">
        <x:v>Kartın bağlı olduğu hesap veya kredi limitini belirle
Ücret, faiz ve ödeme tarihini oku
Kaybolma ve itiraz kanallarını kaydet</x:v>
      </x:c>
      <x:c r="P69" s="29" t="str">
        <x:v>Kart sözleşmesi
Ücret çizelgesi</x:v>
      </x:c>
      <x:c r="Q69" s="29" t="str">
        <x:v>Kredi kartında ekstre kesim ve son ödeme gününü; debit kartta hesabın gerçek bakiyesini takip et.</x:v>
      </x:c>
      <x:c r="R69" s="29" t="str">
        <x:v>Debit hesap ücretleriyle credit kartın faiz ve yıllık ücretini ayrı karşılaştır.</x:v>
      </x:c>
      <x:c r="S69" s="29"/>
      <x:c r="T69" s="29"/>
    </x:row>
    <x:row r="70" ht="110" customHeight="1">
      <x:c r="A70" s="29" t="str">
        <x:v>bakersfield:mevduat-sigortasi</x:v>
      </x:c>
      <x:c r="B70" s="29" t="str">
        <x:v>bakersfield</x:v>
      </x:c>
      <x:c r="C70" s="29" t="str">
        <x:v>mevduat-sigortasi</x:v>
      </x:c>
      <x:c r="D70" s="29" t="str">
        <x:v>FDIC korumasını banka ve sahiplik bazında düşün</x:v>
      </x:c>
      <x:c r="E70" s="29" t="str">
        <x:v>Banka ve para</x:v>
      </x:c>
      <x:c r="F70" s="29" t="str">
        <x:v>FDIC sigortalı bankalardaki uygun mevduatlar için standart koruma, her mevduat sahibi başına, her sigortalı bankada, her hesap sahipliği kategorisinde 250.000 dolardır. Aynı bankada çok sayıda hesap açmak tek başına bu sınırı çoğaltmaz. Hisse, kripto varlık veya yatırım fonu banka uygulamasında görünse bile mevduat sigortasıyla aynı kapsamda değildir.</x:v>
      </x:c>
      <x:c r="G70" s="29" t="str">
        <x:v>FDIC korumasını banka ve sahiplik bazında düşün</x:v>
      </x:c>
      <x:c r="H70" s="29" t="str">
        <x:v>before;new;settled</x:v>
      </x:c>
      <x:c r="I70" s="29" t="str">
        <x:v>bakersfield:src:17630</x:v>
      </x:c>
      <x:c r="J70" s="31" t="d">
        <x:v>2026-10-24T00:00:00.000Z</x:v>
      </x:c>
      <x:c r="K70" s="35" t="n">
        <x:v>62</x:v>
      </x:c>
      <x:c r="L70" s="29" t="str">
        <x:v>Hayır</x:v>
      </x:c>
      <x:c r="M70" s="29" t="str">
        <x:v>İnceleme</x:v>
      </x:c>
      <x:c r="N70" s="29" t="str">
        <x:v>bakersfield:para</x:v>
      </x:c>
      <x:c r="O70" s="29" t="str">
        <x:v>Bankanın FDIC sigortasını doğrula
Mevduatlarını banka ve sahiplik türüne göre topla
Yatırım ürünlerini mevduat hesabından ayrı değerlendir</x:v>
      </x:c>
      <x:c r="P70" s="29" t="str">
        <x:v>Hesap türü
Banka ve sahiplik bilgileri</x:v>
      </x:c>
      <x:c r="Q70" s="29" t="str">
        <x:v>Banka ve hesap sahiplik türünü hesap açarken ve bakiye değiştiğinde değerlendir.</x:v>
      </x:c>
      <x:c r="R70" s="29" t="str">
        <x:v>Uygun mevduatın FDIC sigortası için müşteriden ayrıca prim alınmaz; hesap ücretleri ayrı olabilir.</x:v>
      </x:c>
      <x:c r="S70" s="29"/>
      <x:c r="T70" s="29"/>
    </x:row>
    <x:row r="71" ht="96" customHeight="1">
      <x:c r="A71" s="29" t="str">
        <x:v>bakersfield:ilk-kredi</x:v>
      </x:c>
      <x:c r="B71" s="29" t="str">
        <x:v>bakersfield</x:v>
      </x:c>
      <x:c r="C71" s="29" t="str">
        <x:v>ilk-kredi</x:v>
      </x:c>
      <x:c r="D71" s="29" t="str">
        <x:v>Yeni kredi geçmişini kontrollü kur</x:v>
      </x:c>
      <x:c r="E71" s="29" t="str">
        <x:v>Banka ve para</x:v>
      </x:c>
      <x:c r="F71" s="29" t="str">
        <x:v>ABD'de kredi dosyanın kısa olması, Türkiye'deki geçmişinin otomatik olarak aynı şekilde görüleceği anlamına gelmez. Yeni kredi ürününde limit, faiz, yıllık ücret ve raporlama koşullarını incele. Kredi skoru yükseltmek için faiz ödemek zorunda olduğun varsayımıyla borçlanma; ödeme takibi ve doğru rapor kaydı önceliklidir.</x:v>
      </x:c>
      <x:c r="G71" s="29" t="str">
        <x:v>Yeni kredi geçmişini kontrollü kur</x:v>
      </x:c>
      <x:c r="H71" s="29" t="str">
        <x:v>before;new;settled</x:v>
      </x:c>
      <x:c r="I71" s="29" t="str">
        <x:v>bakersfield:src:17748;bakersfield:src:6309</x:v>
      </x:c>
      <x:c r="J71" s="31" t="d">
        <x:v>2026-10-24T00:00:00.000Z</x:v>
      </x:c>
      <x:c r="K71" s="35" t="n">
        <x:v>63</x:v>
      </x:c>
      <x:c r="L71" s="29" t="str">
        <x:v>Hayır</x:v>
      </x:c>
      <x:c r="M71" s="29" t="str">
        <x:v>İnceleme</x:v>
      </x:c>
      <x:c r="N71" s="29" t="str">
        <x:v>bakersfield:para</x:v>
      </x:c>
      <x:c r="O71" s="29" t="str">
        <x:v>Ürün koşullarını yazılı karşılaştır
Ekstre son ödeme tarihine hatırlatıcı koy
Kredi raporunda hesap bilgilerinin doğruluğunu izle</x:v>
      </x:c>
      <x:c r="P71" s="29" t="str">
        <x:v>Kredi sözleşmesi
Ekstreler</x:v>
      </x:c>
      <x:c r="Q71" s="29" t="str">
        <x:v>Ödeme geçmişini her ekstre döneminde izle; belirli sürede belirli puan artışı garanti edilmez.</x:v>
      </x:c>
      <x:c r="R71" s="29" t="str">
        <x:v>APR, yıllık ücret ve varsa teminat tutarı ürüne göre değişir. Puan oluşturmak için faiz ödeme zorunluluğu yoktur.</x:v>
      </x:c>
      <x:c r="S71" s="29"/>
      <x:c r="T71" s="29"/>
    </x:row>
    <x:row r="72" ht="96" customHeight="1">
      <x:c r="A72" s="29" t="str">
        <x:v>bakersfield:kredi-raporu</x:v>
      </x:c>
      <x:c r="B72" s="29" t="str">
        <x:v>bakersfield</x:v>
      </x:c>
      <x:c r="C72" s="29" t="str">
        <x:v>kredi-raporu</x:v>
      </x:c>
      <x:c r="D72" s="29" t="str">
        <x:v>Ücretsiz kredi raporunu resmî kanaldan al</x:v>
      </x:c>
      <x:c r="E72" s="29" t="str">
        <x:v>Banka ve para</x:v>
      </x:c>
      <x:c r="F72" s="29" t="str">
        <x:v>Kredi raporu, kredi puanıyla aynı belge değildir. FTC'nin yönlendirdiği AnnualCreditReport kanalı rapor erişimi için temel resmî başvuru yoludur. Ücretsiz rapor talebi sırasında ücretli izleme paketini satın almak zorunda değilsin. Tanımadığın hesap veya yanlış adres gördüğünde kayıtları belgeleyerek itiraz yolunu kullan.</x:v>
      </x:c>
      <x:c r="G72" s="29" t="str">
        <x:v>Ücretsiz kredi raporunu resmî kanaldan al</x:v>
      </x:c>
      <x:c r="H72" s="29" t="str">
        <x:v>before;new;settled</x:v>
      </x:c>
      <x:c r="I72" s="29" t="str">
        <x:v>bakersfield:src:17909;bakersfield:src:6309</x:v>
      </x:c>
      <x:c r="J72" s="31" t="d">
        <x:v>2026-10-24T00:00:00.000Z</x:v>
      </x:c>
      <x:c r="K72" s="35" t="n">
        <x:v>64</x:v>
      </x:c>
      <x:c r="L72" s="29" t="str">
        <x:v>Hayır</x:v>
      </x:c>
      <x:c r="M72" s="29" t="str">
        <x:v>İnceleme</x:v>
      </x:c>
      <x:c r="N72" s="29" t="str">
        <x:v>bakersfield:para</x:v>
      </x:c>
      <x:c r="O72" s="29" t="str">
        <x:v>FTC'nin resmî bağlantısından rapor kanalına git
Kimlik doğrulamasını güvenli cihazda tamamla
Hatalı hesap ve bilgileri ayrı listele</x:v>
      </x:c>
      <x:c r="P72" s="29" t="str">
        <x:v>Kimlik doğrulama bilgileri
Kredi raporu</x:v>
      </x:c>
      <x:c r="Q72" s="29" t="str">
        <x:v>Raporu yeni hesap açarken ve tanımadığın işlem fark ettiğinde incele; hata itirazını geciktirme.</x:v>
      </x:c>
      <x:c r="R72" s="29" t="str">
        <x:v>AnnualCreditReport üzerinden ücretsiz rapor erişimi için ücretli izleme paketi gerekmez.</x:v>
      </x:c>
      <x:c r="S72" s="29"/>
      <x:c r="T72" s="29"/>
    </x:row>
    <x:row r="73" ht="96" customHeight="1">
      <x:c r="A73" s="29" t="str">
        <x:v>bakersfield:kredi-dondurma</x:v>
      </x:c>
      <x:c r="B73" s="29" t="str">
        <x:v>bakersfield</x:v>
      </x:c>
      <x:c r="C73" s="29" t="str">
        <x:v>kredi-dondurma</x:v>
      </x:c>
      <x:c r="D73" s="29" t="str">
        <x:v>Kredi dondurma yeni hesap açılışını sınırlar</x:v>
      </x:c>
      <x:c r="E73" s="29" t="str">
        <x:v>Banka ve para</x:v>
      </x:c>
      <x:c r="F73" s="29" t="str">
        <x:v>Credit freeze, kredi dosyana yeni kredi başvurularında erişimi sınırlamaya yarar. Mevcut kartını iptal etmez ve her tür dolandırıcılığı engellemez. Başvuruyu ilgili kredi bürolarında ayrı yürütmek gerekir; ileride kendi kredi başvurun için geçici kaldırma işlemini planla.</x:v>
      </x:c>
      <x:c r="G73" s="29" t="str">
        <x:v>Kredi dondurma yeni hesap açılışını sınırlar</x:v>
      </x:c>
      <x:c r="H73" s="29" t="str">
        <x:v>before;new;settled</x:v>
      </x:c>
      <x:c r="I73" s="29" t="str">
        <x:v>bakersfield:src:17910</x:v>
      </x:c>
      <x:c r="J73" s="31" t="d">
        <x:v>2026-10-24T00:00:00.000Z</x:v>
      </x:c>
      <x:c r="K73" s="35" t="n">
        <x:v>65</x:v>
      </x:c>
      <x:c r="L73" s="29" t="str">
        <x:v>Hayır</x:v>
      </x:c>
      <x:c r="M73" s="29" t="str">
        <x:v>İnceleme</x:v>
      </x:c>
      <x:c r="N73" s="29" t="str">
        <x:v>bakersfield:para</x:v>
      </x:c>
      <x:c r="O73" s="29" t="str">
        <x:v>Kredi bürolarının resmî dondurma kanallarını kullan
Hesap erişim bilgilerini güvenli sakla
Kendi başvurun için gerekli süreyle geçici kaldırma yap</x:v>
      </x:c>
      <x:c r="P73" s="29" t="str">
        <x:v>Kredi bürosu hesap bilgileri</x:v>
      </x:c>
      <x:c r="Q73" s="29" t="str">
        <x:v>Yeni kredi başvurundan önce gerekli büroda geçici kaldırma yap; büroların işlem kanallarını ayrı takip et.</x:v>
      </x:c>
      <x:c r="R73" s="29" t="str">
        <x:v>Kredi dondurma ve kaldırma işlemleri ücretsizdir; ücretli lock/izleme paketleri ayrı üründür.</x:v>
      </x:c>
      <x:c r="S73" s="29"/>
      <x:c r="T73" s="29"/>
    </x:row>
    <x:row r="74" ht="96" customHeight="1">
      <x:c r="A74" s="29" t="str">
        <x:v>bakersfield:overdraft</x:v>
      </x:c>
      <x:c r="B74" s="29" t="str">
        <x:v>bakersfield</x:v>
      </x:c>
      <x:c r="C74" s="29" t="str">
        <x:v>overdraft</x:v>
      </x:c>
      <x:c r="D74" s="29" t="str">
        <x:v>Hesap bakiyesi aşımı ücretini öğren</x:v>
      </x:c>
      <x:c r="E74" s="29" t="str">
        <x:v>Banka ve para</x:v>
      </x:c>
      <x:c r="F74" s="29" t="str">
        <x:v>Checking hesabında bakiye yetersizliği, işlem türüne ve hesabın koşullarına göre reddedilen ödeme veya ek ücret doğurabilir. “Overdraft protection” ifadesi ücretsiz hizmet anlamına gelmez. Bankanın seçim ve bildirim koşullarını okuyup düşük bakiye uyarısı kurmak, özellikle ilk ay abonelikleri başlarken işe yarar.</x:v>
      </x:c>
      <x:c r="G74" s="29" t="str">
        <x:v>Hesap bakiyesi aşımı ücretini öğren</x:v>
      </x:c>
      <x:c r="H74" s="29" t="str">
        <x:v>before;new;settled</x:v>
      </x:c>
      <x:c r="I74" s="29" t="str">
        <x:v>bakersfield:src:6306;bakersfield:src:17749</x:v>
      </x:c>
      <x:c r="J74" s="31" t="d">
        <x:v>2026-10-24T00:00:00.000Z</x:v>
      </x:c>
      <x:c r="K74" s="35" t="n">
        <x:v>66</x:v>
      </x:c>
      <x:c r="L74" s="29" t="str">
        <x:v>Hayır</x:v>
      </x:c>
      <x:c r="M74" s="29" t="str">
        <x:v>İnceleme</x:v>
      </x:c>
      <x:c r="N74" s="29" t="str">
        <x:v>bakersfield:para</x:v>
      </x:c>
      <x:c r="O74" s="29" t="str">
        <x:v>Hesabın overdraft ve yetersiz bakiye ücretlerini oku
Uyarı eşiği belirle
Otomatik ödemelerin tarihini gelir gününle karşılaştır</x:v>
      </x:c>
      <x:c r="P74" s="29" t="str">
        <x:v>Hesap sözleşmesi
Ödeme takvimi</x:v>
      </x:c>
      <x:c r="Q74" s="29" t="str">
        <x:v>Düşük bakiye uyarısını abonelikler başlamadan kur; otomatik ödemeleri gelir gününe göre takip et.</x:v>
      </x:c>
      <x:c r="R74" s="29" t="str">
        <x:v>Overdraft, yetersiz bakiye ve bağlantılı hesaptan transfer ücretleri hesap sözleşmesine bağlıdır.</x:v>
      </x:c>
      <x:c r="S74" s="29"/>
      <x:c r="T74" s="29"/>
    </x:row>
    <x:row r="75" ht="124" customHeight="1">
      <x:c r="A75" s="29" t="str">
        <x:v>bakersfield:para-transferi</x:v>
      </x:c>
      <x:c r="B75" s="29" t="str">
        <x:v>bakersfield</x:v>
      </x:c>
      <x:c r="C75" s="29" t="str">
        <x:v>para-transferi</x:v>
      </x:c>
      <x:c r="D75" s="29" t="str">
        <x:v>Türkiye'ye transferde alıcının net tutarını karşılaştır</x:v>
      </x:c>
      <x:c r="E75" s="29" t="str">
        <x:v>Banka ve para</x:v>
      </x:c>
      <x:c r="F75" s="29" t="str">
        <x:v>Uluslararası para gönderirken yalnız gönderim ücretine bakma. Döviz kuru, aracı banka kesintisi, alıcıya geçecek para ve teslim zamanı toplam maliyeti belirler. Tüketici remittance transferlerinde açıklama, hata bildirimi ve belirli iptal hakları olabilir; işlem makbuzundaki koşulları sakla.</x:v>
      </x:c>
      <x:c r="G75" s="29" t="str">
        <x:v>Türkiye'ye transferde alıcının net tutarını karşılaştır</x:v>
      </x:c>
      <x:c r="H75" s="29" t="str">
        <x:v>before;new;settled</x:v>
      </x:c>
      <x:c r="I75" s="29" t="str">
        <x:v>bakersfield:src:17870;bakersfield:src:6310</x:v>
      </x:c>
      <x:c r="J75" s="31" t="d">
        <x:v>2026-10-24T00:00:00.000Z</x:v>
      </x:c>
      <x:c r="K75" s="35" t="n">
        <x:v>67</x:v>
      </x:c>
      <x:c r="L75" s="29" t="str">
        <x:v>Hayır</x:v>
      </x:c>
      <x:c r="M75" s="29" t="str">
        <x:v>İnceleme</x:v>
      </x:c>
      <x:c r="N75" s="29" t="str">
        <x:v>bakersfield:para</x:v>
      </x:c>
      <x:c r="O75" s="29" t="str">
        <x:v>Alıcıya ulaşacak net tutarı yazılı karşılaştır
İsim ve hesap bilgilerini alıcıyla doğrula
Makbuz ve başvuru kanallarını kaydet</x:v>
      </x:c>
      <x:c r="P75" s="29" t="str">
        <x:v>Alıcı bilgileri
Transfer açıklaması ve makbuzu</x:v>
      </x:c>
      <x:c r="Q75" s="29" t="str">
        <x:v>Kapsamdaki transferde ödeme sonrası 30 dakika içinde, para alınmamış/hesaba yatmamışsa iptal istenebilir. Hata bildirimi, açıklanan teslim tarihinden itibaren 180 gündür.</x:v>
      </x:c>
      <x:c r="R75" s="29" t="str">
        <x:v>Gönderim ücreti, kur farkı ve alıcı kesintilerini birlikte hesapla. Kapsamdaki iptal hakkı ek ücret olmadan kullanılabilir.</x:v>
      </x:c>
      <x:c r="S75" s="29"/>
      <x:c r="T75" s="29"/>
    </x:row>
    <x:row r="76" ht="96" customHeight="1">
      <x:c r="A76" s="29" t="str">
        <x:v>bakersfield:vergi-mukimligi</x:v>
      </x:c>
      <x:c r="B76" s="29" t="str">
        <x:v>bakersfield</x:v>
      </x:c>
      <x:c r="C76" s="29" t="str">
        <x:v>vergi-mukimligi</x:v>
      </x:c>
      <x:c r="D76" s="29" t="str">
        <x:v>Vergi mukimliğiyle göçmenlik statüsünü ayır</x:v>
      </x:c>
      <x:c r="E76" s="29" t="str">
        <x:v>Banka ve para</x:v>
      </x:c>
      <x:c r="F76" s="29" t="str">
        <x:v>Federal vergi mukimliği yalnız vize türüne veya vatandaşlığa bakılarak belirlenmez. Green card testi ve substantial presence testi gibi kurallar ile bazı gün sayımı istisnaları vardır. Kaliforniya mukimliği ayrıca değerlendirilir. Yeni taşınma yılında giriş, çıkış ve gelir dönemlerini belgelemek doğru beyan için önemlidir.</x:v>
      </x:c>
      <x:c r="G76" s="29" t="str">
        <x:v>Vergi mukimliğiyle göçmenlik statüsünü ayır</x:v>
      </x:c>
      <x:c r="H76" s="29" t="str">
        <x:v>before;new;settled</x:v>
      </x:c>
      <x:c r="I76" s="29" t="str">
        <x:v>bakersfield:src:17635;bakersfield:src:6551</x:v>
      </x:c>
      <x:c r="J76" s="31" t="d">
        <x:v>2026-10-24T00:00:00.000Z</x:v>
      </x:c>
      <x:c r="K76" s="35" t="n">
        <x:v>68</x:v>
      </x:c>
      <x:c r="L76" s="29" t="str">
        <x:v>Hayır</x:v>
      </x:c>
      <x:c r="M76" s="29" t="str">
        <x:v>İnceleme</x:v>
      </x:c>
      <x:c r="N76" s="29" t="str">
        <x:v>bakersfield:para</x:v>
      </x:c>
      <x:c r="O76" s="29" t="str">
        <x:v>ABD'de bulunduğun günleri kayıt altına al
Federal ve Kaliforniya durumunu ayrı değerlendir
İstisna veya anlaşma konusu varsa yetkili vergi desteği al</x:v>
      </x:c>
      <x:c r="P76" s="29" t="str">
        <x:v>Seyahat tarihleri
Gelir ve ikamet kayıtları</x:v>
      </x:c>
      <x:c r="Q76" s="29" t="str">
        <x:v>Her takvim yılındaki ABD günlerini kaydet; yıl ortasında taşınma için başlangıç ve bitiş kurallarını ayrıca uygula.</x:v>
      </x:c>
      <x:c r="R76" s="29" t="str">
        <x:v>Mukimlik hesabı ayrı bir başvuru harcı değildir; ücretli vergi danışmanlığı maliyeti hizmete bağlıdır.</x:v>
      </x:c>
      <x:c r="S76" s="29"/>
      <x:c r="T76" s="29"/>
    </x:row>
    <x:row r="77" ht="96" customHeight="1">
      <x:c r="A77" s="29" t="str">
        <x:v>bakersfield:federal-vergi</x:v>
      </x:c>
      <x:c r="B77" s="29" t="str">
        <x:v>bakersfield</x:v>
      </x:c>
      <x:c r="C77" s="29" t="str">
        <x:v>federal-vergi</x:v>
      </x:c>
      <x:c r="D77" s="29" t="str">
        <x:v>Federal gelir vergisi dosyanı yıl boyunca oluştur</x:v>
      </x:c>
      <x:c r="E77" s="29" t="str">
        <x:v>Banka ve para</x:v>
      </x:c>
      <x:c r="F77" s="29" t="str">
        <x:v>Ücret, serbest çalışma, faiz ve diğer gelirler farklı belgelerle raporlanabilir. Vergi beyannamesi yalnız işverenin kesintisiyle aynı şey değildir. Yeni taşınma yılında hangi dönem ve gelirlerin kapsama girdiği mukimlik durumuna bağlıdır; işveren, banka ve müşteri belgelerini yıl sonunda aramak yerine düzenli biriktir.</x:v>
      </x:c>
      <x:c r="G77" s="29" t="str">
        <x:v>Federal gelir vergisi dosyanı yıl boyunca oluştur</x:v>
      </x:c>
      <x:c r="H77" s="29" t="str">
        <x:v>before;new;settled</x:v>
      </x:c>
      <x:c r="I77" s="29" t="str">
        <x:v>bakersfield:src:17634;bakersfield:src:6551</x:v>
      </x:c>
      <x:c r="J77" s="31" t="d">
        <x:v>2026-10-24T00:00:00.000Z</x:v>
      </x:c>
      <x:c r="K77" s="35" t="n">
        <x:v>69</x:v>
      </x:c>
      <x:c r="L77" s="29" t="str">
        <x:v>Hayır</x:v>
      </x:c>
      <x:c r="M77" s="29" t="str">
        <x:v>İnceleme</x:v>
      </x:c>
      <x:c r="N77" s="29" t="str">
        <x:v>bakersfield:para</x:v>
      </x:c>
      <x:c r="O77" s="29" t="str">
        <x:v>Gelir türlerine göre belge klasörü aç
İşveren ve finans kuruluşlarının yıl sonu belgelerini eşleştir
Beyan koşulunu ve kullanılan formu durumuna göre belirle</x:v>
      </x:c>
      <x:c r="P77" s="29" t="str">
        <x:v>Gelir belgeleri
Kesinti kayıtları</x:v>
      </x:c>
      <x:c r="Q77" s="29" t="str">
        <x:v>Yıllık beyan ve ödeme takvimini ilgili vergi yılına göre uygula; uzatma ödeme süresini kendiliğinden uzatmaz.</x:v>
      </x:c>
      <x:c r="R77" s="29" t="str">
        <x:v>Vergi tutarı gelir, mukimlik ve indirimlere bağlıdır; hazırlama hizmeti ücreti verginin kendisinden ayrıdır.</x:v>
      </x:c>
      <x:c r="S77" s="29"/>
      <x:c r="T77" s="29"/>
    </x:row>
    <x:row r="78" ht="96" customHeight="1">
      <x:c r="A78" s="29" t="str">
        <x:v>bakersfield:california-vergi</x:v>
      </x:c>
      <x:c r="B78" s="29" t="str">
        <x:v>bakersfield</x:v>
      </x:c>
      <x:c r="C78" s="29" t="str">
        <x:v>california-vergi</x:v>
      </x:c>
      <x:c r="D78" s="29" t="str">
        <x:v>Kaliforniya vergisini federal beyandan ayrı ele al</x:v>
      </x:c>
      <x:c r="E78" s="29" t="str">
        <x:v>Banka ve para</x:v>
      </x:c>
      <x:c r="F78" s="29" t="str">
        <x:v>California Franchise Tax Board, tam yıl sakinliği ile yılın bir kısmında sakin olma ve yerleşik olmama durumlarını ayrı ele alır. Kaliforniya kaynaklı gelir, eyalet dışında yaşayan biri için de önem taşıyabilir. Federal beyannamenin verilmesi, gerekli Kaliforniya beyanını kendiliğinden tamamlamaz.</x:v>
      </x:c>
      <x:c r="G78" s="29" t="str">
        <x:v>Kaliforniya vergisini federal beyandan ayrı ele al</x:v>
      </x:c>
      <x:c r="H78" s="29" t="str">
        <x:v>before;new;settled</x:v>
      </x:c>
      <x:c r="I78" s="29" t="str">
        <x:v>bakersfield:src:17635</x:v>
      </x:c>
      <x:c r="J78" s="31" t="d">
        <x:v>2026-10-24T00:00:00.000Z</x:v>
      </x:c>
      <x:c r="K78" s="35" t="n">
        <x:v>70</x:v>
      </x:c>
      <x:c r="L78" s="29" t="str">
        <x:v>Hayır</x:v>
      </x:c>
      <x:c r="M78" s="29" t="str">
        <x:v>İnceleme</x:v>
      </x:c>
      <x:c r="N78" s="29" t="str">
        <x:v>bakersfield:para</x:v>
      </x:c>
      <x:c r="O78" s="29" t="str">
        <x:v>Kaliforniya'ya geliş ve ayrılış tarihlerini yaz
Gelirin hangi dönem ve yerle ilişkili olduğunu ayır
FTB'nin uygun beyan yolunu kullan</x:v>
      </x:c>
      <x:c r="P78" s="29" t="str">
        <x:v>İkamet tarihleri
Gelir belgeleri</x:v>
      </x:c>
      <x:c r="Q78" s="29" t="str">
        <x:v>Taşınma tarihlerini yıl boyunca sakla; gerekli eyalet beyannamesini federal işlemlerden ayrı tamamla.</x:v>
      </x:c>
      <x:c r="R78" s="29" t="str">
        <x:v>Kaliforniya vergi yükümlülüğü gelir ve mukimlik durumuna bağlıdır; federal vergiyle tek ödeme değildir.</x:v>
      </x:c>
      <x:c r="S78" s="29"/>
      <x:c r="T78" s="29"/>
    </x:row>
    <x:row r="79" ht="96" customHeight="1">
      <x:c r="A79" s="29" t="str">
        <x:v>bakersfield:w4-stopaj</x:v>
      </x:c>
      <x:c r="B79" s="29" t="str">
        <x:v>bakersfield</x:v>
      </x:c>
      <x:c r="C79" s="29" t="str">
        <x:v>w4-stopaj</x:v>
      </x:c>
      <x:c r="D79" s="29" t="str">
        <x:v>W-4 formunu maaş bütçenle birlikte değerlendir</x:v>
      </x:c>
      <x:c r="E79" s="29" t="str">
        <x:v>Banka ve para</x:v>
      </x:c>
      <x:c r="F79" s="29" t="str">
        <x:v>W-4, işverenin federal gelir vergisi kesintisini hesaplamasına yardımcı olur; çalışma yetkisi belgesi değildir. Birden fazla iş, eşin geliri veya aile durumundaki değişiklik kesintinin uygunluğunu etkileyebilir. Brüt ücret yerine banka hesabına geçen net tutarı günlük bütçene yaz.</x:v>
      </x:c>
      <x:c r="G79" s="29" t="str">
        <x:v>W-4 formunu maaş bütçenle birlikte değerlendir</x:v>
      </x:c>
      <x:c r="H79" s="29" t="str">
        <x:v>before;new;settled</x:v>
      </x:c>
      <x:c r="I79" s="29" t="str">
        <x:v>bakersfield:src:17633</x:v>
      </x:c>
      <x:c r="J79" s="31" t="d">
        <x:v>2026-10-24T00:00:00.000Z</x:v>
      </x:c>
      <x:c r="K79" s="35" t="n">
        <x:v>71</x:v>
      </x:c>
      <x:c r="L79" s="29" t="str">
        <x:v>Hayır</x:v>
      </x:c>
      <x:c r="M79" s="29" t="str">
        <x:v>İnceleme</x:v>
      </x:c>
      <x:c r="N79" s="29" t="str">
        <x:v>bakersfield:para</x:v>
      </x:c>
      <x:c r="O79" s="29" t="str">
        <x:v>İşverenin W-4 sürecini tamamla
Birden fazla gelir veya aile değişikliğini değerlendir
İlk bordroyu kesinti ve net ödeme açısından karşılaştır</x:v>
      </x:c>
      <x:c r="P79" s="29" t="str">
        <x:v>W-4
Bordro
Gelir bilgileri</x:v>
      </x:c>
      <x:c r="Q79" s="29" t="str">
        <x:v>İşe girişte ve gelir/aile durumun değiştiğinde formu değerlendir; ilk uygun bordroyu kontrol et.</x:v>
      </x:c>
      <x:c r="R79" s="29" t="str">
        <x:v>W-4 formu ücretsizdir; formun etkilediği stopaj net maaşını değiştirir.</x:v>
      </x:c>
      <x:c r="S79" s="29"/>
      <x:c r="T79" s="29"/>
    </x:row>
    <x:row r="80" ht="96" customHeight="1">
      <x:c r="A80" s="29" t="str">
        <x:v>bakersfield:serbest-calisma-vergi</x:v>
      </x:c>
      <x:c r="B80" s="29" t="str">
        <x:v>bakersfield</x:v>
      </x:c>
      <x:c r="C80" s="29" t="str">
        <x:v>serbest-calisma-vergi</x:v>
      </x:c>
      <x:c r="D80" s="29" t="str">
        <x:v>Serbest çalışmada vergi için ayrıca pay ayır</x:v>
      </x:c>
      <x:c r="E80" s="29" t="str">
        <x:v>Banka ve para</x:v>
      </x:c>
      <x:c r="F80" s="29" t="str">
        <x:v>Bağımsız çalışmada müşterinin ödeme yapması, vergi kesintilerinin işveren bordrosu gibi otomatik yürüdüğü anlamına gelmez. Gelir vergisi ve self-employment tax ile tahmini ödeme gerekliliği durumuna göre oluşabilir. Vergi kaydı, göçmenlik açısından çalışma hakkını sağlamaz; ikisini ayrı çöz.</x:v>
      </x:c>
      <x:c r="G80" s="29" t="str">
        <x:v>Serbest çalışmada vergi için ayrıca pay ayır</x:v>
      </x:c>
      <x:c r="H80" s="29" t="str">
        <x:v>before;new;settled</x:v>
      </x:c>
      <x:c r="I80" s="29" t="str">
        <x:v>bakersfield:src:17634;bakersfield:src:6278</x:v>
      </x:c>
      <x:c r="J80" s="31" t="d">
        <x:v>2026-10-24T00:00:00.000Z</x:v>
      </x:c>
      <x:c r="K80" s="35" t="n">
        <x:v>72</x:v>
      </x:c>
      <x:c r="L80" s="29" t="str">
        <x:v>Hayır</x:v>
      </x:c>
      <x:c r="M80" s="29" t="str">
        <x:v>İnceleme</x:v>
      </x:c>
      <x:c r="N80" s="29" t="str">
        <x:v>bakersfield:para</x:v>
      </x:c>
      <x:c r="O80" s="29" t="str">
        <x:v>Gelir ve işle ilgili giderleri ayrı kaydet
Tahmini vergi ödeme koşulunu değerlendir
Çalışma yetkini bağımsız çalışma biçimiyle eşleştir</x:v>
      </x:c>
      <x:c r="P80" s="29" t="str">
        <x:v>Gelir-gider kayıtları
Çalışma yetkisi belgeleri</x:v>
      </x:c>
      <x:c r="Q80" s="29" t="str">
        <x:v>Gerekli tahmini ödemeler yıl içindeki IRS ödeme dönemlerine bağlıdır; yalnız yıl sonunu bekleme.</x:v>
      </x:c>
      <x:c r="R80" s="29" t="str">
        <x:v>Gelir vergisi ve self-employment tax ayrı hesaplar olabilir; gelir-gider kayıtlarına göre ödeme payı ayır.</x:v>
      </x:c>
      <x:c r="S80" s="29"/>
      <x:c r="T80" s="29"/>
    </x:row>
    <x:row r="81" ht="110" customHeight="1">
      <x:c r="A81" s="29" t="str">
        <x:v>bakersfield:yabanci-hesap</x:v>
      </x:c>
      <x:c r="B81" s="29" t="str">
        <x:v>bakersfield</x:v>
      </x:c>
      <x:c r="C81" s="29" t="str">
        <x:v>yabanci-hesap</x:v>
      </x:c>
      <x:c r="D81" s="29" t="str">
        <x:v>Türkiye'deki gelir ve hesapları gözden kaçırma</x:v>
      </x:c>
      <x:c r="E81" s="29" t="str">
        <x:v>Banka ve para</x:v>
      </x:c>
      <x:c r="F81" s="29" t="str">
        <x:v>ABD vergi mukimi olunduğunda Türkiye'deki gelir ve finansal hesaplar ayrıca bildirim değerlendirmesi gerektirebilir. Gelirin daha önce Türkiye'de vergilenmiş olması her ABD formunu ortadan kaldırmaz. Gelir vergisi, yabancı hesap bildirimi ve vergi kredisi farklı konulardır; tüm hesap ve gelirleri vergi uzmanına birlikte sun.</x:v>
      </x:c>
      <x:c r="G81" s="29" t="str">
        <x:v>Türkiye'deki gelir ve hesapları gözden kaçırma</x:v>
      </x:c>
      <x:c r="H81" s="29" t="str">
        <x:v>before;new;settled</x:v>
      </x:c>
      <x:c r="I81" s="29" t="str">
        <x:v>bakersfield:src:17632;bakersfield:src:6553;bakersfield:src:6551</x:v>
      </x:c>
      <x:c r="J81" s="31" t="d">
        <x:v>2026-10-24T00:00:00.000Z</x:v>
      </x:c>
      <x:c r="K81" s="35" t="n">
        <x:v>73</x:v>
      </x:c>
      <x:c r="L81" s="29" t="str">
        <x:v>Hayır</x:v>
      </x:c>
      <x:c r="M81" s="29" t="str">
        <x:v>İnceleme</x:v>
      </x:c>
      <x:c r="N81" s="29" t="str">
        <x:v>bakersfield:para</x:v>
      </x:c>
      <x:c r="O81" s="29" t="str">
        <x:v>Türkiye'deki hesap ve gelirleri listele
Dönem sonu ve gerekli bakiye kayıtlarını sakla
Vergi ve hesap bildirim yükümlülüklerini ayrı değerlendirt</x:v>
      </x:c>
      <x:c r="P81" s="29" t="str">
        <x:v>Yabancı hesap dökümleri
Gelir ve vergi belgeleri</x:v>
      </x:c>
      <x:c r="Q81" s="29" t="str">
        <x:v>Gerekli FBAR için olağan son gün izleyen yıl 15 Nisan; otomatik uzatma 15 Ekim'dir. Afet veya özel durum uzatmaları ayrıca uygulanabilir.</x:v>
      </x:c>
      <x:c r="R81" s="29" t="str">
        <x:v>FBAR elektronik bildirimi için devlet başvuru ücreti yoktur; uzman desteği ayrıca ücretli olabilir.</x:v>
      </x:c>
      <x:c r="S81" s="29"/>
      <x:c r="T81" s="29"/>
    </x:row>
    <x:row r="82" ht="82" customHeight="1">
      <x:c r="A82" s="29" t="str">
        <x:v>bakersfield:vergi-anlasmasi</x:v>
      </x:c>
      <x:c r="B82" s="29" t="str">
        <x:v>bakersfield</x:v>
      </x:c>
      <x:c r="C82" s="29" t="str">
        <x:v>vergi-anlasmasi</x:v>
      </x:c>
      <x:c r="D82" s="29" t="str">
        <x:v>ABD–Türkiye vergi anlaşmasını otomatik muafiyet sayma</x:v>
      </x:c>
      <x:c r="E82" s="29" t="str">
        <x:v>Banka ve para</x:v>
      </x:c>
      <x:c r="F82" s="29" t="str">
        <x:v>ABD–Türkiye vergi anlaşmasının uygulanması gelirin türüne, mukimliğe ve ilgili maddeye bağlıdır. “Türkiye'de vergi ödedim, ABD'de hiçbir işlem yok” sonucunu tek başına çıkarma. Anlaşma, beyan veya hesap bildirimi yükümlülüklerinin tamamını otomatik olarak kaldırmaz.</x:v>
      </x:c>
      <x:c r="G82" s="29" t="str">
        <x:v>ABD–Türkiye vergi anlaşmasını otomatik muafiyet sayma</x:v>
      </x:c>
      <x:c r="H82" s="29" t="str">
        <x:v>before;new;settled</x:v>
      </x:c>
      <x:c r="I82" s="29" t="str">
        <x:v>bakersfield:src:6841;bakersfield:src:6551</x:v>
      </x:c>
      <x:c r="J82" s="31" t="d">
        <x:v>2026-10-24T00:00:00.000Z</x:v>
      </x:c>
      <x:c r="K82" s="35" t="n">
        <x:v>74</x:v>
      </x:c>
      <x:c r="L82" s="29" t="str">
        <x:v>Hayır</x:v>
      </x:c>
      <x:c r="M82" s="29" t="str">
        <x:v>İnceleme</x:v>
      </x:c>
      <x:c r="N82" s="29" t="str">
        <x:v>bakersfield:para</x:v>
      </x:c>
      <x:c r="O82" s="29" t="str">
        <x:v>Gelirin türünü ve iki ülkedeki vergi durumunu ayır
İlgili anlaşma maddesini uzmanla eşleştir
Gerekli beyan ve kanıtları birlikte sakla</x:v>
      </x:c>
      <x:c r="P82" s="29" t="str">
        <x:v>Gelir türleri
İki ülkedeki vergi kayıtları</x:v>
      </x:c>
      <x:c r="Q82" s="29" t="str">
        <x:v>İlgili yılın beyannamesinden önce anlaşma maddesini, saving clause ve gerekli açıklama formlarını birlikte değerlendir.</x:v>
      </x:c>
      <x:c r="R82" s="29" t="str">
        <x:v>Anlaşma otomatik sıfır vergi sağlamaz; gelirin niteliği ve uygulanabilir hükümler hesaplamayı belirler.</x:v>
      </x:c>
      <x:c r="S82" s="29"/>
      <x:c r="T82" s="29"/>
    </x:row>
    <x:row r="83" ht="96" customHeight="1">
      <x:c r="A83" s="29" t="str">
        <x:v>bakersfield:satis-vergisi</x:v>
      </x:c>
      <x:c r="B83" s="29" t="str">
        <x:v>bakersfield</x:v>
      </x:c>
      <x:c r="C83" s="29" t="str">
        <x:v>satis-vergisi</x:v>
      </x:c>
      <x:c r="D83" s="29" t="str">
        <x:v>Alışverişte vergi dahil toplamı hesapla</x:v>
      </x:c>
      <x:c r="E83" s="29" t="str">
        <x:v>Banka ve para</x:v>
      </x:c>
      <x:c r="F83" s="29" t="str">
        <x:v>ABD'de etiket fiyatı birçok alışverişte kasadaki son tutar değildir. Kaliforniya satış ve kullanım vergisinde yerel oranlar adrese ve döneme göre farklılaşabilir; ürünün vergiye tabi olup olmadığı da önemlidir. Bakersfield posta adını bütün Kern County için tek oran gibi kullanma.</x:v>
      </x:c>
      <x:c r="G83" s="29" t="str">
        <x:v>Alışverişte vergi dahil toplamı hesapla</x:v>
      </x:c>
      <x:c r="H83" s="29" t="str">
        <x:v>before;new;settled</x:v>
      </x:c>
      <x:c r="I83" s="29" t="str">
        <x:v>bakersfield:src:6316</x:v>
      </x:c>
      <x:c r="J83" s="31" t="d">
        <x:v>2026-10-24T00:00:00.000Z</x:v>
      </x:c>
      <x:c r="K83" s="35" t="n">
        <x:v>75</x:v>
      </x:c>
      <x:c r="L83" s="29" t="str">
        <x:v>Hayır</x:v>
      </x:c>
      <x:c r="M83" s="29" t="str">
        <x:v>İnceleme</x:v>
      </x:c>
      <x:c r="N83" s="29" t="str">
        <x:v>bakersfield:para</x:v>
      </x:c>
      <x:c r="O83" s="29" t="str">
        <x:v>CDTFA'nın adres sorgusuyla ilgili oranı bul
Ürünün vergi durumunu ayır
Bütçeye kasada ödenecek toplamı yaz</x:v>
      </x:c>
      <x:c r="P83" s="29" t="str">
        <x:v>Satın alma adresi
Fiş veya teklif</x:v>
      </x:c>
      <x:c r="Q83" s="29" t="str">
        <x:v>CDTFA adres sorgusunu satın alma tarihindeki oranla kullan.</x:v>
      </x:c>
      <x:c r="R83" s="29" t="str">
        <x:v>Kesin oran teslim/satın alma adresi, tarih ve ürünün vergi durumuna bağlıdır; etiket tutarına ayrıca eklenebilir.</x:v>
      </x:c>
      <x:c r="S83" s="29"/>
      <x:c r="T83" s="29"/>
    </x:row>
    <x:row r="84" ht="110" customHeight="1">
      <x:c r="A84" s="29" t="str">
        <x:v>bakersfield:ilk-ay-butcesi</x:v>
      </x:c>
      <x:c r="B84" s="29" t="str">
        <x:v>bakersfield</x:v>
      </x:c>
      <x:c r="C84" s="29" t="str">
        <x:v>ilk-ay-butcesi</x:v>
      </x:c>
      <x:c r="D84" s="29" t="str">
        <x:v>İlk ay giderini aylık bütçeden ayır</x:v>
      </x:c>
      <x:c r="E84" s="29" t="str">
        <x:v>Banka ve para</x:v>
      </x:c>
      <x:c r="F84" s="29" t="str">
        <x:v>İlk kira, depozito, geçici konaklama, eşya, taşıma ve abonelik açılışları yerleşme döneminde aynı anda gelebilir. Bunları düzenli aylık giderlerle birleştirmek sonraki ayları olduğundan pahalı veya ucuz gösterir. Bütçe aracında başlangıç giderleri için ayrı satır kullan; iade edilebilir depozitoyu da nakit ihtiyacı olarak hesaba kat.</x:v>
      </x:c>
      <x:c r="G84" s="29" t="str">
        <x:v>İlk ay giderini aylık bütçeden ayır</x:v>
      </x:c>
      <x:c r="H84" s="29" t="str">
        <x:v>before;new;settled</x:v>
      </x:c>
      <x:c r="I84" s="29" t="str">
        <x:v>bakersfield:src:6816;bakersfield:src:17618;bakersfield:src:6290</x:v>
      </x:c>
      <x:c r="J84" s="31" t="d">
        <x:v>2026-10-24T00:00:00.000Z</x:v>
      </x:c>
      <x:c r="K84" s="35" t="n">
        <x:v>76</x:v>
      </x:c>
      <x:c r="L84" s="29" t="str">
        <x:v>Hayır</x:v>
      </x:c>
      <x:c r="M84" s="29" t="str">
        <x:v>İnceleme</x:v>
      </x:c>
      <x:c r="N84" s="29" t="str">
        <x:v>bakersfield:para</x:v>
      </x:c>
      <x:c r="O84" s="29" t="str">
        <x:v>Tek seferlik ve aylık giderleri ayır
Ödemelerin vade tarihlerini sırala
Başlangıç nakdini ilk maaş tarihine göre planla</x:v>
      </x:c>
      <x:c r="P84" s="29" t="str">
        <x:v>Kira teklifi
Taşınma giderleri
Gelir tarihi</x:v>
      </x:c>
      <x:c r="Q84" s="29" t="str">
        <x:v>Tek seferlik ödemeleri ilk maaş ve kira başlangıç tarihleriyle eşleştir.</x:v>
      </x:c>
      <x:c r="R84" s="29" t="str">
        <x:v>Depozito, ilk kira, taşıma ve kurulum için tek seferlik nakit ihtiyacını ayrıca hesapla.</x:v>
      </x:c>
      <x:c r="S84" s="29"/>
      <x:c r="T84" s="29"/>
    </x:row>
    <x:row r="85" ht="96" customHeight="1">
      <x:c r="A85" s="29" t="str">
        <x:v>bakersfield:aylik-butce</x:v>
      </x:c>
      <x:c r="B85" s="29" t="str">
        <x:v>bakersfield</x:v>
      </x:c>
      <x:c r="C85" s="29" t="str">
        <x:v>aylik-butce</x:v>
      </x:c>
      <x:c r="D85" s="29" t="str">
        <x:v>Bakersfield bütçesini kendi yaşam düzeninle kur</x:v>
      </x:c>
      <x:c r="E85" s="29" t="str">
        <x:v>Banka ve para</x:v>
      </x:c>
      <x:c r="F85" s="29" t="str">
        <x:v>Aylık net gelirden kira, enerji, market, ulaşım, sağlık ve diğer düzenli ödemeleri ayrı düş. Otomobilli yaşamda yakıt kadar sigorta, bakım, tescil ve parkı da düşün. Şehir rehberindeki bütçe alanları kişisel hesap içindir; belirli bir maaşla rahat geçim garantisi vermez.</x:v>
      </x:c>
      <x:c r="G85" s="29" t="str">
        <x:v>Bakersfield bütçesini kendi yaşam düzeninle kur</x:v>
      </x:c>
      <x:c r="H85" s="29" t="str">
        <x:v>before;new;settled</x:v>
      </x:c>
      <x:c r="I85" s="29" t="str">
        <x:v>bakersfield:src:6306;bakersfield:src:17613;bakersfield:src:6823</x:v>
      </x:c>
      <x:c r="J85" s="31" t="d">
        <x:v>2026-10-24T00:00:00.000Z</x:v>
      </x:c>
      <x:c r="K85" s="35" t="n">
        <x:v>77</x:v>
      </x:c>
      <x:c r="L85" s="29" t="str">
        <x:v>Evet</x:v>
      </x:c>
      <x:c r="M85" s="29" t="str">
        <x:v>İnceleme</x:v>
      </x:c>
      <x:c r="N85" s="29" t="str">
        <x:v>bakersfield:para</x:v>
      </x:c>
      <x:c r="O85" s="29" t="str">
        <x:v>Net geliri ve kesin sabit giderleri gir
Değişken giderleri ilk ay gerçek harcamayla güncelle
Düzensiz giderler için aylık pay ayır</x:v>
      </x:c>
      <x:c r="P85" s="29" t="str">
        <x:v>Net gelir
Aylık hesap ve ödeme kayıtları</x:v>
      </x:c>
      <x:c r="Q85" s="29" t="str">
        <x:v>İlk tam ayın harcamasından sonra değişken kalemleri güncelle; yıllık gideri aylık paya böl.</x:v>
      </x:c>
      <x:c r="R85" s="29" t="str">
        <x:v>Kira, enerji, ulaşım ve sağlık giderlerini kendi sözleşme ve harcamalarınla doldur.</x:v>
      </x:c>
      <x:c r="S85" s="29"/>
      <x:c r="T85" s="29"/>
    </x:row>
    <x:row r="86" ht="110" customHeight="1">
      <x:c r="A86" s="29" t="str">
        <x:v>bakersfield:calfresh-basvuru</x:v>
      </x:c>
      <x:c r="B86" s="29" t="str">
        <x:v>bakersfield</x:v>
      </x:c>
      <x:c r="C86" s="29" t="str">
        <x:v>calfresh-basvuru</x:v>
      </x:c>
      <x:c r="D86" s="29" t="str">
        <x:v>CalFresh başvurusunda 2026 koşullarını ayır</x:v>
      </x:c>
      <x:c r="E86" s="29" t="str">
        <x:v>Banka ve para</x:v>
      </x:c>
      <x:c r="F86" s="29" t="str">
        <x:v>Kern County'nin CalFresh sayfası 2026'da vatandaş olmayanların uygunluğu ve çalışma koşullarıyla ilgili değişiklikleri açıklıyor. Bir kişinin yardım alamaması, aynı hanedeki herkesin aynı sonuçla karşılaşacağı anlamına gelmez. Başvuran ve başvurmayan üyelerin bilgileri farklı değerlendirilebilir; dosyayı kişi bazında ve güncel koşullarla hazırla.</x:v>
      </x:c>
      <x:c r="G86" s="29" t="str">
        <x:v>CalFresh başvurusunda 2026 koşullarını ayır</x:v>
      </x:c>
      <x:c r="H86" s="29" t="str">
        <x:v>before;new;settled</x:v>
      </x:c>
      <x:c r="I86" s="29" t="str">
        <x:v>bakersfield:src:17706;bakersfield:src:17637;bakersfield:src:17871</x:v>
      </x:c>
      <x:c r="J86" s="31" t="d">
        <x:v>2026-10-24T00:00:00.000Z</x:v>
      </x:c>
      <x:c r="K86" s="35" t="n">
        <x:v>78</x:v>
      </x:c>
      <x:c r="L86" s="29" t="str">
        <x:v>Hayır</x:v>
      </x:c>
      <x:c r="M86" s="29" t="str">
        <x:v>İnceleme</x:v>
      </x:c>
      <x:c r="N86" s="29" t="str">
        <x:v>bakersfield:para</x:v>
      </x:c>
      <x:c r="O86" s="29" t="str">
        <x:v>Kern DHS'nin güncel uygunluk bilgisini oku
Yardım isteyen üyeleri ve hane gelirlerini doğru ayır
Görüşme ve belge taleplerini dosya numarasıyla takip et</x:v>
      </x:c>
      <x:c r="P86" s="29" t="str">
        <x:v>Hane ve gelir bilgileri
Başvuranlar için istenen belgeler</x:v>
      </x:c>
      <x:c r="Q86" s="29" t="str">
        <x:v>2026 değişikliklerini yeni başvuru ve bir sonraki yeniden belgelendirme tarihinde uygula; tebligattaki yanıt gününü kaçırma.</x:v>
      </x:c>
      <x:c r="R86" s="29" t="str">
        <x:v>CalFresh başvurusu ücretsizdir; uygunluk ve yardım tutarı hane dosyasına bağlıdır.</x:v>
      </x:c>
      <x:c r="S86" s="29"/>
      <x:c r="T86" s="29"/>
    </x:row>
    <x:row r="87" ht="96" customHeight="1">
      <x:c r="A87" s="29" t="str">
        <x:v>bakersfield:sahipsiz-varlik</x:v>
      </x:c>
      <x:c r="B87" s="29" t="str">
        <x:v>bakersfield</x:v>
      </x:c>
      <x:c r="C87" s="29" t="str">
        <x:v>sahipsiz-varlik</x:v>
      </x:c>
      <x:c r="D87" s="29" t="str">
        <x:v>Eski para ve hesapları ücretsiz resmî kanaldan ara</x:v>
      </x:c>
      <x:c r="E87" s="29" t="str">
        <x:v>Banka ve para</x:v>
      </x:c>
      <x:c r="F87" s="29" t="str">
        <x:v>California State Controller, işletmelerin devlete aktardığı belirli sahipsiz varlıklar için resmî arama ve talep süreci sunar. Eski bir hesap, geri ödeme veya çek için ücretli aracı kullanmak zorunda değilsin. Ad benzerliği yeterli değildir; talep ettiğin kaydın sana ait olduğunu gösteren belgeler gerekir.</x:v>
      </x:c>
      <x:c r="G87" s="29" t="str">
        <x:v>Eski para ve hesapları ücretsiz resmî kanaldan ara</x:v>
      </x:c>
      <x:c r="H87" s="29" t="str">
        <x:v>before;new;settled</x:v>
      </x:c>
      <x:c r="I87" s="29" t="str">
        <x:v>bakersfield:src:17636</x:v>
      </x:c>
      <x:c r="J87" s="31" t="d">
        <x:v>2026-10-24T00:00:00.000Z</x:v>
      </x:c>
      <x:c r="K87" s="35" t="n">
        <x:v>79</x:v>
      </x:c>
      <x:c r="L87" s="29" t="str">
        <x:v>Hayır</x:v>
      </x:c>
      <x:c r="M87" s="29" t="str">
        <x:v>İnceleme</x:v>
      </x:c>
      <x:c r="N87" s="29" t="str">
        <x:v>bakersfield:para</x:v>
      </x:c>
      <x:c r="O87" s="29" t="str">
        <x:v>State Controller'ın resmî arama kanalını kullan
Eski ad ve adres kayıtlarını karşılaştır
Hak sahipliğini gösteren belgelerle talebi tamamla</x:v>
      </x:c>
      <x:c r="P87" s="29" t="str">
        <x:v>Kimlik
Eski adres veya hesap kanıtı</x:v>
      </x:c>
      <x:c r="Q87" s="29" t="str">
        <x:v>Talebin işlem süresi kayıt ve kanıt incelemesine bağlıdır; kimlik/adres belgelerini başvuru sırasında sun.</x:v>
      </x:c>
      <x:c r="R87" s="29" t="str">
        <x:v>California State Controller üzerinden resmî arama ve talep ücretsizdir; ücretli aracı zorunlu değildir.</x:v>
      </x:c>
      <x:c r="S87" s="29"/>
      <x:c r="T87" s="29"/>
    </x:row>
    <x:row r="88" ht="96" customHeight="1">
      <x:c r="A88" s="29" t="str">
        <x:v>bakersfield:saglik-plani</x:v>
      </x:c>
      <x:c r="B88" s="29" t="str">
        <x:v>bakersfield</x:v>
      </x:c>
      <x:c r="C88" s="29" t="str">
        <x:v>saglik-plani</x:v>
      </x:c>
      <x:c r="D88" s="29" t="str">
        <x:v>Sağlık kapsamını taşınma planına dahil et</x:v>
      </x:c>
      <x:c r="E88" s="29" t="str">
        <x:v>Sağlık ve sigorta</x:v>
      </x:c>
      <x:c r="F88" s="29" t="str">
        <x:v>Bakersfield'a gelişte işveren planı, Covered California ve Medi-Cal aynı başvuru yolu değildir. Uygunluk, başlangıç tarihi, prim ve sağlık ağı farklı değerlendirilir. Başvurunun gönderilmesi sigortanın o gün başladığı anlamına gelmez; aradaki dönem için mevcut kapsamını ve tedavi ihtiyacını birlikte planla.</x:v>
      </x:c>
      <x:c r="G88" s="29" t="str">
        <x:v>Sağlık kapsamını taşınma planına dahil et</x:v>
      </x:c>
      <x:c r="H88" s="29" t="str">
        <x:v>before;new;settled</x:v>
      </x:c>
      <x:c r="I88" s="29" t="str">
        <x:v>bakersfield:src:6317;bakersfield:src:17638</x:v>
      </x:c>
      <x:c r="J88" s="31" t="d">
        <x:v>2026-10-24T00:00:00.000Z</x:v>
      </x:c>
      <x:c r="K88" s="35" t="n">
        <x:v>80</x:v>
      </x:c>
      <x:c r="L88" s="29" t="str">
        <x:v>Evet</x:v>
      </x:c>
      <x:c r="M88" s="29" t="str">
        <x:v>İnceleme</x:v>
      </x:c>
      <x:c r="N88" s="29" t="str">
        <x:v>bakersfield:saglik</x:v>
      </x:c>
      <x:c r="O88" s="29" t="str">
        <x:v>Ailedeki her kişinin mevcut kapsamını listele
Uygun başvuru yolunu ve başlangıç tarihini belirle
Onay ve ilk ödeme gerekiyorsa ödeme kaydını sakla</x:v>
      </x:c>
      <x:c r="P88" s="29" t="str">
        <x:v>Mevcut poliçe
Gelir ve hane bilgileri</x:v>
      </x:c>
      <x:c r="Q88" s="29" t="str">
        <x:v>Plan seçiminden önce kapsam başlangıcını ve gerekiyorsa ilk prim ödeme tarihini kesinleştir.</x:v>
      </x:c>
      <x:c r="R88" s="29" t="str">
        <x:v>Prim ve hasta payı plan, gelir ve aile kapsamına göre değişir; başvuru gönderimi ücretsiz olsa da sigorta ücretsiz olmayabilir.</x:v>
      </x:c>
      <x:c r="S88" s="29"/>
      <x:c r="T88" s="29"/>
    </x:row>
    <x:row r="89" ht="96" customHeight="1">
      <x:c r="A89" s="29" t="str">
        <x:v>bakersfield:covered-kayit</x:v>
      </x:c>
      <x:c r="B89" s="29" t="str">
        <x:v>bakersfield</x:v>
      </x:c>
      <x:c r="C89" s="29" t="str">
        <x:v>covered-kayit</x:v>
      </x:c>
      <x:c r="D89" s="29" t="str">
        <x:v>Özel kayıt döneminde olay tarihini belgeleyerek ilerle</x:v>
      </x:c>
      <x:c r="E89" s="29" t="str">
        <x:v>Sağlık ve sigorta</x:v>
      </x:c>
      <x:c r="F89" s="29" t="str">
        <x:v>Taşınma, işveren sigortasının kaybı veya aile değişikliği Covered California'da özel kayıt hakkı doğurabilir. Her olayın süresi aynı değildir: güncel sayfa birçok olay için 60 gün, Medi-Cal kaybı için 90 gün bildirir. Başlangıç tarihini plan seçimi ve olay koşullarıyla birlikte değerlendir.</x:v>
      </x:c>
      <x:c r="G89" s="29" t="str">
        <x:v>Özel kayıt döneminde olay tarihini belgeleyerek ilerle</x:v>
      </x:c>
      <x:c r="H89" s="29" t="str">
        <x:v>before;new;settled</x:v>
      </x:c>
      <x:c r="I89" s="29" t="str">
        <x:v>bakersfield:src:17640</x:v>
      </x:c>
      <x:c r="J89" s="31" t="d">
        <x:v>2026-10-24T00:00:00.000Z</x:v>
      </x:c>
      <x:c r="K89" s="35" t="n">
        <x:v>81</x:v>
      </x:c>
      <x:c r="L89" s="29" t="str">
        <x:v>Hayır</x:v>
      </x:c>
      <x:c r="M89" s="29" t="str">
        <x:v>İnceleme</x:v>
      </x:c>
      <x:c r="N89" s="29" t="str">
        <x:v>bakersfield:saglik</x:v>
      </x:c>
      <x:c r="O89" s="29" t="str">
        <x:v>Uygun olayın gerçekleştiği tarihi kaydet
Gerekli kanıtlarla başvuruyu süresi içinde yap
Kapsam başlangıcını onay belgesinden öğren</x:v>
      </x:c>
      <x:c r="P89" s="29" t="str">
        <x:v>Olay tarihini gösteren belge
Önceki kapsam kaydı</x:v>
      </x:c>
      <x:c r="Q89" s="29" t="str">
        <x:v>Çoğu uygun olayda 60 gün; Medi-Cal kaybında 90 günlük özel kayıt dönemi vardır. Olay ve başlangıç koşulları ayrıca uygulanır.</x:v>
      </x:c>
      <x:c r="R89" s="29" t="str">
        <x:v>Özel kayıt olayı prim ve kullanım paylarını kendiliğinden kaldırmaz.</x:v>
      </x:c>
      <x:c r="S89" s="29"/>
      <x:c r="T89" s="29"/>
    </x:row>
    <x:row r="90" ht="138" customHeight="1">
      <x:c r="A90" s="29" t="str">
        <x:v>bakersfield:medi-cal-2026</x:v>
      </x:c>
      <x:c r="B90" s="29" t="str">
        <x:v>bakersfield</x:v>
      </x:c>
      <x:c r="C90" s="29" t="str">
        <x:v>medi-cal-2026</x:v>
      </x:c>
      <x:c r="D90" s="29" t="str">
        <x:v>Medi-Cal'da yeni başvuru ile devam eden üyeliği ayır</x:v>
      </x:c>
      <x:c r="E90" s="29" t="str">
        <x:v>Sağlık ve sigorta</x:v>
      </x:c>
      <x:c r="F90" s="29" t="str">
        <x:v>1 Ocak 2026'dan itibaren bazı yetişkinlerin göçmenlik statüsü nedeniyle yeni full-scope Medi-Cal kaydı durduruldu. Mevcut üyeler, diğer koşulları sağlayıp zamanında yenilediklerinde kapsamlarını koruyabilir. Çocuklar, gebeler ve belirli eski koruyucu bakım gençleri için istisnalar vardır. Dolayısıyla yeni başvuran yetişkinle zaten kayıtlı aile üyesine aynı sonucu atfetmek doğru değildir; dosyayı Kern County üzerinden kişi bazında değerlendir.</x:v>
      </x:c>
      <x:c r="G90" s="29" t="str">
        <x:v>Medi-Cal'da yeni başvuru ile devam eden üyeliği ayır</x:v>
      </x:c>
      <x:c r="H90" s="29" t="str">
        <x:v>before;new;settled</x:v>
      </x:c>
      <x:c r="I90" s="29" t="str">
        <x:v>bakersfield:src:6320;bakersfield:src:17638;bakersfield:src:6847</x:v>
      </x:c>
      <x:c r="J90" s="31" t="d">
        <x:v>2026-10-24T00:00:00.000Z</x:v>
      </x:c>
      <x:c r="K90" s="35" t="n">
        <x:v>82</x:v>
      </x:c>
      <x:c r="L90" s="29" t="str">
        <x:v>Hayır</x:v>
      </x:c>
      <x:c r="M90" s="29" t="str">
        <x:v>İnceleme</x:v>
      </x:c>
      <x:c r="N90" s="29" t="str">
        <x:v>bakersfield:saglik</x:v>
      </x:c>
      <x:c r="O90" s="29" t="str">
        <x:v>Yeni başvuru mu mevcut üyelik mi olduğunu ayır
Kişinin yaş ve göçmenlik koşulunu DHCS açıklamasıyla eşleştir
Kern DHS üzerinden bireysel uygunluk değerlendirmesini tamamla</x:v>
      </x:c>
      <x:c r="P90" s="29" t="str">
        <x:v>Mevcut üyelik
Hane ve uygunluk belgeleri</x:v>
      </x:c>
      <x:c r="Q90" s="29" t="str">
        <x:v>Yeni full-scope kayıt kısıtlaması 1 Ocak 2026'dan beri uygulanır; mevcut üyelik ve yenileme aynı işlem değildir.</x:v>
      </x:c>
      <x:c r="R90" s="29" t="str">
        <x:v>Medi-Cal uygunluğu, kişi ve program kapsamına göre değerlendirilir; bu kart özel poliçe primi hesaplamaz.</x:v>
      </x:c>
      <x:c r="S90" s="29"/>
      <x:c r="T90" s="29"/>
    </x:row>
    <x:row r="91" ht="96" customHeight="1">
      <x:c r="A91" s="29" t="str">
        <x:v>bakersfield:medi-cal-yenileme</x:v>
      </x:c>
      <x:c r="B91" s="29" t="str">
        <x:v>bakersfield</x:v>
      </x:c>
      <x:c r="C91" s="29" t="str">
        <x:v>medi-cal-yenileme</x:v>
      </x:c>
      <x:c r="D91" s="29" t="str">
        <x:v>Medi-Cal yenileme yazısını zamanında yanıtla</x:v>
      </x:c>
      <x:c r="E91" s="29" t="str">
        <x:v>Sağlık ve sigorta</x:v>
      </x:c>
      <x:c r="F91" s="29" t="str">
        <x:v>Medi-Cal kapsamında olmak, gelecekteki bütün yenilemelerin otomatik tamamlanacağı anlamına gelmez. County'den gelen yazı, istenen bilgi ve yanıt süresi dosyana göre değişir. Özellikle 2026 kayıt sınırlamasından etkilenen kişiler için mevcut kapsamın kesilmesini önlemek önemlidir.</x:v>
      </x:c>
      <x:c r="G91" s="29" t="str">
        <x:v>Medi-Cal yenileme yazısını zamanında yanıtla</x:v>
      </x:c>
      <x:c r="H91" s="29" t="str">
        <x:v>before;new;settled</x:v>
      </x:c>
      <x:c r="I91" s="29" t="str">
        <x:v>bakersfield:src:17639;bakersfield:src:17638;bakersfield:src:6847</x:v>
      </x:c>
      <x:c r="J91" s="31" t="d">
        <x:v>2026-10-24T00:00:00.000Z</x:v>
      </x:c>
      <x:c r="K91" s="35" t="n">
        <x:v>83</x:v>
      </x:c>
      <x:c r="L91" s="29" t="str">
        <x:v>Hayır</x:v>
      </x:c>
      <x:c r="M91" s="29" t="str">
        <x:v>İnceleme</x:v>
      </x:c>
      <x:c r="N91" s="29" t="str">
        <x:v>bakersfield:saglik</x:v>
      </x:c>
      <x:c r="O91" s="29" t="str">
        <x:v>County kaydındaki adres ve telefonu güncelle
Yenileme yazısındaki eksik belgeleri tamamla
Gönderim kanıtını ve karar yazısını sakla</x:v>
      </x:c>
      <x:c r="P91" s="29" t="str">
        <x:v>Yenileme bildirimi
İstenen belgeler</x:v>
      </x:c>
      <x:c r="Q91" s="29" t="str">
        <x:v>Tebligattaki son günü uygula. Kayıt kısıtlamasından etkilenen mevcut üyelerde kapsam bitince üç aylık yeniden kayıt penceresi önemlidir.</x:v>
      </x:c>
      <x:c r="R91" s="29" t="str">
        <x:v>Yenileme için ücretli aracı zorunlu değildir; istenen belgeleri county'ye doğrudan verebilirsin.</x:v>
      </x:c>
      <x:c r="S91" s="29"/>
      <x:c r="T91" s="29"/>
    </x:row>
    <x:row r="92" ht="124" customHeight="1">
      <x:c r="A92" s="29" t="str">
        <x:v>bakersfield:medi-cal-sonraki-degisim</x:v>
      </x:c>
      <x:c r="B92" s="29" t="str">
        <x:v>bakersfield</x:v>
      </x:c>
      <x:c r="C92" s="29" t="str">
        <x:v>medi-cal-sonraki-degisim</x:v>
      </x:c>
      <x:c r="D92" s="29" t="str">
        <x:v>2027 FFS geçişini kapsam kaybıyla karıştırma</x:v>
      </x:c>
      <x:c r="E92" s="29" t="str">
        <x:v>Sağlık ve sigorta</x:v>
      </x:c>
      <x:c r="F92" s="29" t="str">
        <x:v>DHCS'nin duyurusuna göre 1 Ocak 2027'de bazı üyeler sağlık planından Fee-for-Service Medi-Cal düzenine geçecek. Bu, tek başına Medi-Cal'ın sona ermesi veya hastanın hizmet bedelini ödemesi anlamına gelmez. Ancak kullanılan hekim ve kliniğin FFS kabul etmesi önem kazanır. Göçmenlik statüsüne bağlı diğer kapsam değişiklikleri farklı tarihlere sahiptir; kendi adına gelen DHCS yazısındaki grup ve yürürlük tarihini esas al.</x:v>
      </x:c>
      <x:c r="G92" s="29" t="str">
        <x:v>2027 FFS geçişini kapsam kaybıyla karıştırma</x:v>
      </x:c>
      <x:c r="H92" s="29" t="str">
        <x:v>before;new;settled</x:v>
      </x:c>
      <x:c r="I92" s="29" t="str">
        <x:v>bakersfield:src:17747</x:v>
      </x:c>
      <x:c r="J92" s="31" t="d">
        <x:v>2026-10-24T00:00:00.000Z</x:v>
      </x:c>
      <x:c r="K92" s="35" t="n">
        <x:v>84</x:v>
      </x:c>
      <x:c r="L92" s="29" t="str">
        <x:v>Hayır</x:v>
      </x:c>
      <x:c r="M92" s="29" t="str">
        <x:v>İnceleme</x:v>
      </x:c>
      <x:c r="N92" s="29" t="str">
        <x:v>bakersfield:saglik</x:v>
      </x:c>
      <x:c r="O92" s="29" t="str">
        <x:v>Kişisel karar yazındaki grubu belirle
DHCS takvimindeki yürürlük tarihini kaydet
Yeni yıl için plan değişikliği bildirimi gelirse üyelik birimiyle ele al</x:v>
      </x:c>
      <x:c r="P92" s="29" t="str">
        <x:v>Kişisel kapsam ve geçiş bildirimi</x:v>
      </x:c>
      <x:c r="Q92" s="29" t="str">
        <x:v>İlgili grupların FFS geçişi 1 Ocak 2027'de; sonraki diş ve prim değişiklikleriyle aynı tarihe çekilmedi.</x:v>
      </x:c>
      <x:c r="R92" s="29" t="str">
        <x:v>Fee-for-Service adı hastanın bütün hizmet bedelini ödemesi demek değildir; kapsam ve sağlayıcı kabulü ayrı değerlendirilir.</x:v>
      </x:c>
      <x:c r="S92" s="29"/>
      <x:c r="T92" s="29"/>
    </x:row>
    <x:row r="93" ht="96" customHeight="1">
      <x:c r="A93" s="29" t="str">
        <x:v>bakersfield:plan-maliyeti</x:v>
      </x:c>
      <x:c r="B93" s="29" t="str">
        <x:v>bakersfield</x:v>
      </x:c>
      <x:c r="C93" s="29" t="str">
        <x:v>plan-maliyeti</x:v>
      </x:c>
      <x:c r="D93" s="29" t="str">
        <x:v>Prim, deductible ve copay farklı kalemlerdir</x:v>
      </x:c>
      <x:c r="E93" s="29" t="str">
        <x:v>Sağlık ve sigorta</x:v>
      </x:c>
      <x:c r="F93" s="29" t="str">
        <x:v>Aylık prim, sağlık planının bütün kullanım maliyeti değildir. Deductible, copay, coinsurance ve yıllık cepten ödeme sınırı planın kapsam içi hizmetleri için farklı roller oynar. Daha düşük primli bir plan, düzenli tedavi veya ilaç kullanan kişi için toplamda daha pahalı olabilir.</x:v>
      </x:c>
      <x:c r="G93" s="29" t="str">
        <x:v>Prim, deductible ve copay farklı kalemlerdir</x:v>
      </x:c>
      <x:c r="H93" s="29" t="str">
        <x:v>before;new;settled</x:v>
      </x:c>
      <x:c r="I93" s="29" t="str">
        <x:v>bakersfield:src:6844</x:v>
      </x:c>
      <x:c r="J93" s="31" t="d">
        <x:v>2026-10-24T00:00:00.000Z</x:v>
      </x:c>
      <x:c r="K93" s="35" t="n">
        <x:v>85</x:v>
      </x:c>
      <x:c r="L93" s="29" t="str">
        <x:v>Hayır</x:v>
      </x:c>
      <x:c r="M93" s="29" t="str">
        <x:v>İnceleme</x:v>
      </x:c>
      <x:c r="N93" s="29" t="str">
        <x:v>bakersfield:saglik</x:v>
      </x:c>
      <x:c r="O93" s="29" t="str">
        <x:v>Aylık prim ile kullanım paylarını ayır
Düzenli tedavi ve ilaçlarını karşılaştırmaya ekle
Planın özet kapsam belgesini sakla</x:v>
      </x:c>
      <x:c r="P93" s="29" t="str">
        <x:v>Planın kapsam ve maliyet özeti</x:v>
      </x:c>
      <x:c r="Q93" s="29" t="str">
        <x:v>Kayıt veya plan yenilemesinde düzenli tedavinin yıllık toplamını karşılaştır.</x:v>
      </x:c>
      <x:c r="R93" s="29" t="str">
        <x:v>Prim, deductible, copay, coinsurance ve kapsam içi yıllık cepten ödeme sınırı planın özetinde ayrı yer alır.</x:v>
      </x:c>
      <x:c r="S93" s="29"/>
      <x:c r="T93" s="29"/>
    </x:row>
    <x:row r="94" ht="96" customHeight="1">
      <x:c r="A94" s="29" t="str">
        <x:v>bakersfield:hekim-agi</x:v>
      </x:c>
      <x:c r="B94" s="29" t="str">
        <x:v>bakersfield</x:v>
      </x:c>
      <x:c r="C94" s="29" t="str">
        <x:v>hekim-agi</x:v>
      </x:c>
      <x:c r="D94" s="29" t="str">
        <x:v>Doktor ve hastaneyi planın tam adıyla eşleştir</x:v>
      </x:c>
      <x:c r="E94" s="29" t="str">
        <x:v>Sağlık ve sigorta</x:v>
      </x:c>
      <x:c r="F94" s="29" t="str">
        <x:v>Bir hekimin bir sigorta şirketiyle çalışması, o şirketin bütün planlarını kabul ettiği anlamına gelmez. Yeni randevuda planın tam adı, hekim, muayene adresi ve hizmetin ağ içi durumu birlikte önemlidir. Plan dizini ve sağlık kuruluşundan alınan bilgi çelişirse sigorta üye hizmetlerinden yazılı açıklama iste.</x:v>
      </x:c>
      <x:c r="G94" s="29" t="str">
        <x:v>Doktor ve hastaneyi planın tam adıyla eşleştir</x:v>
      </x:c>
      <x:c r="H94" s="29" t="str">
        <x:v>before;new;settled</x:v>
      </x:c>
      <x:c r="I94" s="29" t="str">
        <x:v>bakersfield:src:17641</x:v>
      </x:c>
      <x:c r="J94" s="31" t="d">
        <x:v>2026-10-24T00:00:00.000Z</x:v>
      </x:c>
      <x:c r="K94" s="35" t="n">
        <x:v>86</x:v>
      </x:c>
      <x:c r="L94" s="29" t="str">
        <x:v>Hayır</x:v>
      </x:c>
      <x:c r="M94" s="29" t="str">
        <x:v>İnceleme</x:v>
      </x:c>
      <x:c r="N94" s="29" t="str">
        <x:v>bakersfield:saglik</x:v>
      </x:c>
      <x:c r="O94" s="29" t="str">
        <x:v>Planın tam adını ve üye numaranı hazırla
Hekim ve muayene adresini ağ dizininde eşleştir
Randevu öncesi yönlendirme gerekip gerekmediğini öğren</x:v>
      </x:c>
      <x:c r="P94" s="29" t="str">
        <x:v>Sigorta kartı
Hekim ve randevu bilgileri</x:v>
      </x:c>
      <x:c r="Q94" s="29" t="str">
        <x:v>Randevu alırken planın tam adı, hekim ve muayene adresi için ağı ve sevki eşleştir.</x:v>
      </x:c>
      <x:c r="R94" s="29" t="str">
        <x:v>Ağ dışı hizmet hasta payını artırabilir; plan ve hizmete özgü koşullar uygulanır.</x:v>
      </x:c>
      <x:c r="S94" s="29"/>
      <x:c r="T94" s="29"/>
    </x:row>
    <x:row r="95" ht="96" customHeight="1">
      <x:c r="A95" s="29" t="str">
        <x:v>bakersfield:birinci-basamak</x:v>
      </x:c>
      <x:c r="B95" s="29" t="str">
        <x:v>bakersfield</x:v>
      </x:c>
      <x:c r="C95" s="29" t="str">
        <x:v>birinci-basamak</x:v>
      </x:c>
      <x:c r="D95" s="29" t="str">
        <x:v>Düzenli bakım için birinci basamak hekimi seç</x:v>
      </x:c>
      <x:c r="E95" s="29" t="str">
        <x:v>Sağlık ve sigorta</x:v>
      </x:c>
      <x:c r="F95" s="29" t="str">
        <x:v>Aile hekimi veya primary care provider, düzenli bakım ve bazı planlarda uzman yönlendirmesi için başlangıç noktasıdır. Yeni hasta kabulü, dil desteği ve randevu süresi seçimi etkiler. Süregelen sağlık durumun varsa önceki kayıtlarını paylaşmak bakımın devamını kolaylaştırır.</x:v>
      </x:c>
      <x:c r="G95" s="29" t="str">
        <x:v>Düzenli bakım için birinci basamak hekimi seç</x:v>
      </x:c>
      <x:c r="H95" s="29" t="str">
        <x:v>before;new;settled</x:v>
      </x:c>
      <x:c r="I95" s="29" t="str">
        <x:v>bakersfield:src:17641;bakersfield:src:17643</x:v>
      </x:c>
      <x:c r="J95" s="31" t="d">
        <x:v>2026-10-24T00:00:00.000Z</x:v>
      </x:c>
      <x:c r="K95" s="35" t="n">
        <x:v>87</x:v>
      </x:c>
      <x:c r="L95" s="29" t="str">
        <x:v>Hayır</x:v>
      </x:c>
      <x:c r="M95" s="29" t="str">
        <x:v>İnceleme</x:v>
      </x:c>
      <x:c r="N95" s="29" t="str">
        <x:v>bakersfield:saglik</x:v>
      </x:c>
      <x:c r="O95" s="29" t="str">
        <x:v>Plan ağındaki yeni hasta kabul eden hekimleri belirle
İlk randevuda sağlık özetini ve ilaç listesini götür
Kontrol ve sevk planını yazılı takip et</x:v>
      </x:c>
      <x:c r="P95" s="29" t="str">
        <x:v>Sigorta kartı
Sağlık özeti
İlaç listesi</x:v>
      </x:c>
      <x:c r="Q95" s="29" t="str">
        <x:v>Mevcut ilaçlar bitmeden ilk randevuyu planla; yeni hasta bekleme süresi hekim bazında değişir.</x:v>
      </x:c>
      <x:c r="R95" s="29" t="str">
        <x:v>Muayene hasta payı planına, kliniğe ve hizmete bağlıdır.</x:v>
      </x:c>
      <x:c r="S95" s="29"/>
      <x:c r="T95" s="29"/>
    </x:row>
    <x:row r="96" ht="110" customHeight="1">
      <x:c r="A96" s="29" t="str">
        <x:v>bakersfield:acil-bakim</x:v>
      </x:c>
      <x:c r="B96" s="29" t="str">
        <x:v>bakersfield</x:v>
      </x:c>
      <x:c r="C96" s="29" t="str">
        <x:v>acil-bakim</x:v>
      </x:c>
      <x:c r="D96" s="29" t="str">
        <x:v>Hayati acil durumda 911'i kullan</x:v>
      </x:c>
      <x:c r="E96" s="29" t="str">
        <x:v>Sağlık ve sigorta</x:v>
      </x:c>
      <x:c r="F96" s="29" t="str">
        <x:v>Hayati tehlike, ciddi yaralanma veya acil müdahale gerektiren durumda 911'i ara. Urgent care, rutin muayene ve hastane acili aynı hizmet değildir. Belirtilerin ciddiyetinden emin değilsen planının sağlık danışma kanalından yönlendirme alabilirsin; belirgin acil durumda sigorta veya ücret araştırmasıyla yardım çağrısını geciktirme.</x:v>
      </x:c>
      <x:c r="G96" s="29" t="str">
        <x:v>Hayati acil durumda 911'i kullan</x:v>
      </x:c>
      <x:c r="H96" s="29" t="str">
        <x:v>before;new;settled</x:v>
      </x:c>
      <x:c r="I96" s="29" t="str">
        <x:v>bakersfield:src:17716</x:v>
      </x:c>
      <x:c r="J96" s="31" t="d">
        <x:v>2026-10-24T00:00:00.000Z</x:v>
      </x:c>
      <x:c r="K96" s="35" t="n">
        <x:v>88</x:v>
      </x:c>
      <x:c r="L96" s="29" t="str">
        <x:v>Hayır</x:v>
      </x:c>
      <x:c r="M96" s="29" t="str">
        <x:v>İnceleme</x:v>
      </x:c>
      <x:c r="N96" s="29" t="str">
        <x:v>bakersfield:saglik</x:v>
      </x:c>
      <x:c r="O96" s="29" t="str">
        <x:v>911'e bulunduğun adresi ve durumu anlat
Operatörün sorularını yanıtla
Güvenli olduğunda kimlik ve ilaç bilgilerini hazırla</x:v>
      </x:c>
      <x:c r="P96" s="29" t="str">
        <x:v>Varsa ilaç ve sağlık bilgisi</x:v>
      </x:c>
      <x:c r="Q96" s="29" t="str">
        <x:v>Hayati tehlike veya ciddi acil durumda hemen 911; rutin randevu beklenmez.</x:v>
      </x:c>
      <x:c r="R96" s="29" t="str">
        <x:v>Ambulans ve hastane hizmetleri ücret doğurabilir; ödeme araştırması hayati acil yardım çağrısını geciktirmemelidir.</x:v>
      </x:c>
      <x:c r="S96" s="29"/>
      <x:c r="T96" s="29"/>
    </x:row>
    <x:row r="97" ht="110" customHeight="1">
      <x:c r="A97" s="29" t="str">
        <x:v>bakersfield:klinik-erisim</x:v>
      </x:c>
      <x:c r="B97" s="29" t="str">
        <x:v>bakersfield</x:v>
      </x:c>
      <x:c r="C97" s="29" t="str">
        <x:v>klinik-erisim</x:v>
      </x:c>
      <x:c r="D97" s="29" t="str">
        <x:v>Clinica Sierra Vista'da hizmet ve ödeme yolunu öğren</x:v>
      </x:c>
      <x:c r="E97" s="29" t="str">
        <x:v>Sağlık ve sigorta</x:v>
      </x:c>
      <x:c r="F97" s="29" t="str">
        <x:v>Clinica Sierra Vista, Bakersfield ve çevresinde farklı sağlık merkezleri ve hizmetler sunar. Tercih ettiğin klinik, hekim ve randevu türünün aynı yerde bulunacağını varsayma. Sigortan yoksa veya ödeme güçlüğün varsa ücret ve yardım seçeneklerini kayıt biriminden görüş; uygunluk değerlendirmesi kişiseldir.</x:v>
      </x:c>
      <x:c r="G97" s="29" t="str">
        <x:v>Clinica Sierra Vista'da hizmet ve ödeme yolunu öğren</x:v>
      </x:c>
      <x:c r="H97" s="29" t="str">
        <x:v>before;new;settled</x:v>
      </x:c>
      <x:c r="I97" s="29" t="str">
        <x:v>bakersfield:src:17874;bakersfield:src:17643</x:v>
      </x:c>
      <x:c r="J97" s="31" t="d">
        <x:v>2026-10-24T00:00:00.000Z</x:v>
      </x:c>
      <x:c r="K97" s="35" t="n">
        <x:v>89</x:v>
      </x:c>
      <x:c r="L97" s="29" t="str">
        <x:v>Hayır</x:v>
      </x:c>
      <x:c r="M97" s="29" t="str">
        <x:v>İnceleme</x:v>
      </x:c>
      <x:c r="N97" s="29" t="str">
        <x:v>bakersfield:saglik</x:v>
      </x:c>
      <x:c r="O97" s="29" t="str">
        <x:v>İhtiyacına uygun hizmet veren merkezi seç
Randevu ve ödeme koşulunu kayıt biriminden al
İstenen kimlik ve gelir belgelerini hazırla</x:v>
      </x:c>
      <x:c r="P97" s="29" t="str">
        <x:v>Kayıt biriminin istediği belgeler</x:v>
      </x:c>
      <x:c r="Q97" s="29" t="str">
        <x:v>İlgili merkezde yeni hasta kabulünü, randevu ve ödeme belgelerini başvuru öncesi belirle.</x:v>
      </x:c>
      <x:c r="R97" s="29" t="str">
        <x:v>Sigortasız hastalar için gelir ve aile büyüklüğüne bağlı indirimli ücret seçenekleri değerlendirilebilir; bütün hizmetlerin ücretsiz olduğu söylenmez.</x:v>
      </x:c>
      <x:c r="S97" s="29"/>
      <x:c r="T97" s="29"/>
    </x:row>
    <x:row r="98" ht="96" customHeight="1">
      <x:c r="A98" s="29" t="str">
        <x:v>bakersfield:sigorta-karti</x:v>
      </x:c>
      <x:c r="B98" s="29" t="str">
        <x:v>bakersfield</x:v>
      </x:c>
      <x:c r="C98" s="29" t="str">
        <x:v>sigorta-karti</x:v>
      </x:c>
      <x:c r="D98" s="29" t="str">
        <x:v>Sağlık kartındaki hizmet kanallarını kaydet</x:v>
      </x:c>
      <x:c r="E98" s="29" t="str">
        <x:v>Sağlık ve sigorta</x:v>
      </x:c>
      <x:c r="F98" s="29" t="str">
        <x:v>Sigorta kartında üye numarası, plan bilgisi ve destek telefonları bulunabilir. Kartın eline ulaşması kadar kapsamın etkin olduğu tarih de önemlidir. Aile üyelerinin numaraları ve hekim atamaları farklı olabileceğinden tek kişinin kartıyla bütün ailenin işlemlerinin yürüdüğünü varsayma.</x:v>
      </x:c>
      <x:c r="G98" s="29" t="str">
        <x:v>Sağlık kartındaki hizmet kanallarını kaydet</x:v>
      </x:c>
      <x:c r="H98" s="29" t="str">
        <x:v>before;new;settled</x:v>
      </x:c>
      <x:c r="I98" s="29" t="str">
        <x:v>bakersfield:src:17642;bakersfield:src:6317</x:v>
      </x:c>
      <x:c r="J98" s="31" t="d">
        <x:v>2026-10-24T00:00:00.000Z</x:v>
      </x:c>
      <x:c r="K98" s="35" t="n">
        <x:v>90</x:v>
      </x:c>
      <x:c r="L98" s="29" t="str">
        <x:v>Hayır</x:v>
      </x:c>
      <x:c r="M98" s="29" t="str">
        <x:v>İnceleme</x:v>
      </x:c>
      <x:c r="N98" s="29" t="str">
        <x:v>bakersfield:saglik</x:v>
      </x:c>
      <x:c r="O98" s="29" t="str">
        <x:v>Her üyenin kartını ve başlangıç tarihini kaydet
Üye hizmetleri kanalını telefona ekle
Kayıp kart veya yanlış bilgiyi planına bildir</x:v>
      </x:c>
      <x:c r="P98" s="29" t="str">
        <x:v>Kapsam onayı
Sigorta kartları</x:v>
      </x:c>
      <x:c r="Q98" s="29" t="str">
        <x:v>Kapsamın etkin tarihini ilk randevudan önce, aile üyelerinin bilgilerini ayrı kontrol et.</x:v>
      </x:c>
      <x:c r="R98" s="29" t="str">
        <x:v>Kayıp kart yenileme koşulunu planından öğren; kart sahibi olmak bütün hizmetlerin ücretsiz olduğu anlamına gelmez.</x:v>
      </x:c>
      <x:c r="S98" s="29"/>
      <x:c r="T98" s="29"/>
    </x:row>
    <x:row r="99" ht="96" customHeight="1">
      <x:c r="A99" s="29" t="str">
        <x:v>bakersfield:ilac-devami</x:v>
      </x:c>
      <x:c r="B99" s="29" t="str">
        <x:v>bakersfield</x:v>
      </x:c>
      <x:c r="C99" s="29" t="str">
        <x:v>ilac-devami</x:v>
      </x:c>
      <x:c r="D99" s="29" t="str">
        <x:v>Taşınmada ilaç devamını önceden planla</x:v>
      </x:c>
      <x:c r="E99" s="29" t="str">
        <x:v>Sağlık ve sigorta</x:v>
      </x:c>
      <x:c r="F99" s="29" t="str">
        <x:v>Türkiye'deki reçetenin ABD eczanesinde doğrudan aynı şekilde karşılanacağını varsayma. İlacın etken maddesi, doz bilgisi ve tedavi özeti yeni hekim için yararlıdır. ABD'ye kişisel ilaç getirme kuralları ise reçete yenilemeden ayrı bir konudur; kontrollü ilaçlarda ek koşullar bulunabilir.</x:v>
      </x:c>
      <x:c r="G99" s="29" t="str">
        <x:v>Taşınmada ilaç devamını önceden planla</x:v>
      </x:c>
      <x:c r="H99" s="29" t="str">
        <x:v>before;new;settled</x:v>
      </x:c>
      <x:c r="I99" s="29" t="str">
        <x:v>bakersfield:src:17644;bakersfield:src:6853</x:v>
      </x:c>
      <x:c r="J99" s="31" t="d">
        <x:v>2026-10-24T00:00:00.000Z</x:v>
      </x:c>
      <x:c r="K99" s="35" t="n">
        <x:v>91</x:v>
      </x:c>
      <x:c r="L99" s="29" t="str">
        <x:v>Hayır</x:v>
      </x:c>
      <x:c r="M99" s="29" t="str">
        <x:v>İnceleme</x:v>
      </x:c>
      <x:c r="N99" s="29" t="str">
        <x:v>bakersfield:saglik</x:v>
      </x:c>
      <x:c r="O99" s="29" t="str">
        <x:v>Etken madde ve mevcut doz listesini hazırla
Yeni hekim ve eczane sürecini varıştan önce planla
İlaç getireceksen FDA ve gümrük koşullarını ayır</x:v>
      </x:c>
      <x:c r="P99" s="29" t="str">
        <x:v>Reçete
Tedavi özeti
Etken madde listesi</x:v>
      </x:c>
      <x:c r="Q99" s="29" t="str">
        <x:v>Mevcut ilaç bitmeden ABD hekim/eczane sürecini planla; ithalat koşulları ayrı uygulanır.</x:v>
      </x:c>
      <x:c r="R99" s="29" t="str">
        <x:v>İlaç bedeli, plan formüleri ve hasta payına bağlıdır; Türkiye fiyatı ABD bedeli değildir.</x:v>
      </x:c>
      <x:c r="S99" s="29"/>
      <x:c r="T99" s="29"/>
    </x:row>
    <x:row r="100" ht="96" customHeight="1">
      <x:c r="A100" s="29" t="str">
        <x:v>bakersfield:eczane-secimi</x:v>
      </x:c>
      <x:c r="B100" s="29" t="str">
        <x:v>bakersfield</x:v>
      </x:c>
      <x:c r="C100" s="29" t="str">
        <x:v>eczane-secimi</x:v>
      </x:c>
      <x:c r="D100" s="29" t="str">
        <x:v>Eczaneyi ruhsat ve plan ağıyla değerlendir</x:v>
      </x:c>
      <x:c r="E100" s="29" t="str">
        <x:v>Sağlık ve sigorta</x:v>
      </x:c>
      <x:c r="F100" s="29" t="str">
        <x:v>California Board of Pharmacy'nin ruhsat araması, eczane ve meslek kaydını doğrulamak için kullanılabilir; açık olduğu saati veya ilacın stokta bulunduğunu göstermez. Sigorta ağı ve reçetenin aktarılabilmesi de ayrı koşullardır. Eczane seçerken bu üç bilgiyi birlikte ele al.</x:v>
      </x:c>
      <x:c r="G100" s="29" t="str">
        <x:v>Eczaneyi ruhsat ve plan ağıyla değerlendir</x:v>
      </x:c>
      <x:c r="H100" s="29" t="str">
        <x:v>before;new;settled</x:v>
      </x:c>
      <x:c r="I100" s="29" t="str">
        <x:v>bakersfield:src:17641;bakersfield:src:17644</x:v>
      </x:c>
      <x:c r="J100" s="31" t="d">
        <x:v>2026-10-24T00:00:00.000Z</x:v>
      </x:c>
      <x:c r="K100" s="35" t="n">
        <x:v>92</x:v>
      </x:c>
      <x:c r="L100" s="29" t="str">
        <x:v>Hayır</x:v>
      </x:c>
      <x:c r="M100" s="29" t="str">
        <x:v>İnceleme</x:v>
      </x:c>
      <x:c r="N100" s="29" t="str">
        <x:v>bakersfield:saglik</x:v>
      </x:c>
      <x:c r="O100" s="29" t="str">
        <x:v>Eczane ruhsatını resmî kayıttan doğrula
Plan ağını ve hizmet saatlerini öğren
Reçete aktarımı veya yeni reçete gereğini eczacıyla görüş</x:v>
      </x:c>
      <x:c r="P100" s="29" t="str">
        <x:v>Eczane adı
Plan bilgisi
Reçete</x:v>
      </x:c>
      <x:c r="Q100" s="29" t="str">
        <x:v>Ruhsat sorgusunu seçimde kullan; stok, açık saat ve reçete transferini hizmet öncesi belirle.</x:v>
      </x:c>
      <x:c r="R100" s="29" t="str">
        <x:v>Reçete hasta payı plan ve ürüne göre değişir; ruhsat araması ücretsiz kamu sorgusudur.</x:v>
      </x:c>
      <x:c r="S100" s="29"/>
      <x:c r="T100" s="29"/>
    </x:row>
    <x:row r="101" ht="124" customHeight="1">
      <x:c r="A101" s="29" t="str">
        <x:v>bakersfield:yetiskin-asi</x:v>
      </x:c>
      <x:c r="B101" s="29" t="str">
        <x:v>bakersfield</x:v>
      </x:c>
      <x:c r="C101" s="29" t="str">
        <x:v>yetiskin-asi</x:v>
      </x:c>
      <x:c r="D101" s="29" t="str">
        <x:v>Yetişkin aşı planını sağlık geçmişinle oluştur</x:v>
      </x:c>
      <x:c r="E101" s="29" t="str">
        <x:v>Sağlık ve sigorta</x:v>
      </x:c>
      <x:c r="F101" s="29" t="str">
        <x:v>Yetişkin aşı önerileri yalnız yaşa göre belirlenmez; gebelik, kronik hastalık, bağışıklık durumu, iş ve seyahat planı da değerlendirmeye girer. Türkiye'deki kayıtlarını tarih ve aşı adıyla getirmek, eksik olduğu sanılan dozları ayırt etmeye yardımcı olur. Birinci basamak görüşmesinde kişisel takvimini oluştur; okul kayıt koşulları yetişkinin bireysel bakım planının yerine geçmez.</x:v>
      </x:c>
      <x:c r="G101" s="29" t="str">
        <x:v>Yetişkin aşı planını sağlık geçmişinle oluştur</x:v>
      </x:c>
      <x:c r="H101" s="29" t="str">
        <x:v>before;new;settled</x:v>
      </x:c>
      <x:c r="I101" s="29" t="str">
        <x:v>bakersfield:src:17744</x:v>
      </x:c>
      <x:c r="J101" s="31" t="d">
        <x:v>2026-10-24T00:00:00.000Z</x:v>
      </x:c>
      <x:c r="K101" s="35" t="n">
        <x:v>93</x:v>
      </x:c>
      <x:c r="L101" s="29" t="str">
        <x:v>Hayır</x:v>
      </x:c>
      <x:c r="M101" s="29" t="str">
        <x:v>İnceleme</x:v>
      </x:c>
      <x:c r="N101" s="29" t="str">
        <x:v>bakersfield:saglik</x:v>
      </x:c>
      <x:c r="O101" s="29" t="str">
        <x:v>Mevcut aşı kayıtlarını topla
İş ve seyahat planını hekime bildir
Önerilen uygulamanın sigorta ve randevu yolunu belirle</x:v>
      </x:c>
      <x:c r="P101" s="29" t="str">
        <x:v>Aşı kayıtları
Sağlık ve ilaç listesi</x:v>
      </x:c>
      <x:c r="Q101" s="29" t="str">
        <x:v>Yaş, önceki dozlar, gebelik, sağlık durumu ve seyahate göre hekimle kişisel takvim belirle.</x:v>
      </x:c>
      <x:c r="R101" s="29" t="str">
        <x:v>Kapsam ve hasta payı aşı, uygulama yeri ve plana bağlıdır.</x:v>
      </x:c>
      <x:c r="S101" s="29"/>
      <x:c r="T101" s="29"/>
    </x:row>
    <x:row r="102" ht="96" customHeight="1">
      <x:c r="A102" s="29" t="str">
        <x:v>bakersfield:cocuk-saglik</x:v>
      </x:c>
      <x:c r="B102" s="29" t="str">
        <x:v>bakersfield</x:v>
      </x:c>
      <x:c r="C102" s="29" t="str">
        <x:v>cocuk-saglik</x:v>
      </x:c>
      <x:c r="D102" s="29" t="str">
        <x:v>Çocuk sağlık kapsamını yetişkin dosyasından ayır</x:v>
      </x:c>
      <x:c r="E102" s="29" t="str">
        <x:v>Sağlık ve sigorta</x:v>
      </x:c>
      <x:c r="F102" s="29" t="str">
        <x:v>Bir yetişkinin sağlık programına uygun olmaması, çocuğun da aynı durumda olduğu anlamına gelmez. Medi-Cal çocuk uygunluğu, yaş, gelir ve diğer koşullarla ayrıca değerlendirilir. Başvuru ve okul kaydı süreçlerini paralel yürüt; diş, görme ve düzenli kontrol hizmetlerinin hangi kapsamda olduğunu planından öğren.</x:v>
      </x:c>
      <x:c r="G102" s="29" t="str">
        <x:v>Çocuk sağlık kapsamını yetişkin dosyasından ayır</x:v>
      </x:c>
      <x:c r="H102" s="29" t="str">
        <x:v>before;new;settled</x:v>
      </x:c>
      <x:c r="I102" s="29" t="str">
        <x:v>bakersfield:src:6887;bakersfield:src:17654;bakersfield:src:6847</x:v>
      </x:c>
      <x:c r="J102" s="31" t="d">
        <x:v>2026-10-24T00:00:00.000Z</x:v>
      </x:c>
      <x:c r="K102" s="35" t="n">
        <x:v>94</x:v>
      </x:c>
      <x:c r="L102" s="29" t="str">
        <x:v>Hayır</x:v>
      </x:c>
      <x:c r="M102" s="29" t="str">
        <x:v>İnceleme</x:v>
      </x:c>
      <x:c r="N102" s="29" t="str">
        <x:v>bakersfield:saglik</x:v>
      </x:c>
      <x:c r="O102" s="29" t="str">
        <x:v>Her çocuk için uygunluk değerlendirmesi yap
Çocuk hekimi ve gerekli okul belgelerini planla
Kapsam başlangıcını ve hizmet ağını kaydet</x:v>
      </x:c>
      <x:c r="P102" s="29" t="str">
        <x:v>Çocuğun kimlik ve sağlık kayıtları</x:v>
      </x:c>
      <x:c r="Q102" s="29" t="str">
        <x:v>Kapsam başvurusu, çocuk hekimi ve okul sağlık belgelerini paralel planla.</x:v>
      </x:c>
      <x:c r="R102" s="29" t="str">
        <x:v>Çocuk için prim ve hasta payı kendi programına bağlıdır; yetişkinin uygunluk sonucu otomatik aktarılmaz.</x:v>
      </x:c>
      <x:c r="S102" s="29"/>
      <x:c r="T102" s="29"/>
    </x:row>
    <x:row r="103" ht="96" customHeight="1">
      <x:c r="A103" s="29" t="str">
        <x:v>bakersfield:dis-sagligi</x:v>
      </x:c>
      <x:c r="B103" s="29" t="str">
        <x:v>bakersfield</x:v>
      </x:c>
      <x:c r="C103" s="29" t="str">
        <x:v>dis-sagligi</x:v>
      </x:c>
      <x:c r="D103" s="29" t="str">
        <x:v>Diş bakımının kapsamını ayrıca incele</x:v>
      </x:c>
      <x:c r="E103" s="29" t="str">
        <x:v>Sağlık ve sigorta</x:v>
      </x:c>
      <x:c r="F103" s="29" t="str">
        <x:v>Sağlık sigortası kartının bulunması bütün yetişkin diş hizmetlerinin aynı planla karşılandığı anlamına gelmez. Medi-Cal ve özel planlarda diş hizmetinin sağlayıcısı ve kapsamı farklı olabilir. Muayene, işlem ve tahmini hasta payını tedavi planında ayrı görmek maliyeti anlamayı kolaylaştırır.</x:v>
      </x:c>
      <x:c r="G103" s="29" t="str">
        <x:v>Diş bakımının kapsamını ayrıca incele</x:v>
      </x:c>
      <x:c r="H103" s="29" t="str">
        <x:v>before;new;settled</x:v>
      </x:c>
      <x:c r="I103" s="29" t="str">
        <x:v>bakersfield:src:17872;bakersfield:src:17715;bakersfield:src:6317</x:v>
      </x:c>
      <x:c r="J103" s="31" t="d">
        <x:v>2026-10-24T00:00:00.000Z</x:v>
      </x:c>
      <x:c r="K103" s="35" t="n">
        <x:v>95</x:v>
      </x:c>
      <x:c r="L103" s="29" t="str">
        <x:v>Hayır</x:v>
      </x:c>
      <x:c r="M103" s="29" t="str">
        <x:v>İnceleme</x:v>
      </x:c>
      <x:c r="N103" s="29" t="str">
        <x:v>bakersfield:saglik</x:v>
      </x:c>
      <x:c r="O103" s="29" t="str">
        <x:v>Diş kapsamının hangi programda olduğunu belirle
Ağ içi hekim ve kapsam içi hizmetleri eşleştir
Tedavi öncesi yazılı maliyet planını al</x:v>
      </x:c>
      <x:c r="P103" s="29" t="str">
        <x:v>Diş kapsam bilgisi
Tedavi planı</x:v>
      </x:c>
      <x:c r="Q103" s="29" t="str">
        <x:v>Güncel DHCS takviminde bazı yetişkinlerin acil dışı diş kapsamı değişikliği 1 Temmuz 2027'dir; eski 2026 duyurusu esas alınmadı.</x:v>
      </x:c>
      <x:c r="R103" s="29" t="str">
        <x:v>Muayene ve tedavinin hasta payı diş programına göre değişir; sağlık kartı bütün yetişkin diş işlemlerini kapsamaz.</x:v>
      </x:c>
      <x:c r="S103" s="29"/>
      <x:c r="T103" s="29"/>
    </x:row>
    <x:row r="104" ht="96" customHeight="1">
      <x:c r="A104" s="29" t="str">
        <x:v>bakersfield:saglik-faturasi</x:v>
      </x:c>
      <x:c r="B104" s="29" t="str">
        <x:v>bakersfield</x:v>
      </x:c>
      <x:c r="C104" s="29" t="str">
        <x:v>saglik-faturasi</x:v>
      </x:c>
      <x:c r="D104" s="29" t="str">
        <x:v>EOB ile ödeme faturasını ayır</x:v>
      </x:c>
      <x:c r="E104" s="29" t="str">
        <x:v>Sağlık ve sigorta</x:v>
      </x:c>
      <x:c r="F104" s="29" t="str">
        <x:v>Explanation of Benefits, sigortanın bir hizmeti nasıl değerlendirdiğini anlatan dökümdür; her zaman senden istenen ödeme faturası değildir. Sağlık kuruluşundan gelen tutarı tarih, hizmet, sigorta ödemesi ve hasta payıyla eşleştir. Hata varsa belgeyi hem kuruluşun faturalama birimine hem planına ilet.</x:v>
      </x:c>
      <x:c r="G104" s="29" t="str">
        <x:v>EOB ile ödeme faturasını ayır</x:v>
      </x:c>
      <x:c r="H104" s="29" t="str">
        <x:v>before;new;settled</x:v>
      </x:c>
      <x:c r="I104" s="29" t="str">
        <x:v>bakersfield:src:17873;bakersfield:src:6324;bakersfield:src:17719</x:v>
      </x:c>
      <x:c r="J104" s="31" t="d">
        <x:v>2026-10-24T00:00:00.000Z</x:v>
      </x:c>
      <x:c r="K104" s="35" t="n">
        <x:v>96</x:v>
      </x:c>
      <x:c r="L104" s="29" t="str">
        <x:v>Hayır</x:v>
      </x:c>
      <x:c r="M104" s="29" t="str">
        <x:v>İnceleme</x:v>
      </x:c>
      <x:c r="N104" s="29" t="str">
        <x:v>bakersfield:saglik</x:v>
      </x:c>
      <x:c r="O104" s="29" t="str">
        <x:v>Hizmet tarihi ve kayıt numarasını karşılaştır
EOB ile kuruluş faturasını birlikte oku
İtiraz ve görüşmelerin dosya numarasını sakla</x:v>
      </x:c>
      <x:c r="P104" s="29" t="str">
        <x:v>EOB
Fatura
Ödeme kayıtları</x:v>
      </x:c>
      <x:c r="Q104" s="29" t="str">
        <x:v>Fatura veya EOB gelir gelmez tarih/hizmet kontrolü yap; itiraz için planın bildirdiği süreyi uygula.</x:v>
      </x:c>
      <x:c r="R104" s="29" t="str">
        <x:v>EOB bir fatura değildir; ödenecek gerçek tutarı sağlık kuruluşu faturası ve sigorta kararıyla eşleştir.</x:v>
      </x:c>
      <x:c r="S104" s="29"/>
      <x:c r="T104" s="29"/>
    </x:row>
    <x:row r="105" ht="124" customHeight="1">
      <x:c r="A105" s="29" t="str">
        <x:v>bakersfield:saglik-itirazi</x:v>
      </x:c>
      <x:c r="B105" s="29" t="str">
        <x:v>bakersfield</x:v>
      </x:c>
      <x:c r="C105" s="29" t="str">
        <x:v>saglik-itirazi</x:v>
      </x:c>
      <x:c r="D105" s="29" t="str">
        <x:v>Plan kararına itiraz yolunu kullan</x:v>
      </x:c>
      <x:c r="E105" s="29" t="str">
        <x:v>Sağlık ve sigorta</x:v>
      </x:c>
      <x:c r="F105" s="29" t="str">
        <x:v>Kapsam reddi, ağ erişimi veya bakım gecikmesi yaşandığında planın itiraz sürecini kullanabilirsin. California DMHC'nin yardım ve bağımsız tıbbi inceleme yolları, yetki kapsamına giren planlar için önemlidir. Her sigorta türünün aynı düzenleyiciye bağlı olduğunu varsaymadan kartındaki ve ret yazındaki başvuru yolunu ayır.</x:v>
      </x:c>
      <x:c r="G105" s="29" t="str">
        <x:v>Plan kararına itiraz yolunu kullan</x:v>
      </x:c>
      <x:c r="H105" s="29" t="str">
        <x:v>before;new;settled</x:v>
      </x:c>
      <x:c r="I105" s="29" t="str">
        <x:v>bakersfield:src:17876;bakersfield:src:6324;bakersfield:src:17877</x:v>
      </x:c>
      <x:c r="J105" s="31" t="d">
        <x:v>2026-10-24T00:00:00.000Z</x:v>
      </x:c>
      <x:c r="K105" s="35" t="n">
        <x:v>97</x:v>
      </x:c>
      <x:c r="L105" s="29" t="str">
        <x:v>Hayır</x:v>
      </x:c>
      <x:c r="M105" s="29" t="str">
        <x:v>İnceleme</x:v>
      </x:c>
      <x:c r="N105" s="29" t="str">
        <x:v>bakersfield:saglik</x:v>
      </x:c>
      <x:c r="O105" s="29" t="str">
        <x:v>Ret gerekçesi ve süreleri yazılı al
Planına kanıtlarla itiraz et
Uygunsa DMHC yardım veya inceleme sürecini başlat</x:v>
      </x:c>
      <x:c r="P105" s="29" t="str">
        <x:v>Ret yazısı
Plan belgeleri
Tıbbi kayıtlar</x:v>
      </x:c>
      <x:c r="Q105" s="29" t="str">
        <x:v>Genellikle önce plana şikâyet ve 30 gün; acil sağlık tehlikesinde DMHC'den hemen yardım istenebilir. IMR için genellikle planın yazılı yanıtından itibaren altı ay vardır.</x:v>
      </x:c>
      <x:c r="R105" s="29" t="str">
        <x:v>DMHC şikâyeti ve uygun Independent Medical Review başvurusu ücretsizdir.</x:v>
      </x:c>
      <x:c r="S105" s="29"/>
      <x:c r="T105" s="29"/>
    </x:row>
    <x:row r="106" ht="110" customHeight="1">
      <x:c r="A106" s="29" t="str">
        <x:v>bakersfield:valley-fever</x:v>
      </x:c>
      <x:c r="B106" s="29" t="str">
        <x:v>bakersfield</x:v>
      </x:c>
      <x:c r="C106" s="29" t="str">
        <x:v>valley-fever</x:v>
      </x:c>
      <x:c r="D106" s="29" t="str">
        <x:v>Tozlu ortamda Valley Fever riskini tanı</x:v>
      </x:c>
      <x:c r="E106" s="29" t="str">
        <x:v>Sağlık ve sigorta</x:v>
      </x:c>
      <x:c r="F106" s="29" t="str">
        <x:v>Kern County'nin bulunduğu bölgede Valley Fever, topraktaki mantar sporlarının solunmasıyla ilişkili bir sağlık konusudur. Tozlu koşullarda korunma ve belirtileri değerlendirme kişisel sağlık durumuna bağlıdır. Uzayan öksürük, ateş veya yorgunlukta sağlık uzmanına yaşadığın ve bulunduğun bölgeyi söyle; kendi kendine tanı koyma.</x:v>
      </x:c>
      <x:c r="G106" s="29" t="str">
        <x:v>Tozlu ortamda Valley Fever riskini tanı</x:v>
      </x:c>
      <x:c r="H106" s="29" t="str">
        <x:v>before;new;settled</x:v>
      </x:c>
      <x:c r="I106" s="29" t="str">
        <x:v>bakersfield:src:17645</x:v>
      </x:c>
      <x:c r="J106" s="31" t="d">
        <x:v>2026-10-24T00:00:00.000Z</x:v>
      </x:c>
      <x:c r="K106" s="35" t="n">
        <x:v>98</x:v>
      </x:c>
      <x:c r="L106" s="29" t="str">
        <x:v>Hayır</x:v>
      </x:c>
      <x:c r="M106" s="29" t="str">
        <x:v>İnceleme</x:v>
      </x:c>
      <x:c r="N106" s="29" t="str">
        <x:v>bakersfield:saglik</x:v>
      </x:c>
      <x:c r="O106" s="29" t="str">
        <x:v>Tozlu ortam maruziyetini azaltmaya yönelik resmî önerileri oku
Belirti ve başlangıç tarihini kaydet
Sağlık görüşmesinde bölge ve maruziyet bilgisini paylaş</x:v>
      </x:c>
      <x:c r="P106" s="29" t="str">
        <x:v>Belirti ve maruziyet notları</x:v>
      </x:c>
      <x:c r="Q106" s="29" t="str">
        <x:v>Uzayan belirtilerde sağlık uzmanına bölge ve toz maruziyetini bildir; ağır durumda acil yardım al.</x:v>
      </x:c>
      <x:c r="R106" s="29" t="str">
        <x:v>Sağlık görüşmesi ve testin hasta payı planına bağlıdır; burada teşhis veya kişisel tedavi ücreti belirlenmez.</x:v>
      </x:c>
      <x:c r="S106" s="29"/>
      <x:c r="T106" s="29"/>
    </x:row>
    <x:row r="107" ht="96" customHeight="1">
      <x:c r="A107" s="29" t="str">
        <x:v>bakersfield:hava-kalitesi</x:v>
      </x:c>
      <x:c r="B107" s="29" t="str">
        <x:v>bakersfield</x:v>
      </x:c>
      <x:c r="C107" s="29" t="str">
        <x:v>hava-kalitesi</x:v>
      </x:c>
      <x:c r="D107" s="29" t="str">
        <x:v>Dışarıdaki planı AQI ile birlikte değerlendir</x:v>
      </x:c>
      <x:c r="E107" s="29" t="str">
        <x:v>Sağlık ve sigorta</x:v>
      </x:c>
      <x:c r="F107" s="29" t="str">
        <x:v>AirNow hava kalitesi endeksi, sıcaklık tahmininden farklıdır. Ozon, parçacık kirliliği veya duman koşullarında aynı parkur farklı sağlık riski taşıyabilir. Çocuklar, yaşlılar ve bazı sağlık durumları olan kişiler için öneriler farklılaşır; açık hava etkinliğini ilgili risk grubunun rehberiyle planla.</x:v>
      </x:c>
      <x:c r="G107" s="29" t="str">
        <x:v>Dışarıdaki planı AQI ile birlikte değerlendir</x:v>
      </x:c>
      <x:c r="H107" s="29" t="str">
        <x:v>before;new;settled</x:v>
      </x:c>
      <x:c r="I107" s="29" t="str">
        <x:v>bakersfield:src:17646;bakersfield:src:17647</x:v>
      </x:c>
      <x:c r="J107" s="31" t="d">
        <x:v>2026-10-24T00:00:00.000Z</x:v>
      </x:c>
      <x:c r="K107" s="35" t="n">
        <x:v>99</x:v>
      </x:c>
      <x:c r="L107" s="29" t="str">
        <x:v>Hayır</x:v>
      </x:c>
      <x:c r="M107" s="29" t="str">
        <x:v>İnceleme</x:v>
      </x:c>
      <x:c r="N107" s="29" t="str">
        <x:v>bakersfield:saglik</x:v>
      </x:c>
      <x:c r="O107" s="29" t="str">
        <x:v>Bakersfield için güncel AQI ve kirletici bilgisini aç
Kendi sağlık grubuna uygun etkinlik rehberini kullan
Duman veya kötü hava gününde kapalı alan seçeneğini hazırla</x:v>
      </x:c>
      <x:c r="P107" s="29" t="str">
        <x:v>Kişisel etkinlik ve sağlık planı</x:v>
      </x:c>
      <x:c r="Q107" s="29" t="str">
        <x:v>Açık hava etkinliği öncesinde ve duman koşulları değiştiğinde güncel AQI'yi değerlendir.</x:v>
      </x:c>
      <x:c r="R107" s="29" t="str">
        <x:v>AirNow kamu hava kalitesi bilgisine erişim ücretsizdir.</x:v>
      </x:c>
      <x:c r="S107" s="29"/>
      <x:c r="T107" s="29"/>
    </x:row>
    <x:row r="108" ht="82" customHeight="1">
      <x:c r="A108" s="29" t="str">
        <x:v>bakersfield:calisma-yetkisi</x:v>
      </x:c>
      <x:c r="B108" s="29" t="str">
        <x:v>bakersfield</x:v>
      </x:c>
      <x:c r="C108" s="29" t="str">
        <x:v>calisma-yetkisi</x:v>
      </x:c>
      <x:c r="D108" s="29" t="str">
        <x:v>İş teklifinden önce çalışma yetkini belirle</x:v>
      </x:c>
      <x:c r="E108" s="29" t="str">
        <x:v>İş ve kariyer</x:v>
      </x:c>
      <x:c r="F108" s="29" t="str">
        <x:v>Bir işverenin teklif vermesi, ABD'de o işte çalışmaya otomatik izin vermez. Yetki bazen statüden doğar, bazen ayrıca çalışma belgesi gerektirir; işveren veya faaliyet sınırlaması bulunabilir. SSN, şirket kurmak veya vergi ödemek bu değerlendirmeyi tek başına karşılamaz.</x:v>
      </x:c>
      <x:c r="G108" s="29" t="str">
        <x:v>İş teklifinden önce çalışma yetkini belirle</x:v>
      </x:c>
      <x:c r="H108" s="29" t="str">
        <x:v>before;new;settled</x:v>
      </x:c>
      <x:c r="I108" s="29" t="str">
        <x:v>bakersfield:src:6278</x:v>
      </x:c>
      <x:c r="J108" s="31" t="d">
        <x:v>2026-10-24T00:00:00.000Z</x:v>
      </x:c>
      <x:c r="K108" s="35" t="n">
        <x:v>100</x:v>
      </x:c>
      <x:c r="L108" s="29" t="str">
        <x:v>Evet</x:v>
      </x:c>
      <x:c r="M108" s="29" t="str">
        <x:v>İnceleme</x:v>
      </x:c>
      <x:c r="N108" s="29" t="str">
        <x:v>bakersfield:is</x:v>
      </x:c>
      <x:c r="O108" s="29" t="str">
        <x:v>Statü ve mevcut çalışma belgeni birlikte incele
İşin işveren ve faaliyet koşuluyla uyumunu belirle
Başlangıç tarihini geçerli yetki süresiyle eşleştir</x:v>
      </x:c>
      <x:c r="P108" s="29" t="str">
        <x:v>Statü belgesi
Varsa EAD
İş teklifi</x:v>
      </x:c>
      <x:c r="Q108" s="29" t="str">
        <x:v>İşe başlamadan ve belge süresi dolmadan geçerli yetki ile işin kapsamını eşleştir.</x:v>
      </x:c>
      <x:c r="R108" s="29" t="str">
        <x:v>Çalışma belgesi başvuru harcı statü ve form türüne bağlıdır; iş teklifinin kendisi çalışma izni satın almak değildir.</x:v>
      </x:c>
      <x:c r="S108" s="29"/>
      <x:c r="T108" s="29"/>
    </x:row>
    <x:row r="109" ht="96" customHeight="1">
      <x:c r="A109" s="29" t="str">
        <x:v>bakersfield:is-arama</x:v>
      </x:c>
      <x:c r="B109" s="29" t="str">
        <x:v>bakersfield</x:v>
      </x:c>
      <x:c r="C109" s="29" t="str">
        <x:v>is-arama</x:v>
      </x:c>
      <x:c r="D109" s="29" t="str">
        <x:v>Kern ETR ve CalJOBS kaynaklarını kullan</x:v>
      </x:c>
      <x:c r="E109" s="29" t="str">
        <x:v>İş ve kariyer</x:v>
      </x:c>
      <x:c r="F109" s="29" t="str">
        <x:v>Kern County Employers' Training Resource ile CalJOBS, iş arama ve eğitim kaynakları için başlangıç kanallarıdır. Her eğitim veya destek programının katılım koşulu farklı olabilir. Profil oluşturmak iş garantisi değildir; deneyimini, ulaşım olanaklarını ve çalışma yetkini açık bir başvuru planında birleştir.</x:v>
      </x:c>
      <x:c r="G109" s="29" t="str">
        <x:v>Kern ETR ve CalJOBS kaynaklarını kullan</x:v>
      </x:c>
      <x:c r="H109" s="29" t="str">
        <x:v>before;new;settled</x:v>
      </x:c>
      <x:c r="I109" s="29" t="str">
        <x:v>bakersfield:src:17651;bakersfield:src:17652</x:v>
      </x:c>
      <x:c r="J109" s="31" t="d">
        <x:v>2026-10-24T00:00:00.000Z</x:v>
      </x:c>
      <x:c r="K109" s="35" t="n">
        <x:v>101</x:v>
      </x:c>
      <x:c r="L109" s="29" t="str">
        <x:v>Hayır</x:v>
      </x:c>
      <x:c r="M109" s="29" t="str">
        <x:v>İnceleme</x:v>
      </x:c>
      <x:c r="N109" s="29" t="str">
        <x:v>bakersfield:is</x:v>
      </x:c>
      <x:c r="O109" s="29" t="str">
        <x:v>CalJOBS profilini ve özgeçmişini düzenle
ETR'nin uygun hizmetini seç
Başvuruları tarih, pozisyon ve yanıt durumuyla takip et</x:v>
      </x:c>
      <x:c r="P109" s="29" t="str">
        <x:v>Özgeçmiş
Deneyim ve eğitim bilgileri</x:v>
      </x:c>
      <x:c r="Q109" s="29" t="str">
        <x:v>Profilini başvurulardan önce hazırla; eğitimlerin kayıt ve uygunluk tarihleri ayrı olabilir.</x:v>
      </x:c>
      <x:c r="R109" s="29" t="str">
        <x:v>CalJOBS ve kamu iş arama hizmetlerinin koşullarını program bazında incele; ücretli özel işe yerleştirmeyi ayrı değerlendir.</x:v>
      </x:c>
      <x:c r="S109" s="29"/>
      <x:c r="T109" s="29"/>
    </x:row>
    <x:row r="110" ht="96" customHeight="1">
      <x:c r="A110" s="29" t="str">
        <x:v>bakersfield:ozgecmis</x:v>
      </x:c>
      <x:c r="B110" s="29" t="str">
        <x:v>bakersfield</x:v>
      </x:c>
      <x:c r="C110" s="29" t="str">
        <x:v>ozgecmis</x:v>
      </x:c>
      <x:c r="D110" s="29" t="str">
        <x:v>Özgeçmişini işe uygun ve ölçülebilir yaz</x:v>
      </x:c>
      <x:c r="E110" s="29" t="str">
        <x:v>İş ve kariyer</x:v>
      </x:c>
      <x:c r="F110" s="29" t="str">
        <x:v>İş başvurusunda görev listesinden çok yaptığın işin kapsamını ve sonucunu anlatmak yararlıdır. Türkiye'deki unvanın ABD'deki karşılığı birebir olmayabilir; sorumlulukları açık İngilizceyle tanımla. Kimlik numarası, banka hesabı veya gereksiz hassas bilgileri özgeçmişe koymadan, ilanla ilişkili deneyime odaklan.</x:v>
      </x:c>
      <x:c r="G110" s="29" t="str">
        <x:v>Özgeçmişini işe uygun ve ölçülebilir yaz</x:v>
      </x:c>
      <x:c r="H110" s="29" t="str">
        <x:v>before;new;settled</x:v>
      </x:c>
      <x:c r="I110" s="29" t="str">
        <x:v>bakersfield:src:17651;bakersfield:src:17652</x:v>
      </x:c>
      <x:c r="J110" s="31" t="d">
        <x:v>2026-10-24T00:00:00.000Z</x:v>
      </x:c>
      <x:c r="K110" s="35" t="n">
        <x:v>102</x:v>
      </x:c>
      <x:c r="L110" s="29" t="str">
        <x:v>Hayır</x:v>
      </x:c>
      <x:c r="M110" s="29" t="str">
        <x:v>İnceleme</x:v>
      </x:c>
      <x:c r="N110" s="29" t="str">
        <x:v>bakersfield:is</x:v>
      </x:c>
      <x:c r="O110" s="29" t="str">
        <x:v>İlana uygun beceri ve deneyimleri seç
Tarih ve görevlerde tutarlılık sağla
Her başvurunun kullandığın sürümünü sakla</x:v>
      </x:c>
      <x:c r="P110" s="29" t="str">
        <x:v>Özgeçmiş
İş ilanı</x:v>
      </x:c>
      <x:c r="Q110" s="29" t="str">
        <x:v>Her ilana göndermeden önce deneyim, tarih ve beceri uyumunu gözden geçir.</x:v>
      </x:c>
      <x:c r="R110" s="29" t="str">
        <x:v>Özgeçmişi kendin hazırlayabilirsin; ücretli yazım hizmeti başvuru zorunluluğu değildir.</x:v>
      </x:c>
      <x:c r="S110" s="29"/>
      <x:c r="T110" s="29"/>
    </x:row>
    <x:row r="111" ht="96" customHeight="1">
      <x:c r="A111" s="29" t="str">
        <x:v>bakersfield:is-teklifi</x:v>
      </x:c>
      <x:c r="B111" s="29" t="str">
        <x:v>bakersfield</x:v>
      </x:c>
      <x:c r="C111" s="29" t="str">
        <x:v>is-teklifi</x:v>
      </x:c>
      <x:c r="D111" s="29" t="str">
        <x:v>İş teklifinde ücret ve statüyü yazılı al</x:v>
      </x:c>
      <x:c r="E111" s="29" t="str">
        <x:v>İş ve kariyer</x:v>
      </x:c>
      <x:c r="F111" s="29" t="str">
        <x:v>Saatlik veya yıllık ücret, çalışma saatleri, iş yeri, yan haklar ve ödeme dönemi aynı belgede açık görünmelidir. Employee ile independent contractor ayrımı yalnız teklifteki etikete göre belirlenmez. Prim, komisyon veya bahşiş varsa temel ücret ve koşullarını ayrıca ayır.</x:v>
      </x:c>
      <x:c r="G111" s="29" t="str">
        <x:v>İş teklifinde ücret ve statüyü yazılı al</x:v>
      </x:c>
      <x:c r="H111" s="29" t="str">
        <x:v>before;new;settled</x:v>
      </x:c>
      <x:c r="I111" s="29" t="str">
        <x:v>bakersfield:src:17648;bakersfield:src:6870</x:v>
      </x:c>
      <x:c r="J111" s="31" t="d">
        <x:v>2026-10-24T00:00:00.000Z</x:v>
      </x:c>
      <x:c r="K111" s="35" t="n">
        <x:v>103</x:v>
      </x:c>
      <x:c r="L111" s="29" t="str">
        <x:v>Hayır</x:v>
      </x:c>
      <x:c r="M111" s="29" t="str">
        <x:v>İnceleme</x:v>
      </x:c>
      <x:c r="N111" s="29" t="str">
        <x:v>bakersfield:is</x:v>
      </x:c>
      <x:c r="O111" s="29" t="str">
        <x:v>Ücret ve çalışma düzenini yazılı al
Yan hakların başlangıç tarihini öğren
Çalışan sınıflandırmasını işin gerçek koşullarıyla değerlendir</x:v>
      </x:c>
      <x:c r="P111" s="29" t="str">
        <x:v>İş teklifi
Yan hak belgeleri</x:v>
      </x:c>
      <x:c r="Q111" s="29" t="str">
        <x:v>İşe başlamadan teklif ve yan hak başlangıcını yazılı al.</x:v>
      </x:c>
      <x:c r="R111" s="29" t="str">
        <x:v>Saatlik/yıllık ücret, komisyon, prim ve yan hak katkılarını ayrı hesapla.</x:v>
      </x:c>
      <x:c r="S111" s="29"/>
      <x:c r="T111" s="29"/>
    </x:row>
    <x:row r="112" ht="96" customHeight="1">
      <x:c r="A112" s="29" t="str">
        <x:v>bakersfield:asgari-ucret</x:v>
      </x:c>
      <x:c r="B112" s="29" t="str">
        <x:v>bakersfield</x:v>
      </x:c>
      <x:c r="C112" s="29" t="str">
        <x:v>asgari-ucret</x:v>
      </x:c>
      <x:c r="D112" s="29" t="str">
        <x:v>2026 Kaliforniya asgari ücretini doğru uygula</x:v>
      </x:c>
      <x:c r="E112" s="29" t="str">
        <x:v>İş ve kariyer</x:v>
      </x:c>
      <x:c r="F112" s="29" t="str">
        <x:v>1 Ocak 2026'dan itibaren Kaliforniya genel asgari ücreti saatlik 16,90 dolardır. Bazı sektörler veya yerel düzenlemeler daha yüksek ücret gerektirebilir; örneğin belirli fast-food ve sağlık işlerinde ayrı kurallar vardır. Genel oranı bütün pozisyonlar için tek kesin taban gibi kullanma.</x:v>
      </x:c>
      <x:c r="G112" s="29" t="str">
        <x:v>2026 Kaliforniya asgari ücretini doğru uygula</x:v>
      </x:c>
      <x:c r="H112" s="29" t="str">
        <x:v>before;new;settled</x:v>
      </x:c>
      <x:c r="I112" s="29" t="str">
        <x:v>bakersfield:src:17648</x:v>
      </x:c>
      <x:c r="J112" s="31" t="d">
        <x:v>2026-10-24T00:00:00.000Z</x:v>
      </x:c>
      <x:c r="K112" s="35" t="n">
        <x:v>104</x:v>
      </x:c>
      <x:c r="L112" s="29" t="str">
        <x:v>Hayır</x:v>
      </x:c>
      <x:c r="M112" s="29" t="str">
        <x:v>İnceleme</x:v>
      </x:c>
      <x:c r="N112" s="29" t="str">
        <x:v>bakersfield:is</x:v>
      </x:c>
      <x:c r="O112" s="29" t="str">
        <x:v>İşin sektörünü ve çalışma adresini belirle
Uygulanabilir ücret kuralını genel oranla karşılaştır
Bordroda saat ve ödeme tutarını kaydet</x:v>
      </x:c>
      <x:c r="P112" s="29" t="str">
        <x:v>İş adresi
Pozisyon
Bordro</x:v>
      </x:c>
      <x:c r="Q112" s="29" t="str">
        <x:v>Genel 16,90 USD oranı 1 Ocak 2026'dan beri geçerli; iş adresi ve sektörü için uygulanabilir dönemi belirle.</x:v>
      </x:c>
      <x:c r="R112" s="29" t="str">
        <x:v>2026 genel eyalet tabanı saatlik 16,90 USD; kapsam içi fast-food çalışanları için en az 20 USD ve bazı sağlık işlerinde ayrı oranlar vardır.</x:v>
      </x:c>
      <x:c r="S112" s="29"/>
      <x:c r="T112" s="29"/>
    </x:row>
    <x:row r="113" ht="124" customHeight="1">
      <x:c r="A113" s="29" t="str">
        <x:v>bakersfield:fazla-mesai</x:v>
      </x:c>
      <x:c r="B113" s="29" t="str">
        <x:v>bakersfield</x:v>
      </x:c>
      <x:c r="C113" s="29" t="str">
        <x:v>fazla-mesai</x:v>
      </x:c>
      <x:c r="D113" s="29" t="str">
        <x:v>Fazla mesaiyi yalnız haftalık saate göre hesaplama</x:v>
      </x:c>
      <x:c r="E113" s="29" t="str">
        <x:v>İş ve kariyer</x:v>
      </x:c>
      <x:c r="F113" s="29" t="str">
        <x:v>Kaliforniya'da kapsam içi çalışanlarda günlük ve haftalık fazla çalışma kuralları birlikte önemlidir. Genel düzen, günlük sekiz veya haftalık kırk saati aşan çalışmada ek ücret öngörür; daha uzun günler ve yedinci gün için farklı oranlar oluşabilir. İstisna ve alternatif çalışma düzenleri ayrıca değerlendirilir.</x:v>
      </x:c>
      <x:c r="G113" s="29" t="str">
        <x:v>Fazla mesaiyi yalnız haftalık saate göre hesaplama</x:v>
      </x:c>
      <x:c r="H113" s="29" t="str">
        <x:v>before;new;settled</x:v>
      </x:c>
      <x:c r="I113" s="29" t="str">
        <x:v>bakersfield:src:17649</x:v>
      </x:c>
      <x:c r="J113" s="31" t="d">
        <x:v>2026-10-24T00:00:00.000Z</x:v>
      </x:c>
      <x:c r="K113" s="35" t="n">
        <x:v>105</x:v>
      </x:c>
      <x:c r="L113" s="29" t="str">
        <x:v>Hayır</x:v>
      </x:c>
      <x:c r="M113" s="29" t="str">
        <x:v>İnceleme</x:v>
      </x:c>
      <x:c r="N113" s="29" t="str">
        <x:v>bakersfield:is</x:v>
      </x:c>
      <x:c r="O113" s="29" t="str">
        <x:v>Her günün başlangıç ve bitiş saatini kaydet
Bordrodaki normal ve fazla mesai saatlerini ayır
İstisna iddiasını görev ve ücret koşullarıyla incele</x:v>
      </x:c>
      <x:c r="P113" s="29" t="str">
        <x:v>Saat kayıtları
Bordro
Çalışma düzeni</x:v>
      </x:c>
      <x:c r="Q113" s="29" t="str">
        <x:v>Günlük ve haftalık saat kayıtlarını her ödeme döneminde bordroyla karşılaştır; aynı süreyi iki kez sayma.</x:v>
      </x:c>
      <x:c r="R113" s="29" t="str">
        <x:v>Genel kapsamda günlük 8–12 saatin aşan bölümü ve haftalık 40 saati aşan süre 1,5 kat; günde 12 saat üzeri 2 kat. Yedinci günün ilk 8 saati 1,5, sonrası 2 kat; istisnalar vardır.</x:v>
      </x:c>
      <x:c r="S113" s="29"/>
      <x:c r="T113" s="29"/>
    </x:row>
    <x:row r="114" ht="96" customHeight="1">
      <x:c r="A114" s="29" t="str">
        <x:v>bakersfield:yemek-molasi</x:v>
      </x:c>
      <x:c r="B114" s="29" t="str">
        <x:v>bakersfield</x:v>
      </x:c>
      <x:c r="C114" s="29" t="str">
        <x:v>yemek-molasi</x:v>
      </x:c>
      <x:c r="D114" s="29" t="str">
        <x:v>Yemek molasını çalışma süresinden ayır</x:v>
      </x:c>
      <x:c r="E114" s="29" t="str">
        <x:v>İş ve kariyer</x:v>
      </x:c>
      <x:c r="F114" s="29" t="str">
        <x:v>Kaliforniya'da kapsam içi çalışanlar için yemek molası kuralları vardır; genel olarak beş saati aşan iş gününde en az otuz dakikalık mola gündeme gelir. Kısa günlerde karşılıklı vazgeçme ve belirli istisnalar bulunabilir. İş yapmaya devam ettiğin zamanı otomatik olarak ücretsiz mola saymak doğru değildir.</x:v>
      </x:c>
      <x:c r="G114" s="29" t="str">
        <x:v>Yemek molasını çalışma süresinden ayır</x:v>
      </x:c>
      <x:c r="H114" s="29" t="str">
        <x:v>before;new;settled</x:v>
      </x:c>
      <x:c r="I114" s="29" t="str">
        <x:v>bakersfield:src:6865</x:v>
      </x:c>
      <x:c r="J114" s="31" t="d">
        <x:v>2026-10-24T00:00:00.000Z</x:v>
      </x:c>
      <x:c r="K114" s="35" t="n">
        <x:v>106</x:v>
      </x:c>
      <x:c r="L114" s="29" t="str">
        <x:v>Hayır</x:v>
      </x:c>
      <x:c r="M114" s="29" t="str">
        <x:v>İnceleme</x:v>
      </x:c>
      <x:c r="N114" s="29" t="str">
        <x:v>bakersfield:is</x:v>
      </x:c>
      <x:c r="O114" s="29" t="str">
        <x:v>Vardiya ve mola saatini kaydet
Mola sırasında görevden serbest olup olmadığını ayır
Sorunu yazılı olarak işverene veya Labor Commissioner'a ilet</x:v>
      </x:c>
      <x:c r="P114" s="29" t="str">
        <x:v>Vardiya ve mola kayıtları</x:v>
      </x:c>
      <x:c r="Q114" s="29" t="str">
        <x:v>Genel olarak 5 saati aşan çalışmada en az 30 dakika; toplam gün 6 saati geçmiyorsa karşılıklı vazgeçme mümkün olabilir.</x:v>
      </x:c>
      <x:c r="R114" s="29" t="str">
        <x:v>Görevden tamamen serbest bırakılan yemek molası genellikle ücretsizdir; çalışılan süre otomatik ücretsiz sayılamaz.</x:v>
      </x:c>
      <x:c r="S114" s="29"/>
      <x:c r="T114" s="29"/>
    </x:row>
    <x:row r="115" ht="110" customHeight="1">
      <x:c r="A115" s="29" t="str">
        <x:v>bakersfield:dinlenme-molasi</x:v>
      </x:c>
      <x:c r="B115" s="29" t="str">
        <x:v>bakersfield</x:v>
      </x:c>
      <x:c r="C115" s="29" t="str">
        <x:v>dinlenme-molasi</x:v>
      </x:c>
      <x:c r="D115" s="29" t="str">
        <x:v>Dinlenme arasıyla yemek molası aynı değildir</x:v>
      </x:c>
      <x:c r="E115" s="29" t="str">
        <x:v>İş ve kariyer</x:v>
      </x:c>
      <x:c r="F115" s="29" t="str">
        <x:v>Kaliforniya'da kapsam içi çalışanların ücretli dinlenme araları, ücretsiz olabilen yemek molasından ayrı kurallara tabidir. Genel kural yaklaşık dört saatlik çalışma veya bunun önemli kısmı için on dakikalık aradır; çok kısa vardiya ve istisnalar ayrıca ele alınır. Bordroda bu sürelerin gelişigüzel kesilmesini kabul etmeden kayıt tut.</x:v>
      </x:c>
      <x:c r="G115" s="29" t="str">
        <x:v>Dinlenme arasıyla yemek molası aynı değildir</x:v>
      </x:c>
      <x:c r="H115" s="29" t="str">
        <x:v>before;new;settled</x:v>
      </x:c>
      <x:c r="I115" s="29" t="str">
        <x:v>bakersfield:src:6866</x:v>
      </x:c>
      <x:c r="J115" s="31" t="d">
        <x:v>2026-10-24T00:00:00.000Z</x:v>
      </x:c>
      <x:c r="K115" s="35" t="n">
        <x:v>107</x:v>
      </x:c>
      <x:c r="L115" s="29" t="str">
        <x:v>Hayır</x:v>
      </x:c>
      <x:c r="M115" s="29" t="str">
        <x:v>İnceleme</x:v>
      </x:c>
      <x:c r="N115" s="29" t="str">
        <x:v>bakersfield:is</x:v>
      </x:c>
      <x:c r="O115" s="29" t="str">
        <x:v>Vardiyanın toplam süresini belirle
Verilen dinlenme aralarını kaydet
Eksik veya kesilen süreyi belgeleriyle görüş</x:v>
      </x:c>
      <x:c r="P115" s="29" t="str">
        <x:v>Vardiya kayıtları
Bordro</x:v>
      </x:c>
      <x:c r="Q115" s="29" t="str">
        <x:v>Genel kural her 4 saat veya önemli kısmı için 10 dakika; toplam 3,5 saatten kısa günde genel dinlenme şartı doğmayabilir.</x:v>
      </x:c>
      <x:c r="R115" s="29" t="str">
        <x:v>Kapsam içi dinlenme arası ücretlidir; yemek molasıyla aynı ödeme kuralı değildir.</x:v>
      </x:c>
      <x:c r="S115" s="29"/>
      <x:c r="T115" s="29"/>
    </x:row>
    <x:row r="116" ht="96" customHeight="1">
      <x:c r="A116" s="29" t="str">
        <x:v>bakersfield:hastalik-izni</x:v>
      </x:c>
      <x:c r="B116" s="29" t="str">
        <x:v>bakersfield</x:v>
      </x:c>
      <x:c r="C116" s="29" t="str">
        <x:v>hastalik-izni</x:v>
      </x:c>
      <x:c r="D116" s="29" t="str">
        <x:v>Ücretli hastalık izninin gün ve saat koşulunu ayır</x:v>
      </x:c>
      <x:c r="E116" s="29" t="str">
        <x:v>İş ve kariyer</x:v>
      </x:c>
      <x:c r="F116" s="29" t="str">
        <x:v>Kaliforniya'da uygun çalışanlar için yıllık en az beş gün veya kırk saat ücretli hastalık izni gerekir; hangisi daha fazlaysa o ölçü önemlidir. Biriktirme yöntemi, kullanım başlangıcı ve bazı istisnalar vardır. İşverenin izni “beş gün” diye anlatması, her vardiya uzunluğunda kırk saatle aynı sonuç vermez.</x:v>
      </x:c>
      <x:c r="G116" s="29" t="str">
        <x:v>Ücretli hastalık izninin gün ve saat koşulunu ayır</x:v>
      </x:c>
      <x:c r="H116" s="29" t="str">
        <x:v>before;new;settled</x:v>
      </x:c>
      <x:c r="I116" s="29" t="str">
        <x:v>bakersfield:src:6868</x:v>
      </x:c>
      <x:c r="J116" s="31" t="d">
        <x:v>2026-10-24T00:00:00.000Z</x:v>
      </x:c>
      <x:c r="K116" s="35" t="n">
        <x:v>108</x:v>
      </x:c>
      <x:c r="L116" s="29" t="str">
        <x:v>Hayır</x:v>
      </x:c>
      <x:c r="M116" s="29" t="str">
        <x:v>İnceleme</x:v>
      </x:c>
      <x:c r="N116" s="29" t="str">
        <x:v>bakersfield:is</x:v>
      </x:c>
      <x:c r="O116" s="29" t="str">
        <x:v>İşverenin yazılı izin politikasını al
Bordrodaki biriken ve kullanılan bakiyeyi izle
Vardiya uzunluğuna göre gün ve saat karşılığını ayır</x:v>
      </x:c>
      <x:c r="P116" s="29" t="str">
        <x:v>İzin politikası
Bordro bakiyesi</x:v>
      </x:c>
      <x:c r="Q116" s="29" t="str">
        <x:v>Biriktirme ve kullanım başlangıcı işverenin yasal politikasına göre uygulanır; yeni çalışan için genel kullanım eşiği 90. gündür.</x:v>
      </x:c>
      <x:c r="R116" s="29" t="str">
        <x:v>Uygun çalışanlara yılda en az 5 gün veya 40 saat, hangisi fazlaysa, ücretli hastalık izni sağlanır.</x:v>
      </x:c>
      <x:c r="S116" s="29"/>
      <x:c r="T116" s="29"/>
    </x:row>
    <x:row r="117" ht="96" customHeight="1">
      <x:c r="A117" s="29" t="str">
        <x:v>bakersfield:bordro</x:v>
      </x:c>
      <x:c r="B117" s="29" t="str">
        <x:v>bakersfield</x:v>
      </x:c>
      <x:c r="C117" s="29" t="str">
        <x:v>bordro</x:v>
      </x:c>
      <x:c r="D117" s="29" t="str">
        <x:v>Bordro ile banka ödemesini eşleştir</x:v>
      </x:c>
      <x:c r="E117" s="29" t="str">
        <x:v>İş ve kariyer</x:v>
      </x:c>
      <x:c r="F117" s="29" t="str">
        <x:v>Brüt kazanç, çalışılan saatler, vergi kesintileri ve net ödeme farklı kalemlerdir. Bankaya gelen tutar tek başına ücretin doğru hesaplandığını göstermez. Özellikle ilk bordroda ödeme dönemi, saatlik oran ve varsa fazla mesaiyi kendi kayıtlarınla karşılaştır; eksikliği tarih ve tutarla yazılı bildir.</x:v>
      </x:c>
      <x:c r="G117" s="29" t="str">
        <x:v>Bordro ile banka ödemesini eşleştir</x:v>
      </x:c>
      <x:c r="H117" s="29" t="str">
        <x:v>before;new;settled</x:v>
      </x:c>
      <x:c r="I117" s="29" t="str">
        <x:v>bakersfield:src:17633;bakersfield:src:6863</x:v>
      </x:c>
      <x:c r="J117" s="31" t="d">
        <x:v>2026-10-24T00:00:00.000Z</x:v>
      </x:c>
      <x:c r="K117" s="35" t="n">
        <x:v>109</x:v>
      </x:c>
      <x:c r="L117" s="29" t="str">
        <x:v>Hayır</x:v>
      </x:c>
      <x:c r="M117" s="29" t="str">
        <x:v>İnceleme</x:v>
      </x:c>
      <x:c r="N117" s="29" t="str">
        <x:v>bakersfield:is</x:v>
      </x:c>
      <x:c r="O117" s="29" t="str">
        <x:v>Bordro dönemini çalışma takvimiyle eşleştir
Normal ve ek ücretleri ayrı karşılaştır
Net ödemenin banka kaydını sakla</x:v>
      </x:c>
      <x:c r="P117" s="29" t="str">
        <x:v>Bordro
Saat kaydı
Banka hareketi</x:v>
      </x:c>
      <x:c r="Q117" s="29" t="str">
        <x:v>Her bordro döneminde saat kayıtlarını ve banka ödeme tarihini eşleştir.</x:v>
      </x:c>
      <x:c r="R117" s="29" t="str">
        <x:v>Brüt ücret, stopaj, diğer yasal kesintiler ve net ödeme ayrı kalemlerdir.</x:v>
      </x:c>
      <x:c r="S117" s="29"/>
      <x:c r="T117" s="29"/>
    </x:row>
    <x:row r="118" ht="96" customHeight="1">
      <x:c r="A118" s="29" t="str">
        <x:v>bakersfield:son-maas</x:v>
      </x:c>
      <x:c r="B118" s="29" t="str">
        <x:v>bakersfield</x:v>
      </x:c>
      <x:c r="C118" s="29" t="str">
        <x:v>son-maas</x:v>
      </x:c>
      <x:c r="D118" s="29" t="str">
        <x:v>İşten ayrılırken son ödeme süresini öğren</x:v>
      </x:c>
      <x:c r="E118" s="29" t="str">
        <x:v>İş ve kariyer</x:v>
      </x:c>
      <x:c r="F118" s="29" t="str">
        <x:v>Kaliforniya'da son ücretin ödeme zamanı, işverenin işten çıkarması ile çalışanın ayrılmasına göre değişir. Ayrılma ön bildirimi de sonucu etkileyebilir. Genel olarak işten çıkarılmada ödeme derhal, önceden yeterli bildirim olmadan ayrılmada ise 72 saat içinde gündeme gelir; istisnalar ayrıca incelenir.</x:v>
      </x:c>
      <x:c r="G118" s="29" t="str">
        <x:v>İşten ayrılırken son ödeme süresini öğren</x:v>
      </x:c>
      <x:c r="H118" s="29" t="str">
        <x:v>before;new;settled</x:v>
      </x:c>
      <x:c r="I118" s="29" t="str">
        <x:v>bakersfield:src:6863</x:v>
      </x:c>
      <x:c r="J118" s="31" t="d">
        <x:v>2026-10-24T00:00:00.000Z</x:v>
      </x:c>
      <x:c r="K118" s="35" t="n">
        <x:v>110</x:v>
      </x:c>
      <x:c r="L118" s="29" t="str">
        <x:v>Hayır</x:v>
      </x:c>
      <x:c r="M118" s="29" t="str">
        <x:v>İnceleme</x:v>
      </x:c>
      <x:c r="N118" s="29" t="str">
        <x:v>bakersfield:is</x:v>
      </x:c>
      <x:c r="O118" s="29" t="str">
        <x:v>Ayrılma veya çıkarılma tarihini belgeyle kaydet
Son ücret ve varsa kullanılmamış hak dökümünü iste
Gecikme varsa Labor Commissioner yolunu değerlendir</x:v>
      </x:c>
      <x:c r="P118" s="29" t="str">
        <x:v>Ayrılma bildirimi
Son bordro</x:v>
      </x:c>
      <x:c r="Q118" s="29" t="str">
        <x:v>Genelde işten çıkarılmada derhal; en az 72 saat önce bildirilerek istifada son gün, bildirim yoksa 72 saat içinde. Sektörel istisnalar vardır.</x:v>
      </x:c>
      <x:c r="R118" s="29" t="str">
        <x:v>Son ücret ve birikmiş kullanılmamış tatil hakkı kişisel hesaba göre belirlenir; kullanılmamış sick leave otomatik tatil alacağı değildir.</x:v>
      </x:c>
      <x:c r="S118" s="29"/>
      <x:c r="T118" s="29"/>
    </x:row>
    <x:row r="119" ht="96" customHeight="1">
      <x:c r="A119" s="29" t="str">
        <x:v>bakersfield:ucret-alacagi</x:v>
      </x:c>
      <x:c r="B119" s="29" t="str">
        <x:v>bakersfield</x:v>
      </x:c>
      <x:c r="C119" s="29" t="str">
        <x:v>ucret-alacagi</x:v>
      </x:c>
      <x:c r="D119" s="29" t="str">
        <x:v>Eksik ücreti saat ve ödeme kanıtıyla bildir</x:v>
      </x:c>
      <x:c r="E119" s="29" t="str">
        <x:v>İş ve kariyer</x:v>
      </x:c>
      <x:c r="F119" s="29" t="str">
        <x:v>California Labor Commissioner ücret alacağı başvurularını belirli yetki ve süreler içinde değerlendirir. Eksik normal ücret, fazla mesai veya başka kalemleri tek toplam yerine ayrı açıklamak dosyayı anlaşılır kılar. İşverenle yapılan mesajlar ve kişisel saat kayıtları da önemlidir.</x:v>
      </x:c>
      <x:c r="G119" s="29" t="str">
        <x:v>Eksik ücreti saat ve ödeme kanıtıyla bildir</x:v>
      </x:c>
      <x:c r="H119" s="29" t="str">
        <x:v>before;new;settled</x:v>
      </x:c>
      <x:c r="I119" s="29" t="str">
        <x:v>bakersfield:src:6869</x:v>
      </x:c>
      <x:c r="J119" s="31" t="d">
        <x:v>2026-10-24T00:00:00.000Z</x:v>
      </x:c>
      <x:c r="K119" s="35" t="n">
        <x:v>111</x:v>
      </x:c>
      <x:c r="L119" s="29" t="str">
        <x:v>Hayır</x:v>
      </x:c>
      <x:c r="M119" s="29" t="str">
        <x:v>İnceleme</x:v>
      </x:c>
      <x:c r="N119" s="29" t="str">
        <x:v>bakersfield:is</x:v>
      </x:c>
      <x:c r="O119" s="29" t="str">
        <x:v>Alacak kalemlerini tarih ve tutarla ayır
Bordro, saat ve yazışmaları topla
DLSE başvuru sürecini uygun belgelerle başlat</x:v>
      </x:c>
      <x:c r="P119" s="29" t="str">
        <x:v>Saat kayıtları
Bordrolar
Yazışmalar</x:v>
      </x:c>
      <x:c r="Q119" s="29" t="str">
        <x:v>Talep türüne göre süre değişir; ücret kalemini ve olay tarihini gecikmeden DLSE ile eşleştir.</x:v>
      </x:c>
      <x:c r="R119" s="29" t="str">
        <x:v>Labor Commissioner ücret alacağı başvurusunda devlet başvuru ücreti yoktur; özel avukat ayrı maliyet olabilir.</x:v>
      </x:c>
      <x:c r="S119" s="29"/>
      <x:c r="T119" s="29"/>
    </x:row>
    <x:row r="120" ht="110" customHeight="1">
      <x:c r="A120" s="29" t="str">
        <x:v>bakersfield:calisan-yuklenici</x:v>
      </x:c>
      <x:c r="B120" s="29" t="str">
        <x:v>bakersfield</x:v>
      </x:c>
      <x:c r="C120" s="29" t="str">
        <x:v>calisan-yuklenici</x:v>
      </x:c>
      <x:c r="D120" s="29" t="str">
        <x:v>1099 etiketi sınıflandırmayı tek başına çözmez</x:v>
      </x:c>
      <x:c r="E120" s="29" t="str">
        <x:v>İş ve kariyer</x:v>
      </x:c>
      <x:c r="F120" s="29" t="str">
        <x:v>Bir sözleşmede independent contractor yazması veya 1099 verilmesi, kişinin hukuk açısından mutlaka bağımsız yüklenici olduğu anlamına gelmez. Kaliforniya'da işe ve istisnalara göre farklı testler uygulanabilir. Kontrol, işin işletmeyle ilişkisi ve bağımsız faaliyet gibi unsurlar gerçek çalışma düzeni içinde değerlendirilir.</x:v>
      </x:c>
      <x:c r="G120" s="29" t="str">
        <x:v>1099 etiketi sınıflandırmayı tek başına çözmez</x:v>
      </x:c>
      <x:c r="H120" s="29" t="str">
        <x:v>before;new;settled</x:v>
      </x:c>
      <x:c r="I120" s="29" t="str">
        <x:v>bakersfield:src:6870</x:v>
      </x:c>
      <x:c r="J120" s="31" t="d">
        <x:v>2026-10-24T00:00:00.000Z</x:v>
      </x:c>
      <x:c r="K120" s="35" t="n">
        <x:v>112</x:v>
      </x:c>
      <x:c r="L120" s="29" t="str">
        <x:v>Hayır</x:v>
      </x:c>
      <x:c r="M120" s="29" t="str">
        <x:v>İnceleme</x:v>
      </x:c>
      <x:c r="N120" s="29" t="str">
        <x:v>bakersfield:is</x:v>
      </x:c>
      <x:c r="O120" s="29" t="str">
        <x:v>Sözleşme ile fiilî çalışma düzenini karşılaştır
Kimden talimat aldığını ve işi nasıl yürüttüğünü kaydet
Şüphede DIR veya uygun hukuk desteğine başvur</x:v>
      </x:c>
      <x:c r="P120" s="29" t="str">
        <x:v>Sözleşme
Görev ve çalışma kayıtları</x:v>
      </x:c>
      <x:c r="Q120" s="29" t="str">
        <x:v>İşe girişte ve çalışma düzeni değiştiğinde fiilî koşulları değerlendirmek gerekir.</x:v>
      </x:c>
      <x:c r="R120" s="29" t="str">
        <x:v>Yanlış sınıflandırma ücret, fazla mesai ve sigorta haklarını etkileyebilir; sözleşmedeki bedel testi tek başına çözmez.</x:v>
      </x:c>
      <x:c r="S120" s="29"/>
      <x:c r="T120" s="29"/>
    </x:row>
    <x:row r="121" ht="110" customHeight="1">
      <x:c r="A121" s="29" t="str">
        <x:v>bakersfield:issizlik-sigortasi</x:v>
      </x:c>
      <x:c r="B121" s="29" t="str">
        <x:v>bakersfield</x:v>
      </x:c>
      <x:c r="C121" s="29" t="str">
        <x:v>issizlik-sigortasi</x:v>
      </x:c>
      <x:c r="D121" s="29" t="str">
        <x:v>İş kaybında EDD uygunluğunu değerlendir</x:v>
      </x:c>
      <x:c r="E121" s="29" t="str">
        <x:v>İş ve kariyer</x:v>
      </x:c>
      <x:c r="F121" s="29" t="str">
        <x:v>California Unemployment Insurance, işini kaybeden herkes için otomatik ödeme değildir. Kazanç geçmişi, işten ayrılma nedeni ve çalışmaya uygunluk gibi koşullar değerlendirilir. Çalışma yetkisi ve işe hazır olma koşulları da önem taşıyabilir. Başvuruda tarih ve işveren bilgilerini doğru vermek sonraki incelemeyi kolaylaştırır.</x:v>
      </x:c>
      <x:c r="G121" s="29" t="str">
        <x:v>İş kaybında EDD uygunluğunu değerlendir</x:v>
      </x:c>
      <x:c r="H121" s="29" t="str">
        <x:v>before;new;settled</x:v>
      </x:c>
      <x:c r="I121" s="29" t="str">
        <x:v>bakersfield:src:6876</x:v>
      </x:c>
      <x:c r="J121" s="31" t="d">
        <x:v>2026-10-24T00:00:00.000Z</x:v>
      </x:c>
      <x:c r="K121" s="35" t="n">
        <x:v>113</x:v>
      </x:c>
      <x:c r="L121" s="29" t="str">
        <x:v>Hayır</x:v>
      </x:c>
      <x:c r="M121" s="29" t="str">
        <x:v>İnceleme</x:v>
      </x:c>
      <x:c r="N121" s="29" t="str">
        <x:v>bakersfield:is</x:v>
      </x:c>
      <x:c r="O121" s="29" t="str">
        <x:v>Son iş ve kazanç kayıtlarını hazırla
EDD üzerinden uygun başvuruyu başlat
Devam eden bildirim ve beyan taleplerini süresinde yanıtla</x:v>
      </x:c>
      <x:c r="P121" s="29" t="str">
        <x:v>İşveren ve kazanç bilgileri
Ayrılma nedeni</x:v>
      </x:c>
      <x:c r="Q121" s="29" t="str">
        <x:v>İş kaybı veya saat azalmasında gecikmeden başvur; devam eden certification taleplerini süresinde yanıtla.</x:v>
      </x:c>
      <x:c r="R121" s="29" t="str">
        <x:v>EDD uygunluk değerlendirmesiyle kısmi gelir yardımıdır; sabit tutar veya otomatik kabul garanti edilmez.</x:v>
      </x:c>
      <x:c r="S121" s="29"/>
      <x:c r="T121" s="29"/>
    </x:row>
    <x:row r="122" ht="96" customHeight="1">
      <x:c r="A122" s="29" t="str">
        <x:v>bakersfield:sdi</x:v>
      </x:c>
      <x:c r="B122" s="29" t="str">
        <x:v>bakersfield</x:v>
      </x:c>
      <x:c r="C122" s="29" t="str">
        <x:v>sdi</x:v>
      </x:c>
      <x:c r="D122" s="29" t="str">
        <x:v>Kendi sağlık durumunda SDI koşullarını öğren</x:v>
      </x:c>
      <x:c r="E122" s="29" t="str">
        <x:v>İş ve kariyer</x:v>
      </x:c>
      <x:c r="F122" s="29" t="str">
        <x:v>State Disability Insurance, uygun çalışanların iş dışı hastalık, yaralanma veya gebelik nedeniyle çalışamadıkları dönemde kısmi gelir desteği sağlayabilir. Sağlık sigortasıyla veya iş kazası tazminatıyla aynı program değildir. Gelir desteği ile işe dönüşte pozisyonun korunması da ayrı hukuki konulardır.</x:v>
      </x:c>
      <x:c r="G122" s="29" t="str">
        <x:v>Kendi sağlık durumunda SDI koşullarını öğren</x:v>
      </x:c>
      <x:c r="H122" s="29" t="str">
        <x:v>before;new;settled</x:v>
      </x:c>
      <x:c r="I122" s="29" t="str">
        <x:v>bakersfield:src:17650</x:v>
      </x:c>
      <x:c r="J122" s="31" t="d">
        <x:v>2026-10-24T00:00:00.000Z</x:v>
      </x:c>
      <x:c r="K122" s="35" t="n">
        <x:v>114</x:v>
      </x:c>
      <x:c r="L122" s="29" t="str">
        <x:v>Hayır</x:v>
      </x:c>
      <x:c r="M122" s="29" t="str">
        <x:v>İnceleme</x:v>
      </x:c>
      <x:c r="N122" s="29" t="str">
        <x:v>bakersfield:is</x:v>
      </x:c>
      <x:c r="O122" s="29" t="str">
        <x:v>Bordro ve program uygunluğunu belirle
Gerekli sağlık belgesini başvuruya ekle
İşveren izin sürecini EDD başvurusundan ayrı takip et</x:v>
      </x:c>
      <x:c r="P122" s="29" t="str">
        <x:v>Kazanç kayıtları
Gerekli sağlık belgesi</x:v>
      </x:c>
      <x:c r="Q122" s="29" t="str">
        <x:v>Çalışamama başlangıcı, sağlık belgesi ve EDD başvuru takvimini birlikte takip et.</x:v>
      </x:c>
      <x:c r="R122" s="29" t="str">
        <x:v>SDI uygun geçmiş kazanca göre kısmi gelir desteğidir; sağlık tedavisi sigortası değildir.</x:v>
      </x:c>
      <x:c r="S122" s="29"/>
      <x:c r="T122" s="29"/>
    </x:row>
    <x:row r="123" ht="96" customHeight="1">
      <x:c r="A123" s="29" t="str">
        <x:v>bakersfield:paid-family-leave</x:v>
      </x:c>
      <x:c r="B123" s="29" t="str">
        <x:v>bakersfield</x:v>
      </x:c>
      <x:c r="C123" s="29" t="str">
        <x:v>paid-family-leave</x:v>
      </x:c>
      <x:c r="D123" s="29" t="str">
        <x:v>Aile bakımında gelir desteğiyle iş güvencesini ayır</x:v>
      </x:c>
      <x:c r="E123" s="29" t="str">
        <x:v>İş ve kariyer</x:v>
      </x:c>
      <x:c r="F123" s="29" t="str">
        <x:v>California Paid Family Leave, uygun kişilere belirli aile bakım veya çocukla bağ kurma dönemlerinde kısmi gelir desteği sunabilir. Tek başına işini koruyan bir izin yasası değildir. İşverenle yürütülen izin, pozisyon koruması ve EDD ödemesi birbirinden ayrı değerlendirilmelidir.</x:v>
      </x:c>
      <x:c r="G123" s="29" t="str">
        <x:v>Aile bakımında gelir desteğiyle iş güvencesini ayır</x:v>
      </x:c>
      <x:c r="H123" s="29" t="str">
        <x:v>before;new;settled</x:v>
      </x:c>
      <x:c r="I123" s="29" t="str">
        <x:v>bakersfield:src:6877</x:v>
      </x:c>
      <x:c r="J123" s="31" t="d">
        <x:v>2026-10-24T00:00:00.000Z</x:v>
      </x:c>
      <x:c r="K123" s="35" t="n">
        <x:v>115</x:v>
      </x:c>
      <x:c r="L123" s="29" t="str">
        <x:v>Hayır</x:v>
      </x:c>
      <x:c r="M123" s="29" t="str">
        <x:v>İnceleme</x:v>
      </x:c>
      <x:c r="N123" s="29" t="str">
        <x:v>bakersfield:is</x:v>
      </x:c>
      <x:c r="O123" s="29" t="str">
        <x:v>Bakım veya bağ kurma gerekçeni belirle
EDD'nin belge koşullarını tamamla
İşverenle izin ve işe dönüş koşullarını yazılı görüş</x:v>
      </x:c>
      <x:c r="P123" s="29" t="str">
        <x:v>Programın istediği bakım veya aile belgeleri</x:v>
      </x:c>
      <x:c r="Q123" s="29" t="str">
        <x:v>Bakım/bağ kurma dönemi için EDD takvimini ve işveren izin sürecini ayrı takip et.</x:v>
      </x:c>
      <x:c r="R123" s="29" t="str">
        <x:v>Uygun geçmiş kazanca göre kısmi gelir desteği; işverenden tam maaş garantisi değildir.</x:v>
      </x:c>
      <x:c r="S123" s="29"/>
      <x:c r="T123" s="29"/>
    </x:row>
    <x:row r="124" ht="96" customHeight="1">
      <x:c r="A124" s="29" t="str">
        <x:v>bakersfield:is-kazasi</x:v>
      </x:c>
      <x:c r="B124" s="29" t="str">
        <x:v>bakersfield</x:v>
      </x:c>
      <x:c r="C124" s="29" t="str">
        <x:v>is-kazasi</x:v>
      </x:c>
      <x:c r="D124" s="29" t="str">
        <x:v>İş kazasını işverene geciktirmeden bildir</x:v>
      </x:c>
      <x:c r="E124" s="29" t="str">
        <x:v>İş ve kariyer</x:v>
      </x:c>
      <x:c r="F124" s="29" t="str">
        <x:v>İş sırasında yaralanma veya işle ilişkili sağlık sorunu, workers' compensation kapsamında değerlendirme gerektirebilir. Bunu sıradan sağlık sigortası dosyasıyla aynı süreç sayma. Bildirimin tarihi, olayın yeri ve yapılan görev önemlidir; acil durumda önce gerekli tıbbi yardımı al.</x:v>
      </x:c>
      <x:c r="G124" s="29" t="str">
        <x:v>İş kazasını işverene geciktirmeden bildir</x:v>
      </x:c>
      <x:c r="H124" s="29" t="str">
        <x:v>before;new;settled</x:v>
      </x:c>
      <x:c r="I124" s="29" t="str">
        <x:v>bakersfield:src:6878</x:v>
      </x:c>
      <x:c r="J124" s="31" t="d">
        <x:v>2026-10-24T00:00:00.000Z</x:v>
      </x:c>
      <x:c r="K124" s="35" t="n">
        <x:v>116</x:v>
      </x:c>
      <x:c r="L124" s="29" t="str">
        <x:v>Hayır</x:v>
      </x:c>
      <x:c r="M124" s="29" t="str">
        <x:v>İnceleme</x:v>
      </x:c>
      <x:c r="N124" s="29" t="str">
        <x:v>bakersfield:is</x:v>
      </x:c>
      <x:c r="O124" s="29" t="str">
        <x:v>Olayı ve tarihini işverene bildir
Verilen başvuru formu ve kayıtların kopyasını sakla
DWC çalışan rehberinden sonraki adımları takip et</x:v>
      </x:c>
      <x:c r="P124" s="29" t="str">
        <x:v>Olay kaydı
Başvuru formu
Sağlık belgeleri</x:v>
      </x:c>
      <x:c r="Q124" s="29" t="str">
        <x:v>Yaralanmayı mümkün olan en kısa sürede bildir; 30 gün içinde bildirmemek hak kaybına yol açabilir. Acil durumda önce yardım al.</x:v>
      </x:c>
      <x:c r="R124" s="29" t="str">
        <x:v>Workers' compensation kapsamındaki tıbbi bakım işverenin sistemi üzerinden yürür; kişisel sağlık poliçesiyle aynı dosya değildir.</x:v>
      </x:c>
      <x:c r="S124" s="29"/>
      <x:c r="T124" s="29"/>
    </x:row>
    <x:row r="125" ht="96" customHeight="1">
      <x:c r="A125" s="29" t="str">
        <x:v>bakersfield:iste-sicak</x:v>
      </x:c>
      <x:c r="B125" s="29" t="str">
        <x:v>bakersfield</x:v>
      </x:c>
      <x:c r="C125" s="29" t="str">
        <x:v>iste-sicak</x:v>
      </x:c>
      <x:c r="D125" s="29" t="str">
        <x:v>Sıcak ortamda iş güvenliğini planla</x:v>
      </x:c>
      <x:c r="E125" s="29" t="str">
        <x:v>İş ve kariyer</x:v>
      </x:c>
      <x:c r="F125" s="29" t="str">
        <x:v>Kern County'de açık hava veya sıcak kapalı ortamda çalışırken ısı hastalığı önlemleri önemlidir. Cal/OSHA'nın açık ve kapalı alan kuralları aynı değildir; su, serinleme, eğitim ve acil müdahale planı iş koşuluna göre değerlendirilir. Belirti geliştiğinde işi sürdürmek yerine iş yerinin acil prosedürünü uygula.</x:v>
      </x:c>
      <x:c r="G125" s="29" t="str">
        <x:v>Sıcak ortamda iş güvenliğini planla</x:v>
      </x:c>
      <x:c r="H125" s="29" t="str">
        <x:v>before;new;settled</x:v>
      </x:c>
      <x:c r="I125" s="29" t="str">
        <x:v>bakersfield:src:17653</x:v>
      </x:c>
      <x:c r="J125" s="31" t="d">
        <x:v>2026-10-24T00:00:00.000Z</x:v>
      </x:c>
      <x:c r="K125" s="35" t="n">
        <x:v>117</x:v>
      </x:c>
      <x:c r="L125" s="29" t="str">
        <x:v>Hayır</x:v>
      </x:c>
      <x:c r="M125" s="29" t="str">
        <x:v>İnceleme</x:v>
      </x:c>
      <x:c r="N125" s="29" t="str">
        <x:v>bakersfield:is</x:v>
      </x:c>
      <x:c r="O125" s="29" t="str">
        <x:v>İş yerinin sıcaklık ve acil durum planını öğren
Su ve serinleme erişimini belirle
Eksik önlemleri kayıtla sorumlu kişiye bildir</x:v>
      </x:c>
      <x:c r="P125" s="29" t="str">
        <x:v>İş yeri güvenlik planı</x:v>
      </x:c>
      <x:c r="Q125" s="29" t="str">
        <x:v>Vardiya öncesi su/serinleme/acil planı öğren; belirti ortaya çıkarsa iş yerinin acil prosedürünü uygula.</x:v>
      </x:c>
      <x:c r="R125" s="29" t="str">
        <x:v>İşverenin zorunlu iş güvenliği önlemlerini çalışan için isteğe bağlı ücretli hizmet sayma.</x:v>
      </x:c>
      <x:c r="S125" s="29"/>
      <x:c r="T125" s="29"/>
    </x:row>
    <x:row r="126" ht="96" customHeight="1">
      <x:c r="A126" s="29" t="str">
        <x:v>bakersfield:meslek-ruhsati</x:v>
      </x:c>
      <x:c r="B126" s="29" t="str">
        <x:v>bakersfield</x:v>
      </x:c>
      <x:c r="C126" s="29" t="str">
        <x:v>meslek-ruhsati</x:v>
      </x:c>
      <x:c r="D126" s="29" t="str">
        <x:v>Diploma ile meslek ruhsatını ayrı değerlendir</x:v>
      </x:c>
      <x:c r="E126" s="29" t="str">
        <x:v>İş ve kariyer</x:v>
      </x:c>
      <x:c r="F126" s="29" t="str">
        <x:v>Türkiye'de alınan diploma, Kaliforniya'da düzenlemeye tabi bir mesleği doğrudan yapma yetkisi vermeyebilir. Denklik, sınav, eğitim ve ruhsat koşulları meslek kuruluna göre değişir. DCA araması, birçok meslekte mevcut ruhsat kaydını bulmaya yarar; başvuru koşullarını ilgili kuruldan öğrenmek gerekir.</x:v>
      </x:c>
      <x:c r="G126" s="29" t="str">
        <x:v>Diploma ile meslek ruhsatını ayrı değerlendir</x:v>
      </x:c>
      <x:c r="H126" s="29" t="str">
        <x:v>before;new;settled</x:v>
      </x:c>
      <x:c r="I126" s="29" t="str">
        <x:v>bakersfield:src:6333;bakersfield:src:6278</x:v>
      </x:c>
      <x:c r="J126" s="31" t="d">
        <x:v>2026-10-24T00:00:00.000Z</x:v>
      </x:c>
      <x:c r="K126" s="35" t="n">
        <x:v>118</x:v>
      </x:c>
      <x:c r="L126" s="29" t="str">
        <x:v>Hayır</x:v>
      </x:c>
      <x:c r="M126" s="29" t="str">
        <x:v>İnceleme</x:v>
      </x:c>
      <x:c r="N126" s="29" t="str">
        <x:v>bakersfield:is</x:v>
      </x:c>
      <x:c r="O126" s="29" t="str">
        <x:v>Mesleğinin yetkili kurulunu belirle
Yabancı eğitim için istenen değerlendirmeyi çıkar
Ruhsat sürecini çalışma yetkisinden ayrı planla</x:v>
      </x:c>
      <x:c r="P126" s="29" t="str">
        <x:v>Diploma
Transkript
Meslek deneyimi</x:v>
      </x:c>
      <x:c r="Q126" s="29" t="str">
        <x:v>Meslek icrasından önce ilgili kurulun başvuru ve onay sürecini tamamla.</x:v>
      </x:c>
      <x:c r="R126" s="29" t="str">
        <x:v>Denklik, sınav, eğitim ve ruhsat bedeli yetkili kurula göre değişir; DCA kamu ruhsat sorgusu ayrı işlemdir.</x:v>
      </x:c>
      <x:c r="S126" s="29"/>
      <x:c r="T126" s="29"/>
    </x:row>
    <x:row r="127" ht="96" customHeight="1">
      <x:c r="A127" s="29" t="str">
        <x:v>bakersfield:is-ayrimciligi</x:v>
      </x:c>
      <x:c r="B127" s="29" t="str">
        <x:v>bakersfield</x:v>
      </x:c>
      <x:c r="C127" s="29" t="str">
        <x:v>is-ayrimciligi</x:v>
      </x:c>
      <x:c r="D127" s="29" t="str">
        <x:v>İş yerindeki ayrımcılığı somut kayıtla ele al</x:v>
      </x:c>
      <x:c r="E127" s="29" t="str">
        <x:v>İş ve kariyer</x:v>
      </x:c>
      <x:c r="F127" s="29" t="str">
        <x:v>California Civil Rights Department, istihdamda korunan özelliklere dayalı ayrımcılık, taciz ve belirli düzenleme talepleri konusunda başvuru yolları sunar. Olayların tarihi, tanıklar, mesajlar ve işverenin yanıtı önemlidir. Şikâyet süresi ve yetki konusu, ücret alacağı başvurusundan farklı olabilir.</x:v>
      </x:c>
      <x:c r="G127" s="29" t="str">
        <x:v>İş yerindeki ayrımcılığı somut kayıtla ele al</x:v>
      </x:c>
      <x:c r="H127" s="29" t="str">
        <x:v>before;new;settled</x:v>
      </x:c>
      <x:c r="I127" s="29" t="str">
        <x:v>bakersfield:src:6879</x:v>
      </x:c>
      <x:c r="J127" s="31" t="d">
        <x:v>2026-10-24T00:00:00.000Z</x:v>
      </x:c>
      <x:c r="K127" s="35" t="n">
        <x:v>119</x:v>
      </x:c>
      <x:c r="L127" s="29" t="str">
        <x:v>Hayır</x:v>
      </x:c>
      <x:c r="M127" s="29" t="str">
        <x:v>İnceleme</x:v>
      </x:c>
      <x:c r="N127" s="29" t="str">
        <x:v>bakersfield:is</x:v>
      </x:c>
      <x:c r="O127" s="29" t="str">
        <x:v>Olayları tarih sırasıyla yaz
Mesaj ve belgelerin güvenli kopyasını sakla
CRD'nin uygun başvuru yolunu ve süresini değerlendir</x:v>
      </x:c>
      <x:c r="P127" s="29" t="str">
        <x:v>Olay çizelgesi
Mesaj ve iş kayıtları</x:v>
      </x:c>
      <x:c r="Q127" s="29" t="str">
        <x:v>İstihdam ayrımcılığında genel CRD başvuru süresi olaydan itibaren 3 yıldır; özel durum ve dava yolu ayrıca değerlendirilir.</x:v>
      </x:c>
      <x:c r="R127" s="29" t="str">
        <x:v>CRD şikâyet başvurusu ücretsizdir; özel hukuk hizmeti bedeli ayrıca olabilir.</x:v>
      </x:c>
      <x:c r="S127" s="29"/>
      <x:c r="T127" s="29"/>
    </x:row>
    <x:row r="128" ht="82" customHeight="1">
      <x:c r="A128" s="29" t="str">
        <x:v>bakersfield:okul-bolgesi</x:v>
      </x:c>
      <x:c r="B128" s="29" t="str">
        <x:v>bakersfield</x:v>
      </x:c>
      <x:c r="C128" s="29" t="str">
        <x:v>okul-bolgesi</x:v>
      </x:c>
      <x:c r="D128" s="29" t="str">
        <x:v>Ev adresini doğru okul bölgesiyle eşleştir</x:v>
      </x:c>
      <x:c r="E128" s="29" t="str">
        <x:v>Aile ve eğitim</x:v>
      </x:c>
      <x:c r="F128" s="29" t="str">
        <x:v>Bakersfield posta adresi, çocuğun mutlaka Bakersfield City School District'e bağlı olduğu anlamına gelmez. Kern County'de birden fazla ilkokul bölgesi ve ayrı lise yapılanması vardır. Kayıt yerini kiralık ilanın okul adıyla değil, adresin resmî bölge sınırıyla belirle.</x:v>
      </x:c>
      <x:c r="G128" s="29" t="str">
        <x:v>Ev adresini doğru okul bölgesiyle eşleştir</x:v>
      </x:c>
      <x:c r="H128" s="29" t="str">
        <x:v>before;new;settled</x:v>
      </x:c>
      <x:c r="I128" s="29" t="str">
        <x:v>bakersfield:src:17658;bakersfield:src:17659</x:v>
      </x:c>
      <x:c r="J128" s="31" t="d">
        <x:v>2026-10-24T00:00:00.000Z</x:v>
      </x:c>
      <x:c r="K128" s="35" t="n">
        <x:v>120</x:v>
      </x:c>
      <x:c r="L128" s="29" t="str">
        <x:v>Evet</x:v>
      </x:c>
      <x:c r="M128" s="29" t="str">
        <x:v>İnceleme</x:v>
      </x:c>
      <x:c r="N128" s="29" t="str">
        <x:v>bakersfield:aile</x:v>
      </x:c>
      <x:c r="O128" s="29" t="str">
        <x:v>KCSOS bölge haritasında adresi bul
Çocuğun sınıfına göre ilgili bölgeyi belirle
Ev sözleşmesinden önce kayıt okulunu netleştir</x:v>
      </x:c>
      <x:c r="P128" s="29" t="str">
        <x:v>Ev adresi
Çocuğun sınıf bilgisi</x:v>
      </x:c>
      <x:c r="Q128" s="29" t="str">
        <x:v>Kira sözleşmesi ve kayıt başvurusundan önce adresi çocuğun sınıfına uygun bölgeyle eşleştir.</x:v>
      </x:c>
      <x:c r="R128" s="29" t="str">
        <x:v>Kamu okul bölgesi/adres araştırması ücretsizdir; özel okul ve ek hizmet ücretleri ayrı konudur.</x:v>
      </x:c>
      <x:c r="S128" s="29"/>
      <x:c r="T128" s="29"/>
    </x:row>
    <x:row r="129" ht="82" customHeight="1">
      <x:c r="A129" s="29" t="str">
        <x:v>bakersfield:okul-kayit</x:v>
      </x:c>
      <x:c r="B129" s="29" t="str">
        <x:v>bakersfield</x:v>
      </x:c>
      <x:c r="C129" s="29" t="str">
        <x:v>okul-kayit</x:v>
      </x:c>
      <x:c r="D129" s="29" t="str">
        <x:v>BCSD kaydında çevrimiçi işlem ve belge kontrolünü tamamla</x:v>
      </x:c>
      <x:c r="E129" s="29" t="str">
        <x:v>Aile ve eğitim</x:v>
      </x:c>
      <x:c r="F129" s="29" t="str">
        <x:v>BCSD sınırında oturan aileler yeni öğrenci başvurusunu çevrimiçi portalda başlatabilir. Portalı göndermek tek başına sürecin tamamlandığı anlamına gelmez; okul veya bölge ofisinde belge doğrulaması yapılır. Başvuru ve öğrencinin fiilen başlayacağı günü ayrı takip et.</x:v>
      </x:c>
      <x:c r="G129" s="29" t="str">
        <x:v>BCSD kaydında çevrimiçi işlem ve belge kontrolünü tamamla</x:v>
      </x:c>
      <x:c r="H129" s="29" t="str">
        <x:v>before;new;settled</x:v>
      </x:c>
      <x:c r="I129" s="29" t="str">
        <x:v>bakersfield:src:17654</x:v>
      </x:c>
      <x:c r="J129" s="31" t="d">
        <x:v>2026-10-24T00:00:00.000Z</x:v>
      </x:c>
      <x:c r="K129" s="35" t="n">
        <x:v>121</x:v>
      </x:c>
      <x:c r="L129" s="29" t="str">
        <x:v>Hayır</x:v>
      </x:c>
      <x:c r="M129" s="29" t="str">
        <x:v>İnceleme</x:v>
      </x:c>
      <x:c r="N129" s="29" t="str">
        <x:v>bakersfield:aile</x:v>
      </x:c>
      <x:c r="O129" s="29" t="str">
        <x:v>Resmî kayıt portalını kullan
Adres, yaş ve aşı belgelerini hazırla
Belge kontrolü ve başlangıç bilgisini okuldan al</x:v>
      </x:c>
      <x:c r="P129" s="29" t="str">
        <x:v>Adres kanıtı
Yaş belgesi
Aşı kaydı
Varsa velayet belgesi</x:v>
      </x:c>
      <x:c r="Q129" s="29" t="str">
        <x:v>Çevrimiçi başvuru sonrası yüz yüze belge doğrulamasını ve ilk okul gününü okuldan öğren.</x:v>
      </x:c>
      <x:c r="R129" s="29" t="str">
        <x:v>Kamu okuluna normal kayıt için öğrenim ücreti alınmaz; isteğe bağlı ek hizmetler farklı olabilir.</x:v>
      </x:c>
      <x:c r="S129" s="29"/>
      <x:c r="T129" s="29"/>
    </x:row>
    <x:row r="130" ht="96" customHeight="1">
      <x:c r="A130" s="29" t="str">
        <x:v>bakersfield:tk-yasi</x:v>
      </x:c>
      <x:c r="B130" s="29" t="str">
        <x:v>bakersfield</x:v>
      </x:c>
      <x:c r="C130" s="29" t="str">
        <x:v>tk-yasi</x:v>
      </x:c>
      <x:c r="D130" s="29" t="str">
        <x:v>TK için dört yaş sınırını kullan</x:v>
      </x:c>
      <x:c r="E130" s="29" t="str">
        <x:v>Aile ve eğitim</x:v>
      </x:c>
      <x:c r="F130" s="29" t="str">
        <x:v>Kaliforniya'da 2025-26 öğretim yılından itibaren 1 Eylül'e kadar dört yaşına giren çocuklar Transitional Kindergarten yaş kapsamındadır. TK, kindergarten öncesindeki eğitim yılıdır. Daha eski “beş yaşını eylül-haziran arasında doldurma” açıklaması yeni dönem için esas alınmamalıdır.</x:v>
      </x:c>
      <x:c r="G130" s="29" t="str">
        <x:v>TK için dört yaş sınırını kullan</x:v>
      </x:c>
      <x:c r="H130" s="29" t="str">
        <x:v>before;new;settled</x:v>
      </x:c>
      <x:c r="I130" s="29" t="str">
        <x:v>bakersfield:src:17656;bakersfield:src:17692</x:v>
      </x:c>
      <x:c r="J130" s="31" t="d">
        <x:v>2026-10-24T00:00:00.000Z</x:v>
      </x:c>
      <x:c r="K130" s="35" t="n">
        <x:v>122</x:v>
      </x:c>
      <x:c r="L130" s="29" t="str">
        <x:v>Hayır</x:v>
      </x:c>
      <x:c r="M130" s="29" t="str">
        <x:v>İnceleme</x:v>
      </x:c>
      <x:c r="N130" s="29" t="str">
        <x:v>bakersfield:aile</x:v>
      </x:c>
      <x:c r="O130" s="29" t="str">
        <x:v>Doğum tarihini ilgili öğretim yılının 1 Eylül tarihiyle karşılaştır
Adresine bağlı bölgenin TK kayıt kanalını seç
Sınıfın yerini ve günlük saatlerini öğren</x:v>
      </x:c>
      <x:c r="P130" s="29" t="str">
        <x:v>Doğum veya yaş belgesi
Adres bilgisi</x:v>
      </x:c>
      <x:c r="Q130" s="29" t="str">
        <x:v>2025-26'dan itibaren ilgili öğretim yılının 1 Eylül gününe kadar 4 yaşını doldurmuş olma ölçüsü uygulanır.</x:v>
      </x:c>
      <x:c r="R130" s="29" t="str">
        <x:v>Yaşa uygun çocuklar için kamu TK programı ücretsizdir.</x:v>
      </x:c>
      <x:c r="S130" s="29"/>
      <x:c r="T130" s="29"/>
    </x:row>
    <x:row r="131" ht="82" customHeight="1">
      <x:c r="A131" s="29" t="str">
        <x:v>bakersfield:kindergarten</x:v>
      </x:c>
      <x:c r="B131" s="29" t="str">
        <x:v>bakersfield</x:v>
      </x:c>
      <x:c r="C131" s="29" t="str">
        <x:v>kindergarten</x:v>
      </x:c>
      <x:c r="D131" s="29" t="str">
        <x:v>Kindergarten yaşını TK'den ayır</x:v>
      </x:c>
      <x:c r="E131" s="29" t="str">
        <x:v>Aile ve eğitim</x:v>
      </x:c>
      <x:c r="F131" s="29" t="str">
        <x:v>BCSD'nin yayımladığı kayıt ölçüsünde kindergarten, 1 Eylül'e kadar beş yaşına giren çocuklara açıktır. Türkiye'deki okul geçmişi ve dil düzeyi kayıt görüşmesinde ayrıca açıklanabilir. Yaş, sınıf yerleşimi ve destek ihtiyacını tek değerlendirme gibi ele alma.</x:v>
      </x:c>
      <x:c r="G131" s="29" t="str">
        <x:v>Kindergarten yaşını TK'den ayır</x:v>
      </x:c>
      <x:c r="H131" s="29" t="str">
        <x:v>before;new;settled</x:v>
      </x:c>
      <x:c r="I131" s="29" t="str">
        <x:v>bakersfield:src:17654</x:v>
      </x:c>
      <x:c r="J131" s="31" t="d">
        <x:v>2026-10-24T00:00:00.000Z</x:v>
      </x:c>
      <x:c r="K131" s="35" t="n">
        <x:v>123</x:v>
      </x:c>
      <x:c r="L131" s="29" t="str">
        <x:v>Hayır</x:v>
      </x:c>
      <x:c r="M131" s="29" t="str">
        <x:v>İnceleme</x:v>
      </x:c>
      <x:c r="N131" s="29" t="str">
        <x:v>bakersfield:aile</x:v>
      </x:c>
      <x:c r="O131" s="29" t="str">
        <x:v>Çocuğun yaşını öğretim yılına göre hesapla
Önceki okul kayıtlarını düzenle
Yerleşim ve destek görüşmesini aynı başvuruda talep et</x:v>
      </x:c>
      <x:c r="P131" s="29" t="str">
        <x:v>Yaş belgesi
Önceki okul kayıtları</x:v>
      </x:c>
      <x:c r="Q131" s="29" t="str">
        <x:v>İlgili öğretim yılının 1 Eylül gününe kadar 5 yaş koşulu; başlangıç günü okul takvimine bağlıdır.</x:v>
      </x:c>
      <x:c r="R131" s="29" t="str">
        <x:v>Kamu kindergarten eğitimi ücretsizdir; gün dışı bakım ayrı program olabilir.</x:v>
      </x:c>
      <x:c r="S131" s="29"/>
      <x:c r="T131" s="29"/>
    </x:row>
    <x:row r="132" ht="96" customHeight="1">
      <x:c r="A132" s="29" t="str">
        <x:v>bakersfield:okul-asisi</x:v>
      </x:c>
      <x:c r="B132" s="29" t="str">
        <x:v>bakersfield</x:v>
      </x:c>
      <x:c r="C132" s="29" t="str">
        <x:v>okul-asisi</x:v>
      </x:c>
      <x:c r="D132" s="29" t="str">
        <x:v>Yurt dışı aşı kaydını okul için okunur hazırla</x:v>
      </x:c>
      <x:c r="E132" s="29" t="str">
        <x:v>Aile ve eğitim</x:v>
      </x:c>
      <x:c r="F132" s="29" t="str">
        <x:v>Okul kaydında aşıların adları ve uygulama tarihleri gerekir. Türkiye'deki kayıtları sağlık değerlendirmesinde kullanılabilecek şekilde hazırla; eksik doz kararını yalnız bir çeviri tablosundan verme. Okul hemşiresi ve sağlık hizmeti, kaydın Kaliforniya koşullarıyla nasıl eşleştiğini değerlendirebilir.</x:v>
      </x:c>
      <x:c r="G132" s="29" t="str">
        <x:v>Yurt dışı aşı kaydını okul için okunur hazırla</x:v>
      </x:c>
      <x:c r="H132" s="29" t="str">
        <x:v>before;new;settled</x:v>
      </x:c>
      <x:c r="I132" s="29" t="str">
        <x:v>bakersfield:src:17654;bakersfield:src:6887</x:v>
      </x:c>
      <x:c r="J132" s="31" t="d">
        <x:v>2026-10-24T00:00:00.000Z</x:v>
      </x:c>
      <x:c r="K132" s="35" t="n">
        <x:v>124</x:v>
      </x:c>
      <x:c r="L132" s="29" t="str">
        <x:v>Hayır</x:v>
      </x:c>
      <x:c r="M132" s="29" t="str">
        <x:v>İnceleme</x:v>
      </x:c>
      <x:c r="N132" s="29" t="str">
        <x:v>bakersfield:aile</x:v>
      </x:c>
      <x:c r="O132" s="29" t="str">
        <x:v>Aşı belgesini tarihleriyle topla
Okulun sağlık formunu al
Gerekli değerlendirmeyi sağlık hizmetiyle tamamla</x:v>
      </x:c>
      <x:c r="P132" s="29" t="str">
        <x:v>Aşı belgesi
Okul sağlık formu</x:v>
      </x:c>
      <x:c r="Q132" s="29" t="str">
        <x:v>Kayıt öncesi belgeleri hazırla; eksik doz aralığını okul hemşiresi ve sağlık hizmeti değerlendirir.</x:v>
      </x:c>
      <x:c r="R132" s="29" t="str">
        <x:v>Değerlendirme veya eksik aşı için hasta payı sağlık programına ve uygulama yerine bağlıdır.</x:v>
      </x:c>
      <x:c r="S132" s="29"/>
      <x:c r="T132" s="29"/>
    </x:row>
    <x:row r="133" ht="96" customHeight="1">
      <x:c r="A133" s="29" t="str">
        <x:v>bakersfield:okul-dil</x:v>
      </x:c>
      <x:c r="B133" s="29" t="str">
        <x:v>bakersfield</x:v>
      </x:c>
      <x:c r="C133" s="29" t="str">
        <x:v>okul-dil</x:v>
      </x:c>
      <x:c r="D133" s="29" t="str">
        <x:v>İngilizce desteğini sınıf yerleşiminden ayrı konuş</x:v>
      </x:c>
      <x:c r="E133" s="29" t="str">
        <x:v>Aile ve eğitim</x:v>
      </x:c>
      <x:c r="F133" s="29" t="str">
        <x:v>Evde konuşulan dil, çocuğun İngilizce değerlendirmesi ve eğitim desteği için önemli olabilir. BCSD'nin çokdilli eğitim birimi bu alandaki yerel başvuru noktasıdır. Yeni gelen öğrenciyi yalnız İngilizcesi üzerinden değerlendirmek yerine önceki derslerini, güçlü olduğu alanları ve destek gereksinimini birlikte anlat.</x:v>
      </x:c>
      <x:c r="G133" s="29" t="str">
        <x:v>İngilizce desteğini sınıf yerleşiminden ayrı konuş</x:v>
      </x:c>
      <x:c r="H133" s="29" t="str">
        <x:v>before;new;settled</x:v>
      </x:c>
      <x:c r="I133" s="29" t="str">
        <x:v>bakersfield:src:17657</x:v>
      </x:c>
      <x:c r="J133" s="31" t="d">
        <x:v>2026-10-24T00:00:00.000Z</x:v>
      </x:c>
      <x:c r="K133" s="35" t="n">
        <x:v>125</x:v>
      </x:c>
      <x:c r="L133" s="29" t="str">
        <x:v>Hayır</x:v>
      </x:c>
      <x:c r="M133" s="29" t="str">
        <x:v>İnceleme</x:v>
      </x:c>
      <x:c r="N133" s="29" t="str">
        <x:v>bakersfield:aile</x:v>
      </x:c>
      <x:c r="O133" s="29" t="str">
        <x:v>Ev dili bilgisini doğru doldur
Dil değerlendirmesinin sonucunu iste
Öğretmenle destek planını ve aile iletişimini görüş</x:v>
      </x:c>
      <x:c r="P133" s="29" t="str">
        <x:v>Önceki eğitim bilgisi
Varsa dil değerlendirmesi</x:v>
      </x:c>
      <x:c r="Q133" s="29" t="str">
        <x:v>Kayıtta ev dili bilgisi; değerlendirme ve destek görüşmesi okulun sürecine göre ilerler.</x:v>
      </x:c>
      <x:c r="R133" s="29" t="str">
        <x:v>Kamu okulunun öğrenci dil desteğini özel ücretli İngilizce kursuyla karıştırma.</x:v>
      </x:c>
      <x:c r="S133" s="29"/>
      <x:c r="T133" s="29"/>
    </x:row>
    <x:row r="134" ht="82" customHeight="1">
      <x:c r="A134" s="29" t="str">
        <x:v>bakersfield:okul-transfer</x:v>
      </x:c>
      <x:c r="B134" s="29" t="str">
        <x:v>bakersfield</x:v>
      </x:c>
      <x:c r="C134" s="29" t="str">
        <x:v>okul-transfer</x:v>
      </x:c>
      <x:c r="D134" s="29" t="str">
        <x:v>Okul değişikliğiyle bölge dışı transferi ayır</x:v>
      </x:c>
      <x:c r="E134" s="29" t="str">
        <x:v>Aile ve eğitim</x:v>
      </x:c>
      <x:c r="F134" s="29" t="str">
        <x:v>BCSD'de transfer talebi, adrese bağlı normal kayıttan ayrı bir süreçtir. Başvuruların dönemleri ve kabul koşulları değişebilir; yalnız form vermek yer garantisi sağlamaz. Taşınma, kardeşin okulu veya bakım düzeni gibi gerekçeleri doğru transfer türüyle ilişkilendir.</x:v>
      </x:c>
      <x:c r="G134" s="29" t="str">
        <x:v>Okul değişikliğiyle bölge dışı transferi ayır</x:v>
      </x:c>
      <x:c r="H134" s="29" t="str">
        <x:v>before;new;settled</x:v>
      </x:c>
      <x:c r="I134" s="29" t="str">
        <x:v>bakersfield:src:17655</x:v>
      </x:c>
      <x:c r="J134" s="31" t="d">
        <x:v>2026-10-24T00:00:00.000Z</x:v>
      </x:c>
      <x:c r="K134" s="35" t="n">
        <x:v>126</x:v>
      </x:c>
      <x:c r="L134" s="29" t="str">
        <x:v>Hayır</x:v>
      </x:c>
      <x:c r="M134" s="29" t="str">
        <x:v>İnceleme</x:v>
      </x:c>
      <x:c r="N134" s="29" t="str">
        <x:v>bakersfield:aile</x:v>
      </x:c>
      <x:c r="O134" s="29" t="str">
        <x:v>Talebin bölge içi mi dışı mı olduğunu belirle
İlgili dönem formunu kullan
Karar ve ulaşım düzenini yazılı takip et</x:v>
      </x:c>
      <x:c r="P134" s="29" t="str">
        <x:v>Adres
Transfer gerekçesi
Öğrenci bilgisi</x:v>
      </x:c>
      <x:c r="Q134" s="29" t="str">
        <x:v>Bölge içi/dışı ve hedef öğretim yılına göre ayrı başvuru pencereleri vardır; formdaki yılı esas al.</x:v>
      </x:c>
      <x:c r="R134" s="29" t="str">
        <x:v>Normal kamu okul transfer başvurusunu özel okul öğrenim ücretiyle karıştırma; ulaşım gideri ayrıca doğabilir.</x:v>
      </x:c>
      <x:c r="S134" s="29"/>
      <x:c r="T134" s="29"/>
    </x:row>
    <x:row r="135" ht="82" customHeight="1">
      <x:c r="A135" s="29" t="str">
        <x:v>bakersfield:okul-takvim</x:v>
      </x:c>
      <x:c r="B135" s="29" t="str">
        <x:v>bakersfield</x:v>
      </x:c>
      <x:c r="C135" s="29" t="str">
        <x:v>okul-takvim</x:v>
      </x:c>
      <x:c r="D135" s="29" t="str">
        <x:v>Okulun gün içi saatini aile takvimine işle</x:v>
      </x:c>
      <x:c r="E135" s="29" t="str">
        <x:v>Aile ve eğitim</x:v>
      </x:c>
      <x:c r="F135" s="29" t="str">
        <x:v>BCSD akademik takvimi ile günlük zil saatleri farklı bilgilerdir. Geç başlayan günler, kısa günler ve tatiller bakım ihtiyacını değiştirebilir. İş programını yalnız standart çıkış saatine göre kurmak yerine çocuğun kendi okulunun takvimini kullan.</x:v>
      </x:c>
      <x:c r="G135" s="29" t="str">
        <x:v>Okulun gün içi saatini aile takvimine işle</x:v>
      </x:c>
      <x:c r="H135" s="29" t="str">
        <x:v>before;new;settled</x:v>
      </x:c>
      <x:c r="I135" s="29" t="str">
        <x:v>bakersfield:src:17693;bakersfield:src:17694</x:v>
      </x:c>
      <x:c r="J135" s="31" t="d">
        <x:v>2026-10-24T00:00:00.000Z</x:v>
      </x:c>
      <x:c r="K135" s="35" t="n">
        <x:v>127</x:v>
      </x:c>
      <x:c r="L135" s="29" t="str">
        <x:v>Hayır</x:v>
      </x:c>
      <x:c r="M135" s="29" t="str">
        <x:v>İnceleme</x:v>
      </x:c>
      <x:c r="N135" s="29" t="str">
        <x:v>bakersfield:aile</x:v>
      </x:c>
      <x:c r="O135" s="29" t="str">
        <x:v>İlgili okulun zil saatlerini aç
Geç başlangıç ve tatilleri takvime ekle
Çocuğu alacak kişileri okul kaydına işle</x:v>
      </x:c>
      <x:c r="P135" s="29" t="str">
        <x:v>Okul takvimi
Yetkili teslim alma bilgisi</x:v>
      </x:c>
      <x:c r="Q135" s="29" t="str">
        <x:v>Okulun zil saatleri, geç başlangıç günleri ve tatillerini ilgili öğretim yılı için kaydet.</x:v>
      </x:c>
      <x:c r="R135" s="29" t="str">
        <x:v>Takvim bilgisi ücretsizdir; kısa gün veya tatilde ek bakım maliyeti aile planına bağlıdır.</x:v>
      </x:c>
      <x:c r="S135" s="29"/>
      <x:c r="T135" s="29"/>
    </x:row>
    <x:row r="136" ht="96" customHeight="1">
      <x:c r="A136" s="29" t="str">
        <x:v>bakersfield:okul-sonrasi</x:v>
      </x:c>
      <x:c r="B136" s="29" t="str">
        <x:v>bakersfield</x:v>
      </x:c>
      <x:c r="C136" s="29" t="str">
        <x:v>okul-sonrasi</x:v>
      </x:c>
      <x:c r="D136" s="29" t="str">
        <x:v>Okul sonrası programı ayrı başvuru olarak planla</x:v>
      </x:c>
      <x:c r="E136" s="29" t="str">
        <x:v>Aile ve eğitim</x:v>
      </x:c>
      <x:c r="F136" s="29" t="str">
        <x:v>BCSD Extended Learning programı, okul gününün dışındaki bakım ve etkinlik seçeneklerini araştırmak için yerel başlangıç noktasıdır. Okula kayıtlı olmak programda otomatik yer bulunduğu anlamına gelmez. Yaş grubu, okul yeri, çalışma saatleri ve başvuru durumu aile planıyla eşleşmelidir.</x:v>
      </x:c>
      <x:c r="G136" s="29" t="str">
        <x:v>Okul sonrası programı ayrı başvuru olarak planla</x:v>
      </x:c>
      <x:c r="H136" s="29" t="str">
        <x:v>before;new;settled</x:v>
      </x:c>
      <x:c r="I136" s="29" t="str">
        <x:v>bakersfield:src:17697</x:v>
      </x:c>
      <x:c r="J136" s="31" t="d">
        <x:v>2026-10-24T00:00:00.000Z</x:v>
      </x:c>
      <x:c r="K136" s="35" t="n">
        <x:v>128</x:v>
      </x:c>
      <x:c r="L136" s="29" t="str">
        <x:v>Hayır</x:v>
      </x:c>
      <x:c r="M136" s="29" t="str">
        <x:v>İnceleme</x:v>
      </x:c>
      <x:c r="N136" s="29" t="str">
        <x:v>bakersfield:aile</x:v>
      </x:c>
      <x:c r="O136" s="29" t="str">
        <x:v>Çocuğun okulunda sunulan programı bul
Başvuru ve yer durumunu öğren
Teslim alma saati ile ulaşımı planla</x:v>
      </x:c>
      <x:c r="P136" s="29" t="str">
        <x:v>Öğrenci bilgisi
Aile iletişimi</x:v>
      </x:c>
      <x:c r="Q136" s="29" t="str">
        <x:v>Ayrı başvuru, yaş/okul ve kontenjan koşulunu okul başlamadan değerlendir.</x:v>
      </x:c>
      <x:c r="R136" s="29" t="str">
        <x:v>Programın kendi ücret/uygunluk koşulunu başvuruda öğren; başka bakım sağlayıcısının fiyatını buna aktarma.</x:v>
      </x:c>
      <x:c r="S136" s="29"/>
      <x:c r="T136" s="29"/>
    </x:row>
    <x:row r="137" ht="96" customHeight="1">
      <x:c r="A137" s="29" t="str">
        <x:v>bakersfield:ozel-egitim</x:v>
      </x:c>
      <x:c r="B137" s="29" t="str">
        <x:v>bakersfield</x:v>
      </x:c>
      <x:c r="C137" s="29" t="str">
        <x:v>ozel-egitim</x:v>
      </x:c>
      <x:c r="D137" s="29" t="str">
        <x:v>Özel eğitim ihtiyacını yazılı değerlendirme talebiyle anlat</x:v>
      </x:c>
      <x:c r="E137" s="29" t="str">
        <x:v>Aile ve eğitim</x:v>
      </x:c>
      <x:c r="F137" s="29" t="str">
        <x:v>Çocuğun öğrenme veya gelişim desteğine ihtiyacı olduğunda önceki tanı ve raporları okulla paylaşmak yararlıdır. ABD'deki değerlendirme ve bireyselleştirilmiş eğitim süreci, Türkiye'deki raporun otomatik aktarımı değildir. İstenen desteği günlük okul işlevleri üzerinden somutlaştır.</x:v>
      </x:c>
      <x:c r="G137" s="29" t="str">
        <x:v>Özel eğitim ihtiyacını yazılı değerlendirme talebiyle anlat</x:v>
      </x:c>
      <x:c r="H137" s="29" t="str">
        <x:v>before;new;settled</x:v>
      </x:c>
      <x:c r="I137" s="29" t="str">
        <x:v>bakersfield:src:17661;bakersfield:src:17695</x:v>
      </x:c>
      <x:c r="J137" s="31" t="d">
        <x:v>2026-10-24T00:00:00.000Z</x:v>
      </x:c>
      <x:c r="K137" s="35" t="n">
        <x:v>129</x:v>
      </x:c>
      <x:c r="L137" s="29" t="str">
        <x:v>Hayır</x:v>
      </x:c>
      <x:c r="M137" s="29" t="str">
        <x:v>İnceleme</x:v>
      </x:c>
      <x:c r="N137" s="29" t="str">
        <x:v>bakersfield:aile</x:v>
      </x:c>
      <x:c r="O137" s="29" t="str">
        <x:v>Kaygı ve gözlemleri yazılı sun
Önceki raporların kopyasını ekle
Değerlendirme ve toplantı adımlarının kaydını tut</x:v>
      </x:c>
      <x:c r="P137" s="29" t="str">
        <x:v>Varsa değerlendirme raporları
Öğretmen gözlemleri</x:v>
      </x:c>
      <x:c r="Q137" s="29" t="str">
        <x:v>Yazılı değerlendirme talebinin teslim tarihini ve okulun yanıt/izin/toplantı takvimini sakla.</x:v>
      </x:c>
      <x:c r="R137" s="29" t="str">
        <x:v>Uygun kamu özel eğitim değerlendirmesi ve hizmetlerini özel ücretli terapiden ayrı ele al.</x:v>
      </x:c>
      <x:c r="S137" s="29"/>
      <x:c r="T137" s="29"/>
    </x:row>
    <x:row r="138" ht="110" customHeight="1">
      <x:c r="A138" s="29" t="str">
        <x:v>bakersfield:veli-iletisimi</x:v>
      </x:c>
      <x:c r="B138" s="29" t="str">
        <x:v>bakersfield</x:v>
      </x:c>
      <x:c r="C138" s="29" t="str">
        <x:v>veli-iletisimi</x:v>
      </x:c>
      <x:c r="D138" s="29" t="str">
        <x:v>Veli iletişim kanalını ilk haftada kur</x:v>
      </x:c>
      <x:c r="E138" s="29" t="str">
        <x:v>Aile ve eğitim</x:v>
      </x:c>
      <x:c r="F138" s="29" t="str">
        <x:v>BCSD'nin aile katılımı ve Parent Resource Center kaynakları, okul yaşamını anlamak ve aile etkinliklerini bulmak için kullanılabilir. Öğretmene ulaşma yöntemi, devamsızlık bildirimi ve acil irtibat kaydı günlük düzenin temelidir. Çocuğun belge taşımasına bağlı tek bir iletişim yolu kullanmak yerine yetişkin bağlantısını kur.</x:v>
      </x:c>
      <x:c r="G138" s="29" t="str">
        <x:v>Veli iletişim kanalını ilk haftada kur</x:v>
      </x:c>
      <x:c r="H138" s="29" t="str">
        <x:v>before;new;settled</x:v>
      </x:c>
      <x:c r="I138" s="29" t="str">
        <x:v>bakersfield:src:17696</x:v>
      </x:c>
      <x:c r="J138" s="31" t="d">
        <x:v>2026-10-24T00:00:00.000Z</x:v>
      </x:c>
      <x:c r="K138" s="35" t="n">
        <x:v>130</x:v>
      </x:c>
      <x:c r="L138" s="29" t="str">
        <x:v>Hayır</x:v>
      </x:c>
      <x:c r="M138" s="29" t="str">
        <x:v>İnceleme</x:v>
      </x:c>
      <x:c r="N138" s="29" t="str">
        <x:v>bakersfield:aile</x:v>
      </x:c>
      <x:c r="O138" s="29" t="str">
        <x:v>Öğretmen ve okul ofisi kanalını kaydet
Acil iletişim kişilerini güncelle
Aile kaynak merkezindeki uygun etkinliği seç</x:v>
      </x:c>
      <x:c r="P138" s="29" t="str">
        <x:v>İletişim bilgileri
Acil irtibat kaydı</x:v>
      </x:c>
      <x:c r="Q138" s="29" t="str">
        <x:v>İlk hafta okul/ofis iletişimini kur; telefon veya acil kişi değişince kaydı güncelle.</x:v>
      </x:c>
      <x:c r="R138" s="29" t="str">
        <x:v>Okulun aile kaynaklarıyla iletişim için özel danışman tutmak zorunlu değildir.</x:v>
      </x:c>
      <x:c r="S138" s="29"/>
      <x:c r="T138" s="29"/>
    </x:row>
    <x:row r="139" ht="82" customHeight="1">
      <x:c r="A139" s="29" t="str">
        <x:v>bakersfield:lise-gecis</x:v>
      </x:c>
      <x:c r="B139" s="29" t="str">
        <x:v>bakersfield</x:v>
      </x:c>
      <x:c r="C139" s="29" t="str">
        <x:v>lise-gecis</x:v>
      </x:c>
      <x:c r="D139" s="29" t="str">
        <x:v>Lise için Kern High School District yolunu incele</x:v>
      </x:c>
      <x:c r="E139" s="29" t="str">
        <x:v>Aile ve eğitim</x:v>
      </x:c>
      <x:c r="F139" s="29" t="str">
        <x:v>Kern High School District, Bakersfield çevresinde birçok liseyi kapsar. İlkokul bölgesindeki kayıt, lise yerleşimini tek başına açıklamaz. Türkiye'den gelen transkriptte ders adı, seviye ve başarı bilgisi, danışmanın mezuniyet planını oluşturmasına yardımcı olur.</x:v>
      </x:c>
      <x:c r="G139" s="29" t="str">
        <x:v>Lise için Kern High School District yolunu incele</x:v>
      </x:c>
      <x:c r="H139" s="29" t="str">
        <x:v>before;new;settled</x:v>
      </x:c>
      <x:c r="I139" s="29" t="str">
        <x:v>bakersfield:src:17659</x:v>
      </x:c>
      <x:c r="J139" s="31" t="d">
        <x:v>2026-10-24T00:00:00.000Z</x:v>
      </x:c>
      <x:c r="K139" s="35" t="n">
        <x:v>131</x:v>
      </x:c>
      <x:c r="L139" s="29" t="str">
        <x:v>Hayır</x:v>
      </x:c>
      <x:c r="M139" s="29" t="str">
        <x:v>İnceleme</x:v>
      </x:c>
      <x:c r="N139" s="29" t="str">
        <x:v>bakersfield:aile</x:v>
      </x:c>
      <x:c r="O139" s="29" t="str">
        <x:v>Adrese göre lise bölgesini belirle
Transkript ve ders açıklamalarını hazırla
Danışmanla kredi ve mezuniyet gerekliliklerini görüş</x:v>
      </x:c>
      <x:c r="P139" s="29" t="str">
        <x:v>Transkript
Ders açıklamaları
Adres</x:v>
      </x:c>
      <x:c r="Q139" s="29" t="str">
        <x:v>Kayıttan önce transkripti hazırla; kredi ve mezuniyet planını danışmanla ders seçimi öncesi görüş.</x:v>
      </x:c>
      <x:c r="R139" s="29" t="str">
        <x:v>Kamu lisesi öğrenimi için normal eğitim ücreti alınmaz; özel program masrafları ayrıca değerlendirilir.</x:v>
      </x:c>
      <x:c r="S139" s="29"/>
      <x:c r="T139" s="29"/>
    </x:row>
    <x:row r="140" ht="96" customHeight="1">
      <x:c r="A140" s="29" t="str">
        <x:v>bakersfield:bakim-bulma</x:v>
      </x:c>
      <x:c r="B140" s="29" t="str">
        <x:v>bakersfield</x:v>
      </x:c>
      <x:c r="C140" s="29" t="str">
        <x:v>bakim-bulma</x:v>
      </x:c>
      <x:c r="D140" s="29" t="str">
        <x:v>Çocuk bakımında CCCC yönlendirmesini kullan</x:v>
      </x:c>
      <x:c r="E140" s="29" t="str">
        <x:v>Aile ve eğitim</x:v>
      </x:c>
      <x:c r="F140" s="29" t="str">
        <x:v>Community Connection for Child Care, Kern County'de çocuk bakım seçenekleri ve aile desteği için yerel kaynaktır. Uygun bakım, yalnız eve yakın olan yer değildir; çocuğun yaşı, ebeveynin vardiyası ve ücret koşulları birlikte değerlendirilmelidir. Yönlendirme ile maddi destek uygunluğunu ayrı sorular olarak ele al.</x:v>
      </x:c>
      <x:c r="G140" s="29" t="str">
        <x:v>Çocuk bakımında CCCC yönlendirmesini kullan</x:v>
      </x:c>
      <x:c r="H140" s="29" t="str">
        <x:v>before;new;settled</x:v>
      </x:c>
      <x:c r="I140" s="29" t="str">
        <x:v>bakersfield:src:17660</x:v>
      </x:c>
      <x:c r="J140" s="31" t="d">
        <x:v>2026-10-24T00:00:00.000Z</x:v>
      </x:c>
      <x:c r="K140" s="35" t="n">
        <x:v>132</x:v>
      </x:c>
      <x:c r="L140" s="29" t="str">
        <x:v>Hayır</x:v>
      </x:c>
      <x:c r="M140" s="29" t="str">
        <x:v>İnceleme</x:v>
      </x:c>
      <x:c r="N140" s="29" t="str">
        <x:v>bakersfield:aile</x:v>
      </x:c>
      <x:c r="O140" s="29" t="str">
        <x:v>Yaş, saat ve konum ihtiyacını yaz
CCCC üzerinden uygun seçenekleri araştır
Her sağlayıcının koşulunu ayrı görüş</x:v>
      </x:c>
      <x:c r="P140" s="29" t="str">
        <x:v>Çocuğun yaşı
Bakım saatleri
Adres</x:v>
      </x:c>
      <x:c r="Q140" s="29" t="str">
        <x:v>Yaş ve vardiya ihtiyacına göre aramayı bakım gerekecek tarihten önce başlat.</x:v>
      </x:c>
      <x:c r="R140" s="29" t="str">
        <x:v>CCCC yönlendirmesiyle bakım sağlayıcısının ücretini ve olası ödeme yardımını ayrı değerlendir.</x:v>
      </x:c>
      <x:c r="S140" s="29"/>
      <x:c r="T140" s="29"/>
    </x:row>
    <x:row r="141" ht="110" customHeight="1">
      <x:c r="A141" s="29" t="str">
        <x:v>bakersfield:bakim-lisans</x:v>
      </x:c>
      <x:c r="B141" s="29" t="str">
        <x:v>bakersfield</x:v>
      </x:c>
      <x:c r="C141" s="29" t="str">
        <x:v>bakim-lisans</x:v>
      </x:c>
      <x:c r="D141" s="29" t="str">
        <x:v>Bakım yerinin lisans kaydını incele</x:v>
      </x:c>
      <x:c r="E141" s="29" t="str">
        <x:v>Aile ve eğitim</x:v>
      </x:c>
      <x:c r="F141" s="29" t="str">
        <x:v>California Community Care Licensing araması, lisanslı çocuk bakım tesislerinin kayıtlarını araştırmak için kullanılır. İşletme adıyla bulunan kaydın görüştüğün adresle aynı olması önemlidir. Lisans kaydı, kişisel ziyaret ve çocuğun ihtiyaçlarıyla birlikte değerlendirilmelidir; tek bir yıldız puanı yerine birden fazla kanıt kullan.</x:v>
      </x:c>
      <x:c r="G141" s="29" t="str">
        <x:v>Bakım yerinin lisans kaydını incele</x:v>
      </x:c>
      <x:c r="H141" s="29" t="str">
        <x:v>before;new;settled</x:v>
      </x:c>
      <x:c r="I141" s="29" t="str">
        <x:v>bakersfield:src:6341</x:v>
      </x:c>
      <x:c r="J141" s="31" t="d">
        <x:v>2026-10-24T00:00:00.000Z</x:v>
      </x:c>
      <x:c r="K141" s="35" t="n">
        <x:v>133</x:v>
      </x:c>
      <x:c r="L141" s="29" t="str">
        <x:v>Hayır</x:v>
      </x:c>
      <x:c r="M141" s="29" t="str">
        <x:v>İnceleme</x:v>
      </x:c>
      <x:c r="N141" s="29" t="str">
        <x:v>bakersfield:aile</x:v>
      </x:c>
      <x:c r="O141" s="29" t="str">
        <x:v>Tesis adını ve adresini eşleştir
Erişilebilir inceleme kayıtlarını oku
Görüşmede yetişkin-çocuk düzenini ve teslim prosedürünü sor</x:v>
      </x:c>
      <x:c r="P141" s="29" t="str">
        <x:v>Tesis adı
Tam adres</x:v>
      </x:c>
      <x:c r="Q141" s="29" t="str">
        <x:v>Sözleşmeden önce tesis/adres ve inceleme kayıtlarını eşleştir; sonradan değişen koşulları izle.</x:v>
      </x:c>
      <x:c r="R141" s="29" t="str">
        <x:v>CDSS kamu lisans kaydına erişim ücretsizdir; bakımın ücreti sağlayıcıya bağlıdır.</x:v>
      </x:c>
      <x:c r="S141" s="29"/>
      <x:c r="T141" s="29"/>
    </x:row>
    <x:row r="142" ht="82" customHeight="1">
      <x:c r="A142" s="29" t="str">
        <x:v>bakersfield:bakim-sozlesme</x:v>
      </x:c>
      <x:c r="B142" s="29" t="str">
        <x:v>bakersfield</x:v>
      </x:c>
      <x:c r="C142" s="29" t="str">
        <x:v>bakim-sozlesme</x:v>
      </x:c>
      <x:c r="D142" s="29" t="str">
        <x:v>Çocuk bakımında toplam maliyeti yazılı gör</x:v>
      </x:c>
      <x:c r="E142" s="29" t="str">
        <x:v>Aile ve eğitim</x:v>
      </x:c>
      <x:c r="F142" s="29" t="str">
        <x:v>Bakım teklifinde haftalık ücret dışında kayıt, geç teslim alma, tatil ve devamsızlık kalemleri bulunabilir. Yemek, bez veya ulaşımın dahil olup olmadığını bilmeden iki fiyatı karşılaştırmak yanıltıcıdır. Sözleşmenin iptal ve bildirim koşulunu bakım başlamadan öğren.</x:v>
      </x:c>
      <x:c r="G142" s="29" t="str">
        <x:v>Çocuk bakımında toplam maliyeti yazılı gör</x:v>
      </x:c>
      <x:c r="H142" s="29" t="str">
        <x:v>before;new;settled</x:v>
      </x:c>
      <x:c r="I142" s="29" t="str">
        <x:v>bakersfield:src:17660</x:v>
      </x:c>
      <x:c r="J142" s="31" t="d">
        <x:v>2026-10-24T00:00:00.000Z</x:v>
      </x:c>
      <x:c r="K142" s="35" t="n">
        <x:v>134</x:v>
      </x:c>
      <x:c r="L142" s="29" t="str">
        <x:v>Hayır</x:v>
      </x:c>
      <x:c r="M142" s="29" t="str">
        <x:v>İnceleme</x:v>
      </x:c>
      <x:c r="N142" s="29" t="str">
        <x:v>bakersfield:aile</x:v>
      </x:c>
      <x:c r="O142" s="29" t="str">
        <x:v>Tüm ücret kalemlerini tek tabloda iste
Tatil ve hastalık günlerinin hesabını sor
İptal ve teslim alma koşullarını kaydet</x:v>
      </x:c>
      <x:c r="P142" s="29" t="str">
        <x:v>Bakım sözleşmesi
Ücret çizelgesi</x:v>
      </x:c>
      <x:c r="Q142" s="29" t="str">
        <x:v>Bakım başlamadan iptal bildirimi, ödeme günü ve teslim saatini sözleşmede belirle.</x:v>
      </x:c>
      <x:c r="R142" s="29" t="str">
        <x:v>Haftalık/aylık bedelin yanında kayıt, geç teslim, tatil ve malzeme kalemlerini yazılı karşılaştır.</x:v>
      </x:c>
      <x:c r="S142" s="29"/>
      <x:c r="T142" s="29"/>
    </x:row>
    <x:row r="143" ht="96" customHeight="1">
      <x:c r="A143" s="29" t="str">
        <x:v>bakersfield:college-baslangic</x:v>
      </x:c>
      <x:c r="B143" s="29" t="str">
        <x:v>bakersfield</x:v>
      </x:c>
      <x:c r="C143" s="29" t="str">
        <x:v>college-baslangic</x:v>
      </x:c>
      <x:c r="D143" s="29" t="str">
        <x:v>Bakersfield College program türlerini ayır</x:v>
      </x:c>
      <x:c r="E143" s="29" t="str">
        <x:v>Aile ve eğitim</x:v>
      </x:c>
      <x:c r="F143" s="29" t="str">
        <x:v>Bakersfield College'da akademik derece, mesleki sertifika ve devam eğitimi farklı hedeflere hizmet eder. Kabul edilmek, bütün derslerin bir sonraki dönemde açılacağı veya öğrenim ücretinin her öğrenci için aynı olacağı anlamına gelmez. Başvuru planını eğitim amacı ve ikamet/öğrenci statüsüyle birlikte oluştur.</x:v>
      </x:c>
      <x:c r="G143" s="29" t="str">
        <x:v>Bakersfield College program türlerini ayır</x:v>
      </x:c>
      <x:c r="H143" s="29" t="str">
        <x:v>before;new;settled</x:v>
      </x:c>
      <x:c r="I143" s="29" t="str">
        <x:v>bakersfield:src:17662</x:v>
      </x:c>
      <x:c r="J143" s="31" t="d">
        <x:v>2026-10-24T00:00:00.000Z</x:v>
      </x:c>
      <x:c r="K143" s="35" t="n">
        <x:v>135</x:v>
      </x:c>
      <x:c r="L143" s="29" t="str">
        <x:v>Hayır</x:v>
      </x:c>
      <x:c r="M143" s="29" t="str">
        <x:v>İnceleme</x:v>
      </x:c>
      <x:c r="N143" s="29" t="str">
        <x:v>bakersfield:aile</x:v>
      </x:c>
      <x:c r="O143" s="29" t="str">
        <x:v>Programın ders planını incele
Kabul ve ücret sınıflandırmasını öğren
Danışmanla ilk dönem derslerini seç</x:v>
      </x:c>
      <x:c r="P143" s="29" t="str">
        <x:v>Eğitim kayıtları
Program hedefi</x:v>
      </x:c>
      <x:c r="Q143" s="29" t="str">
        <x:v>Ders kayıt takvimi, kabul ve danışmanlık adımlarını hedef döneme göre planla.</x:v>
      </x:c>
      <x:c r="R143" s="29" t="str">
        <x:v>Öğrenim, ek ücret ve materyal giderleri program ve resident/nonresident sınıflandırmasına bağlıdır.</x:v>
      </x:c>
      <x:c r="S143" s="29"/>
      <x:c r="T143" s="29"/>
    </x:row>
    <x:row r="144" ht="96" customHeight="1">
      <x:c r="A144" s="29" t="str">
        <x:v>bakersfield:csub-uluslararasi</x:v>
      </x:c>
      <x:c r="B144" s="29" t="str">
        <x:v>bakersfield</x:v>
      </x:c>
      <x:c r="C144" s="29" t="str">
        <x:v>csub-uluslararasi</x:v>
      </x:c>
      <x:c r="D144" s="29" t="str">
        <x:v>CSUB'da uluslararası öğrenci işlemlerini planla</x:v>
      </x:c>
      <x:c r="E144" s="29" t="str">
        <x:v>Aile ve eğitim</x:v>
      </x:c>
      <x:c r="F144" s="29" t="str">
        <x:v>California State University Bakersfield'ın uluslararası öğrenci birimi, başvuru ve öğrenci statüsü süreçleri için başvuru noktasıdır. Üniversite kabulü, vize ve ABD'ye giriş aynı karar değildir. Program maliyeti, dil koşulu ve gerekli öğrenci belgelerini ayrı takvimlerde takip etmek gecikmeyi azaltır.</x:v>
      </x:c>
      <x:c r="G144" s="29" t="str">
        <x:v>CSUB'da uluslararası öğrenci işlemlerini planla</x:v>
      </x:c>
      <x:c r="H144" s="29" t="str">
        <x:v>before;new;settled</x:v>
      </x:c>
      <x:c r="I144" s="29" t="str">
        <x:v>bakersfield:src:17605;bakersfield:src:17663</x:v>
      </x:c>
      <x:c r="J144" s="31" t="d">
        <x:v>2026-10-24T00:00:00.000Z</x:v>
      </x:c>
      <x:c r="K144" s="35" t="n">
        <x:v>136</x:v>
      </x:c>
      <x:c r="L144" s="29" t="str">
        <x:v>Hayır</x:v>
      </x:c>
      <x:c r="M144" s="29" t="str">
        <x:v>İnceleme</x:v>
      </x:c>
      <x:c r="N144" s="29" t="str">
        <x:v>bakersfield:aile</x:v>
      </x:c>
      <x:c r="O144" s="29" t="str">
        <x:v>Programın kabul koşullarını çıkar
Uluslararası birimden belge listesini al
Vize ve seyahat adımlarını kabul belgesiyle eşleştir</x:v>
      </x:c>
      <x:c r="P144" s="29" t="str">
        <x:v>Transkript
Dil belgesi
Programın istediği mali belgeler</x:v>
      </x:c>
      <x:c r="Q144" s="29" t="str">
        <x:v>Program son başvurusu, öğrenci belgesi, vize görüşmesi ve seyahati ayrı tarihlerle takip et.</x:v>
      </x:c>
      <x:c r="R144" s="29" t="str">
        <x:v>Program öğrenim bedeli, yaşam bütçesi ve öğrenci/vize harçları ayrı kalemlerdir.</x:v>
      </x:c>
      <x:c r="S144" s="29"/>
      <x:c r="T144" s="29"/>
    </x:row>
    <x:row r="145" ht="110" customHeight="1">
      <x:c r="A145" s="29" t="str">
        <x:v>bakersfield:yetiskin-egitim</x:v>
      </x:c>
      <x:c r="B145" s="29" t="str">
        <x:v>bakersfield</x:v>
      </x:c>
      <x:c r="C145" s="29" t="str">
        <x:v>yetiskin-egitim</x:v>
      </x:c>
      <x:c r="D145" s="29" t="str">
        <x:v>Bakersfield Adult School seçeneklerini araştır</x:v>
      </x:c>
      <x:c r="E145" s="29" t="str">
        <x:v>Aile ve eğitim</x:v>
      </x:c>
      <x:c r="F145" s="29" t="str">
        <x:v>Bakersfield Adult School, yetişkinlerin eğitim ve beceri geliştirme seçeneklerini araştırabileceği yerel kurumdur. Program adından hareketle her kursun ücretsiz, sürekli açık veya göçmenlik statüsünden bağımsız olduğunu varsayma. Hedefini İngilizce, diploma tamamlama veya mesleki beceri olarak belirlemek doğru birime ulaşmayı kolaylaştırır.</x:v>
      </x:c>
      <x:c r="G145" s="29" t="str">
        <x:v>Bakersfield Adult School seçeneklerini araştır</x:v>
      </x:c>
      <x:c r="H145" s="29" t="str">
        <x:v>before;new;settled</x:v>
      </x:c>
      <x:c r="I145" s="29" t="str">
        <x:v>bakersfield:src:17664</x:v>
      </x:c>
      <x:c r="J145" s="31" t="d">
        <x:v>2026-10-24T00:00:00.000Z</x:v>
      </x:c>
      <x:c r="K145" s="35" t="n">
        <x:v>137</x:v>
      </x:c>
      <x:c r="L145" s="29" t="str">
        <x:v>Hayır</x:v>
      </x:c>
      <x:c r="M145" s="29" t="str">
        <x:v>İnceleme</x:v>
      </x:c>
      <x:c r="N145" s="29" t="str">
        <x:v>bakersfield:aile</x:v>
      </x:c>
      <x:c r="O145" s="29" t="str">
        <x:v>Eğitim hedefini belirle
Açık program ve kayıt dönemini seç
Ders saatini iş ve ulaşım planına ekle</x:v>
      </x:c>
      <x:c r="P145" s="29" t="str">
        <x:v>Programın istediği kayıt bilgileri</x:v>
      </x:c>
      <x:c r="Q145" s="29" t="str">
        <x:v>Kayıt dönemi ve ders saatini programın güncel ilanından belirle.</x:v>
      </x:c>
      <x:c r="R145" s="29" t="str">
        <x:v>Ücret ve materyal koşulları seçilen Adult School programına bağlıdır.</x:v>
      </x:c>
      <x:c r="S145" s="29"/>
      <x:c r="T145" s="29"/>
    </x:row>
    <x:row r="146" ht="96" customHeight="1">
      <x:c r="A146" s="29" t="str">
        <x:v>bakersfield:kutuphane-cocuk</x:v>
      </x:c>
      <x:c r="B146" s="29" t="str">
        <x:v>bakersfield</x:v>
      </x:c>
      <x:c r="C146" s="29" t="str">
        <x:v>kutuphane-cocuk</x:v>
      </x:c>
      <x:c r="D146" s="29" t="str">
        <x:v>Çocuk için kütüphane programını şubeye göre seç</x:v>
      </x:c>
      <x:c r="E146" s="29" t="str">
        <x:v>Aile ve eğitim</x:v>
      </x:c>
      <x:c r="F146" s="29" t="str">
        <x:v>Kern County Library'nin şubeleri farklı etkinlik takvimleri sunar. Okuma saatleri ve çocuk etkinlikleri aileye düşük maliyetli bir sosyal düzen kurmada yardımcı olabilir. Aynı etkinliğin her şubede veya her hafta bulunduğunu varsaymadan programın yaş grubu ve kayıt bilgisini kullan.</x:v>
      </x:c>
      <x:c r="G146" s="29" t="str">
        <x:v>Çocuk için kütüphane programını şubeye göre seç</x:v>
      </x:c>
      <x:c r="H146" s="29" t="str">
        <x:v>before;new;settled</x:v>
      </x:c>
      <x:c r="I146" s="29" t="str">
        <x:v>bakersfield:src:17721;bakersfield:src:17723</x:v>
      </x:c>
      <x:c r="J146" s="31" t="d">
        <x:v>2026-10-24T00:00:00.000Z</x:v>
      </x:c>
      <x:c r="K146" s="35" t="n">
        <x:v>138</x:v>
      </x:c>
      <x:c r="L146" s="29" t="str">
        <x:v>Hayır</x:v>
      </x:c>
      <x:c r="M146" s="29" t="str">
        <x:v>İnceleme</x:v>
      </x:c>
      <x:c r="N146" s="29" t="str">
        <x:v>bakersfield:aile</x:v>
      </x:c>
      <x:c r="O146" s="29" t="str">
        <x:v>Yakın şubenin etkinlik takvimini aç
Yaş grubuna uygun programı seç
Ödünç alma için kart koşullarını öğren</x:v>
      </x:c>
      <x:c r="P146" s="29" t="str">
        <x:v>Varsa kütüphane kartı</x:v>
      </x:c>
      <x:c r="Q146" s="29" t="str">
        <x:v>Şube etkinlik takvimindeki yaş ve kayıt bilgisini kullan; her hafta aynı program varsayma.</x:v>
      </x:c>
      <x:c r="R146" s="29" t="str">
        <x:v>Etkinlik ve kart koşulları kütüphanenin ilgili programına bağlıdır; ücret varsa etkinlik ilanında ayrıca yer alır.</x:v>
      </x:c>
      <x:c r="S146" s="29"/>
      <x:c r="T146" s="29"/>
    </x:row>
    <x:row r="147" ht="96" customHeight="1">
      <x:c r="A147" s="29" t="str">
        <x:v>bakersfield:aile-acil-plan</x:v>
      </x:c>
      <x:c r="B147" s="29" t="str">
        <x:v>bakersfield</x:v>
      </x:c>
      <x:c r="C147" s="29" t="str">
        <x:v>aile-acil-plan</x:v>
      </x:c>
      <x:c r="D147" s="29" t="str">
        <x:v>Aile için okuldan teslim ve acil haberleşme planı yap</x:v>
      </x:c>
      <x:c r="E147" s="29" t="str">
        <x:v>Aile ve eğitim</x:v>
      </x:c>
      <x:c r="F147" s="29" t="str">
        <x:v>ReadyKern bildirimleri, bölgesel acil durum hazırlığının bir parçasıdır. Aile içinde okuldan kimin alacağı, ayrılınca nerede buluşulacağı ve iletişim kesilince ne yapılacağı önceden konuşulmalıdır. Çocukların ilaç veya erişilebilirlik ihtiyacını planın içine almak yalnız telefon listesi oluşturmaktan daha yararlıdır.</x:v>
      </x:c>
      <x:c r="G147" s="29" t="str">
        <x:v>Aile için okuldan teslim ve acil haberleşme planı yap</x:v>
      </x:c>
      <x:c r="H147" s="29" t="str">
        <x:v>before;new;settled</x:v>
      </x:c>
      <x:c r="I147" s="29" t="str">
        <x:v>bakersfield:src:17672;bakersfield:src:17654</x:v>
      </x:c>
      <x:c r="J147" s="31" t="d">
        <x:v>2026-10-24T00:00:00.000Z</x:v>
      </x:c>
      <x:c r="K147" s="35" t="n">
        <x:v>139</x:v>
      </x:c>
      <x:c r="L147" s="29" t="str">
        <x:v>Hayır</x:v>
      </x:c>
      <x:c r="M147" s="29" t="str">
        <x:v>İnceleme</x:v>
      </x:c>
      <x:c r="N147" s="29" t="str">
        <x:v>bakersfield:aile</x:v>
      </x:c>
      <x:c r="O147" s="29" t="str">
        <x:v>ReadyKern'e uygun iletişim bilgilerini kaydet
Okulun acil teslim prosedürünü öğren
Aile buluşma noktası ve yedek kişiyi belirle</x:v>
      </x:c>
      <x:c r="P147" s="29" t="str">
        <x:v>Acil iletişim listesi
Gerekli sağlık bilgisi</x:v>
      </x:c>
      <x:c r="Q147" s="29" t="str">
        <x:v>Planı taşınma sırasında kur; okul ve iletişim bilgileri değişince yenile.</x:v>
      </x:c>
      <x:c r="R147" s="29" t="str">
        <x:v>ReadyKern kaydı için abonelik ücreti yoktur; telefon operatörünün mesaj/veri koşulları ayrı olabilir.</x:v>
      </x:c>
      <x:c r="S147" s="29"/>
      <x:c r="T147" s="29"/>
    </x:row>
    <x:row r="148" ht="96" customHeight="1">
      <x:c r="A148" s="29" t="str">
        <x:v>bakersfield:get-baslangic</x:v>
      </x:c>
      <x:c r="B148" s="29" t="str">
        <x:v>bakersfield</x:v>
      </x:c>
      <x:c r="C148" s="29" t="str">
        <x:v>get-baslangic</x:v>
      </x:c>
      <x:c r="D148" s="29" t="str">
        <x:v>Şehir içi yolculuğu GET hattıyla kur</x:v>
      </x:c>
      <x:c r="E148" s="29" t="str">
        <x:v>Ulaşım</x:v>
      </x:c>
      <x:c r="F148" s="29" t="str">
        <x:v>Golden Empire Transit, Bakersfield çevresindeki şehir içi otobüs ağıdır. Konut seçerken yalnız durağa uzaklık yeterli değildir; işe gidiş ve dönüş saatinde çalışan hat, aktarma ve son sefer birlikte önemlidir. İlk hafta aynı yolculuğu gündüz ve dönüş saatinde denemek gerçek süreyi görmeni sağlar.</x:v>
      </x:c>
      <x:c r="G148" s="29" t="str">
        <x:v>Şehir içi yolculuğu GET hattıyla kur</x:v>
      </x:c>
      <x:c r="H148" s="29" t="str">
        <x:v>before;new;settled</x:v>
      </x:c>
      <x:c r="I148" s="29" t="str">
        <x:v>bakersfield:src:17665</x:v>
      </x:c>
      <x:c r="J148" s="31" t="d">
        <x:v>2026-10-24T00:00:00.000Z</x:v>
      </x:c>
      <x:c r="K148" s="35" t="n">
        <x:v>140</x:v>
      </x:c>
      <x:c r="L148" s="29" t="str">
        <x:v>Evet</x:v>
      </x:c>
      <x:c r="M148" s="29" t="str">
        <x:v>İnceleme</x:v>
      </x:c>
      <x:c r="N148" s="29" t="str">
        <x:v>bakersfield:ulasim</x:v>
      </x:c>
      <x:c r="O148" s="29" t="str">
        <x:v>Başlangıç ve varış adreslerini belirle
GET hat haritasında iki yönü planla
Aktarma ve yürüyüş süresini günlük takvime ekle</x:v>
      </x:c>
      <x:c r="P148" s="29" t="str">
        <x:v>Gidiş ve dönüş adresleri</x:v>
      </x:c>
      <x:c r="Q148" s="29" t="str">
        <x:v>İşe gidiş ve dönüş saatleri için ayrı hat/son sefer planı yap.</x:v>
      </x:c>
      <x:c r="R148" s="29" t="str">
        <x:v>Bilet tipi yolculuk sayısına bağlıdır; aktarma ve yürüme süresini de seçimde hesaba kat.</x:v>
      </x:c>
      <x:c r="S148" s="29"/>
      <x:c r="T148" s="29"/>
    </x:row>
    <x:row r="149" ht="96" customHeight="1">
      <x:c r="A149" s="29" t="str">
        <x:v>bakersfield:get-bilet</x:v>
      </x:c>
      <x:c r="B149" s="29" t="str">
        <x:v>bakersfield</x:v>
      </x:c>
      <x:c r="C149" s="29" t="str">
        <x:v>get-bilet</x:v>
      </x:c>
      <x:c r="D149" s="29" t="str">
        <x:v>GET biletini kullanım süresine göre seç</x:v>
      </x:c>
      <x:c r="E149" s="29" t="str">
        <x:v>Ulaşım</x:v>
      </x:c>
      <x:c r="F149" s="29" t="str">
        <x:v>GET'in Token Transit satış ekranında normal tek biniş 1,65 dolar, günlük bilet 3,55 dolar ve 31 günlük bilet 57 dolar olarak listeleniyor. İndirimli ürünler ayrı uygunluk gerektirir. Telefonla alınan bileti ihtiyaçtan önce etkinleştirmek kullanım süresini başlatabilir; satın alma ile etkinleştirme adımını ayır.</x:v>
      </x:c>
      <x:c r="G149" s="29" t="str">
        <x:v>GET biletini kullanım süresine göre seç</x:v>
      </x:c>
      <x:c r="H149" s="29" t="str">
        <x:v>before;new;settled</x:v>
      </x:c>
      <x:c r="I149" s="29" t="str">
        <x:v>bakersfield:src:17688</x:v>
      </x:c>
      <x:c r="J149" s="31" t="d">
        <x:v>2026-10-24T00:00:00.000Z</x:v>
      </x:c>
      <x:c r="K149" s="35" t="n">
        <x:v>141</x:v>
      </x:c>
      <x:c r="L149" s="29" t="str">
        <x:v>Hayır</x:v>
      </x:c>
      <x:c r="M149" s="29" t="str">
        <x:v>İnceleme</x:v>
      </x:c>
      <x:c r="N149" s="29" t="str">
        <x:v>bakersfield:ulasim</x:v>
      </x:c>
      <x:c r="O149" s="29" t="str">
        <x:v>Yolculuk sayısına uygun ürünü seç
Ürünün etkinleştirme bilgisini oku
Telefon ve ödeme için yedek plan bulundur</x:v>
      </x:c>
      <x:c r="P149" s="29" t="str">
        <x:v>Ödeme yöntemi
Varsa indirim uygunluk belgesi</x:v>
      </x:c>
      <x:c r="Q149" s="29" t="str">
        <x:v>Tek biniş tek otobüste geçerlidir, aktarma içermez. Günlük/31 günlük kullanım etkinleştirme koşuluna bağlıdır.</x:v>
      </x:c>
      <x:c r="R149" s="29" t="str">
        <x:v>Normal tek biniş 1,65 USD, günlük 3,55 USD, 31 günlük 57 USD; indirimli uygunluk ürünleri ayrıdır.</x:v>
      </x:c>
      <x:c r="S149" s="29"/>
      <x:c r="T149" s="29"/>
    </x:row>
    <x:row r="150" ht="82" customHeight="1">
      <x:c r="A150" s="29" t="str">
        <x:v>bakersfield:get-indirim</x:v>
      </x:c>
      <x:c r="B150" s="29" t="str">
        <x:v>bakersfield</x:v>
      </x:c>
      <x:c r="C150" s="29" t="str">
        <x:v>get-indirim</x:v>
      </x:c>
      <x:c r="D150" s="29" t="str">
        <x:v>İndirimli bilette uygunluk belgesini hazırla</x:v>
      </x:c>
      <x:c r="E150" s="29" t="str">
        <x:v>Ulaşım</x:v>
      </x:c>
      <x:c r="F150" s="29" t="str">
        <x:v>GET bilet menüsündeki indirimli fiyat, herkesin seçebileceği genel kampanya değildir. Yaş, engellilik veya başka uygunluk türleri için taşıyıcının kabul ettiği belge önemlidir. İndirimli bilet ile erişilebilir özel taşıma hizmetinin başvurusu da aynı işlem değildir.</x:v>
      </x:c>
      <x:c r="G150" s="29" t="str">
        <x:v>İndirimli bilette uygunluk belgesini hazırla</x:v>
      </x:c>
      <x:c r="H150" s="29" t="str">
        <x:v>before;new;settled</x:v>
      </x:c>
      <x:c r="I150" s="29" t="str">
        <x:v>bakersfield:src:17688;bakersfield:src:17665</x:v>
      </x:c>
      <x:c r="J150" s="31" t="d">
        <x:v>2026-10-24T00:00:00.000Z</x:v>
      </x:c>
      <x:c r="K150" s="35" t="n">
        <x:v>142</x:v>
      </x:c>
      <x:c r="L150" s="29" t="str">
        <x:v>Hayır</x:v>
      </x:c>
      <x:c r="M150" s="29" t="str">
        <x:v>İnceleme</x:v>
      </x:c>
      <x:c r="N150" s="29" t="str">
        <x:v>bakersfield:ulasim</x:v>
      </x:c>
      <x:c r="O150" s="29" t="str">
        <x:v>Kendi uygunluk türünü belirle
Taşıyıcının istediği belgeyi edin
Binişte gereken belgeyi yanında tut</x:v>
      </x:c>
      <x:c r="P150" s="29" t="str">
        <x:v>İndirim uygunluk belgesi</x:v>
      </x:c>
      <x:c r="Q150" s="29" t="str">
        <x:v>Belgeyi indirimli binişten önce edin ve gerektiğinde yanında taşı.</x:v>
      </x:c>
      <x:c r="R150" s="29" t="str">
        <x:v>İndirimli ücret için GET'in kabul ettiği uygunluk belgesi gerekir; normal biletle aynı ürün değildir.</x:v>
      </x:c>
      <x:c r="S150" s="29"/>
      <x:c r="T150" s="29"/>
    </x:row>
    <x:row r="151" ht="110" customHeight="1">
      <x:c r="A151" s="29" t="str">
        <x:v>bakersfield:get-erisim</x:v>
      </x:c>
      <x:c r="B151" s="29" t="str">
        <x:v>bakersfield</x:v>
      </x:c>
      <x:c r="C151" s="29" t="str">
        <x:v>get-erisim</x:v>
      </x:c>
      <x:c r="D151" s="29" t="str">
        <x:v>Erişilebilir yolculuk için hizmet türünü ayır</x:v>
      </x:c>
      <x:c r="E151" s="29" t="str">
        <x:v>Ulaşım</x:v>
      </x:c>
      <x:c r="F151" s="29" t="str">
        <x:v>Sabit güzergâhlı otobüs ile GET-A-Lift gibi özel erişilebilir taşıma aynı rezervasyon ve uygunluk düzenine sahip değildir. Hareket desteği, refakatçi veya kapıya yakın erişim ihtiyacını yolculuktan önce hizmet sağlayıcıya somut olarak anlat. Bir parkın erişilebilir olması, oraya giden her yolculuk aşamasını otomatik erişilebilir yapmaz.</x:v>
      </x:c>
      <x:c r="G151" s="29" t="str">
        <x:v>Erişilebilir yolculuk için hizmet türünü ayır</x:v>
      </x:c>
      <x:c r="H151" s="29" t="str">
        <x:v>before;new;settled</x:v>
      </x:c>
      <x:c r="I151" s="29" t="str">
        <x:v>bakersfield:src:17688;bakersfield:src:17665</x:v>
      </x:c>
      <x:c r="J151" s="31" t="d">
        <x:v>2026-10-24T00:00:00.000Z</x:v>
      </x:c>
      <x:c r="K151" s="35" t="n">
        <x:v>143</x:v>
      </x:c>
      <x:c r="L151" s="29" t="str">
        <x:v>Hayır</x:v>
      </x:c>
      <x:c r="M151" s="29" t="str">
        <x:v>İnceleme</x:v>
      </x:c>
      <x:c r="N151" s="29" t="str">
        <x:v>bakersfield:ulasim</x:v>
      </x:c>
      <x:c r="O151" s="29" t="str">
        <x:v>İhtiyacını durak ve araç aşamalarıyla tanımla
İlgili hizmetin başvuru veya rezervasyonunu tamamla
Gidişle birlikte dönüşü planla</x:v>
      </x:c>
      <x:c r="P151" s="29" t="str">
        <x:v>Hizmetin istediği başvuru bilgileri</x:v>
      </x:c>
      <x:c r="Q151" s="29" t="str">
        <x:v>Özel erişilebilir taşıma için başvuru/rezervasyon ile dönüş saatini önceden planla.</x:v>
      </x:c>
      <x:c r="R151" s="29" t="str">
        <x:v>GET-A-Lift ücret ürünü ve uygunluk şartları normal sabit hat biletinden ayrıdır.</x:v>
      </x:c>
      <x:c r="S151" s="29"/>
      <x:c r="T151" s="29"/>
    </x:row>
    <x:row r="152" ht="96" customHeight="1">
      <x:c r="A152" s="29" t="str">
        <x:v>bakersfield:kern-bolge</x:v>
      </x:c>
      <x:c r="B152" s="29" t="str">
        <x:v>bakersfield</x:v>
      </x:c>
      <x:c r="C152" s="29" t="str">
        <x:v>kern-bolge</x:v>
      </x:c>
      <x:c r="D152" s="29" t="str">
        <x:v>Kern Transit'i GET'ten ayrı planla</x:v>
      </x:c>
      <x:c r="E152" s="29" t="str">
        <x:v>Ulaşım</x:v>
      </x:c>
      <x:c r="F152" s="29" t="str">
        <x:v>Kern Transit, county içindeki yerleşimler arasında bölgesel hatlar sunar. Bakersfield içindeki GET bileti ile bölgesel hattın tarifesi aynı değildir. Tehachapi, Lake Isabella veya başka bir yerleşime günübirlik giderken dönüş seferi, yerel yürüyüş ve bağlantı noktası gezinin asıl sınırını belirleyebilir.</x:v>
      </x:c>
      <x:c r="G152" s="29" t="str">
        <x:v>Kern Transit'i GET'ten ayrı planla</x:v>
      </x:c>
      <x:c r="H152" s="29" t="str">
        <x:v>before;new;settled</x:v>
      </x:c>
      <x:c r="I152" s="29" t="str">
        <x:v>bakersfield:src:17666</x:v>
      </x:c>
      <x:c r="J152" s="31" t="d">
        <x:v>2026-10-24T00:00:00.000Z</x:v>
      </x:c>
      <x:c r="K152" s="35" t="n">
        <x:v>144</x:v>
      </x:c>
      <x:c r="L152" s="29" t="str">
        <x:v>Hayır</x:v>
      </x:c>
      <x:c r="M152" s="29" t="str">
        <x:v>İnceleme</x:v>
      </x:c>
      <x:c r="N152" s="29" t="str">
        <x:v>bakersfield:ulasim</x:v>
      </x:c>
      <x:c r="O152" s="29" t="str">
        <x:v>Kern Transit'te doğru hat ve yönü aç
Hafta içi ile hafta sonu çizelgesini ayır
Dönüşü kaçırma durumuna uygun yedek plan oluştur</x:v>
      </x:c>
      <x:c r="P152" s="29" t="str">
        <x:v>Hat numarası
Sefer tarihi</x:v>
      </x:c>
      <x:c r="Q152" s="29" t="str">
        <x:v>Hafta içi/sonu sefer ve son dönüşü geziden önce birlikte planla.</x:v>
      </x:c>
      <x:c r="R152" s="29" t="str">
        <x:v>Kern Transit tarifesi GET'ten ayrıdır; bölgesel hattın sınıfını kullan.</x:v>
      </x:c>
      <x:c r="S152" s="29"/>
      <x:c r="T152" s="29"/>
    </x:row>
    <x:row r="153" ht="96" customHeight="1">
      <x:c r="A153" s="29" t="str">
        <x:v>bakersfield:kern-ucret</x:v>
      </x:c>
      <x:c r="B153" s="29" t="str">
        <x:v>bakersfield</x:v>
      </x:c>
      <x:c r="C153" s="29" t="str">
        <x:v>kern-ucret</x:v>
      </x:c>
      <x:c r="D153" s="29" t="str">
        <x:v>Bölgesel otobüs ücretini yolculuk türüyle eşleştir</x:v>
      </x:c>
      <x:c r="E153" s="29" t="str">
        <x:v>Ulaşım</x:v>
      </x:c>
      <x:c r="F153" s="29" t="str">
        <x:v>Kern Transit normal tarifesinde local yolculuk 2 dolar, intercity 3 dolar, Tehachapi dağlarını aşan sınıftaki yolculuk 5 dolar olarak yayımlanıyor. 31 günlük county genel geçiş kartı 65 dolar; indirimli ürünler ayrıca listeleniyor. Ücreti yalnız mesafeden tahmin etmek yerine hattın sınıfını kullan.</x:v>
      </x:c>
      <x:c r="G153" s="29" t="str">
        <x:v>Bölgesel otobüs ücretini yolculuk türüyle eşleştir</x:v>
      </x:c>
      <x:c r="H153" s="29" t="str">
        <x:v>before;new;settled</x:v>
      </x:c>
      <x:c r="I153" s="29" t="str">
        <x:v>bakersfield:src:17667</x:v>
      </x:c>
      <x:c r="J153" s="31" t="d">
        <x:v>2026-10-24T00:00:00.000Z</x:v>
      </x:c>
      <x:c r="K153" s="35" t="n">
        <x:v>145</x:v>
      </x:c>
      <x:c r="L153" s="29" t="str">
        <x:v>Hayır</x:v>
      </x:c>
      <x:c r="M153" s="29" t="str">
        <x:v>İnceleme</x:v>
      </x:c>
      <x:c r="N153" s="29" t="str">
        <x:v>bakersfield:ulasim</x:v>
      </x:c>
      <x:c r="O153" s="29" t="str">
        <x:v>Hattın ücret sınıfını belirle
Tek yolculukla dönemlik ürünü karşılaştır
Taşıyıcının ödeme ve aktarma düzenini uygula</x:v>
      </x:c>
      <x:c r="P153" s="29" t="str">
        <x:v>Sefer ve bilet bilgisi</x:v>
      </x:c>
      <x:c r="Q153" s="29" t="str">
        <x:v>31 gün ilk kullanımdan başlar; nakitte tam ücret gerekir, araçta para üstü verilmez.</x:v>
      </x:c>
      <x:c r="R153" s="29" t="str">
        <x:v>Normal local 2 USD, intercommunity 3 USD; Route 100'de Tehachapi'den geçen cross-county yolculuk 5 USD. Tüm hatlar 31 gün 65 USD.</x:v>
      </x:c>
      <x:c r="S153" s="29"/>
      <x:c r="T153" s="29"/>
    </x:row>
    <x:row r="154" ht="96" customHeight="1">
      <x:c r="A154" s="29" t="str">
        <x:v>bakersfield:bakersfield-tren</x:v>
      </x:c>
      <x:c r="B154" s="29" t="str">
        <x:v>bakersfield</x:v>
      </x:c>
      <x:c r="C154" s="29" t="str">
        <x:v>bakersfield-tren</x:v>
      </x:c>
      <x:c r="D154" s="29" t="str">
        <x:v>Bakersfield trenini bağlantılarıyla birlikte al</x:v>
      </x:c>
      <x:c r="E154" s="29" t="str">
        <x:v>Ulaşım</x:v>
      </x:c>
      <x:c r="F154" s="29" t="str">
        <x:v>Gold Runner (eski adıyla San Joaquins), Bakersfield'ı Central Valley demiryolu ağına bağlar; bazı devam yolculukları bağlantı otobüsüyle yapılır. Hizmetin adı 3 Kasım 2025'te değişti. Los Angeles yönüne kesintisiz tren varmış gibi plan kurma; bilette her segmentin araç türü, terminali ve aktarma süresini ayrı oku.</x:v>
      </x:c>
      <x:c r="G154" s="29" t="str">
        <x:v>Bakersfield trenini bağlantılarıyla birlikte al</x:v>
      </x:c>
      <x:c r="H154" s="29" t="str">
        <x:v>before;new;settled</x:v>
      </x:c>
      <x:c r="I154" s="29" t="str">
        <x:v>bakersfield:src:17875;bakersfield:src:17863</x:v>
      </x:c>
      <x:c r="J154" s="31" t="d">
        <x:v>2026-10-24T00:00:00.000Z</x:v>
      </x:c>
      <x:c r="K154" s="35" t="n">
        <x:v>146</x:v>
      </x:c>
      <x:c r="L154" s="29" t="str">
        <x:v>Hayır</x:v>
      </x:c>
      <x:c r="M154" s="29" t="str">
        <x:v>İnceleme</x:v>
      </x:c>
      <x:c r="N154" s="29" t="str">
        <x:v>bakersfield:ulasim</x:v>
      </x:c>
      <x:c r="O154" s="29" t="str">
        <x:v>Bileti başlangıçtan son varışa kadar ara
Tren ve otobüs segmentlerini ayır
Aktarma noktası, süre ve bagaj koşulunu kaydet</x:v>
      </x:c>
      <x:c r="P154" s="29" t="str">
        <x:v>Bilet
Yolculuk planı</x:v>
      </x:c>
      <x:c r="Q154" s="29" t="str">
        <x:v>Bilette her segmentin tren/otobüs türünü ve aktarma süresini ayrı izle.</x:v>
      </x:c>
      <x:c r="R154" s="29" t="str">
        <x:v>Tren ve bağlantı otobüsü toplam fiyatı rota, tarih ve bilet koşuluna bağlıdır.</x:v>
      </x:c>
      <x:c r="S154" s="29"/>
      <x:c r="T154" s="29"/>
    </x:row>
    <x:row r="155" ht="96" customHeight="1">
      <x:c r="A155" s="29" t="str">
        <x:v>bakersfield:meadows-field</x:v>
      </x:c>
      <x:c r="B155" s="29" t="str">
        <x:v>bakersfield</x:v>
      </x:c>
      <x:c r="C155" s="29" t="str">
        <x:v>meadows-field</x:v>
      </x:c>
      <x:c r="D155" s="29" t="str">
        <x:v>Meadows Field uçuşunu şehir içi bağlantıyla tamamla</x:v>
      </x:c>
      <x:c r="E155" s="29" t="str">
        <x:v>Ulaşım</x:v>
      </x:c>
      <x:c r="F155" s="29" t="str">
        <x:v>Meadows Field, Bakersfield'ın ticari havalimanıdır. Uçuş planında hava yolu, bağlantı havalimanı ve bagajı ayrı değerlendir; her büyük ABD şehrine doğrudan uçuş bulunduğunu varsayma. Gece varışında şehir içi ulaşımı ve konaklamaya giriş saatini birlikte hazırlamak yararlıdır.</x:v>
      </x:c>
      <x:c r="G155" s="29" t="str">
        <x:v>Meadows Field uçuşunu şehir içi bağlantıyla tamamla</x:v>
      </x:c>
      <x:c r="H155" s="29" t="str">
        <x:v>before;new;settled</x:v>
      </x:c>
      <x:c r="I155" s="29" t="str">
        <x:v>bakersfield:src:17668</x:v>
      </x:c>
      <x:c r="J155" s="31" t="d">
        <x:v>2026-10-24T00:00:00.000Z</x:v>
      </x:c>
      <x:c r="K155" s="35" t="n">
        <x:v>147</x:v>
      </x:c>
      <x:c r="L155" s="29" t="str">
        <x:v>Hayır</x:v>
      </x:c>
      <x:c r="M155" s="29" t="str">
        <x:v>İnceleme</x:v>
      </x:c>
      <x:c r="N155" s="29" t="str">
        <x:v>bakersfield:ulasim</x:v>
      </x:c>
      <x:c r="O155" s="29" t="str">
        <x:v>Havalimanının hava yolu ve uçuş bilgisini kullan
Bagaj ve bağlantı süresini bilette incele
Terminalden adrese ulaşımı planla</x:v>
      </x:c>
      <x:c r="P155" s="29" t="str">
        <x:v>Uçuş bileti
Konaklama adresi</x:v>
      </x:c>
      <x:c r="Q155" s="29" t="str">
        <x:v>Uçuş bağlantısını, terminal ulaşımını ve gece konaklama girişini birlikte planla.</x:v>
      </x:c>
      <x:c r="R155" s="29" t="str">
        <x:v>Uçak, bagaj, park ve terminal-adres transfer bedelleri ayrı kalemlerdir.</x:v>
      </x:c>
      <x:c r="S155" s="29"/>
      <x:c r="T155" s="29"/>
    </x:row>
    <x:row r="156" ht="124" customHeight="1">
      <x:c r="A156" s="29" t="str">
        <x:v>bakersfield:downtown-park</x:v>
      </x:c>
      <x:c r="B156" s="29" t="str">
        <x:v>bakersfield</x:v>
      </x:c>
      <x:c r="C156" s="29" t="str">
        <x:v>downtown-park</x:v>
      </x:c>
      <x:c r="D156" s="29" t="str">
        <x:v>Downtown'da otoparkı varış noktasına göre seç</x:v>
      </x:c>
      <x:c r="E156" s="29" t="str">
        <x:v>Ulaşım</x:v>
      </x:c>
      <x:c r="F156" s="29" t="str">
        <x:v>Belediyenin Downtown Parking sayfası şehir merkezindeki otoparkları haritada gösterir. Fox, Mill Creek ve arena çevresindeki geziler için aynı park yeri en kısa yürüyüşü sağlamaz. Varış noktasını otoparkla birlikte seçmek akşam dönüşünü kolaylaştırır. Sokak üzerindeki süre sınırı, tesisin ödeme düzeni ve etkinlik günü uygulaması ayrı kurallardır; haritada görünmek ücretsiz kullanım anlamına gelmez.</x:v>
      </x:c>
      <x:c r="G156" s="29" t="str">
        <x:v>Downtown'da otoparkı varış noktasına göre seç</x:v>
      </x:c>
      <x:c r="H156" s="29" t="str">
        <x:v>before;new;settled</x:v>
      </x:c>
      <x:c r="I156" s="29" t="str">
        <x:v>bakersfield:src:17743</x:v>
      </x:c>
      <x:c r="J156" s="31" t="d">
        <x:v>2026-10-24T00:00:00.000Z</x:v>
      </x:c>
      <x:c r="K156" s="35" t="n">
        <x:v>148</x:v>
      </x:c>
      <x:c r="L156" s="29" t="str">
        <x:v>Hayır</x:v>
      </x:c>
      <x:c r="M156" s="29" t="str">
        <x:v>İnceleme</x:v>
      </x:c>
      <x:c r="N156" s="29" t="str">
        <x:v>bakersfield:ulasim</x:v>
      </x:c>
      <x:c r="O156" s="29" t="str">
        <x:v>Etkinlik veya ziyaret adresini haritada bul
Yakın otoparktan yürüyüş güzergâhını kur
Girişteki ücret ve süre levhasını esas al</x:v>
      </x:c>
      <x:c r="P156" s="29" t="str">
        <x:v>Varış adresi
Park yeri notu</x:v>
      </x:c>
      <x:c r="Q156" s="29" t="str">
        <x:v>Tesis girişindeki gün/saat/süre koşulunu ziyaret saatine göre uygula.</x:v>
      </x:c>
      <x:c r="R156" s="29" t="str">
        <x:v>Otopark, sokak ve etkinlik tarifeleri farklı olabilir; haritada görünmek ücretsiz olmak değildir.</x:v>
      </x:c>
      <x:c r="S156" s="29"/>
      <x:c r="T156" s="29"/>
    </x:row>
    <x:row r="157" ht="96" customHeight="1">
      <x:c r="A157" s="29" t="str">
        <x:v>bakersfield:ehliyet-basvuru</x:v>
      </x:c>
      <x:c r="B157" s="29" t="str">
        <x:v>bakersfield</x:v>
      </x:c>
      <x:c r="C157" s="29" t="str">
        <x:v>ehliyet-basvuru</x:v>
      </x:c>
      <x:c r="D157" s="29" t="str">
        <x:v>Kaliforniya ehliyetini taşınma planına ekle</x:v>
      </x:c>
      <x:c r="E157" s="29" t="str">
        <x:v>Ulaşım</x:v>
      </x:c>
      <x:c r="F157" s="29" t="str">
        <x:v>Kaliforniya'ya yerleşip araç kullanacak kişinin DMV başvurusunu ziyaretçi sürüş düzeninden ayrı değerlendirmesi gerekir. Yabancı ehliyetin, kimlik ve ikamet belgelerin ile gerekli sınav adımları başvurunun parçalarıdır. Uluslararası sürüş belgesi tek başına ehliyet yerine geçmez.</x:v>
      </x:c>
      <x:c r="G157" s="29" t="str">
        <x:v>Kaliforniya ehliyetini taşınma planına ekle</x:v>
      </x:c>
      <x:c r="H157" s="29" t="str">
        <x:v>before;new;settled</x:v>
      </x:c>
      <x:c r="I157" s="29" t="str">
        <x:v>bakersfield:src:17610;bakersfield:src:6282;bakersfield:src:17862</x:v>
      </x:c>
      <x:c r="J157" s="31" t="d">
        <x:v>2026-10-24T00:00:00.000Z</x:v>
      </x:c>
      <x:c r="K157" s="35" t="n">
        <x:v>149</x:v>
      </x:c>
      <x:c r="L157" s="29" t="str">
        <x:v>Hayır</x:v>
      </x:c>
      <x:c r="M157" s="29" t="str">
        <x:v>İnceleme</x:v>
      </x:c>
      <x:c r="N157" s="29" t="str">
        <x:v>bakersfield:ulasim</x:v>
      </x:c>
      <x:c r="O157" s="29" t="str">
        <x:v>DMV'nin yeni yerleşenler yolunu aç
Kimlik ve ikamet belgelerini hazırla
Gerekli bilgi ve sürüş sınavı adımlarını tamamla</x:v>
      </x:c>
      <x:c r="P157" s="29" t="str">
        <x:v>Mevcut ehliyet
Kimlik
İkamet belgeleri</x:v>
      </x:c>
      <x:c r="Q157" s="29" t="str">
        <x:v>Yerleşip araç kullanacak kişiler DMV başvurusunu geciktirmeden planlamalı; gerekli sınav ve belge süreçleri ayrıdır.</x:v>
      </x:c>
      <x:c r="R157" s="29" t="str">
        <x:v>2026 normal Class C başvurusu 46 USD; başka belge/sınav işlemleri ayrı tarife olabilir.</x:v>
      </x:c>
      <x:c r="S157" s="29"/>
      <x:c r="T157" s="29"/>
    </x:row>
    <x:row r="158" ht="82" customHeight="1">
      <x:c r="A158" s="29" t="str">
        <x:v>bakersfield:ehliyet-sinav</x:v>
      </x:c>
      <x:c r="B158" s="29" t="str">
        <x:v>bakersfield</x:v>
      </x:c>
      <x:c r="C158" s="29" t="str">
        <x:v>ehliyet-sinav</x:v>
      </x:c>
      <x:c r="D158" s="29" t="str">
        <x:v>Sürüş sınavı için araç ve belge hazırlığını yap</x:v>
      </x:c>
      <x:c r="E158" s="29" t="str">
        <x:v>Ulaşım</x:v>
      </x:c>
      <x:c r="F158" s="29" t="str">
        <x:v>DMV'nin sürüş sınavı yalnız randevu almakla tamamlanmaz. Sınav günü kabul edilen araç, sigorta ve gerekli refakat koşulları önem taşır. Direksiyon pratiğini Kaliforniya kuralları ve sınavın beklediği güvenli sürüş davranışlarıyla birlikte planla.</x:v>
      </x:c>
      <x:c r="G158" s="29" t="str">
        <x:v>Sürüş sınavı için araç ve belge hazırlığını yap</x:v>
      </x:c>
      <x:c r="H158" s="29" t="str">
        <x:v>before;new;settled</x:v>
      </x:c>
      <x:c r="I158" s="29" t="str">
        <x:v>bakersfield:src:17610;bakersfield:src:17698;bakersfield:src:17862</x:v>
      </x:c>
      <x:c r="J158" s="31" t="d">
        <x:v>2026-10-24T00:00:00.000Z</x:v>
      </x:c>
      <x:c r="K158" s="35" t="n">
        <x:v>150</x:v>
      </x:c>
      <x:c r="L158" s="29" t="str">
        <x:v>Hayır</x:v>
      </x:c>
      <x:c r="M158" s="29" t="str">
        <x:v>İnceleme</x:v>
      </x:c>
      <x:c r="N158" s="29" t="str">
        <x:v>bakersfield:ulasim</x:v>
      </x:c>
      <x:c r="O158" s="29" t="str">
        <x:v>Güncel Driver Handbook üzerinden çalış
Sınav randevusunun araç ve belge koşullarını çıkar
Gerekli refakat ve araç düzenini hazırla</x:v>
      </x:c>
      <x:c r="P158" s="29" t="str">
        <x:v>Randevu bilgisi
Araç ve sigorta belgeleri</x:v>
      </x:c>
      <x:c r="Q158" s="29" t="str">
        <x:v>Randevu gününe araç, sigorta ve gerekiyorsa ehliyetli refakatçi hazırlığıyla git.</x:v>
      </x:c>
      <x:c r="R158" s="29" t="str">
        <x:v>İlk başvurunun kapsamı ve tekrar sınav ücreti farklıdır; 2026 Class C sürüş tekrarı 9 USD olarak listelenir.</x:v>
      </x:c>
      <x:c r="S158" s="29"/>
      <x:c r="T158" s="29"/>
    </x:row>
    <x:row r="159" ht="96" customHeight="1">
      <x:c r="A159" s="29" t="str">
        <x:v>bakersfield:arac-tescil</x:v>
      </x:c>
      <x:c r="B159" s="29" t="str">
        <x:v>bakersfield</x:v>
      </x:c>
      <x:c r="C159" s="29" t="str">
        <x:v>arac-tescil</x:v>
      </x:c>
      <x:c r="D159" s="29" t="str">
        <x:v>Yeni yerleşimde araç tescil süresini kaçırma</x:v>
      </x:c>
      <x:c r="E159" s="29" t="str">
        <x:v>Ulaşım</x:v>
      </x:c>
      <x:c r="F159" s="29" t="str">
        <x:v>Kaliforniya'ya başka eyalet veya ülkede kayıtlı bir araç getirdiğinde, DMV'nin yerleşme ya da aracı eyalete getirme tarihine bağlı 20 günlük tescil koşulu uygulanır. Araç türüne göre belge ve testler değişir. Sahiplik belgesi, VIN doğrulaması ve gerekiyorsa emisyon işlemlerini aynı dosyada toparla.</x:v>
      </x:c>
      <x:c r="G159" s="29" t="str">
        <x:v>Yeni yerleşimde araç tescil süresini kaçırma</x:v>
      </x:c>
      <x:c r="H159" s="29" t="str">
        <x:v>before;new;settled</x:v>
      </x:c>
      <x:c r="I159" s="29" t="str">
        <x:v>bakersfield:src:6282;bakersfield:src:17612</x:v>
      </x:c>
      <x:c r="J159" s="31" t="d">
        <x:v>2026-10-24T00:00:00.000Z</x:v>
      </x:c>
      <x:c r="K159" s="35" t="n">
        <x:v>151</x:v>
      </x:c>
      <x:c r="L159" s="29" t="str">
        <x:v>Hayır</x:v>
      </x:c>
      <x:c r="M159" s="29" t="str">
        <x:v>İnceleme</x:v>
      </x:c>
      <x:c r="N159" s="29" t="str">
        <x:v>bakersfield:ulasim</x:v>
      </x:c>
      <x:c r="O159" s="29" t="str">
        <x:v>Yerleşme ve aracın geliş tarihini kaydet
Araç için istenen tescil belgelerini belirle
DMV işlemini süre içinde başlat</x:v>
      </x:c>
      <x:c r="P159" s="29" t="str">
        <x:v>Title veya sahiplik belgesi
Mevcut tescil
Araç bilgisi</x:v>
      </x:c>
      <x:c r="Q159" s="29" t="str">
        <x:v>Başka eyalet/ülkeden getirilen araç için DMV'nin yerleşme veya eyalete getirme başlangıcına göre 20 günlük tescil koşulu vardır.</x:v>
      </x:c>
      <x:c r="R159" s="29" t="str">
        <x:v>Tescil harcı, vergi ve gerekli testler araç/işlem koşuluna bağlıdır.</x:v>
      </x:c>
      <x:c r="S159" s="29"/>
      <x:c r="T159" s="29"/>
    </x:row>
    <x:row r="160" ht="96" customHeight="1">
      <x:c r="A160" s="29" t="str">
        <x:v>bakersfield:arac-sigorta</x:v>
      </x:c>
      <x:c r="B160" s="29" t="str">
        <x:v>bakersfield</x:v>
      </x:c>
      <x:c r="C160" s="29" t="str">
        <x:v>arac-sigorta</x:v>
      </x:c>
      <x:c r="D160" s="29" t="str">
        <x:v>Araç sorumluluk sigortasında yeni tabanı kullan</x:v>
      </x:c>
      <x:c r="E160" s="29" t="str">
        <x:v>Ulaşım</x:v>
      </x:c>
      <x:c r="F160" s="29" t="str">
        <x:v>Kaliforniya'da 2025'ten itibaren genel asgari sorumluluk teminatları kişi başı yaralanma/ölüm için 30.000 dolar, kaza başına 60.000 dolar ve mal zararı için 15.000 dolardır. Bu taban, kendi aracındaki her hasarı karşılayan kapsamlı poliçe anlamına gelmez. Muafiyet ve ek teminatları ayrı karşılaştır.</x:v>
      </x:c>
      <x:c r="G160" s="29" t="str">
        <x:v>Araç sorumluluk sigortasında yeni tabanı kullan</x:v>
      </x:c>
      <x:c r="H160" s="29" t="str">
        <x:v>before;new;settled</x:v>
      </x:c>
      <x:c r="I160" s="29" t="str">
        <x:v>bakersfield:src:17613</x:v>
      </x:c>
      <x:c r="J160" s="31" t="d">
        <x:v>2026-10-24T00:00:00.000Z</x:v>
      </x:c>
      <x:c r="K160" s="35" t="n">
        <x:v>152</x:v>
      </x:c>
      <x:c r="L160" s="29" t="str">
        <x:v>Hayır</x:v>
      </x:c>
      <x:c r="M160" s="29" t="str">
        <x:v>İnceleme</x:v>
      </x:c>
      <x:c r="N160" s="29" t="str">
        <x:v>bakersfield:ulasim</x:v>
      </x:c>
      <x:c r="O160" s="29" t="str">
        <x:v>Teklifte üç sorumluluk limitini bul
Kendi aracın için ek teminatı ayrı incele
DMV'nin kabul ettiği sigorta kanıtını sakla</x:v>
      </x:c>
      <x:c r="P160" s="29" t="str">
        <x:v>Sigorta poliçesi
Araç bilgisi</x:v>
      </x:c>
      <x:c r="Q160" s="29" t="str">
        <x:v>Araç kullanımı ve DMV tescilinde geçerli kanıtı sürdür; poliçe yenilemesinde limit ve istisnaları karşılaştır.</x:v>
      </x:c>
      <x:c r="R160" s="29" t="str">
        <x:v>Genel asgari sorumluluk limitleri 30.000/60.000/15.000 USD; bunlar prim değil teminat sınırıdır.</x:v>
      </x:c>
      <x:c r="S160" s="29"/>
      <x:c r="T160" s="29"/>
    </x:row>
    <x:row r="161" ht="82" customHeight="1">
      <x:c r="A161" s="29" t="str">
        <x:v>bakersfield:ikinci-el-arac</x:v>
      </x:c>
      <x:c r="B161" s="29" t="str">
        <x:v>bakersfield</x:v>
      </x:c>
      <x:c r="C161" s="29" t="str">
        <x:v>ikinci-el-arac</x:v>
      </x:c>
      <x:c r="D161" s="29" t="str">
        <x:v>İkinci el araçta unvan ve toplam maliyeti incele</x:v>
      </x:c>
      <x:c r="E161" s="29" t="str">
        <x:v>Ulaşım</x:v>
      </x:c>
      <x:c r="F161" s="29" t="str">
        <x:v>Satış fiyatına vergi, kayıt ve olası onarım giderleri eklenir. Title üzerindeki sahiplik ve lien bilgisi, satıcının sözlü anlatımından ayrı önem taşır. Araç alımını güvenli ödeme, bağımsız inceleme ve resmî devir adımlarından oluşan bir işlem olarak planla.</x:v>
      </x:c>
      <x:c r="G161" s="29" t="str">
        <x:v>İkinci el araçta unvan ve toplam maliyeti incele</x:v>
      </x:c>
      <x:c r="H161" s="29" t="str">
        <x:v>before;new;settled</x:v>
      </x:c>
      <x:c r="I161" s="29" t="str">
        <x:v>bakersfield:src:6916</x:v>
      </x:c>
      <x:c r="J161" s="31" t="d">
        <x:v>2026-10-24T00:00:00.000Z</x:v>
      </x:c>
      <x:c r="K161" s="35" t="n">
        <x:v>153</x:v>
      </x:c>
      <x:c r="L161" s="29" t="str">
        <x:v>Hayır</x:v>
      </x:c>
      <x:c r="M161" s="29" t="str">
        <x:v>İnceleme</x:v>
      </x:c>
      <x:c r="N161" s="29" t="str">
        <x:v>bakersfield:ulasim</x:v>
      </x:c>
      <x:c r="O161" s="29" t="str">
        <x:v>VIN ve title bilgisini araçla eşleştir
Bağımsız mekanik değerlendirme yaptır
Devir, vergi ve kayıt kalemlerini toplam bütçeye ekle</x:v>
      </x:c>
      <x:c r="P161" s="29" t="str">
        <x:v>Title
Satış belgesi
Araç inceleme kaydı</x:v>
      </x:c>
      <x:c r="Q161" s="29" t="str">
        <x:v>Ödemeden önce VIN/title ve bağımsız inceleme; devirden sonra DMV süresini uygula.</x:v>
      </x:c>
      <x:c r="R161" s="29" t="str">
        <x:v>Satış bedeline vergi, devir/tescil, sigorta ve bakım ihtiyacını ekle.</x:v>
      </x:c>
      <x:c r="S161" s="29"/>
      <x:c r="T161" s="29"/>
    </x:row>
    <x:row r="162" ht="82" customHeight="1">
      <x:c r="A162" s="29" t="str">
        <x:v>bakersfield:smog</x:v>
      </x:c>
      <x:c r="B162" s="29" t="str">
        <x:v>bakersfield</x:v>
      </x:c>
      <x:c r="C162" s="29" t="str">
        <x:v>smog</x:v>
      </x:c>
      <x:c r="D162" s="29" t="str">
        <x:v>Emisyon kontrolünü araç türüne göre değerlendir</x:v>
      </x:c>
      <x:c r="E162" s="29" t="str">
        <x:v>Ulaşım</x:v>
      </x:c>
      <x:c r="F162" s="29" t="str">
        <x:v>Kaliforniya Smog Check gerekliliği, aracın yaşı, yakıtı, tescil durumu ve işlem türüne göre değişir. Her aracın her satışta aynı teste girdiğini varsaymak doğru değildir. Yetkili istasyon ve gerekli test türünü Bureau of Automotive Repair kaynağından belirle.</x:v>
      </x:c>
      <x:c r="G162" s="29" t="str">
        <x:v>Emisyon kontrolünü araç türüne göre değerlendir</x:v>
      </x:c>
      <x:c r="H162" s="29" t="str">
        <x:v>before;new;settled</x:v>
      </x:c>
      <x:c r="I162" s="29" t="str">
        <x:v>bakersfield:src:17699</x:v>
      </x:c>
      <x:c r="J162" s="31" t="d">
        <x:v>2026-10-24T00:00:00.000Z</x:v>
      </x:c>
      <x:c r="K162" s="35" t="n">
        <x:v>154</x:v>
      </x:c>
      <x:c r="L162" s="29" t="str">
        <x:v>Hayır</x:v>
      </x:c>
      <x:c r="M162" s="29" t="str">
        <x:v>İnceleme</x:v>
      </x:c>
      <x:c r="N162" s="29" t="str">
        <x:v>bakersfield:ulasim</x:v>
      </x:c>
      <x:c r="O162" s="29" t="str">
        <x:v>Araç yılı ve yakıt türünü hazırla
İşlemine uygulanan test koşulunu belirle
Yetkili istasyon raporunu tescil dosyana ekle</x:v>
      </x:c>
      <x:c r="P162" s="29" t="str">
        <x:v>Araç bilgisi
Tescil bildirimi</x:v>
      </x:c>
      <x:c r="Q162" s="29" t="str">
        <x:v>Araç yılı, yakıt ve işlem türüne göre gerekli testi tescil/devir takvimine yerleştir.</x:v>
      </x:c>
      <x:c r="R162" s="29" t="str">
        <x:v>Test ve olası onarım bedeli istasyon ve araca bağlıdır; muaf araçlara otomatik test ücreti yazılmaz.</x:v>
      </x:c>
      <x:c r="S162" s="29"/>
      <x:c r="T162" s="29"/>
    </x:row>
    <x:row r="163" ht="96" customHeight="1">
      <x:c r="A163" s="29" t="str">
        <x:v>bakersfield:cocuk-koltugu</x:v>
      </x:c>
      <x:c r="B163" s="29" t="str">
        <x:v>bakersfield</x:v>
      </x:c>
      <x:c r="C163" s="29" t="str">
        <x:v>cocuk-koltugu</x:v>
      </x:c>
      <x:c r="D163" s="29" t="str">
        <x:v>Çocuk koltuğunu yaş, boy ve ağırlıkla seç</x:v>
      </x:c>
      <x:c r="E163" s="29" t="str">
        <x:v>Ulaşım</x:v>
      </x:c>
      <x:c r="F163" s="29" t="str">
        <x:v>Kaliforniya'da iki yaşın altındaki çocuklar, belirtilen ağırlık veya boy istisnası dışında arkaya dönük koltukta taşınır. Sekiz yaş altı için uygun çocuk güvenlik sistemi ve arka koltuk kuralları vardır. Koltuğun üretici limitleri, yalnız yaşa göre yapılan seçimden daha ayrıntılıdır.</x:v>
      </x:c>
      <x:c r="G163" s="29" t="str">
        <x:v>Çocuk koltuğunu yaş, boy ve ağırlıkla seç</x:v>
      </x:c>
      <x:c r="H163" s="29" t="str">
        <x:v>before;new;settled</x:v>
      </x:c>
      <x:c r="I163" s="29" t="str">
        <x:v>bakersfield:src:17614</x:v>
      </x:c>
      <x:c r="J163" s="31" t="d">
        <x:v>2026-10-24T00:00:00.000Z</x:v>
      </x:c>
      <x:c r="K163" s="35" t="n">
        <x:v>155</x:v>
      </x:c>
      <x:c r="L163" s="29" t="str">
        <x:v>Hayır</x:v>
      </x:c>
      <x:c r="M163" s="29" t="str">
        <x:v>İnceleme</x:v>
      </x:c>
      <x:c r="N163" s="29" t="str">
        <x:v>bakersfield:ulasim</x:v>
      </x:c>
      <x:c r="O163" s="29" t="str">
        <x:v>Çocuğun boy ve ağırlığını ölç
Yasal kuralı koltuğun üretici limitleriyle eşleştir
Montajı araç ve koltuk kılavuzuna göre yap</x:v>
      </x:c>
      <x:c r="P163" s="29" t="str">
        <x:v>Koltuk ve araç kılavuzu</x:v>
      </x:c>
      <x:c r="Q163" s="29" t="str">
        <x:v>Her yolculukta uygun güvenlik sistemi; 2 yaş altı rear-facing için 40 lb veya 40 inch istisnası ve üretici limitleri birlikte uygulanır.</x:v>
      </x:c>
      <x:c r="R163" s="29" t="str">
        <x:v>Koltuk fiyatı ürün ve çocuğun ölçülerine bağlıdır; yasal uygunluk fiyatla belirlenmez.</x:v>
      </x:c>
      <x:c r="S163" s="29"/>
      <x:c r="T163" s="29"/>
    </x:row>
    <x:row r="164" ht="96" customHeight="1">
      <x:c r="A164" s="29" t="str">
        <x:v>bakersfield:bisiklet-duzeni</x:v>
      </x:c>
      <x:c r="B164" s="29" t="str">
        <x:v>bakersfield</x:v>
      </x:c>
      <x:c r="C164" s="29" t="str">
        <x:v>bisiklet-duzeni</x:v>
      </x:c>
      <x:c r="D164" s="29" t="str">
        <x:v>Bisiklet yolculuğunda güzergâhı kavşaklarıyla planla</x:v>
      </x:c>
      <x:c r="E164" s="29" t="str">
        <x:v>Ulaşım</x:v>
      </x:c>
      <x:c r="F164" s="29" t="str">
        <x:v>Kern River Parkway gibi rekreasyon koridorları, her işe gidiş adresine kesintisiz güvenli bağlantı sağladığı anlamına gelmez. Yolun aydınlatması, kavşaklar, sıcak saatler ve kilitli park olanağı birlikte değerlendirilmelidir. İlk denemeyi zaman baskısı olmayan bir günde yapmak pratik bir başlangıçtır.</x:v>
      </x:c>
      <x:c r="G164" s="29" t="str">
        <x:v>Bisiklet yolculuğunda güzergâhı kavşaklarıyla planla</x:v>
      </x:c>
      <x:c r="H164" s="29" t="str">
        <x:v>before;new;settled</x:v>
      </x:c>
      <x:c r="I164" s="29" t="str">
        <x:v>bakersfield:src:17700;bakersfield:src:17687</x:v>
      </x:c>
      <x:c r="J164" s="31" t="d">
        <x:v>2026-10-24T00:00:00.000Z</x:v>
      </x:c>
      <x:c r="K164" s="35" t="n">
        <x:v>156</x:v>
      </x:c>
      <x:c r="L164" s="29" t="str">
        <x:v>Hayır</x:v>
      </x:c>
      <x:c r="M164" s="29" t="str">
        <x:v>İnceleme</x:v>
      </x:c>
      <x:c r="N164" s="29" t="str">
        <x:v>bakersfield:ulasim</x:v>
      </x:c>
      <x:c r="O164" s="29" t="str">
        <x:v>Güzergâhın yol ve parkur bölümlerini ayır
Işık, görünürlük ve kilit hazırlığını yap
Varış yerinde park olanağını belirle</x:v>
      </x:c>
      <x:c r="P164" s="29" t="str">
        <x:v>Bisiklet ekipmanı
Rota</x:v>
      </x:c>
      <x:c r="Q164" s="29" t="str">
        <x:v>İlk güzergâh denemesini zaman baskısı olmadan yap; hava ve görünürlük koşulunu her yolculukta değerlendir.</x:v>
      </x:c>
      <x:c r="R164" s="29" t="str">
        <x:v>Bisiklet, ışık, kilit ve bakım kişisel ekipman giderleridir.</x:v>
      </x:c>
      <x:c r="S164" s="29"/>
      <x:c r="T164" s="29"/>
    </x:row>
    <x:row r="165" ht="82" customHeight="1">
      <x:c r="A165" s="29" t="str">
        <x:v>bakersfield:yaya-sicak</x:v>
      </x:c>
      <x:c r="B165" s="29" t="str">
        <x:v>bakersfield</x:v>
      </x:c>
      <x:c r="C165" s="29" t="str">
        <x:v>yaya-sicak</x:v>
      </x:c>
      <x:c r="D165" s="29" t="str">
        <x:v>Yaya ulaşımda sıcaklık ve gölgeyi hesaba kat</x:v>
      </x:c>
      <x:c r="E165" s="29" t="str">
        <x:v>Ulaşım</x:v>
      </x:c>
      <x:c r="F165" s="29" t="str">
        <x:v>Bakersfield'da kısa görünen bir yürüyüş, sıcak hava ve uzun gölgesiz kesimler nedeniyle yorucu olabilir. Duraktan eve veya işe kalan bölüm de yolculuğun parçasıdır. Açık hava planını NWS tahmini ve hava kalitesiyle birleştirerek uygun saat ve dinlenme noktası seç.</x:v>
      </x:c>
      <x:c r="G165" s="29" t="str">
        <x:v>Yaya ulaşımda sıcaklık ve gölgeyi hesaba kat</x:v>
      </x:c>
      <x:c r="H165" s="29" t="str">
        <x:v>before;new;settled</x:v>
      </x:c>
      <x:c r="I165" s="29" t="str">
        <x:v>bakersfield:src:17647;bakersfield:src:17671</x:v>
      </x:c>
      <x:c r="J165" s="31" t="d">
        <x:v>2026-10-24T00:00:00.000Z</x:v>
      </x:c>
      <x:c r="K165" s="35" t="n">
        <x:v>157</x:v>
      </x:c>
      <x:c r="L165" s="29" t="str">
        <x:v>Hayır</x:v>
      </x:c>
      <x:c r="M165" s="29" t="str">
        <x:v>İnceleme</x:v>
      </x:c>
      <x:c r="N165" s="29" t="str">
        <x:v>bakersfield:ulasim</x:v>
      </x:c>
      <x:c r="O165" s="29" t="str">
        <x:v>Yürüyüş bağlantısını haritada incele
Sıcaklık ve hava kalitesine göre saat seç
Su ve gölgeli mola olanağını planla</x:v>
      </x:c>
      <x:c r="P165" s="29" t="str">
        <x:v>Yolculuk planı</x:v>
      </x:c>
      <x:c r="Q165" s="29" t="str">
        <x:v>Sıcak saatlerden önce hava ve AQI'ye göre yürüyüş saatini seç.</x:v>
      </x:c>
      <x:c r="R165" s="29" t="str">
        <x:v>Yaya bölümün bilet ücreti yoktur; su ve gerekiyorsa alternatif ulaşımı planla.</x:v>
      </x:c>
      <x:c r="S165" s="29"/>
      <x:c r="T165" s="29"/>
    </x:row>
    <x:row r="166" ht="96" customHeight="1">
      <x:c r="A166" s="29" t="str">
        <x:v>bakersfield:dag-yollari</x:v>
      </x:c>
      <x:c r="B166" s="29" t="str">
        <x:v>bakersfield</x:v>
      </x:c>
      <x:c r="C166" s="29" t="str">
        <x:v>dag-yollari</x:v>
      </x:c>
      <x:c r="D166" s="29" t="str">
        <x:v>Dağ geçitlerini şehir havasından ayrı değerlendir</x:v>
      </x:c>
      <x:c r="E166" s="29" t="str">
        <x:v>Ulaşım</x:v>
      </x:c>
      <x:c r="F166" s="29" t="str">
        <x:v>Bakersfield'da hava açıkken Tehachapi veya dağ yönündeki yollarda farklı koşullar oluşabilir. Caltrans QuickMap, yol kapanması ve ilgili yol durumlarını planlamaya yardımcı olur. Bölgesel geziyi yalnız şehir içindeki sıcaklığa göre hazırlamak yerine güzergâhın yüksek kesimini de hesaba kat.</x:v>
      </x:c>
      <x:c r="G166" s="29" t="str">
        <x:v>Dağ geçitlerini şehir havasından ayrı değerlendir</x:v>
      </x:c>
      <x:c r="H166" s="29" t="str">
        <x:v>before;new;settled</x:v>
      </x:c>
      <x:c r="I166" s="29" t="str">
        <x:v>bakersfield:src:17670;bakersfield:src:17671</x:v>
      </x:c>
      <x:c r="J166" s="31" t="d">
        <x:v>2026-10-24T00:00:00.000Z</x:v>
      </x:c>
      <x:c r="K166" s="35" t="n">
        <x:v>158</x:v>
      </x:c>
      <x:c r="L166" s="29" t="str">
        <x:v>Hayır</x:v>
      </x:c>
      <x:c r="M166" s="29" t="str">
        <x:v>İnceleme</x:v>
      </x:c>
      <x:c r="N166" s="29" t="str">
        <x:v>bakersfield:ulasim</x:v>
      </x:c>
      <x:c r="O166" s="29" t="str">
        <x:v>QuickMap'te kullanacağın yolu seç
Yol ve hava koşullarını aynı plan içinde değerlendir
Uygun ekipman ve dönüş alternatifi hazırla</x:v>
      </x:c>
      <x:c r="P166" s="29" t="str">
        <x:v>Rota
Araç ekipmanı</x:v>
      </x:c>
      <x:c r="Q166" s="29" t="str">
        <x:v>Yola çıkarken ve koşullar değiştiğinde güzergâhtaki kapanma/dağ havasını değerlendir.</x:v>
      </x:c>
      <x:c r="R166" s="29" t="str">
        <x:v>QuickMap kamu yol durumu ücretsizdir; gezi ve araç ekipman maliyeti ayrıca değişir.</x:v>
      </x:c>
      <x:c r="S166" s="29"/>
      <x:c r="T166" s="29"/>
    </x:row>
    <x:row r="167" ht="96" customHeight="1">
      <x:c r="A167" s="29" t="str">
        <x:v>bakersfield:ulasim-butcesi</x:v>
      </x:c>
      <x:c r="B167" s="29" t="str">
        <x:v>bakersfield</x:v>
      </x:c>
      <x:c r="C167" s="29" t="str">
        <x:v>ulasim-butcesi</x:v>
      </x:c>
      <x:c r="D167" s="29" t="str">
        <x:v>Araçlı yaşamı yalnız yakıtla fiyatlama</x:v>
      </x:c>
      <x:c r="E167" s="29" t="str">
        <x:v>Ulaşım</x:v>
      </x:c>
      <x:c r="F167" s="29" t="str">
        <x:v>Bakersfield'da araç bütçesine sigorta, tescil, bakım, park ve finansman maliyetleri eklenir. Toplu taşımada ise bilet dışında yolculuk süresi ve son bağlantı önem taşır. Kararı iki farklı haftalık senaryoyla karşılaştırmak, tek bir ortalama gider rakamından daha kullanışlıdır.</x:v>
      </x:c>
      <x:c r="G167" s="29" t="str">
        <x:v>Araçlı yaşamı yalnız yakıtla fiyatlama</x:v>
      </x:c>
      <x:c r="H167" s="29" t="str">
        <x:v>before;new;settled</x:v>
      </x:c>
      <x:c r="I167" s="29" t="str">
        <x:v>bakersfield:src:17688;bakersfield:src:17612;bakersfield:src:17613</x:v>
      </x:c>
      <x:c r="J167" s="31" t="d">
        <x:v>2026-10-24T00:00:00.000Z</x:v>
      </x:c>
      <x:c r="K167" s="35" t="n">
        <x:v>159</x:v>
      </x:c>
      <x:c r="L167" s="29" t="str">
        <x:v>Hayır</x:v>
      </x:c>
      <x:c r="M167" s="29" t="str">
        <x:v>İnceleme</x:v>
      </x:c>
      <x:c r="N167" s="29" t="str">
        <x:v>bakersfield:ulasim</x:v>
      </x:c>
      <x:c r="O167" s="29" t="str">
        <x:v>Haftalık iş ve okul yolculuklarını yaz
Araç ve otobüs toplamlarını ayrı hesapla
Beklenmedik bakım ve bağlantı payı ayır</x:v>
      </x:c>
      <x:c r="P167" s="29" t="str">
        <x:v>Haftalık rota
Gider teklifleri</x:v>
      </x:c>
      <x:c r="Q167" s="29" t="str">
        <x:v>Haftalık iş/okul düzenini araçlı ve toplu taşımalı senaryoyla karşılaştır.</x:v>
      </x:c>
      <x:c r="R167" s="29" t="str">
        <x:v>Yakıt, sigorta, bakım, tescil, park ve finansman; otobüste bilet ve bağlantı giderlerini ayrı topla.</x:v>
      </x:c>
      <x:c r="S167" s="29"/>
      <x:c r="T167" s="29"/>
    </x:row>
    <x:row r="168" ht="110" customHeight="1">
      <x:c r="A168" s="29" t="str">
        <x:v>bakersfield:sivrisinek-bildirim</x:v>
      </x:c>
      <x:c r="B168" s="29" t="str">
        <x:v>bakersfield</x:v>
      </x:c>
      <x:c r="C168" s="29" t="str">
        <x:v>sivrisinek-bildirim</x:v>
      </x:c>
      <x:c r="D168" s="29" t="str">
        <x:v>Sivrisinek ve bakımsız havuzu doğru birime bildir</x:v>
      </x:c>
      <x:c r="E168" s="29" t="str">
        <x:v>Günlük hayat</x:v>
      </x:c>
      <x:c r="F168" s="29" t="str">
        <x:v>Kern Mosquito and Vector Control District, Bakersfield ve çevresindeki kendi hizmet alanında sivrisinek ve yeşil yüzme havuzu bildirimleri alır. Bu birim bütün Kern County ile aynı sınırı kullanmaz. Konumu açık bir adres, sorunun görüldüğü tarih ve varsa sokaktan çekilmiş fotoğrafla iletmek ekibin doğru yere ulaşmasını sağlar; özel mülke girmen gerekmez.</x:v>
      </x:c>
      <x:c r="G168" s="29" t="str">
        <x:v>Sivrisinek ve bakımsız havuzu doğru birime bildir</x:v>
      </x:c>
      <x:c r="H168" s="29" t="str">
        <x:v>before;new;settled</x:v>
      </x:c>
      <x:c r="I168" s="29" t="str">
        <x:v>bakersfield:src:17740</x:v>
      </x:c>
      <x:c r="J168" s="31" t="d">
        <x:v>2026-10-24T00:00:00.000Z</x:v>
      </x:c>
      <x:c r="K168" s="35" t="n">
        <x:v>160</x:v>
      </x:c>
      <x:c r="L168" s="29" t="str">
        <x:v>Hayır</x:v>
      </x:c>
      <x:c r="M168" s="29" t="str">
        <x:v>İnceleme</x:v>
      </x:c>
      <x:c r="N168" s="29" t="str">
        <x:v>bakersfield:gunluk</x:v>
      </x:c>
      <x:c r="O168" s="29" t="str">
        <x:v>Adresin hizmet alanına girdiğini belirle
Sivrisinek veya yeşil havuz formunu seç
Başvurunun tarihini kaydet</x:v>
      </x:c>
      <x:c r="P168" s="29" t="str">
        <x:v>Adres ve konum
Gözlem tarihi</x:v>
      </x:c>
      <x:c r="Q168" s="29" t="str">
        <x:v>Konum ve sorun tarihini bildir; acil hizmet garantisi yoktur.</x:v>
      </x:c>
      <x:c r="R168" s="29" t="str">
        <x:v>Hizmet ve ücret koşulunu District'in kendi programına göre değerlendir; özel ilaçlama şirketiyle aynı işlem değildir.</x:v>
      </x:c>
      <x:c r="S168" s="29"/>
      <x:c r="T168" s="29"/>
    </x:row>
    <x:row r="169" ht="82" customHeight="1">
      <x:c r="A169" s="29" t="str">
        <x:v>bakersfield:cop-takvimi</x:v>
      </x:c>
      <x:c r="B169" s="29" t="str">
        <x:v>bakersfield</x:v>
      </x:c>
      <x:c r="C169" s="29" t="str">
        <x:v>cop-takvimi</x:v>
      </x:c>
      <x:c r="D169" s="29" t="str">
        <x:v>Atık toplama gününü adrese göre belirle</x:v>
      </x:c>
      <x:c r="E169" s="29" t="str">
        <x:v>Günlük hayat</x:v>
      </x:c>
      <x:c r="F169" s="29" t="str">
        <x:v>Çöp ve geri dönüşüm düzeni, adresin hizmet sağlayıcısına bağlıdır. Taşınırken kutuların kime ait olduğunu ve hangi gün çıkarılacağını ev sahibinden yazılı almak yararlıdır. Şehir içi ve county alanındaki takvimleri birbirinin yerine kullanma.</x:v>
      </x:c>
      <x:c r="G169" s="29" t="str">
        <x:v>Atık toplama gününü adrese göre belirle</x:v>
      </x:c>
      <x:c r="H169" s="29" t="str">
        <x:v>before;new;settled</x:v>
      </x:c>
      <x:c r="I169" s="29" t="str">
        <x:v>bakersfield:src:17676;bakersfield:src:17709</x:v>
      </x:c>
      <x:c r="J169" s="31" t="d">
        <x:v>2026-10-24T00:00:00.000Z</x:v>
      </x:c>
      <x:c r="K169" s="35" t="n">
        <x:v>161</x:v>
      </x:c>
      <x:c r="L169" s="29" t="str">
        <x:v>Hayır</x:v>
      </x:c>
      <x:c r="M169" s="29" t="str">
        <x:v>İnceleme</x:v>
      </x:c>
      <x:c r="N169" s="29" t="str">
        <x:v>bakersfield:gunluk</x:v>
      </x:c>
      <x:c r="O169" s="29" t="str">
        <x:v>Adresin atık sağlayıcısını belirle
Toplama gününü ve kutu kurallarını kaydet
Tatil dönemindeki değişiklikleri hizmet takvimine işle</x:v>
      </x:c>
      <x:c r="P169" s="29" t="str">
        <x:v>Hizmet adresi</x:v>
      </x:c>
      <x:c r="Q169" s="29" t="str">
        <x:v>Kutuyu ilgili toplama günü ve tatil değişikliklerine göre çıkar.</x:v>
      </x:c>
      <x:c r="R169" s="29" t="str">
        <x:v>Toplama bedelinin kira veya ayrı hesaba dahil oluşu adrese/sözleşmeye bağlıdır.</x:v>
      </x:c>
      <x:c r="S169" s="29"/>
      <x:c r="T169" s="29"/>
    </x:row>
    <x:row r="170" ht="96" customHeight="1">
      <x:c r="A170" s="29" t="str">
        <x:v>bakersfield:organik-atik</x:v>
      </x:c>
      <x:c r="B170" s="29" t="str">
        <x:v>bakersfield</x:v>
      </x:c>
      <x:c r="C170" s="29" t="str">
        <x:v>organik-atik</x:v>
      </x:c>
      <x:c r="D170" s="29" t="str">
        <x:v>Organik atığı yerel kutu talimatına göre ayır</x:v>
      </x:c>
      <x:c r="E170" s="29" t="str">
        <x:v>Günlük hayat</x:v>
      </x:c>
      <x:c r="F170" s="29" t="str">
        <x:v>Yemek artığı, bahçe atığı ve ambalajın hangi kutuya girdiği yerel programa bağlıdır. Üzerinde geri dönüşüm işareti bulunan her ürün, evindeki kutu için uygun olmayabilir. Yerel ayrıştırma listesini mutfakta ulaşılabilir tutmak, bütün şehirler için hazırlanmış genel bir şemadan daha kullanışlıdır.</x:v>
      </x:c>
      <x:c r="G170" s="29" t="str">
        <x:v>Organik atığı yerel kutu talimatına göre ayır</x:v>
      </x:c>
      <x:c r="H170" s="29" t="str">
        <x:v>before;new;settled</x:v>
      </x:c>
      <x:c r="I170" s="29" t="str">
        <x:v>bakersfield:src:17676;bakersfield:src:17709</x:v>
      </x:c>
      <x:c r="J170" s="31" t="d">
        <x:v>2026-10-24T00:00:00.000Z</x:v>
      </x:c>
      <x:c r="K170" s="35" t="n">
        <x:v>162</x:v>
      </x:c>
      <x:c r="L170" s="29" t="str">
        <x:v>Hayır</x:v>
      </x:c>
      <x:c r="M170" s="29" t="str">
        <x:v>İnceleme</x:v>
      </x:c>
      <x:c r="N170" s="29" t="str">
        <x:v>bakersfield:gunluk</x:v>
      </x:c>
      <x:c r="O170" s="29" t="str">
        <x:v>Adrese hizmet veren programın listesini aç
Kutuları evde anlaşılır biçimde etiketle
Ambalaj ve organik atık kurallarını ayrı uygula</x:v>
      </x:c>
      <x:c r="P170" s="29" t="str">
        <x:v>Yerel ayrıştırma listesi</x:v>
      </x:c>
      <x:c r="Q170" s="29" t="str">
        <x:v>Her toplamada yerel kabul listesini uygula; farklı belediye listesini aktarmaz.</x:v>
      </x:c>
      <x:c r="R170" s="29" t="str">
        <x:v>Ayrıştırma ve kutu hizmeti sağlayıcının abonelik düzenine bağlıdır.</x:v>
      </x:c>
      <x:c r="S170" s="29"/>
      <x:c r="T170" s="29"/>
    </x:row>
    <x:row r="171" ht="82" customHeight="1">
      <x:c r="A171" s="29" t="str">
        <x:v>bakersfield:buyuk-atik</x:v>
      </x:c>
      <x:c r="B171" s="29" t="str">
        <x:v>bakersfield</x:v>
      </x:c>
      <x:c r="C171" s="29" t="str">
        <x:v>buyuk-atik</x:v>
      </x:c>
      <x:c r="D171" s="29" t="str">
        <x:v>Mobilya ve büyük eşyayı ayrı teslim et</x:v>
      </x:c>
      <x:c r="E171" s="29" t="str">
        <x:v>Günlük hayat</x:v>
      </x:c>
      <x:c r="F171" s="29" t="str">
        <x:v>Eski mobilya, yatak ve büyük eşya standart ev çöpüyle aynı toplama düzenine sahip olmayabilir. Taşınma günü kaldırıma bırakmanın otomatik hizmet talebi sayılacağını varsayma. Randevu veya kabul tesisi gerekliliğini eşyanın türüyle birlikte belirle.</x:v>
      </x:c>
      <x:c r="G171" s="29" t="str">
        <x:v>Mobilya ve büyük eşyayı ayrı teslim et</x:v>
      </x:c>
      <x:c r="H171" s="29" t="str">
        <x:v>before;new;settled</x:v>
      </x:c>
      <x:c r="I171" s="29" t="str">
        <x:v>bakersfield:src:17676;bakersfield:src:17709</x:v>
      </x:c>
      <x:c r="J171" s="31" t="d">
        <x:v>2026-10-24T00:00:00.000Z</x:v>
      </x:c>
      <x:c r="K171" s="35" t="n">
        <x:v>163</x:v>
      </x:c>
      <x:c r="L171" s="29" t="str">
        <x:v>Hayır</x:v>
      </x:c>
      <x:c r="M171" s="29" t="str">
        <x:v>İnceleme</x:v>
      </x:c>
      <x:c r="N171" s="29" t="str">
        <x:v>bakersfield:gunluk</x:v>
      </x:c>
      <x:c r="O171" s="29" t="str">
        <x:v>Eşyaların türünü ve miktarını çıkar
Adrese uygun büyük eşya kanalını seç
Teslim günü ve taşıma düzenini hazırla</x:v>
      </x:c>
      <x:c r="P171" s="29" t="str">
        <x:v>Eşya listesi
Adres</x:v>
      </x:c>
      <x:c r="Q171" s="29" t="str">
        <x:v>Taşınma gününden önce randevu veya kabul tesisi saatini belirle.</x:v>
      </x:c>
      <x:c r="R171" s="29" t="str">
        <x:v>Büyük eşya teslim/alım ücret ve miktar koşulu hizmet sağlayıcıya göre değişir.</x:v>
      </x:c>
      <x:c r="S171" s="29"/>
      <x:c r="T171" s="29"/>
    </x:row>
    <x:row r="172" ht="82" customHeight="1">
      <x:c r="A172" s="29" t="str">
        <x:v>bakersfield:tehlikeli-atik</x:v>
      </x:c>
      <x:c r="B172" s="29" t="str">
        <x:v>bakersfield</x:v>
      </x:c>
      <x:c r="C172" s="29" t="str">
        <x:v>tehlikeli-atik</x:v>
      </x:c>
      <x:c r="D172" s="29" t="str">
        <x:v>Pil ve kimyasalı ev çöpünden ayrı tut</x:v>
      </x:c>
      <x:c r="E172" s="29" t="str">
        <x:v>Günlük hayat</x:v>
      </x:c>
      <x:c r="F172" s="29" t="str">
        <x:v>Boya, bazı piller, yağ ve ev kimyasalları için Kern County'nin özel toplama kanalları bulunur. Bunları gidere boşaltmak veya farklı maddeleri aynı kapta karıştırmak doğru değildir. Kabul edilen ürünleri, miktar sınırını ve tesis programını ürün türüne göre planla.</x:v>
      </x:c>
      <x:c r="G172" s="29" t="str">
        <x:v>Pil ve kimyasalı ev çöpünden ayrı tut</x:v>
      </x:c>
      <x:c r="H172" s="29" t="str">
        <x:v>before;new;settled</x:v>
      </x:c>
      <x:c r="I172" s="29" t="str">
        <x:v>bakersfield:src:17718</x:v>
      </x:c>
      <x:c r="J172" s="31" t="d">
        <x:v>2026-10-24T00:00:00.000Z</x:v>
      </x:c>
      <x:c r="K172" s="35" t="n">
        <x:v>164</x:v>
      </x:c>
      <x:c r="L172" s="29" t="str">
        <x:v>Hayır</x:v>
      </x:c>
      <x:c r="M172" s="29" t="str">
        <x:v>İnceleme</x:v>
      </x:c>
      <x:c r="N172" s="29" t="str">
        <x:v>bakersfield:gunluk</x:v>
      </x:c>
      <x:c r="O172" s="29" t="str">
        <x:v>Ürünleri kendi etiketli kaplarında ayır
County kabul listesinden uygun teslim yerini bul
Güvenli taşıma ve teslim saatini belirle</x:v>
      </x:c>
      <x:c r="P172" s="29" t="str">
        <x:v>Ürün etiketleri</x:v>
      </x:c>
      <x:c r="Q172" s="29" t="str">
        <x:v>Teslim takvimini ürün türüne göre planla; maddeleri karıştırma veya gidere dökme.</x:v>
      </x:c>
      <x:c r="R172" s="29" t="str">
        <x:v>Evsel kabul ile ticari atık koşulları farklıdır; ürün/miktar sınıfına göre yerel programı kullan.</x:v>
      </x:c>
      <x:c r="S172" s="29"/>
      <x:c r="T172" s="29"/>
    </x:row>
    <x:row r="173" ht="82" customHeight="1">
      <x:c r="A173" s="29" t="str">
        <x:v>bakersfield:kutuphane-karti</x:v>
      </x:c>
      <x:c r="B173" s="29" t="str">
        <x:v>bakersfield</x:v>
      </x:c>
      <x:c r="C173" s="29" t="str">
        <x:v>kutuphane-karti</x:v>
      </x:c>
      <x:c r="D173" s="29" t="str">
        <x:v>Kern County kütüphane kartını günlük araç yap</x:v>
      </x:c>
      <x:c r="E173" s="29" t="str">
        <x:v>Günlük hayat</x:v>
      </x:c>
      <x:c r="F173" s="29" t="str">
        <x:v>Kern County Library kartı, basılı koleksiyon ve uygun dijital hizmetlere erişimin başlangıcıdır. Başvuru türü ve yaşa göre kimlik veya adres bilgisi istenebilir. Dijital kaydın bütün fiziksel ödünç alma haklarını otomatik sağladığını varsaymadan kart türünü seç.</x:v>
      </x:c>
      <x:c r="G173" s="29" t="str">
        <x:v>Kern County kütüphane kartını günlük araç yap</x:v>
      </x:c>
      <x:c r="H173" s="29" t="str">
        <x:v>before;new;settled</x:v>
      </x:c>
      <x:c r="I173" s="29" t="str">
        <x:v>bakersfield:src:17721</x:v>
      </x:c>
      <x:c r="J173" s="31" t="d">
        <x:v>2026-10-24T00:00:00.000Z</x:v>
      </x:c>
      <x:c r="K173" s="35" t="n">
        <x:v>165</x:v>
      </x:c>
      <x:c r="L173" s="29" t="str">
        <x:v>Hayır</x:v>
      </x:c>
      <x:c r="M173" s="29" t="str">
        <x:v>İnceleme</x:v>
      </x:c>
      <x:c r="N173" s="29" t="str">
        <x:v>bakersfield:gunluk</x:v>
      </x:c>
      <x:c r="O173" s="29" t="str">
        <x:v>Kart başvuru koşullarını incele
Gerekli kimlik ve adres bilgisini hazırla
Yakın şubeyi ve hesabın erişim bilgilerini kaydet</x:v>
      </x:c>
      <x:c r="P173" s="29" t="str">
        <x:v>Kart türünün istediği kimlik ve adres bilgisi</x:v>
      </x:c>
      <x:c r="Q173" s="29" t="str">
        <x:v>Başvuru belgelerini ilk ödünç alma öncesinde hazırla.</x:v>
      </x:c>
      <x:c r="R173" s="29" t="str">
        <x:v>Kart türü ve ikamet koşullarını kütüphaneden öğren; baskı/kayıp materyal gibi ek hizmet ücretleri ayrı olabilir.</x:v>
      </x:c>
      <x:c r="S173" s="29"/>
      <x:c r="T173" s="29"/>
    </x:row>
    <x:row r="174" ht="96" customHeight="1">
      <x:c r="A174" s="29" t="str">
        <x:v>bakersfield:kutuphane-dijital</x:v>
      </x:c>
      <x:c r="B174" s="29" t="str">
        <x:v>bakersfield</x:v>
      </x:c>
      <x:c r="C174" s="29" t="str">
        <x:v>kutuphane-dijital</x:v>
      </x:c>
      <x:c r="D174" s="29" t="str">
        <x:v>Dijital kütüphane hesabını cihazına bağla</x:v>
      </x:c>
      <x:c r="E174" s="29" t="str">
        <x:v>Günlük hayat</x:v>
      </x:c>
      <x:c r="F174" s="29" t="str">
        <x:v>Kütüphanenin dijital koleksiyonunda kullanılan uygulama ve giriş yöntemi hizmete göre değişebilir. E-kitap, sesli kitap ve başka kaynakların lisansları aynı anda kullanım veya bekleme sırası içerebilir. İstediğin kaynağı resmî kütüphane bağlantısından açmak yanlış üyelik sayfasına gitme riskini azaltır.</x:v>
      </x:c>
      <x:c r="G174" s="29" t="str">
        <x:v>Dijital kütüphane hesabını cihazına bağla</x:v>
      </x:c>
      <x:c r="H174" s="29" t="str">
        <x:v>before;new;settled</x:v>
      </x:c>
      <x:c r="I174" s="29" t="str">
        <x:v>bakersfield:src:17722</x:v>
      </x:c>
      <x:c r="J174" s="31" t="d">
        <x:v>2026-10-24T00:00:00.000Z</x:v>
      </x:c>
      <x:c r="K174" s="35" t="n">
        <x:v>166</x:v>
      </x:c>
      <x:c r="L174" s="29" t="str">
        <x:v>Hayır</x:v>
      </x:c>
      <x:c r="M174" s="29" t="str">
        <x:v>İnceleme</x:v>
      </x:c>
      <x:c r="N174" s="29" t="str">
        <x:v>bakersfield:gunluk</x:v>
      </x:c>
      <x:c r="O174" s="29" t="str">
        <x:v>Resmî dijital kaynak listesinden hizmeti seç
Kart ve PIN ile hesabını bağla
Ödünç süresi ve bekleme listesini uygulamada izle</x:v>
      </x:c>
      <x:c r="P174" s="29" t="str">
        <x:v>Kütüphane hesabı</x:v>
      </x:c>
      <x:c r="Q174" s="29" t="str">
        <x:v>Ödünç süresi ve bekleme sırası seçilen hizmette gösterilir.</x:v>
      </x:c>
      <x:c r="R174" s="29" t="str">
        <x:v>Kütüphane abonelikli hizmetlerini ücretli kişisel uygulama aboneliğinden ayır.</x:v>
      </x:c>
      <x:c r="S174" s="29"/>
      <x:c r="T174" s="29"/>
    </x:row>
    <x:row r="175" ht="82" customHeight="1">
      <x:c r="A175" s="29" t="str">
        <x:v>bakersfield:park-hizmeti</x:v>
      </x:c>
      <x:c r="B175" s="29" t="str">
        <x:v>bakersfield</x:v>
      </x:c>
      <x:c r="C175" s="29" t="str">
        <x:v>park-hizmeti</x:v>
      </x:c>
      <x:c r="D175" s="29" t="str">
        <x:v>Parkın belediye, county veya NOR alanında olduğunu ayır</x:v>
      </x:c>
      <x:c r="E175" s="29" t="str">
        <x:v>Günlük hayat</x:v>
      </x:c>
      <x:c r="F175" s="29" t="str">
        <x:v>Bakersfield çevresindeki parklar tek işletmeciye bağlı değildir. City of Bakersfield, Kern County ve North of the River farklı tesis ve programlar yürütür. Piknik alanı rezervasyonu veya spor kaydı için parkın adıyla birlikte işletmeci bilgisini kullan.</x:v>
      </x:c>
      <x:c r="G175" s="29" t="str">
        <x:v>Parkın belediye, county veya NOR alanında olduğunu ayır</x:v>
      </x:c>
      <x:c r="H175" s="29" t="str">
        <x:v>before;new;settled</x:v>
      </x:c>
      <x:c r="I175" s="29" t="str">
        <x:v>bakersfield:src:17674;bakersfield:src:17675;bakersfield:src:17687</x:v>
      </x:c>
      <x:c r="J175" s="31" t="d">
        <x:v>2026-10-24T00:00:00.000Z</x:v>
      </x:c>
      <x:c r="K175" s="35" t="n">
        <x:v>167</x:v>
      </x:c>
      <x:c r="L175" s="29" t="str">
        <x:v>Hayır</x:v>
      </x:c>
      <x:c r="M175" s="29" t="str">
        <x:v>İnceleme</x:v>
      </x:c>
      <x:c r="N175" s="29" t="str">
        <x:v>bakersfield:gunluk</x:v>
      </x:c>
      <x:c r="O175" s="29" t="str">
        <x:v>Parkı ilgili resmî listede bul
Rezervasyon gerektiren alanı ayır
Başvuruyu parkın kendi işletmecisine yap</x:v>
      </x:c>
      <x:c r="P175" s="29" t="str">
        <x:v>Park ve tarih bilgisi</x:v>
      </x:c>
      <x:c r="Q175" s="29" t="str">
        <x:v>Piknik veya etkinlik rezervasyonunu tarih belli olunca ilgili işletmeciyle yap.</x:v>
      </x:c>
      <x:c r="R175" s="29" t="str">
        <x:v>Genel giriş, grup alanı rezervasyonu ve program ücretleri işletmeci/tesise bağlıdır.</x:v>
      </x:c>
      <x:c r="S175" s="29"/>
      <x:c r="T175" s="29"/>
    </x:row>
    <x:row r="176" ht="82" customHeight="1">
      <x:c r="A176" s="29" t="str">
        <x:v>bakersfield:spor-programi</x:v>
      </x:c>
      <x:c r="B176" s="29" t="str">
        <x:v>bakersfield</x:v>
      </x:c>
      <x:c r="C176" s="29" t="str">
        <x:v>spor-programi</x:v>
      </x:c>
      <x:c r="D176" s="29" t="str">
        <x:v>Spor kaydında program dönemi ve yaş grubunu seç</x:v>
      </x:c>
      <x:c r="E176" s="29" t="str">
        <x:v>Günlük hayat</x:v>
      </x:c>
      <x:c r="F176" s="29" t="str">
        <x:v>Belediye ve NOR programları, dönem ve yaş grubuna göre farklı seçenekler sunar. Tesisi görmek, içinde o gün herkese açık etkinlik bulunduğu anlamına gelmez. Ücret, kayıt dönemi, ekipman ve iptal koşulunu aynı program kaydından okumak günlük planı netleştirir.</x:v>
      </x:c>
      <x:c r="G176" s="29" t="str">
        <x:v>Spor kaydında program dönemi ve yaş grubunu seç</x:v>
      </x:c>
      <x:c r="H176" s="29" t="str">
        <x:v>before;new;settled</x:v>
      </x:c>
      <x:c r="I176" s="29" t="str">
        <x:v>bakersfield:src:17675;bakersfield:src:17687</x:v>
      </x:c>
      <x:c r="J176" s="31" t="d">
        <x:v>2026-10-24T00:00:00.000Z</x:v>
      </x:c>
      <x:c r="K176" s="35" t="n">
        <x:v>168</x:v>
      </x:c>
      <x:c r="L176" s="29" t="str">
        <x:v>Hayır</x:v>
      </x:c>
      <x:c r="M176" s="29" t="str">
        <x:v>İnceleme</x:v>
      </x:c>
      <x:c r="N176" s="29" t="str">
        <x:v>bakersfield:gunluk</x:v>
      </x:c>
      <x:c r="O176" s="29" t="str">
        <x:v>Yaş ve etkinlik türüne uygun programı bul
Kayıt tarihini ve toplam ücreti belirle
Gerekli ekipman ve ulaşımı hazırla</x:v>
      </x:c>
      <x:c r="P176" s="29" t="str">
        <x:v>Program kayıt bilgisi</x:v>
      </x:c>
      <x:c r="Q176" s="29" t="str">
        <x:v>Dönem ve yaş grubuna uygun kayıt penceresi; tesisin varlığı sürekli serbest kullanım değildir.</x:v>
      </x:c>
      <x:c r="R176" s="29" t="str">
        <x:v>Kayıt, ekipman ve varsa üyelik bedeli program ilanına bağlıdır.</x:v>
      </x:c>
      <x:c r="S176" s="29"/>
      <x:c r="T176" s="29"/>
    </x:row>
    <x:row r="177" ht="82" customHeight="1">
      <x:c r="A177" s="29" t="str">
        <x:v>bakersfield:evcil-kayit</x:v>
      </x:c>
      <x:c r="B177" s="29" t="str">
        <x:v>bakersfield</x:v>
      </x:c>
      <x:c r="C177" s="29" t="str">
        <x:v>evcil-kayit</x:v>
      </x:c>
      <x:c r="D177" s="29" t="str">
        <x:v>Evcil hayvan hizmetini adresin yetkisiyle eşleştir</x:v>
      </x:c>
      <x:c r="E177" s="29" t="str">
        <x:v>Günlük hayat</x:v>
      </x:c>
      <x:c r="F177" s="29" t="str">
        <x:v>Bakersfield belediyesi ile Kern County'nin hayvan hizmetleri farklı idari alanlara hizmet eder. Köpek ruhsatı, kayıp hayvan veya barınak başvurusu için doğru kurumu bulmak önemlidir. Mikroçip kaydı ve belediye ruhsatı da farklı işlemlerdir.</x:v>
      </x:c>
      <x:c r="G177" s="29" t="str">
        <x:v>Evcil hayvan hizmetini adresin yetkisiyle eşleştir</x:v>
      </x:c>
      <x:c r="H177" s="29" t="str">
        <x:v>before;new;settled</x:v>
      </x:c>
      <x:c r="I177" s="29" t="str">
        <x:v>bakersfield:src:17708;bakersfield:src:17677</x:v>
      </x:c>
      <x:c r="J177" s="31" t="d">
        <x:v>2026-10-24T00:00:00.000Z</x:v>
      </x:c>
      <x:c r="K177" s="35" t="n">
        <x:v>169</x:v>
      </x:c>
      <x:c r="L177" s="29" t="str">
        <x:v>Hayır</x:v>
      </x:c>
      <x:c r="M177" s="29" t="str">
        <x:v>İnceleme</x:v>
      </x:c>
      <x:c r="N177" s="29" t="str">
        <x:v>bakersfield:gunluk</x:v>
      </x:c>
      <x:c r="O177" s="29" t="str">
        <x:v>Ev adresinin yetki alanını belirle
Aşı ve ruhsat belgelerini bir dosyada tut
Mikroçip iletişim bilgisini taşınınca güncelle</x:v>
      </x:c>
      <x:c r="P177" s="29" t="str">
        <x:v>Aşı kaydı
Varsa ruhsat ve mikroçip numarası</x:v>
      </x:c>
      <x:c r="Q177" s="29" t="str">
        <x:v>Taşınınca yetkili kurumu ve mikroçip iletişimini güncelle; aşı/ruhsat sürelerini belgede izle.</x:v>
      </x:c>
      <x:c r="R177" s="29" t="str">
        <x:v>Köpek ruhsatı, aşı ve mikroçip farklı ücret kalemleri olabilir.</x:v>
      </x:c>
      <x:c r="S177" s="29"/>
      <x:c r="T177" s="29"/>
    </x:row>
    <x:row r="178" ht="96" customHeight="1">
      <x:c r="A178" s="29" t="str">
        <x:v>bakersfield:hayvan-kayip</x:v>
      </x:c>
      <x:c r="B178" s="29" t="str">
        <x:v>bakersfield</x:v>
      </x:c>
      <x:c r="C178" s="29" t="str">
        <x:v>hayvan-kayip</x:v>
      </x:c>
      <x:c r="D178" s="29" t="str">
        <x:v>Kayıp hayvanda fotoğraf ve çip bilgisini birlikte kullan</x:v>
      </x:c>
      <x:c r="E178" s="29" t="str">
        <x:v>Günlük hayat</x:v>
      </x:c>
      <x:c r="F178" s="29" t="str">
        <x:v>Kayıp bir hayvan için en yararlı dosya, güncel fotoğraf, ayırt edici özellik, son görülen yer ve mikroçip bilgisini içerir. İlgili yerel hayvan hizmetine bildirim ile çip şirketindeki iletişim güncellemesi birbirini tamamlar. Ödül isteyen bilinmeyen kişilere kanıt görmeden ödeme yapma.</x:v>
      </x:c>
      <x:c r="G178" s="29" t="str">
        <x:v>Kayıp hayvanda fotoğraf ve çip bilgisini birlikte kullan</x:v>
      </x:c>
      <x:c r="H178" s="29" t="str">
        <x:v>before;new;settled</x:v>
      </x:c>
      <x:c r="I178" s="29" t="str">
        <x:v>bakersfield:src:17708;bakersfield:src:17677</x:v>
      </x:c>
      <x:c r="J178" s="31" t="d">
        <x:v>2026-10-24T00:00:00.000Z</x:v>
      </x:c>
      <x:c r="K178" s="35" t="n">
        <x:v>170</x:v>
      </x:c>
      <x:c r="L178" s="29" t="str">
        <x:v>Hayır</x:v>
      </x:c>
      <x:c r="M178" s="29" t="str">
        <x:v>İnceleme</x:v>
      </x:c>
      <x:c r="N178" s="29" t="str">
        <x:v>bakersfield:gunluk</x:v>
      </x:c>
      <x:c r="O178" s="29" t="str">
        <x:v>Son görülen yer ve saati kaydet
Yerel kayıp hayvan kanalına bildirim yap
Mikroçip kayıt kuruluşundaki iletişim bilgini güncelle</x:v>
      </x:c>
      <x:c r="P178" s="29" t="str">
        <x:v>Fotoğraf
Mikroçip numarası
Son konum</x:v>
      </x:c>
      <x:c r="Q178" s="29" t="str">
        <x:v>Son görülen yeri hemen kaydet ve ilgili yerel kanala bildir.</x:v>
      </x:c>
      <x:c r="R178" s="29" t="str">
        <x:v>Barınak geri alma veya bakım bedeli dosyaya bağlı olabilir; kanıtsız kişilere ödül ödemesi önerilmez.</x:v>
      </x:c>
      <x:c r="S178" s="29"/>
      <x:c r="T178" s="29"/>
    </x:row>
    <x:row r="179" ht="82" customHeight="1">
      <x:c r="A179" s="29" t="str">
        <x:v>bakersfield:market-fiyat</x:v>
      </x:c>
      <x:c r="B179" s="29" t="str">
        <x:v>bakersfield</x:v>
      </x:c>
      <x:c r="C179" s="29" t="str">
        <x:v>market-fiyat</x:v>
      </x:c>
      <x:c r="D179" s="29" t="str">
        <x:v>Market bütçesinde birim fiyatı kullan</x:v>
      </x:c>
      <x:c r="E179" s="29" t="str">
        <x:v>Günlük hayat</x:v>
      </x:c>
      <x:c r="F179" s="29" t="str">
        <x:v>Aynı ürünün büyük paketi her zaman daha ucuz olmayabilir. Ağırlık veya hacim başına birim fiyat, paket boyutları arasındaki farkı görünür kılar. Haftalık alışverişte bozulma, ulaşım ve evde depolama kapasitesini birlikte hesaplamak gereksiz toplu alımı azaltır.</x:v>
      </x:c>
      <x:c r="G179" s="29" t="str">
        <x:v>Market bütçesinde birim fiyatı kullan</x:v>
      </x:c>
      <x:c r="H179" s="29" t="str">
        <x:v>before;new;settled</x:v>
      </x:c>
      <x:c r="I179" s="29" t="str">
        <x:v>bakersfield:src:17679</x:v>
      </x:c>
      <x:c r="J179" s="31" t="d">
        <x:v>2026-10-24T00:00:00.000Z</x:v>
      </x:c>
      <x:c r="K179" s="35" t="n">
        <x:v>171</x:v>
      </x:c>
      <x:c r="L179" s="29" t="str">
        <x:v>Hayır</x:v>
      </x:c>
      <x:c r="M179" s="29" t="str">
        <x:v>İnceleme</x:v>
      </x:c>
      <x:c r="N179" s="29" t="str">
        <x:v>bakersfield:gunluk</x:v>
      </x:c>
      <x:c r="O179" s="29" t="str">
        <x:v>Sık aldığın ürünlerden küçük bir sepet oluştur
Birim fiyat ve toplam tutarı karşılaştır
Taze ürün miktarını tüketim planına göre seç</x:v>
      </x:c>
      <x:c r="P179" s="29" t="str">
        <x:v>Haftalık alışveriş listesi</x:v>
      </x:c>
      <x:c r="Q179" s="29" t="str">
        <x:v>Haftalık tüketim ve bozulma süresine göre miktarı seç.</x:v>
      </x:c>
      <x:c r="R179" s="29" t="str">
        <x:v>Paket fiyatının yanında ağırlık/hacim başına birim fiyatı karşılaştır.</x:v>
      </x:c>
      <x:c r="S179" s="29"/>
      <x:c r="T179" s="29"/>
    </x:row>
    <x:row r="180" ht="96" customHeight="1">
      <x:c r="A180" s="29" t="str">
        <x:v>bakersfield:olcu-birim</x:v>
      </x:c>
      <x:c r="B180" s="29" t="str">
        <x:v>bakersfield</x:v>
      </x:c>
      <x:c r="C180" s="29" t="str">
        <x:v>olcu-birim</x:v>
      </x:c>
      <x:c r="D180" s="29" t="str">
        <x:v>Günlük ölçü birimleri için küçük dönüşüm tablosu tut</x:v>
      </x:c>
      <x:c r="E180" s="29" t="str">
        <x:v>Günlük hayat</x:v>
      </x:c>
      <x:c r="F180" s="29" t="str">
        <x:v>ABD'de sıcaklık Fahrenheit, yol mesafesi mil ve birçok ürün ağırlığı pound ile gösterilir. Bir mil yaklaşık 1,61 kilometre, bir pound yaklaşık 0,454 kilogramdır. Sıcaklık dönüşümünde Celsius değeri, Fahrenheit'tan 32 çıkarıp 5/9 ile çarpılarak bulunur; günlük plan için yuvarlatılmış sonuç yeterlidir.</x:v>
      </x:c>
      <x:c r="G180" s="29" t="str">
        <x:v>Günlük ölçü birimleri için küçük dönüşüm tablosu tut</x:v>
      </x:c>
      <x:c r="H180" s="29" t="str">
        <x:v>before;new;settled</x:v>
      </x:c>
      <x:c r="I180" s="29" t="str">
        <x:v>bakersfield:src:17701</x:v>
      </x:c>
      <x:c r="J180" s="31" t="d">
        <x:v>2026-10-24T00:00:00.000Z</x:v>
      </x:c>
      <x:c r="K180" s="35" t="n">
        <x:v>172</x:v>
      </x:c>
      <x:c r="L180" s="29" t="str">
        <x:v>Hayır</x:v>
      </x:c>
      <x:c r="M180" s="29" t="str">
        <x:v>İnceleme</x:v>
      </x:c>
      <x:c r="N180" s="29" t="str">
        <x:v>bakersfield:gunluk</x:v>
      </x:c>
      <x:c r="O180" s="29" t="str">
        <x:v>Telefonuna güvenilir birim dönüştürücü ekle
Kira ilanında alan birimini ayır
Yemek tarifinde ölçü türünü değiştirmeden dönüştür</x:v>
      </x:c>
      <x:c r="P180" s="29" t="str">
        <x:v>Gerekmez</x:v>
      </x:c>
      <x:c r="Q180" s="29" t="str">
        <x:v>İlan, tarif veya ürün ölçüsünü kullanmadan önce birimi ayır.</x:v>
      </x:c>
      <x:c r="R180" s="29" t="str">
        <x:v>Birim dönüşümü ücretsiz hesaplama/telefon aracıyla yapılabilir.</x:v>
      </x:c>
      <x:c r="S180" s="29"/>
      <x:c r="T180" s="29"/>
    </x:row>
    <x:row r="181" ht="96" customHeight="1">
      <x:c r="A181" s="29" t="str">
        <x:v>bakersfield:bahsis-hesap</x:v>
      </x:c>
      <x:c r="B181" s="29" t="str">
        <x:v>bakersfield</x:v>
      </x:c>
      <x:c r="C181" s="29" t="str">
        <x:v>bahsis-hesap</x:v>
      </x:c>
      <x:c r="D181" s="29" t="str">
        <x:v>Hizmet faturasında ek kalemleri ayır</x:v>
      </x:c>
      <x:c r="E181" s="29" t="str">
        <x:v>Günlük hayat</x:v>
      </x:c>
      <x:c r="F181" s="29" t="str">
        <x:v>Restoran veya hizmet ödemesinde subtotal, vergi, service charge ve isteğe bağlı tip farklı kalemlerdir. Terminalde gösterilen öneri, faturada zaten hizmet bedeli olmadığı anlamına gelmez. Toplamı görmeden yalnız önerilen yüzdeden seçim yapmak yerine hesabı kalemleriyle okumak yararlıdır.</x:v>
      </x:c>
      <x:c r="G181" s="29" t="str">
        <x:v>Hizmet faturasında ek kalemleri ayır</x:v>
      </x:c>
      <x:c r="H181" s="29" t="str">
        <x:v>before;new;settled</x:v>
      </x:c>
      <x:c r="I181" s="29" t="str">
        <x:v>bakersfield:src:17702;bakersfield:src:17679</x:v>
      </x:c>
      <x:c r="J181" s="31" t="d">
        <x:v>2026-10-24T00:00:00.000Z</x:v>
      </x:c>
      <x:c r="K181" s="35" t="n">
        <x:v>173</x:v>
      </x:c>
      <x:c r="L181" s="29" t="str">
        <x:v>Hayır</x:v>
      </x:c>
      <x:c r="M181" s="29" t="str">
        <x:v>İnceleme</x:v>
      </x:c>
      <x:c r="N181" s="29" t="str">
        <x:v>bakersfield:gunluk</x:v>
      </x:c>
      <x:c r="O181" s="29" t="str">
        <x:v>Faturanın ek ücret satırlarını oku
Bahşiş tercihini toplamı görerek yap
İtiraz edilecek kalemi ödeme belgesiyle sakla</x:v>
      </x:c>
      <x:c r="P181" s="29" t="str">
        <x:v>Fiş veya fatura</x:v>
      </x:c>
      <x:c r="Q181" s="29" t="str">
        <x:v>Ödemeden önce faturadaki hizmet bedeli ve toplamı gör.</x:v>
      </x:c>
      <x:c r="R181" s="29" t="str">
        <x:v>Vergi, zorunlu service charge ve isteğe bağlı bahşiş ayrı kalemlerdir.</x:v>
      </x:c>
      <x:c r="S181" s="29"/>
      <x:c r="T181" s="29"/>
    </x:row>
    <x:row r="182" ht="96" customHeight="1">
      <x:c r="A182" s="29" t="str">
        <x:v>bakersfield:paket-teslim</x:v>
      </x:c>
      <x:c r="B182" s="29" t="str">
        <x:v>bakersfield</x:v>
      </x:c>
      <x:c r="C182" s="29" t="str">
        <x:v>paket-teslim</x:v>
      </x:c>
      <x:c r="D182" s="29" t="str">
        <x:v>Paket teslimi ile USPS yönlendirmesini ayrı düzenle</x:v>
      </x:c>
      <x:c r="E182" s="29" t="str">
        <x:v>Günlük hayat</x:v>
      </x:c>
      <x:c r="F182" s="29" t="str">
        <x:v>USPS adres yönlendirmesi, bütün özel kargo şirketleri ve alışveriş hesapları için otomatik adres değişikliği yapmaz. Apartman giriş kodu, paket dolabı ve teslim saatleri adrese göre farklı olabilir. Yeni evde ilk siparişten önce teslim talimatını netleştirmek kayıp paket takibini azaltır.</x:v>
      </x:c>
      <x:c r="G182" s="29" t="str">
        <x:v>Paket teslimi ile USPS yönlendirmesini ayrı düzenle</x:v>
      </x:c>
      <x:c r="H182" s="29" t="str">
        <x:v>before;new;settled</x:v>
      </x:c>
      <x:c r="I182" s="29" t="str">
        <x:v>bakersfield:src:6361</x:v>
      </x:c>
      <x:c r="J182" s="31" t="d">
        <x:v>2026-10-24T00:00:00.000Z</x:v>
      </x:c>
      <x:c r="K182" s="35" t="n">
        <x:v>174</x:v>
      </x:c>
      <x:c r="L182" s="29" t="str">
        <x:v>Hayır</x:v>
      </x:c>
      <x:c r="M182" s="29" t="str">
        <x:v>İnceleme</x:v>
      </x:c>
      <x:c r="N182" s="29" t="str">
        <x:v>bakersfield:gunluk</x:v>
      </x:c>
      <x:c r="O182" s="29" t="str">
        <x:v>Alışveriş hesaplarında kayıtlı adresi güncelle
Apartmanın paket teslim düzenini öğren
Takip numarası ve teslim kanıtını sakla</x:v>
      </x:c>
      <x:c r="P182" s="29" t="str">
        <x:v>Yeni adres
Sipariş numarası</x:v>
      </x:c>
      <x:c r="Q182" s="29" t="str">
        <x:v>İlk siparişten önce hesap adresi ve bina teslim talimatını güncelle.</x:v>
      </x:c>
      <x:c r="R182" s="29" t="str">
        <x:v>Özel kargo, teslim dolabı veya yönlendirme ücreti sağlayıcıya bağlıdır; USPS hizmeti hepsini kapsamaz.</x:v>
      </x:c>
      <x:c r="S182" s="29"/>
      <x:c r="T182" s="29"/>
    </x:row>
    <x:row r="183" ht="82" customHeight="1">
      <x:c r="A183" s="29" t="str">
        <x:v>bakersfield:readykern-kayit</x:v>
      </x:c>
      <x:c r="B183" s="29" t="str">
        <x:v>bakersfield</x:v>
      </x:c>
      <x:c r="C183" s="29" t="str">
        <x:v>readykern-kayit</x:v>
      </x:c>
      <x:c r="D183" s="29" t="str">
        <x:v>ReadyKern acil bildirimlerine kaydol</x:v>
      </x:c>
      <x:c r="E183" s="29" t="str">
        <x:v>Günlük hayat</x:v>
      </x:c>
      <x:c r="F183" s="29" t="str">
        <x:v>Kern County'nin ReadyKern sistemi, acil durum iletişiminde kullanılan yerel kayıt kanallarından biridir. Hane içindeki farklı kişilerin telefonları ve önemli adresler planın parçası olabilir. Kayıt yapmayı, tahliye halinde gidilecek yer ve ulaşım hazırlığıyla birleştir.</x:v>
      </x:c>
      <x:c r="G183" s="29" t="str">
        <x:v>ReadyKern acil bildirimlerine kaydol</x:v>
      </x:c>
      <x:c r="H183" s="29" t="str">
        <x:v>before;new;settled</x:v>
      </x:c>
      <x:c r="I183" s="29" t="str">
        <x:v>bakersfield:src:17672</x:v>
      </x:c>
      <x:c r="J183" s="31" t="d">
        <x:v>2026-10-24T00:00:00.000Z</x:v>
      </x:c>
      <x:c r="K183" s="35" t="n">
        <x:v>175</x:v>
      </x:c>
      <x:c r="L183" s="29" t="str">
        <x:v>Evet</x:v>
      </x:c>
      <x:c r="M183" s="29" t="str">
        <x:v>İnceleme</x:v>
      </x:c>
      <x:c r="N183" s="29" t="str">
        <x:v>bakersfield:gunluk</x:v>
      </x:c>
      <x:c r="O183" s="29" t="str">
        <x:v>Resmî ReadyKern bağlantısından kaydol
Güncel telefon ve adresleri ekle
Aile içinde bildirimi kimin takip edeceğini belirle</x:v>
      </x:c>
      <x:c r="P183" s="29" t="str">
        <x:v>Telefon
İlgili adresler</x:v>
      </x:c>
      <x:c r="Q183" s="29" t="str">
        <x:v>Taşınınca kaydol, telefon/adres değişince güncelle.</x:v>
      </x:c>
      <x:c r="R183" s="29" t="str">
        <x:v>Kamu uyarı sistemine kayıt ücretsizdir; mobil operatörün mesaj/veri koşulları ayrı olabilir.</x:v>
      </x:c>
      <x:c r="S183" s="29"/>
      <x:c r="T183" s="29"/>
    </x:row>
    <x:row r="184" ht="96" customHeight="1">
      <x:c r="A184" s="29" t="str">
        <x:v>bakersfield:tahliye-bolgesi</x:v>
      </x:c>
      <x:c r="B184" s="29" t="str">
        <x:v>bakersfield</x:v>
      </x:c>
      <x:c r="C184" s="29" t="str">
        <x:v>tahliye-bolgesi</x:v>
      </x:c>
      <x:c r="D184" s="29" t="str">
        <x:v>Tahliye haritasındaki bölgeyi adresinle eşleştir</x:v>
      </x:c>
      <x:c r="E184" s="29" t="str">
        <x:v>Günlük hayat</x:v>
      </x:c>
      <x:c r="F184" s="29" t="str">
        <x:v>Kern County'nin tahliye yönetimi, olay sırasında yayınlanan bölge ve talimatlara dayanır. Bir uyarı ile tahliye emri aynı şey değildir. Genasys Protect bağlantısını resmî county yönlendirmesinden açıp ev, iş ve aile adreslerini önceden tanımak acil durumda zaman kazandırır.</x:v>
      </x:c>
      <x:c r="G184" s="29" t="str">
        <x:v>Tahliye haritasındaki bölgeyi adresinle eşleştir</x:v>
      </x:c>
      <x:c r="H184" s="29" t="str">
        <x:v>before;new;settled</x:v>
      </x:c>
      <x:c r="I184" s="29" t="str">
        <x:v>bakersfield:src:17673</x:v>
      </x:c>
      <x:c r="J184" s="31" t="d">
        <x:v>2026-10-24T00:00:00.000Z</x:v>
      </x:c>
      <x:c r="K184" s="35" t="n">
        <x:v>176</x:v>
      </x:c>
      <x:c r="L184" s="29" t="str">
        <x:v>Hayır</x:v>
      </x:c>
      <x:c r="M184" s="29" t="str">
        <x:v>İnceleme</x:v>
      </x:c>
      <x:c r="N184" s="29" t="str">
        <x:v>bakersfield:gunluk</x:v>
      </x:c>
      <x:c r="O184" s="29" t="str">
        <x:v>İlgili adreslerin tahliye bölgesini bul
Uyarı ve emir bilgisini ayrı takip et
Çıkış rotası ile buluşma yerini belirle</x:v>
      </x:c>
      <x:c r="P184" s="29" t="str">
        <x:v>Adresler
Aile iletişim planı</x:v>
      </x:c>
      <x:c r="Q184" s="29" t="str">
        <x:v>Adres bölgelerini önceden belirle; aktif olayda uyarı ve emri gerçek zamanda izle.</x:v>
      </x:c>
      <x:c r="R184" s="29" t="str">
        <x:v>Resmî tahliye haritası kamu erişimidir; ulaşım/konaklama masrafı kişisel plana bağlıdır.</x:v>
      </x:c>
      <x:c r="S184" s="29"/>
      <x:c r="T184" s="29"/>
    </x:row>
    <x:row r="185" ht="124" customHeight="1">
      <x:c r="A185" s="29" t="str">
        <x:v>bakersfield:deprem-erken-uyari</x:v>
      </x:c>
      <x:c r="B185" s="29" t="str">
        <x:v>bakersfield</x:v>
      </x:c>
      <x:c r="C185" s="29" t="str">
        <x:v>deprem-erken-uyari</x:v>
      </x:c>
      <x:c r="D185" s="29" t="str">
        <x:v>Deprem uyarısını telefonunda etkinleştir</x:v>
      </x:c>
      <x:c r="E185" s="29" t="str">
        <x:v>Günlük hayat</x:v>
      </x:c>
      <x:c r="F185" s="29" t="str">
        <x:v>Kaliforniya'nın erken uyarı yolları arasında MyShake, Android Earthquake Alerts ve Wireless Emergency Alerts bulunur. Sistem depremi önceden tahmin etmez; başlamış sarsıntıyı algılayarak bazı konumlara güçlü sarsıntıdan önce kısa bir süre kazandırabilir. Bildirim ulaşması veya önceden zaman bırakması garanti değildir; evde Çök–Kapan–Tutun uygulamasını ve aile buluşma planını birlikte hazırlamak gerekir.</x:v>
      </x:c>
      <x:c r="G185" s="29" t="str">
        <x:v>Deprem uyarısını telefonunda etkinleştir</x:v>
      </x:c>
      <x:c r="H185" s="29" t="str">
        <x:v>before;new;settled</x:v>
      </x:c>
      <x:c r="I185" s="29" t="str">
        <x:v>bakersfield:src:17741</x:v>
      </x:c>
      <x:c r="J185" s="31" t="d">
        <x:v>2026-10-24T00:00:00.000Z</x:v>
      </x:c>
      <x:c r="K185" s="35" t="n">
        <x:v>177</x:v>
      </x:c>
      <x:c r="L185" s="29" t="str">
        <x:v>Hayır</x:v>
      </x:c>
      <x:c r="M185" s="29" t="str">
        <x:v>İnceleme</x:v>
      </x:c>
      <x:c r="N185" s="29" t="str">
        <x:v>bakersfield:gunluk</x:v>
      </x:c>
      <x:c r="O185" s="29" t="str">
        <x:v>Telefonunun desteklediği uyarı kanalını aç
Konum ve acil bildirim ayarlarını düzenle
Evde güvenli alanları ailece belirle</x:v>
      </x:c>
      <x:c r="P185" s="29" t="str">
        <x:v>Telefon bildirim ayarları
Aile planı</x:v>
      </x:c>
      <x:c r="Q185" s="29" t="str">
        <x:v>Sistem başlamış depremi algılar; haber saniyeler önce, sarsıntı sırasında veya sonrasında gelebilir.</x:v>
      </x:c>
      <x:c r="R185" s="29" t="str">
        <x:v>MyShake ücretsizdir; desteklenen telefon/acil bildirim ayarları gerekir.</x:v>
      </x:c>
      <x:c r="S185" s="29"/>
      <x:c r="T185" s="29"/>
    </x:row>
    <x:row r="186" ht="82" customHeight="1">
      <x:c r="A186" s="29" t="str">
        <x:v>bakersfield:belediye-talebi</x:v>
      </x:c>
      <x:c r="B186" s="29" t="str">
        <x:v>bakersfield</x:v>
      </x:c>
      <x:c r="C186" s="29" t="str">
        <x:v>belediye-talebi</x:v>
      </x:c>
      <x:c r="D186" s="29" t="str">
        <x:v>Yerel hizmet talebini konum ve fotoğrafla gönder</x:v>
      </x:c>
      <x:c r="E186" s="29" t="str">
        <x:v>Günlük hayat</x:v>
      </x:c>
      <x:c r="F186" s="29" t="str">
        <x:v>Yol, kaldırım, aydınlatma veya başka belediye hizmet sorununda tam konum ve kısa açıklama başvuruyu anlaşılır kılar. Acil tehlike ile rutin hizmet talebi aynı kanal değildir. Bildirimden sonra kayıt numarasını saklamak, aynı konuyu tekrar anlatmadan takip etmeyi sağlar.</x:v>
      </x:c>
      <x:c r="G186" s="29" t="str">
        <x:v>Yerel hizmet talebini konum ve fotoğrafla gönder</x:v>
      </x:c>
      <x:c r="H186" s="29" t="str">
        <x:v>before;new;settled</x:v>
      </x:c>
      <x:c r="I186" s="29" t="str">
        <x:v>bakersfield:src:17602;bakersfield:src:17604</x:v>
      </x:c>
      <x:c r="J186" s="31" t="d">
        <x:v>2026-10-24T00:00:00.000Z</x:v>
      </x:c>
      <x:c r="K186" s="35" t="n">
        <x:v>178</x:v>
      </x:c>
      <x:c r="L186" s="29" t="str">
        <x:v>Hayır</x:v>
      </x:c>
      <x:c r="M186" s="29" t="str">
        <x:v>İnceleme</x:v>
      </x:c>
      <x:c r="N186" s="29" t="str">
        <x:v>bakersfield:gunluk</x:v>
      </x:c>
      <x:c r="O186" s="29" t="str">
        <x:v>Sorunun adresini veya kavşağını belirle
Güvenli konumdan fotoğraf ve kısa açıklama hazırla
Yetkili kurumun kayıt numarasını sakla</x:v>
      </x:c>
      <x:c r="P186" s="29" t="str">
        <x:v>Konum
Açıklama
Varsa fotoğraf</x:v>
      </x:c>
      <x:c r="Q186" s="29" t="str">
        <x:v>Acil tehlikede rutin kayıt kuyruğunu bekleme; normal başvuruda kayıt numarasıyla izle.</x:v>
      </x:c>
      <x:c r="R186" s="29" t="str">
        <x:v>Rutin bildirim ile özel iş/ruhsat hizmetinin ücretini ayır.</x:v>
      </x:c>
      <x:c r="S186" s="29"/>
      <x:c r="T186" s="29"/>
    </x:row>
    <x:row r="187" ht="124" customHeight="1">
      <x:c r="A187" s="29" t="str">
        <x:v>bakersfield:kutuphane-cikti</x:v>
      </x:c>
      <x:c r="B187" s="29" t="str">
        <x:v>bakersfield</x:v>
      </x:c>
      <x:c r="C187" s="29" t="str">
        <x:v>kutuphane-cikti</x:v>
      </x:c>
      <x:c r="D187" s="29" t="str">
        <x:v>Kütüphaneye dosya göndererek çıktı al</x:v>
      </x:c>
      <x:c r="E187" s="29" t="str">
        <x:v>Günlük hayat</x:v>
      </x:c>
      <x:c r="F187" s="29" t="str">
        <x:v>Kern County Library'nin katılan şubelerine bilgisayar veya telefonundan kablosuz baskı işi gönderebilirsin. Gönderimde kullandığın e-posta adresi, çıktıyı teslim alırken işini bulmak için gerekir. Baskı işinin teslim penceresi üç gündür; ekranda görülen bedel satış vergisini içermez. Dosyayı gönderirken doğru şubeyi seç ve kişisel belgelerde paylaşılan cihazda açık oturum bırakma.</x:v>
      </x:c>
      <x:c r="G187" s="29" t="str">
        <x:v>Kütüphaneye dosya göndererek çıktı al</x:v>
      </x:c>
      <x:c r="H187" s="29" t="str">
        <x:v>before;new;settled</x:v>
      </x:c>
      <x:c r="I187" s="29" t="str">
        <x:v>bakersfield:src:17742</x:v>
      </x:c>
      <x:c r="J187" s="31" t="d">
        <x:v>2026-10-24T00:00:00.000Z</x:v>
      </x:c>
      <x:c r="K187" s="35" t="n">
        <x:v>179</x:v>
      </x:c>
      <x:c r="L187" s="29" t="str">
        <x:v>Hayır</x:v>
      </x:c>
      <x:c r="M187" s="29" t="str">
        <x:v>İnceleme</x:v>
      </x:c>
      <x:c r="N187" s="29" t="str">
        <x:v>bakersfield:gunluk</x:v>
      </x:c>
      <x:c r="O187" s="29" t="str">
        <x:v>Çıktıyı alacağın şubeyi seç
Dosyayı gönder ve iş bilgilerini sakla
Üç gün içinde ilgili şubede teslim al</x:v>
      </x:c>
      <x:c r="P187" s="29" t="str">
        <x:v>Yazdırılacak dosya
Gönderimde kullanılan e-posta</x:v>
      </x:c>
      <x:c r="Q187" s="29" t="str">
        <x:v>Gönderilen baskı işi üç gün içinde teslim alınmalı; şubenin açık saatlerini kullan.</x:v>
      </x:c>
      <x:c r="R187" s="29" t="str">
        <x:v>Baskı bedeli kütüphanenin tarife çizelgesine göre; ekrandaki tutara satış vergisi dahil değildir.</x:v>
      </x:c>
      <x:c r="S187" s="29"/>
      <x:c r="T187" s="29"/>
    </x:row>
    <x:row r="188" ht="96" customHeight="1">
      <x:c r="A188" s="29" t="str">
        <x:v>bakersfield:hak-belge</x:v>
      </x:c>
      <x:c r="B188" s="29" t="str">
        <x:v>bakersfield</x:v>
      </x:c>
      <x:c r="C188" s="29" t="str">
        <x:v>hak-belge</x:v>
      </x:c>
      <x:c r="D188" s="29" t="str">
        <x:v>Uyuşmazlığı belge ve tarih sırasıyla hazırla</x:v>
      </x:c>
      <x:c r="E188" s="29" t="str">
        <x:v>Haklar ve destek</x:v>
      </x:c>
      <x:c r="F188" s="29" t="str">
        <x:v>Kira, ücret veya tüketici uyuşmazlığında en yararlı başlangıç, olayların kısa bir zaman çizelgesidir. Sözleşme, ödeme ve mesajların asıllarını saklayıp paylaşılacak kopyaları ayır. Bu hazırlık bir hakkın varlığını tek başına kanıtlamaz; ilgili kurumun olayı anlamasını kolaylaştırır.</x:v>
      </x:c>
      <x:c r="G188" s="29" t="str">
        <x:v>Uyuşmazlığı belge ve tarih sırasıyla hazırla</x:v>
      </x:c>
      <x:c r="H188" s="29" t="str">
        <x:v>before;new;settled</x:v>
      </x:c>
      <x:c r="I188" s="29" t="str">
        <x:v>bakersfield:src:17678;bakersfield:src:17679</x:v>
      </x:c>
      <x:c r="J188" s="31" t="d">
        <x:v>2026-10-24T00:00:00.000Z</x:v>
      </x:c>
      <x:c r="K188" s="35" t="n">
        <x:v>180</x:v>
      </x:c>
      <x:c r="L188" s="29" t="str">
        <x:v>Hayır</x:v>
      </x:c>
      <x:c r="M188" s="29" t="str">
        <x:v>İnceleme</x:v>
      </x:c>
      <x:c r="N188" s="29" t="str">
        <x:v>bakersfield:haklar</x:v>
      </x:c>
      <x:c r="O188" s="29" t="str">
        <x:v>Olayları tarih sırasıyla yaz
Belgeleri konuya göre numarala
Talebini ve beklediğin çözümü kısa cümleyle belirt</x:v>
      </x:c>
      <x:c r="P188" s="29" t="str">
        <x:v>Sözleşme
Ödeme kayıtları
Yazışmalar</x:v>
      </x:c>
      <x:c r="Q188" s="29" t="str">
        <x:v>Olay anında kaydı başlat; tebligat süresi varsa belge toplarken son tarihi geçirme.</x:v>
      </x:c>
      <x:c r="R188" s="29" t="str">
        <x:v>Belge düzenlemek ücretsiz yapılabilir; resmî kopya, başvuru veya hukuk hizmeti ücretleri ayrı olabilir.</x:v>
      </x:c>
      <x:c r="S188" s="29"/>
      <x:c r="T188" s="29"/>
    </x:row>
    <x:row r="189" ht="96" customHeight="1">
      <x:c r="A189" s="29" t="str">
        <x:v>bakersfield:mahkeme-yardim</x:v>
      </x:c>
      <x:c r="B189" s="29" t="str">
        <x:v>bakersfield</x:v>
      </x:c>
      <x:c r="C189" s="29" t="str">
        <x:v>mahkeme-yardim</x:v>
      </x:c>
      <x:c r="D189" s="29" t="str">
        <x:v>Kern mahkemesinin self-help hizmetini doğru kullan</x:v>
      </x:c>
      <x:c r="E189" s="29" t="str">
        <x:v>Haklar ve destek</x:v>
      </x:c>
      <x:c r="F189" s="29" t="str">
        <x:v>Kern Superior Court'un kişisel yardım kaynakları, belirli mahkeme süreçlerini anlamaya yardımcı olur. Form ve süreç yardımı, seni temsil eden özel avukatla aynı hizmet değildir. Dosyanın türünü ve varsa tebligat tarihini baştan belirtmek doğru kaynağa ulaşmayı kolaylaştırır.</x:v>
      </x:c>
      <x:c r="G189" s="29" t="str">
        <x:v>Kern mahkemesinin self-help hizmetini doğru kullan</x:v>
      </x:c>
      <x:c r="H189" s="29" t="str">
        <x:v>before;new;settled</x:v>
      </x:c>
      <x:c r="I189" s="29" t="str">
        <x:v>bakersfield:src:17712</x:v>
      </x:c>
      <x:c r="J189" s="31" t="d">
        <x:v>2026-10-24T00:00:00.000Z</x:v>
      </x:c>
      <x:c r="K189" s="35" t="n">
        <x:v>181</x:v>
      </x:c>
      <x:c r="L189" s="29" t="str">
        <x:v>Hayır</x:v>
      </x:c>
      <x:c r="M189" s="29" t="str">
        <x:v>İnceleme</x:v>
      </x:c>
      <x:c r="N189" s="29" t="str">
        <x:v>bakersfield:haklar</x:v>
      </x:c>
      <x:c r="O189" s="29" t="str">
        <x:v>Dosyanın türünü belirle
Mahkemenin uygun self-help bölümünü aç
Gerekli form ve süreleri dosyana göre takip et</x:v>
      </x:c>
      <x:c r="P189" s="29" t="str">
        <x:v>Tebligat
Dosya numarası
İlgili belgeler</x:v>
      </x:c>
      <x:c r="Q189" s="29" t="str">
        <x:v>Dosya türü ve tebligat tarihiyle uygun hizmete başvur; yardım talebi mahkeme süresini durdurmaz.</x:v>
      </x:c>
      <x:c r="R189" s="29" t="str">
        <x:v>Mahkemenin self-help bilgisi özel avukatlık hizmetinden ayrıdır; dosya harcı ayrıca doğabilir.</x:v>
      </x:c>
      <x:c r="S189" s="29"/>
      <x:c r="T189" s="29"/>
    </x:row>
    <x:row r="190" ht="96" customHeight="1">
      <x:c r="A190" s="29" t="str">
        <x:v>bakersfield:small-claims</x:v>
      </x:c>
      <x:c r="B190" s="29" t="str">
        <x:v>bakersfield</x:v>
      </x:c>
      <x:c r="C190" s="29" t="str">
        <x:v>small-claims</x:v>
      </x:c>
      <x:c r="D190" s="29" t="str">
        <x:v>Küçük talepler davasının kapsamını değerlendir</x:v>
      </x:c>
      <x:c r="E190" s="29" t="str">
        <x:v>Haklar ve destek</x:v>
      </x:c>
      <x:c r="F190" s="29" t="str">
        <x:v>California small claims, belirli parasal uyuşmazlıkların ele alındığı ayrı bir süreçtir. Talep sınırı, davacı türü ve başvuru koşulları önemlidir; her anlaşmazlık bu yola uygun değildir. Mahkeme yerini seçmek, karşı tarafa tebligat ve duruşma hazırlığı birbirinden ayrı adımlardır.</x:v>
      </x:c>
      <x:c r="G190" s="29" t="str">
        <x:v>Küçük talepler davasının kapsamını değerlendir</x:v>
      </x:c>
      <x:c r="H190" s="29" t="str">
        <x:v>before;new;settled</x:v>
      </x:c>
      <x:c r="I190" s="29" t="str">
        <x:v>bakersfield:src:6393</x:v>
      </x:c>
      <x:c r="J190" s="31" t="d">
        <x:v>2026-10-24T00:00:00.000Z</x:v>
      </x:c>
      <x:c r="K190" s="35" t="n">
        <x:v>182</x:v>
      </x:c>
      <x:c r="L190" s="29" t="str">
        <x:v>Hayır</x:v>
      </x:c>
      <x:c r="M190" s="29" t="str">
        <x:v>İnceleme</x:v>
      </x:c>
      <x:c r="N190" s="29" t="str">
        <x:v>bakersfield:haklar</x:v>
      </x:c>
      <x:c r="O190" s="29" t="str">
        <x:v>Talebinin bu sürece uygunluğunu incele
Yetkili mahkeme ve taraf bilgilerini belirle
Tebligat ve kanıt dosyasını kurala göre hazırla</x:v>
      </x:c>
      <x:c r="P190" s="29" t="str">
        <x:v>Talep hesabı
Taraf bilgileri
Kanıtlar</x:v>
      </x:c>
      <x:c r="Q190" s="29" t="str">
        <x:v>Dava açma süresi, tebligat ve duruşma takvimi ayrı koşullardır.</x:v>
      </x:c>
      <x:c r="R190" s="29" t="str">
        <x:v>Başvuru ve tebligat giderleri talep ve dosyaya bağlıdır; uygun kişiler harç muafiyeti isteyebilir.</x:v>
      </x:c>
      <x:c r="S190" s="29"/>
      <x:c r="T190" s="29"/>
    </x:row>
    <x:row r="191" ht="82" customHeight="1">
      <x:c r="A191" s="29" t="str">
        <x:v>bakersfield:tebligat</x:v>
      </x:c>
      <x:c r="B191" s="29" t="str">
        <x:v>bakersfield</x:v>
      </x:c>
      <x:c r="C191" s="29" t="str">
        <x:v>tebligat</x:v>
      </x:c>
      <x:c r="D191" s="29" t="str">
        <x:v>Tebligatı sıradan hatırlatma mesajı gibi görme</x:v>
      </x:c>
      <x:c r="E191" s="29" t="str">
        <x:v>Haklar ve destek</x:v>
      </x:c>
      <x:c r="F191" s="29" t="str">
        <x:v>Mahkeme evrakında yanıt veya duruşma için süreler bulunabilir. Belgenin üzerindeki mahkeme, dosya numarası ve teslim tarihini kaydetmek ilk adımdır. Karşı tarafla görüşüyor olmak, mahkeme süresinin kendiliğinden durduğu anlamına gelmez.</x:v>
      </x:c>
      <x:c r="G191" s="29" t="str">
        <x:v>Tebligatı sıradan hatırlatma mesajı gibi görme</x:v>
      </x:c>
      <x:c r="H191" s="29" t="str">
        <x:v>before;new;settled</x:v>
      </x:c>
      <x:c r="I191" s="29" t="str">
        <x:v>bakersfield:src:17712</x:v>
      </x:c>
      <x:c r="J191" s="31" t="d">
        <x:v>2026-10-24T00:00:00.000Z</x:v>
      </x:c>
      <x:c r="K191" s="35" t="n">
        <x:v>183</x:v>
      </x:c>
      <x:c r="L191" s="29" t="str">
        <x:v>Hayır</x:v>
      </x:c>
      <x:c r="M191" s="29" t="str">
        <x:v>İnceleme</x:v>
      </x:c>
      <x:c r="N191" s="29" t="str">
        <x:v>bakersfield:haklar</x:v>
      </x:c>
      <x:c r="O191" s="29" t="str">
        <x:v>Evrakın tüm sayfalarını sakla
Teslim tarihini ve son işlem gününü kaydet
Dosya türüne uygun yardım kanalına başvur</x:v>
      </x:c>
      <x:c r="P191" s="29" t="str">
        <x:v>Tebligatın tamamı
Teslim tarihi</x:v>
      </x:c>
      <x:c r="Q191" s="29" t="str">
        <x:v>Teslim tarihini kaydet; uzlaşma görüşmesi resmî yanıt süresini kendiliğinden durdurmaz.</x:v>
      </x:c>
      <x:c r="R191" s="29" t="str">
        <x:v>Evraka yanıt, dava ve temsil maliyeti dosyanın türüne bağlıdır.</x:v>
      </x:c>
      <x:c r="S191" s="29"/>
      <x:c r="T191" s="29"/>
    </x:row>
    <x:row r="192" ht="96" customHeight="1">
      <x:c r="A192" s="29" t="str">
        <x:v>bakersfield:kiraci-yardim</x:v>
      </x:c>
      <x:c r="B192" s="29" t="str">
        <x:v>bakersfield</x:v>
      </x:c>
      <x:c r="C192" s="29" t="str">
        <x:v>kiraci-yardim</x:v>
      </x:c>
      <x:c r="D192" s="29" t="str">
        <x:v>Kiracı sorununda başvuru yolunu soruna göre seç</x:v>
      </x:c>
      <x:c r="E192" s="29" t="str">
        <x:v>Haklar ve destek</x:v>
      </x:c>
      <x:c r="F192" s="29" t="str">
        <x:v>Onarım, depozito, kira artışı ve tahliye farklı kurallara bağlı olabilir. Sorunu yalnız “ev sahibi anlaşmazlığı” olarak anlatmak yerine somut işlem, tarih ve tutar üzerinden tanımla. Kaliforniya kiracı rehberi ile mahkemenin ilgili yardım sayfasını birlikte kullanmak doğru başvuru türünü belirlemeye yardımcı olur.</x:v>
      </x:c>
      <x:c r="G192" s="29" t="str">
        <x:v>Kiracı sorununda başvuru yolunu soruna göre seç</x:v>
      </x:c>
      <x:c r="H192" s="29" t="str">
        <x:v>before;new;settled</x:v>
      </x:c>
      <x:c r="I192" s="29" t="str">
        <x:v>bakersfield:src:17712;bakersfield:src:6289</x:v>
      </x:c>
      <x:c r="J192" s="31" t="d">
        <x:v>2026-10-24T00:00:00.000Z</x:v>
      </x:c>
      <x:c r="K192" s="35" t="n">
        <x:v>184</x:v>
      </x:c>
      <x:c r="L192" s="29" t="str">
        <x:v>Hayır</x:v>
      </x:c>
      <x:c r="M192" s="29" t="str">
        <x:v>İnceleme</x:v>
      </x:c>
      <x:c r="N192" s="29" t="str">
        <x:v>bakersfield:haklar</x:v>
      </x:c>
      <x:c r="O192" s="29" t="str">
        <x:v>Sorunu tek başlık altında tanımla
Sözleşme ve bildirimleri topla
Süreli mahkeme evrakı varsa öncelik ver</x:v>
      </x:c>
      <x:c r="P192" s="29" t="str">
        <x:v>Kira sözleşmesi
Bildirimler
Ödeme kayıtları</x:v>
      </x:c>
      <x:c r="Q192" s="29" t="str">
        <x:v>Tahliye/tebligat gibi süreli evrakı sıradan bakım talebinden önce ele al.</x:v>
      </x:c>
      <x:c r="R192" s="29" t="str">
        <x:v>Kamu rehberi ücretsizdir; mahkeme harcı, özel avukat veya uygun ücretsiz yardım ayrı olabilir.</x:v>
      </x:c>
      <x:c r="S192" s="29"/>
      <x:c r="T192" s="29"/>
    </x:row>
    <x:row r="193" ht="96" customHeight="1">
      <x:c r="A193" s="29" t="str">
        <x:v>bakersfield:konut-ayrimcilik</x:v>
      </x:c>
      <x:c r="B193" s="29" t="str">
        <x:v>bakersfield</x:v>
      </x:c>
      <x:c r="C193" s="29" t="str">
        <x:v>konut-ayrimcilik</x:v>
      </x:c>
      <x:c r="D193" s="29" t="str">
        <x:v>Konut ayrımcılığı şüphesinde karşılaştırılabilir kayıt tut</x:v>
      </x:c>
      <x:c r="E193" s="29" t="str">
        <x:v>Haklar ve destek</x:v>
      </x:c>
      <x:c r="F193" s="29" t="str">
        <x:v>Konut başvurusu veya kiralama sürecinde korunan özelliklere dayalı farklı muamele, California Civil Rights Department'ın alanına girebilir. Bir reddin tek başına ayrımcılık kanıtı olduğunu varsaymadan ilan, kriter ve yazışmaları sakla. Olayın tarihi ve söylenen ifadeler değerlendirmede önemlidir.</x:v>
      </x:c>
      <x:c r="G193" s="29" t="str">
        <x:v>Konut ayrımcılığı şüphesinde karşılaştırılabilir kayıt tut</x:v>
      </x:c>
      <x:c r="H193" s="29" t="str">
        <x:v>before;new;settled</x:v>
      </x:c>
      <x:c r="I193" s="29" t="str">
        <x:v>bakersfield:src:6368;bakersfield:src:6950</x:v>
      </x:c>
      <x:c r="J193" s="31" t="d">
        <x:v>2026-10-24T00:00:00.000Z</x:v>
      </x:c>
      <x:c r="K193" s="35" t="n">
        <x:v>185</x:v>
      </x:c>
      <x:c r="L193" s="29" t="str">
        <x:v>Hayır</x:v>
      </x:c>
      <x:c r="M193" s="29" t="str">
        <x:v>İnceleme</x:v>
      </x:c>
      <x:c r="N193" s="29" t="str">
        <x:v>bakersfield:haklar</x:v>
      </x:c>
      <x:c r="O193" s="29" t="str">
        <x:v>İlanı ve başvuru koşullarını kaydet
Yazışma ve karar tarihlerini sakla
CRD'nin konut başvuru yolunu kullan</x:v>
      </x:c>
      <x:c r="P193" s="29" t="str">
        <x:v>İlan
Başvuru
Yazışmalar</x:v>
      </x:c>
      <x:c r="Q193" s="29" t="str">
        <x:v>Konut ayrımcılığı için genel CRD başvuru süresi olaydan itibaren 1 yıldır; özel koşullar ayrıca değerlendirilir.</x:v>
      </x:c>
      <x:c r="R193" s="29" t="str">
        <x:v>CRD başvuru hizmeti ücretsizdir.</x:v>
      </x:c>
      <x:c r="S193" s="29"/>
      <x:c r="T193" s="29"/>
    </x:row>
    <x:row r="194" ht="96" customHeight="1">
      <x:c r="A194" s="29" t="str">
        <x:v>bakersfield:engelli-duzenleme</x:v>
      </x:c>
      <x:c r="B194" s="29" t="str">
        <x:v>bakersfield</x:v>
      </x:c>
      <x:c r="C194" s="29" t="str">
        <x:v>engelli-duzenleme</x:v>
      </x:c>
      <x:c r="D194" s="29" t="str">
        <x:v>Erişilebilirlik ihtiyacını somut işlevle anlat</x:v>
      </x:c>
      <x:c r="E194" s="29" t="str">
        <x:v>Haklar ve destek</x:v>
      </x:c>
      <x:c r="F194" s="29" t="str">
        <x:v>Erişilebilirlik talebinde “yardım gerekiyor” demektense hangi engelin hangi hizmete erişimi zorlaştırdığını anlatmak daha kullanışlıdır. İş, konut ve halka açık hizmetlerde uygulanacak kurallar aynı olmayabilir. İhtiyacın, istenen düzenleme ve kurumun yanıtını yazılı tut.</x:v>
      </x:c>
      <x:c r="G194" s="29" t="str">
        <x:v>Erişilebilirlik ihtiyacını somut işlevle anlat</x:v>
      </x:c>
      <x:c r="H194" s="29" t="str">
        <x:v>before;new;settled</x:v>
      </x:c>
      <x:c r="I194" s="29" t="str">
        <x:v>bakersfield:src:17680;bakersfield:src:6950;bakersfield:src:6879</x:v>
      </x:c>
      <x:c r="J194" s="31" t="d">
        <x:v>2026-10-24T00:00:00.000Z</x:v>
      </x:c>
      <x:c r="K194" s="35" t="n">
        <x:v>186</x:v>
      </x:c>
      <x:c r="L194" s="29" t="str">
        <x:v>Hayır</x:v>
      </x:c>
      <x:c r="M194" s="29" t="str">
        <x:v>İnceleme</x:v>
      </x:c>
      <x:c r="N194" s="29" t="str">
        <x:v>bakersfield:haklar</x:v>
      </x:c>
      <x:c r="O194" s="29" t="str">
        <x:v>Hizmete erişimi zorlaştıran durumu tanımla
İşlevsel çözüm talebini açık yaz
Yanıtı ve uygulamayı kaydet</x:v>
      </x:c>
      <x:c r="P194" s="29" t="str">
        <x:v>Talep ve yanıt kayıtları</x:v>
      </x:c>
      <x:c r="Q194" s="29" t="str">
        <x:v>İhtiyaç doğduğunda talebi yazılı ilet; yaklaşan iş/konut/hizmet tarihini belirt.</x:v>
      </x:c>
      <x:c r="R194" s="29" t="str">
        <x:v>Makul düzenleme, fiziksel değişiklik ve özel hizmetin ödeme kuralları aynı değildir.</x:v>
      </x:c>
      <x:c r="S194" s="29"/>
      <x:c r="T194" s="29"/>
    </x:row>
    <x:row r="195" ht="96" customHeight="1">
      <x:c r="A195" s="29" t="str">
        <x:v>bakersfield:avukat-dogrula</x:v>
      </x:c>
      <x:c r="B195" s="29" t="str">
        <x:v>bakersfield</x:v>
      </x:c>
      <x:c r="C195" s="29" t="str">
        <x:v>avukat-dogrula</x:v>
      </x:c>
      <x:c r="D195" s="29" t="str">
        <x:v>Avukatın kayıt ve görev alanını doğrula</x:v>
      </x:c>
      <x:c r="E195" s="29" t="str">
        <x:v>Haklar ve destek</x:v>
      </x:c>
      <x:c r="F195" s="29" t="str">
        <x:v>Bir kişinin sosyal medya hesabında danışman yazması, avukatlık veya göçmenlik temsil yetkisi bulunduğunu göstermez. Kaliforniya avukat kaydı ile DOJ'nin yetkili göçmenlik temsilcisi düzeni farklı kanallardır. Hizmeti veren kişi, kapsam ve ücret sözleşmede açık görünmelidir.</x:v>
      </x:c>
      <x:c r="G195" s="29" t="str">
        <x:v>Avukatın kayıt ve görev alanını doğrula</x:v>
      </x:c>
      <x:c r="H195" s="29" t="str">
        <x:v>before;new;settled</x:v>
      </x:c>
      <x:c r="I195" s="29" t="str">
        <x:v>bakersfield:src:6947;bakersfield:src:17615</x:v>
      </x:c>
      <x:c r="J195" s="31" t="d">
        <x:v>2026-10-24T00:00:00.000Z</x:v>
      </x:c>
      <x:c r="K195" s="35" t="n">
        <x:v>187</x:v>
      </x:c>
      <x:c r="L195" s="29" t="str">
        <x:v>Hayır</x:v>
      </x:c>
      <x:c r="M195" s="29" t="str">
        <x:v>İnceleme</x:v>
      </x:c>
      <x:c r="N195" s="29" t="str">
        <x:v>bakersfield:haklar</x:v>
      </x:c>
      <x:c r="O195" s="29" t="str">
        <x:v>İsim ve kayıt numarasını yetkili dizinde ara
İşin kapsamını ve ücretini yazılı al
Belgelerin asıllarını teslim ederken kayıt tut</x:v>
      </x:c>
      <x:c r="P195" s="29" t="str">
        <x:v>Temsilci adı
Kayıt bilgisi
Sözleşme</x:v>
      </x:c>
      <x:c r="Q195" s="29" t="str">
        <x:v>Sözleşme ve ödeme öncesi kayıt durumunu ve yetki kapsamını doğrula.</x:v>
      </x:c>
      <x:c r="R195" s="29" t="str">
        <x:v>State Bar ve DOJ kamu dizinleri ücretsiz sorgulanabilir; temsil bedeli hizmet sözleşmesinde olmalıdır.</x:v>
      </x:c>
      <x:c r="S195" s="29"/>
      <x:c r="T195" s="29"/>
    </x:row>
    <x:row r="196" ht="96" customHeight="1">
      <x:c r="A196" s="29" t="str">
        <x:v>bakersfield:notario</x:v>
      </x:c>
      <x:c r="B196" s="29" t="str">
        <x:v>bakersfield</x:v>
      </x:c>
      <x:c r="C196" s="29" t="str">
        <x:v>notario</x:v>
      </x:c>
      <x:c r="D196" s="29" t="str">
        <x:v>Noter unvanını göçmenlik danışmanlığıyla karıştırma</x:v>
      </x:c>
      <x:c r="E196" s="29" t="str">
        <x:v>Haklar ve destek</x:v>
      </x:c>
      <x:c r="F196" s="29" t="str">
        <x:v>ABD'de notary public unvanı, kişiye göçmenlik konusunda hukuki temsil yetkisi vermez. Form doldurma yardımı ile statü veya dava hakkında hukuki tavsiye ayrı işlerdir. Kesin sonuç vaadi, boş forma imza veya belgenin aslını geri vermeme gibi durumlarda işlemi yeniden değerlendir.</x:v>
      </x:c>
      <x:c r="G196" s="29" t="str">
        <x:v>Noter unvanını göçmenlik danışmanlığıyla karıştırma</x:v>
      </x:c>
      <x:c r="H196" s="29" t="str">
        <x:v>before;new;settled</x:v>
      </x:c>
      <x:c r="I196" s="29" t="str">
        <x:v>bakersfield:src:17907;bakersfield:src:17615</x:v>
      </x:c>
      <x:c r="J196" s="31" t="d">
        <x:v>2026-10-24T00:00:00.000Z</x:v>
      </x:c>
      <x:c r="K196" s="35" t="n">
        <x:v>188</x:v>
      </x:c>
      <x:c r="L196" s="29" t="str">
        <x:v>Hayır</x:v>
      </x:c>
      <x:c r="M196" s="29" t="str">
        <x:v>İnceleme</x:v>
      </x:c>
      <x:c r="N196" s="29" t="str">
        <x:v>bakersfield:haklar</x:v>
      </x:c>
      <x:c r="O196" s="29" t="str">
        <x:v>Hizmet verenin yetkisini resmî dizinde bul
Boş formu imzalama
Gönderilen her formun tam kopyasını sakla</x:v>
      </x:c>
      <x:c r="P196" s="29" t="str">
        <x:v>Form kopyaları
Ödeme ve hizmet belgesi</x:v>
      </x:c>
      <x:c r="Q196" s="29" t="str">
        <x:v>Form imzasından ve belge tesliminden önce yetkiyi ve hizmet kapsamını belirle.</x:v>
      </x:c>
      <x:c r="R196" s="29" t="str">
        <x:v>Noter ücreti hukukî temsil ücreti veya yetkisi anlamına gelmez.</x:v>
      </x:c>
      <x:c r="S196" s="29"/>
      <x:c r="T196" s="29"/>
    </x:row>
    <x:row r="197" ht="96" customHeight="1">
      <x:c r="A197" s="29" t="str">
        <x:v>bakersfield:tuketici-basvuru</x:v>
      </x:c>
      <x:c r="B197" s="29" t="str">
        <x:v>bakersfield</x:v>
      </x:c>
      <x:c r="C197" s="29" t="str">
        <x:v>tuketici-basvuru</x:v>
      </x:c>
      <x:c r="D197" s="29" t="str">
        <x:v>Tüketici şikâyetini doğru kuruma yönlendir</x:v>
      </x:c>
      <x:c r="E197" s="29" t="str">
        <x:v>Haklar ve destek</x:v>
      </x:c>
      <x:c r="F197" s="29" t="str">
        <x:v>California Department of Consumer Affairs birçok ruhsatlı meslek ve hizmet için başvuru kaynakları sunar; bütün ürün anlaşmazlıklarını doğrudan çözmez. İşletmenin faaliyet alanına göre kurul, satıcı, banka veya başka kurum yetkili olabilir. Önce sorunun ve talebin kısa özetini hazırlamak tekrar başvuruyu azaltır.</x:v>
      </x:c>
      <x:c r="G197" s="29" t="str">
        <x:v>Tüketici şikâyetini doğru kuruma yönlendir</x:v>
      </x:c>
      <x:c r="H197" s="29" t="str">
        <x:v>before;new;settled</x:v>
      </x:c>
      <x:c r="I197" s="29" t="str">
        <x:v>bakersfield:src:17679</x:v>
      </x:c>
      <x:c r="J197" s="31" t="d">
        <x:v>2026-10-24T00:00:00.000Z</x:v>
      </x:c>
      <x:c r="K197" s="35" t="n">
        <x:v>189</x:v>
      </x:c>
      <x:c r="L197" s="29" t="str">
        <x:v>Hayır</x:v>
      </x:c>
      <x:c r="M197" s="29" t="str">
        <x:v>İnceleme</x:v>
      </x:c>
      <x:c r="N197" s="29" t="str">
        <x:v>bakersfield:haklar</x:v>
      </x:c>
      <x:c r="O197" s="29" t="str">
        <x:v>İşletmenin hizmet alanını belirle
Fatura ve yazışmaları ekle
Yetkili kurul veya kurum kanalını kullan</x:v>
      </x:c>
      <x:c r="P197" s="29" t="str">
        <x:v>Fatura
Sözleşme
Yazışmalar</x:v>
      </x:c>
      <x:c r="Q197" s="29" t="str">
        <x:v>Ürün/hizmet alanına uygun kurumla fatura ve yazışmaların tarihlerini paylaş.</x:v>
      </x:c>
      <x:c r="R197" s="29" t="str">
        <x:v>DCA kamu şikâyet yönlendirmesi ücretsizdir; uyuşmazlık bedeli otomatik iade edilmez.</x:v>
      </x:c>
      <x:c r="S197" s="29"/>
      <x:c r="T197" s="29"/>
    </x:row>
    <x:row r="198" ht="96" customHeight="1">
      <x:c r="A198" s="29" t="str">
        <x:v>bakersfield:gizli-ucret</x:v>
      </x:c>
      <x:c r="B198" s="29" t="str">
        <x:v>bakersfield</x:v>
      </x:c>
      <x:c r="C198" s="29" t="str">
        <x:v>gizli-ucret</x:v>
      </x:c>
      <x:c r="D198" s="29" t="str">
        <x:v>Fiyat etiketinde zorunlu ek ücretleri ayır</x:v>
      </x:c>
      <x:c r="E198" s="29" t="str">
        <x:v>Haklar ve destek</x:v>
      </x:c>
      <x:c r="F198" s="29" t="str">
        <x:v>Kaliforniya'nın fiyat açıklama kuralları, ilan edilen bedel ve zorunlu ücretler bakımından önemlidir; belirli vergi, teslimat ve sektör istisnaları bulunabilir. Restoran uygulamalarını bütün sektörlere tek kalıp olarak taşımak doğru değildir. İtirazda ilanın ekran görüntüsü ile son faturayı birlikte sakla.</x:v>
      </x:c>
      <x:c r="G198" s="29" t="str">
        <x:v>Fiyat etiketinde zorunlu ek ücretleri ayır</x:v>
      </x:c>
      <x:c r="H198" s="29" t="str">
        <x:v>before;new;settled</x:v>
      </x:c>
      <x:c r="I198" s="29" t="str">
        <x:v>bakersfield:src:17702</x:v>
      </x:c>
      <x:c r="J198" s="31" t="d">
        <x:v>2026-10-24T00:00:00.000Z</x:v>
      </x:c>
      <x:c r="K198" s="35" t="n">
        <x:v>190</x:v>
      </x:c>
      <x:c r="L198" s="29" t="str">
        <x:v>Hayır</x:v>
      </x:c>
      <x:c r="M198" s="29" t="str">
        <x:v>İnceleme</x:v>
      </x:c>
      <x:c r="N198" s="29" t="str">
        <x:v>bakersfield:haklar</x:v>
      </x:c>
      <x:c r="O198" s="29" t="str">
        <x:v>İlan edilen fiyatı kaydet
Zorunlu ek kalemi faturada işaretle
Sektöre uygulanan kuralı esas alarak başvur</x:v>
      </x:c>
      <x:c r="P198" s="29" t="str">
        <x:v>İlan görüntüsü
Fatura</x:v>
      </x:c>
      <x:c r="Q198" s="29" t="str">
        <x:v>İlan ve ödeme ekranını satın alma zamanında sakla.</x:v>
      </x:c>
      <x:c r="R198" s="29" t="str">
        <x:v>Zorunlu ücret, vergi, teslimat ve isteğe bağlı kalemleri ayrı karşılaştır.</x:v>
      </x:c>
      <x:c r="S198" s="29"/>
      <x:c r="T198" s="29"/>
    </x:row>
    <x:row r="199" ht="96" customHeight="1">
      <x:c r="A199" s="29" t="str">
        <x:v>bakersfield:kredi-itiraz</x:v>
      </x:c>
      <x:c r="B199" s="29" t="str">
        <x:v>bakersfield</x:v>
      </x:c>
      <x:c r="C199" s="29" t="str">
        <x:v>kredi-itiraz</x:v>
      </x:c>
      <x:c r="D199" s="29" t="str">
        <x:v>Kredi raporundaki hatayı ilgili kayıttan başlat</x:v>
      </x:c>
      <x:c r="E199" s="29" t="str">
        <x:v>Haklar ve destek</x:v>
      </x:c>
      <x:c r="F199" s="29" t="str">
        <x:v>Kredi raporunda tanımadığın hesap, yanlış bakiye veya kimlik bilgisi varsa hata itirazı ile kimlik hırsızlığı süreci farklı adımlar gerektirebilir. Sadece kredi puanını görmek, sorunun hangi kayıttan kaynaklandığını göstermez. Raporun ilgili satırını ve destekleyen belgeyi birlikte hazırla.</x:v>
      </x:c>
      <x:c r="G199" s="29" t="str">
        <x:v>Kredi raporundaki hatayı ilgili kayıttan başlat</x:v>
      </x:c>
      <x:c r="H199" s="29" t="str">
        <x:v>before;new;settled</x:v>
      </x:c>
      <x:c r="I199" s="29" t="str">
        <x:v>bakersfield:src:17713;bakersfield:src:6556</x:v>
      </x:c>
      <x:c r="J199" s="31" t="d">
        <x:v>2026-10-24T00:00:00.000Z</x:v>
      </x:c>
      <x:c r="K199" s="35" t="n">
        <x:v>191</x:v>
      </x:c>
      <x:c r="L199" s="29" t="str">
        <x:v>Hayır</x:v>
      </x:c>
      <x:c r="M199" s="29" t="str">
        <x:v>İnceleme</x:v>
      </x:c>
      <x:c r="N199" s="29" t="str">
        <x:v>bakersfield:haklar</x:v>
      </x:c>
      <x:c r="O199" s="29" t="str">
        <x:v>Raporun hatalı bölümünü belirle
Rapor kuruluşuna ve bilgi sağlayıcıya uygun itirazı yap
Yanıtları tarihleriyle sakla</x:v>
      </x:c>
      <x:c r="P199" s="29" t="str">
        <x:v>Kredi raporu
Destekleyici belgeler</x:v>
      </x:c>
      <x:c r="Q199" s="29" t="str">
        <x:v>Hata fark edilince büro ve bilgi sağlayıcıya başvur; yanıt ve belge tarihlerini takip et.</x:v>
      </x:c>
      <x:c r="R199" s="29" t="str">
        <x:v>Kredi raporu hatasına itirazı resmî kanaldan kendin ücretsiz yapabilirsin; ücretli repair hizmeti zorunlu değildir.</x:v>
      </x:c>
      <x:c r="S199" s="29"/>
      <x:c r="T199" s="29"/>
    </x:row>
    <x:row r="200" ht="96" customHeight="1">
      <x:c r="A200" s="29" t="str">
        <x:v>bakersfield:kimlik-hirsizligi</x:v>
      </x:c>
      <x:c r="B200" s="29" t="str">
        <x:v>bakersfield</x:v>
      </x:c>
      <x:c r="C200" s="29" t="str">
        <x:v>kimlik-hirsizligi</x:v>
      </x:c>
      <x:c r="D200" s="29" t="str">
        <x:v>Kimlik hırsızlığında hesabı ve resmî bildirimi birlikte ele al</x:v>
      </x:c>
      <x:c r="E200" s="29" t="str">
        <x:v>Haklar ve destek</x:v>
      </x:c>
      <x:c r="F200" s="29" t="str">
        <x:v>Tanımadığın finansal işlem veya senin adına açılmış hesapta bankayla temas ve FTC IdentityTheft.gov planı birbirini tamamlar. Şifre değiştirmek tek başına açılmış sahte hesabı kapatmayabilir. Başvuruların kayıt numaralarını ve işlem tarihlerini tek dosyada toplamak sonraki düzeltmelerde işe yarar.</x:v>
      </x:c>
      <x:c r="G200" s="29" t="str">
        <x:v>Kimlik hırsızlığında hesabı ve resmî bildirimi birlikte ele al</x:v>
      </x:c>
      <x:c r="H200" s="29" t="str">
        <x:v>before;new;settled</x:v>
      </x:c>
      <x:c r="I200" s="29" t="str">
        <x:v>bakersfield:src:6556;bakersfield:src:17910</x:v>
      </x:c>
      <x:c r="J200" s="31" t="d">
        <x:v>2026-10-24T00:00:00.000Z</x:v>
      </x:c>
      <x:c r="K200" s="35" t="n">
        <x:v>192</x:v>
      </x:c>
      <x:c r="L200" s="29" t="str">
        <x:v>Hayır</x:v>
      </x:c>
      <x:c r="M200" s="29" t="str">
        <x:v>İnceleme</x:v>
      </x:c>
      <x:c r="N200" s="29" t="str">
        <x:v>bakersfield:haklar</x:v>
      </x:c>
      <x:c r="O200" s="29" t="str">
        <x:v>Etkilenen kuruluşun resmî kanalına ulaş
FTC'nin kişisel kurtarma planını oluştur
Kredi raporu ve hesap düzeltmelerini takip et</x:v>
      </x:c>
      <x:c r="P200" s="29" t="str">
        <x:v>İşlem kayıtları
Bildirim numaraları</x:v>
      </x:c>
      <x:c r="Q200" s="29" t="str">
        <x:v>Yetkisiz işlem fark edilince ilgili kuruluşla hemen temasa geç; kayıt numaralarını sakla.</x:v>
      </x:c>
      <x:c r="R200" s="29" t="str">
        <x:v>FTC IdentityTheft.gov kişisel kurtarma planı ücretsizdir; banka dosyasının sonucu ayrıca değerlendirilir.</x:v>
      </x:c>
      <x:c r="S200" s="29"/>
      <x:c r="T200" s="29"/>
    </x:row>
    <x:row r="201" ht="138" customHeight="1">
      <x:c r="A201" s="29" t="str">
        <x:v>bakersfield:kart-itirazi</x:v>
      </x:c>
      <x:c r="B201" s="29" t="str">
        <x:v>bakersfield</x:v>
      </x:c>
      <x:c r="C201" s="29" t="str">
        <x:v>kart-itirazi</x:v>
      </x:c>
      <x:c r="D201" s="29" t="str">
        <x:v>Kart işlem itirazında kredi ve banka kartını ayır</x:v>
      </x:c>
      <x:c r="E201" s="29" t="str">
        <x:v>Haklar ve destek</x:v>
      </x:c>
      <x:c r="F201" s="29" t="str">
        <x:v>Kredi kartı ile debit card işlemlerinin itiraz hakları ve süreleri aynı değildir. Yetkisiz işlem fark edildiğinde bankanın resmî kanalına hızla ulaşmak önemlidir. Satıcıyla yürüyen görüşmeyi, bankaya yapılacak süreli bildirimin yerine geçiyor sanma.</x:v>
      </x:c>
      <x:c r="G201" s="29" t="str">
        <x:v>Kart işlem itirazında kredi ve banka kartını ayır</x:v>
      </x:c>
      <x:c r="H201" s="29" t="str">
        <x:v>before;new;settled</x:v>
      </x:c>
      <x:c r="I201" s="29" t="str">
        <x:v>bakersfield:src:17745;bakersfield:src:17707</x:v>
      </x:c>
      <x:c r="J201" s="31" t="d">
        <x:v>2026-10-24T00:00:00.000Z</x:v>
      </x:c>
      <x:c r="K201" s="35" t="n">
        <x:v>193</x:v>
      </x:c>
      <x:c r="L201" s="29" t="str">
        <x:v>Hayır</x:v>
      </x:c>
      <x:c r="M201" s="29" t="str">
        <x:v>İnceleme</x:v>
      </x:c>
      <x:c r="N201" s="29" t="str">
        <x:v>bakersfield:haklar</x:v>
      </x:c>
      <x:c r="O201" s="29" t="str">
        <x:v>Kart türünü ve işlem tarihini belirle
Bankaya uygun bildirim kanalından başvur
Geçici kredi, inceleme ve sonuç belgelerini sakla</x:v>
      </x:c>
      <x:c r="P201" s="29" t="str">
        <x:v>Ekstre
İşlem detayı
Yazışmalar</x:v>
      </x:c>
      <x:c r="Q201" s="29" t="str">
        <x:v>Kredi kartı faturalama hatasında ilk ekstreye yansımasından itibaren 60 takvim günü içinde yazılı bildirim hakları korur. Debit kart kaybı/işlemlerinde farklı ve daha kısa süreler olabilir; hemen bankaya bildir.</x:v>
      </x:c>
      <x:c r="R201" s="29" t="str">
        <x:v>İtiraz ve olası sorumluluk kart türüne/olaya bağlıdır; geçici kredi kesin sonuç değildir.</x:v>
      </x:c>
      <x:c r="S201" s="29"/>
      <x:c r="T201" s="29"/>
    </x:row>
    <x:row r="202" ht="96" customHeight="1">
      <x:c r="A202" s="29" t="str">
        <x:v>bakersfield:borc-tahsili</x:v>
      </x:c>
      <x:c r="B202" s="29" t="str">
        <x:v>bakersfield</x:v>
      </x:c>
      <x:c r="C202" s="29" t="str">
        <x:v>borc-tahsili</x:v>
      </x:c>
      <x:c r="D202" s="29" t="str">
        <x:v>Borç tahsil talebinde alacaklı ve borç bilgisini iste</x:v>
      </x:c>
      <x:c r="E202" s="29" t="str">
        <x:v>Haklar ve destek</x:v>
      </x:c>
      <x:c r="F202" s="29" t="str">
        <x:v>Bir arayanın tahsilat yaptığını söylemesi, borcun doğru kişiye ait olduğunu kanıtlamaz. CFPB'nin borç tahsil kaynakları, doğrulama bilgisi ve itiraz adımlarını anlamaya yardımcı olur. Kişisel bilgi veya ödeme vermeden önce yazılı bilgiyi resmî kanaldan değerlendirmek yararlıdır.</x:v>
      </x:c>
      <x:c r="G202" s="29" t="str">
        <x:v>Borç tahsil talebinde alacaklı ve borç bilgisini iste</x:v>
      </x:c>
      <x:c r="H202" s="29" t="str">
        <x:v>before;new;settled</x:v>
      </x:c>
      <x:c r="I202" s="29" t="str">
        <x:v>bakersfield:src:15804</x:v>
      </x:c>
      <x:c r="J202" s="31" t="d">
        <x:v>2026-10-24T00:00:00.000Z</x:v>
      </x:c>
      <x:c r="K202" s="35" t="n">
        <x:v>194</x:v>
      </x:c>
      <x:c r="L202" s="29" t="str">
        <x:v>Hayır</x:v>
      </x:c>
      <x:c r="M202" s="29" t="str">
        <x:v>İnceleme</x:v>
      </x:c>
      <x:c r="N202" s="29" t="str">
        <x:v>bakersfield:haklar</x:v>
      </x:c>
      <x:c r="O202" s="29" t="str">
        <x:v>Tahsilatçının ve asıl alacaklının bilgisini al
Borç ayrıntısını yazılı incele
İtiraz veya yanıt süresini ilgili bildirime göre takip et</x:v>
      </x:c>
      <x:c r="P202" s="29" t="str">
        <x:v>Borç bildirimi
Ödeme kayıtları</x:v>
      </x:c>
      <x:c r="Q202" s="29" t="str">
        <x:v>Doğrulama bildiriminin itiraz tarihini esas al; mahkeme tebligatı varsa ayrıca süresinde yanıtla.</x:v>
      </x:c>
      <x:c r="R202" s="29" t="str">
        <x:v>Yazılı borç doğrulaması istenmeden arayana ödeme veya hassas bilgi verme.</x:v>
      </x:c>
      <x:c r="S202" s="29"/>
      <x:c r="T202" s="29"/>
    </x:row>
    <x:row r="203" ht="110" customHeight="1">
      <x:c r="A203" s="29" t="str">
        <x:v>bakersfield:otomatik-yenileme</x:v>
      </x:c>
      <x:c r="B203" s="29" t="str">
        <x:v>bakersfield</x:v>
      </x:c>
      <x:c r="C203" s="29" t="str">
        <x:v>otomatik-yenileme</x:v>
      </x:c>
      <x:c r="D203" s="29" t="str">
        <x:v>Abonelik iptalinin kanıtını sakla</x:v>
      </x:c>
      <x:c r="E203" s="29" t="str">
        <x:v>Haklar ve destek</x:v>
      </x:c>
      <x:c r="F203" s="29" t="str">
        <x:v>Bir uygulamayı silmek, aboneliği iptal etmekle aynı şey değildir. California otomatik yenileme kuralları kapsamında çevrimiçi kurulan aboneliğin çevrimiçi iptali mümkün olmalıdır. Üyelikteki iptal adımını tamamla; onayı ve yürürlük tarihini sakla. Sonraki hesap ekstresinde yeniden tahsilat olup olmadığını izlemek, iptal işleminin kaydını takip etmeyi sağlar.</x:v>
      </x:c>
      <x:c r="G203" s="29" t="str">
        <x:v>Abonelik iptalinin kanıtını sakla</x:v>
      </x:c>
      <x:c r="H203" s="29" t="str">
        <x:v>before;new;settled</x:v>
      </x:c>
      <x:c r="I203" s="29" t="str">
        <x:v>bakersfield:src:17911</x:v>
      </x:c>
      <x:c r="J203" s="31" t="d">
        <x:v>2026-10-24T00:00:00.000Z</x:v>
      </x:c>
      <x:c r="K203" s="35" t="n">
        <x:v>195</x:v>
      </x:c>
      <x:c r="L203" s="29" t="str">
        <x:v>Hayır</x:v>
      </x:c>
      <x:c r="M203" s="29" t="str">
        <x:v>İnceleme</x:v>
      </x:c>
      <x:c r="N203" s="29" t="str">
        <x:v>bakersfield:haklar</x:v>
      </x:c>
      <x:c r="O203" s="29" t="str">
        <x:v>Üyelikteki iptal kanalını kullan
İptal onayı ve tarihini sakla
Sonraki ekstrede tekrar tahsilat olup olmadığını izle</x:v>
      </x:c>
      <x:c r="P203" s="29" t="str">
        <x:v>Sözleşme
İptal onayı
Ekstre</x:v>
      </x:c>
      <x:c r="Q203" s="29" t="str">
        <x:v>İptal onayını ve yürürlük gününü sakla; takip eden ekstreyi kontrol et.</x:v>
      </x:c>
      <x:c r="R203" s="29" t="str">
        <x:v>Sözleşme iptali ve son dönem bedeli plan koşuluna bağlıdır; uygulama silmek ücret yükümlülüğünü otomatik bitirmez.</x:v>
      </x:c>
      <x:c r="S203" s="29"/>
      <x:c r="T203" s="29"/>
    </x:row>
    <x:row r="204" ht="96" customHeight="1">
      <x:c r="A204" s="29" t="str">
        <x:v>bakersfield:tamir-teklif</x:v>
      </x:c>
      <x:c r="B204" s="29" t="str">
        <x:v>bakersfield</x:v>
      </x:c>
      <x:c r="C204" s="29" t="str">
        <x:v>tamir-teklif</x:v>
      </x:c>
      <x:c r="D204" s="29" t="str">
        <x:v>Araç onarımında yazılı teklif ve ek iş onayını ayır</x:v>
      </x:c>
      <x:c r="E204" s="29" t="str">
        <x:v>Haklar ve destek</x:v>
      </x:c>
      <x:c r="F204" s="29" t="str">
        <x:v>Kaliforniya'da araç onarım işletmeleri için BAR tüketici kaynakları, teklif ve yetkilendirme sürecini açıklar. Başlangıçtaki teşhis ücreti ile onarım bedeli aynı kalem olmayabilir. Ek işin kapsamını ve maliyetini öğrenmeden genel bir “gerekeni yapın” onayı vermek bütçeyi belirsizleştirir.</x:v>
      </x:c>
      <x:c r="G204" s="29" t="str">
        <x:v>Araç onarımında yazılı teklif ve ek iş onayını ayır</x:v>
      </x:c>
      <x:c r="H204" s="29" t="str">
        <x:v>before;new;settled</x:v>
      </x:c>
      <x:c r="I204" s="29" t="str">
        <x:v>bakersfield:src:17703</x:v>
      </x:c>
      <x:c r="J204" s="31" t="d">
        <x:v>2026-10-24T00:00:00.000Z</x:v>
      </x:c>
      <x:c r="K204" s="35" t="n">
        <x:v>196</x:v>
      </x:c>
      <x:c r="L204" s="29" t="str">
        <x:v>Hayır</x:v>
      </x:c>
      <x:c r="M204" s="29" t="str">
        <x:v>İnceleme</x:v>
      </x:c>
      <x:c r="N204" s="29" t="str">
        <x:v>bakersfield:haklar</x:v>
      </x:c>
      <x:c r="O204" s="29" t="str">
        <x:v>Yazılı teklif ve teşhis ücretini al
Ek iş için ayrı onay düzeni kur
Fatura ve değişen parçaya ilişkin bilgiyi sakla</x:v>
      </x:c>
      <x:c r="P204" s="29" t="str">
        <x:v>İş emri
Teklif
Fatura</x:v>
      </x:c>
      <x:c r="Q204" s="29" t="str">
        <x:v>İşe başlanmadan teklif/onay; ek işten önce kapsam ve bedel için yeni yetkilendirme.</x:v>
      </x:c>
      <x:c r="R204" s="29" t="str">
        <x:v>Teşhis, onarım ve ek iş ayrı ücret kalemleridir.</x:v>
      </x:c>
      <x:c r="S204" s="29"/>
      <x:c r="T204" s="29"/>
    </x:row>
    <x:row r="205" ht="96" customHeight="1">
      <x:c r="A205" s="29" t="str">
        <x:v>bakersfield:mahremiyet</x:v>
      </x:c>
      <x:c r="B205" s="29" t="str">
        <x:v>bakersfield</x:v>
      </x:c>
      <x:c r="C205" s="29" t="str">
        <x:v>mahremiyet</x:v>
      </x:c>
      <x:c r="D205" s="29" t="str">
        <x:v>Veri talebinde şirket ve hakkın kapsamını belirle</x:v>
      </x:c>
      <x:c r="E205" s="29" t="str">
        <x:v>Haklar ve destek</x:v>
      </x:c>
      <x:c r="F205" s="29" t="str">
        <x:v>Kaliforniya gizlilik haklarının kapsamı, işletme ve veri türüne göre değişir. Erişim, silme veya satış/paylaşım tercihi aynı işlem değildir. Her sitenin bütün talepleri kabul etmek zorunda olduğu varsayımı yerine, şirketin yayımladığı resmî gizlilik talep yolunu kullan.</x:v>
      </x:c>
      <x:c r="G205" s="29" t="str">
        <x:v>Veri talebinde şirket ve hakkın kapsamını belirle</x:v>
      </x:c>
      <x:c r="H205" s="29" t="str">
        <x:v>before;new;settled</x:v>
      </x:c>
      <x:c r="I205" s="29" t="str">
        <x:v>bakersfield:src:17725</x:v>
      </x:c>
      <x:c r="J205" s="31" t="d">
        <x:v>2026-10-24T00:00:00.000Z</x:v>
      </x:c>
      <x:c r="K205" s="35" t="n">
        <x:v>197</x:v>
      </x:c>
      <x:c r="L205" s="29" t="str">
        <x:v>Hayır</x:v>
      </x:c>
      <x:c r="M205" s="29" t="str">
        <x:v>İnceleme</x:v>
      </x:c>
      <x:c r="N205" s="29" t="str">
        <x:v>bakersfield:haklar</x:v>
      </x:c>
      <x:c r="O205" s="29" t="str">
        <x:v>İstediğin işlemi açık seç
Şirketin resmî talep kanalını kullan
Kimlik doğrulama ve yanıt kaydını sakla</x:v>
      </x:c>
      <x:c r="P205" s="29" t="str">
        <x:v>Talep kayıt numarası</x:v>
      </x:c>
      <x:c r="Q205" s="29" t="str">
        <x:v>İşletmenin resmî kanalını kullan; kimlik doğrulama ve yanıt takvimini talep türüne göre izle.</x:v>
      </x:c>
      <x:c r="R205" s="29" t="str">
        <x:v>CCPA kapsamındaki bilgi edinme hakkı yılda iki defaya kadar ücretsiz kullanılabilir; diğer hakların koşulları ayrı olabilir.</x:v>
      </x:c>
      <x:c r="S205" s="29"/>
      <x:c r="T205" s="29"/>
    </x:row>
    <x:row r="206" ht="96" customHeight="1">
      <x:c r="A206" s="29" t="str">
        <x:v>bakersfield:dil-destegi</x:v>
      </x:c>
      <x:c r="B206" s="29" t="str">
        <x:v>bakersfield</x:v>
      </x:c>
      <x:c r="C206" s="29" t="str">
        <x:v>dil-destegi</x:v>
      </x:c>
      <x:c r="D206" s="29" t="str">
        <x:v>Resmî işlemde dil desteği ihtiyacını baştan belirt</x:v>
      </x:c>
      <x:c r="E206" s="29" t="str">
        <x:v>Haklar ve destek</x:v>
      </x:c>
      <x:c r="F206" s="29" t="str">
        <x:v>Mahkeme ve kamu hizmetlerinde dil desteğinin yöntemi kuruma ve işlem türüne göre değişebilir. Yakınının günlük çevirisi, resmî tercüman gerekliliğinin yerine her zaman geçmez. Randevuda kullanılacak dili ve belge çevirisi ihtiyacını ayrı belirtmek yanlış hazırlığı önler.</x:v>
      </x:c>
      <x:c r="G206" s="29" t="str">
        <x:v>Resmî işlemde dil desteği ihtiyacını baştan belirt</x:v>
      </x:c>
      <x:c r="H206" s="29" t="str">
        <x:v>before;new;settled</x:v>
      </x:c>
      <x:c r="I206" s="29" t="str">
        <x:v>bakersfield:src:17711</x:v>
      </x:c>
      <x:c r="J206" s="31" t="d">
        <x:v>2026-10-24T00:00:00.000Z</x:v>
      </x:c>
      <x:c r="K206" s="35" t="n">
        <x:v>198</x:v>
      </x:c>
      <x:c r="L206" s="29" t="str">
        <x:v>Hayır</x:v>
      </x:c>
      <x:c r="M206" s="29" t="str">
        <x:v>İnceleme</x:v>
      </x:c>
      <x:c r="N206" s="29" t="str">
        <x:v>bakersfield:haklar</x:v>
      </x:c>
      <x:c r="O206" s="29" t="str">
        <x:v>İşlemin dil desteği kanalını bul
Sözlü tercüman ile yazılı çeviriyi ayır
Randevu onayında verilen düzenlemeyi sakla</x:v>
      </x:c>
      <x:c r="P206" s="29" t="str">
        <x:v>Randevu
Gerekli belgeler</x:v>
      </x:c>
      <x:c r="Q206" s="29" t="str">
        <x:v>Randevudan önce dili ve sözlü/yazılı ihtiyacı kuruma belirt.</x:v>
      </x:c>
      <x:c r="R206" s="29" t="str">
        <x:v>Mahkeme tercümanı, özel tercüman ve yazılı belge çevirisinin ücret kuralları ayrı olabilir.</x:v>
      </x:c>
      <x:c r="S206" s="29"/>
      <x:c r="T206" s="29"/>
    </x:row>
    <x:row r="207" ht="96" customHeight="1">
      <x:c r="A207" s="29" t="str">
        <x:v>bakersfield:hukuk-yardimi</x:v>
      </x:c>
      <x:c r="B207" s="29" t="str">
        <x:v>bakersfield</x:v>
      </x:c>
      <x:c r="C207" s="29" t="str">
        <x:v>hukuk-yardimi</x:v>
      </x:c>
      <x:c r="D207" s="29" t="str">
        <x:v>Ücretsiz veya düşük ücretli hukuk desteğini uygunlukla araştır</x:v>
      </x:c>
      <x:c r="E207" s="29" t="str">
        <x:v>Haklar ve destek</x:v>
      </x:c>
      <x:c r="F207" s="29" t="str">
        <x:v>Greater Bakersfield Legal Assistance, bölgedeki belirli medeni hukuk konuları için başvuru kaynağıdır. Hizmet kapsamı, gelir ve dosya koşulları değerlendirilebilir; her arayana temsil garantisi verilmez. Sorunun türü, tebligat ve yaklaşan süreyi ilk görüşmede açık anlat.</x:v>
      </x:c>
      <x:c r="G207" s="29" t="str">
        <x:v>Ücretsiz veya düşük ücretli hukuk desteğini uygunlukla araştır</x:v>
      </x:c>
      <x:c r="H207" s="29" t="str">
        <x:v>before;new;settled</x:v>
      </x:c>
      <x:c r="I207" s="29" t="str">
        <x:v>bakersfield:src:17620</x:v>
      </x:c>
      <x:c r="J207" s="31" t="d">
        <x:v>2026-10-24T00:00:00.000Z</x:v>
      </x:c>
      <x:c r="K207" s="35" t="n">
        <x:v>199</x:v>
      </x:c>
      <x:c r="L207" s="29" t="str">
        <x:v>Hayır</x:v>
      </x:c>
      <x:c r="M207" s="29" t="str">
        <x:v>İnceleme</x:v>
      </x:c>
      <x:c r="N207" s="29" t="str">
        <x:v>bakersfield:haklar</x:v>
      </x:c>
      <x:c r="O207" s="29" t="str">
        <x:v>Konu ve son tarihi kısa yaz
Kurumun kabul kanalından başvur
İstenen uygunluk ve dosya belgelerini hazırla</x:v>
      </x:c>
      <x:c r="P207" s="29" t="str">
        <x:v>Dosya belgeleri
İstenen uygunluk bilgileri</x:v>
      </x:c>
      <x:c r="Q207" s="29" t="str">
        <x:v>Yaklaşan tebligat/başvuru süresini ilk görüşmede açık belirt.</x:v>
      </x:c>
      <x:c r="R207" s="29" t="str">
        <x:v>GBLA uygun dosyalarda ücretsiz hukuk hizmeti sunar; gelir/konu koşulları ve kaynak kapasitesi değerlendirilir.</x:v>
      </x:c>
      <x:c r="S207" s="29"/>
      <x:c r="T207" s="29"/>
    </x:row>
    <x:row r="208" ht="96" customHeight="1">
      <x:c r="A208" s="29" t="str">
        <x:v>bakersfield:la-konsolosluk</x:v>
      </x:c>
      <x:c r="B208" s="29" t="str">
        <x:v>bakersfield</x:v>
      </x:c>
      <x:c r="C208" s="29" t="str">
        <x:v>la-konsolosluk</x:v>
      </x:c>
      <x:c r="D208" s="29" t="str">
        <x:v>Bakersfield için Los Angeles Başkonsolosluğunu kullan</x:v>
      </x:c>
      <x:c r="E208" s="29" t="str">
        <x:v>Türkiye ile bağın</x:v>
      </x:c>
      <x:c r="F208" s="29" t="str">
        <x:v>Kaliforniya, T.C. Los Angeles Başkonsolosluğunun görev bölgesindedir. Yüz yüze işlemler için yayımlanan adres 8500 Wilshire Boulevard, Suite 900, Beverly Hills'tir. Bakersfield'dan gidişi planlarken randevu, belge hazırlığı ve yol süresini birlikte ele al; şehirde ayrı bir Türk konsolosluk ofisi varmış gibi plan kurma.</x:v>
      </x:c>
      <x:c r="G208" s="29" t="str">
        <x:v>Bakersfield için Los Angeles Başkonsolosluğunu kullan</x:v>
      </x:c>
      <x:c r="H208" s="29" t="str">
        <x:v>before;new;settled</x:v>
      </x:c>
      <x:c r="I208" s="29" t="str">
        <x:v>bakersfield:src:6967</x:v>
      </x:c>
      <x:c r="J208" s="31" t="d">
        <x:v>2026-10-24T00:00:00.000Z</x:v>
      </x:c>
      <x:c r="K208" s="35" t="n">
        <x:v>200</x:v>
      </x:c>
      <x:c r="L208" s="29" t="str">
        <x:v>Hayır</x:v>
      </x:c>
      <x:c r="M208" s="29" t="str">
        <x:v>İnceleme</x:v>
      </x:c>
      <x:c r="N208" s="29" t="str">
        <x:v>bakersfield:turkiye</x:v>
      </x:c>
      <x:c r="O208" s="29" t="str">
        <x:v>İşlem türünü resmî portalda seç
Randevu ve gerekli belgeleri tamamla
Beverly Hills ulaşımını randevu saatine göre planla</x:v>
      </x:c>
      <x:c r="P208" s="29" t="str">
        <x:v>İşleme özgü belgeler
Randevu bilgisi</x:v>
      </x:c>
      <x:c r="Q208" s="29" t="str">
        <x:v>Yayımlanan şahsen başvuru saatleri 09.00–12.30; randevu onayındaki işlem günü ve saatini esas al.</x:v>
      </x:c>
      <x:c r="R208" s="29" t="str">
        <x:v>İşlem harcı, belge/posta ve Bakersfield–Beverly Hills ulaşım gideri ayrı kalemlerdir.</x:v>
      </x:c>
      <x:c r="S208" s="29"/>
      <x:c r="T208" s="29"/>
    </x:row>
    <x:row r="209" ht="82" customHeight="1">
      <x:c r="A209" s="29" t="str">
        <x:v>bakersfield:konsolosluk-randevu</x:v>
      </x:c>
      <x:c r="B209" s="29" t="str">
        <x:v>bakersfield</x:v>
      </x:c>
      <x:c r="C209" s="29" t="str">
        <x:v>konsolosluk-randevu</x:v>
      </x:c>
      <x:c r="D209" s="29" t="str">
        <x:v>Randevuyu işlem türüne göre oluştur</x:v>
      </x:c>
      <x:c r="E209" s="29" t="str">
        <x:v>Türkiye ile bağın</x:v>
      </x:c>
      <x:c r="F209" s="29" t="str">
        <x:v>Konsolosluk portalında pasaport, nüfus, noterlik ve diğer işlemler ayrı başlıklarda yürütülür. Yanlış işlem için alınan randevu, gereken belge ve işlem süresini karşılamayabilir. Birden fazla aile üyesi veya işlem varsa her birinin başvuru düzenini ayrı incele.</x:v>
      </x:c>
      <x:c r="G209" s="29" t="str">
        <x:v>Randevuyu işlem türüne göre oluştur</x:v>
      </x:c>
      <x:c r="H209" s="29" t="str">
        <x:v>before;new;settled</x:v>
      </x:c>
      <x:c r="I209" s="29" t="str">
        <x:v>bakersfield:src:113</x:v>
      </x:c>
      <x:c r="J209" s="31" t="d">
        <x:v>2026-10-24T00:00:00.000Z</x:v>
      </x:c>
      <x:c r="K209" s="35" t="n">
        <x:v>201</x:v>
      </x:c>
      <x:c r="L209" s="29" t="str">
        <x:v>Hayır</x:v>
      </x:c>
      <x:c r="M209" s="29" t="str">
        <x:v>İnceleme</x:v>
      </x:c>
      <x:c r="N209" s="29" t="str">
        <x:v>bakersfield:turkiye</x:v>
      </x:c>
      <x:c r="O209" s="29" t="str">
        <x:v>Doğru temsilcilik ve işlem başlığını seç
Başvuran kişi bilgilerini dikkatle gir
Onay ve belge listesini çevrimdışı sakla</x:v>
      </x:c>
      <x:c r="P209" s="29" t="str">
        <x:v>Kimlik bilgileri
Randevu onayı</x:v>
      </x:c>
      <x:c r="Q209" s="29" t="str">
        <x:v>İşlem türü ve her başvuran için ayrı gereklilikleri randevu öncesi tamamla.</x:v>
      </x:c>
      <x:c r="R209" s="29" t="str">
        <x:v>Randevu ile işlem harcı farklıdır; ilgili işlem için temsilciliğin harç ve ödeme bilgisini kullan.</x:v>
      </x:c>
      <x:c r="S209" s="29"/>
      <x:c r="T209" s="29"/>
    </x:row>
    <x:row r="210" ht="96" customHeight="1">
      <x:c r="A210" s="29" t="str">
        <x:v>bakersfield:pasaport-yenile</x:v>
      </x:c>
      <x:c r="B210" s="29" t="str">
        <x:v>bakersfield</x:v>
      </x:c>
      <x:c r="C210" s="29" t="str">
        <x:v>pasaport-yenile</x:v>
      </x:c>
      <x:c r="D210" s="29" t="str">
        <x:v>Pasaport yenilemeyi seyahatten önce planla</x:v>
      </x:c>
      <x:c r="E210" s="29" t="str">
        <x:v>Türkiye ile bağın</x:v>
      </x:c>
      <x:c r="F210" s="29" t="str">
        <x:v>Pasaport başvurusunda belge, biyometrik fotoğraf ve harç bilgisi işlem türüne göre değişebilir. Randevu günü ile yeni pasaportun teslim tarihi aynı değildir. Mevcut ABD vizesi ve statü belgelerini pasaport yenilemesinden ayrı dosyada tutarak seyahat hazırlığına dahil et.</x:v>
      </x:c>
      <x:c r="G210" s="29" t="str">
        <x:v>Pasaport yenilemeyi seyahatten önce planla</x:v>
      </x:c>
      <x:c r="H210" s="29" t="str">
        <x:v>before;new;settled</x:v>
      </x:c>
      <x:c r="I210" s="29" t="str">
        <x:v>bakersfield:src:17734</x:v>
      </x:c>
      <x:c r="J210" s="31" t="d">
        <x:v>2026-10-24T00:00:00.000Z</x:v>
      </x:c>
      <x:c r="K210" s="35" t="n">
        <x:v>202</x:v>
      </x:c>
      <x:c r="L210" s="29" t="str">
        <x:v>Hayır</x:v>
      </x:c>
      <x:c r="M210" s="29" t="str">
        <x:v>İnceleme</x:v>
      </x:c>
      <x:c r="N210" s="29" t="str">
        <x:v>bakersfield:turkiye</x:v>
      </x:c>
      <x:c r="O210" s="29" t="str">
        <x:v>Pasaport işlem listesini resmî portalda aç
Fotoğraf ve belgeleri istenen biçimde hazırla
Teslimat düzenini ve seyahat tarihini birlikte planla</x:v>
      </x:c>
      <x:c r="P210" s="29" t="str">
        <x:v>Mevcut pasaport
Kimlik
İstenen fotoğraf ve belgeler</x:v>
      </x:c>
      <x:c r="Q210" s="29" t="str">
        <x:v>Randevu günü teslim günü değildir; seyahatten önce başvuru ve teslimat için pay bırak.</x:v>
      </x:c>
      <x:c r="R210" s="29" t="str">
        <x:v>Pasaport süresi/türü, cüzdan ve posta kalemleri güncel temsilcilik tarifesine bağlıdır.</x:v>
      </x:c>
      <x:c r="S210" s="29"/>
      <x:c r="T210" s="29"/>
    </x:row>
    <x:row r="211" ht="82" customHeight="1">
      <x:c r="A211" s="29" t="str">
        <x:v>bakersfield:pasaport-kayip</x:v>
      </x:c>
      <x:c r="B211" s="29" t="str">
        <x:v>bakersfield</x:v>
      </x:c>
      <x:c r="C211" s="29" t="str">
        <x:v>pasaport-kayip</x:v>
      </x:c>
      <x:c r="D211" s="29" t="str">
        <x:v>Kayıp pasaportta seyahat ve ABD kaydını ayrı ele al</x:v>
      </x:c>
      <x:c r="E211" s="29" t="str">
        <x:v>Türkiye ile bağın</x:v>
      </x:c>
      <x:c r="F211" s="29" t="str">
        <x:v>Kayıp Türk pasaportu için konsolosluk işlemi, ABD vizesinin veya statü belgesinin yeniden düzenlenmesiyle aynı süreç değildir. Önce kayıp belgenin numarası ve kopyası gibi bilgileri topla. Acil yolculuk gerekiyorsa konsolosluğa durumu ve seyahat tarihini açıkça belirt.</x:v>
      </x:c>
      <x:c r="G211" s="29" t="str">
        <x:v>Kayıp pasaportta seyahat ve ABD kaydını ayrı ele al</x:v>
      </x:c>
      <x:c r="H211" s="29" t="str">
        <x:v>before;new;settled</x:v>
      </x:c>
      <x:c r="I211" s="29" t="str">
        <x:v>bakersfield:src:17729;bakersfield:src:17734</x:v>
      </x:c>
      <x:c r="J211" s="31" t="d">
        <x:v>2026-10-24T00:00:00.000Z</x:v>
      </x:c>
      <x:c r="K211" s="35" t="n">
        <x:v>203</x:v>
      </x:c>
      <x:c r="L211" s="29" t="str">
        <x:v>Hayır</x:v>
      </x:c>
      <x:c r="M211" s="29" t="str">
        <x:v>İnceleme</x:v>
      </x:c>
      <x:c r="N211" s="29" t="str">
        <x:v>bakersfield:turkiye</x:v>
      </x:c>
      <x:c r="O211" s="29" t="str">
        <x:v>Belge kopyası ve kayıp bilgisini hazırla
Konsolosluğun ilgili işlem kanalına başvur
ABD belgeleri için yetkili kurumun ayrı yolunu izle</x:v>
      </x:c>
      <x:c r="P211" s="29" t="str">
        <x:v>Varsa pasaport kopyası
Kayıp bilgisi
Seyahat planı</x:v>
      </x:c>
      <x:c r="Q211" s="29" t="str">
        <x:v>Kayıp belgenin bilgilerini toparlayıp konsolosluğa başvur; acil seyahat tarihini belirt.</x:v>
      </x:c>
      <x:c r="R211" s="29" t="str">
        <x:v>Yeni belge ve varsa teslim/seyahat işlemleri ilgili tarifeye bağlıdır.</x:v>
      </x:c>
      <x:c r="S211" s="29"/>
      <x:c r="T211" s="29"/>
    </x:row>
    <x:row r="212" ht="82" customHeight="1">
      <x:c r="A212" s="29" t="str">
        <x:v>bakersfield:yurtdisi-adres</x:v>
      </x:c>
      <x:c r="B212" s="29" t="str">
        <x:v>bakersfield</x:v>
      </x:c>
      <x:c r="C212" s="29" t="str">
        <x:v>yurtdisi-adres</x:v>
      </x:c>
      <x:c r="D212" s="29" t="str">
        <x:v>Türkiye kayıtlarındaki yurt dışı adresini düzenle</x:v>
      </x:c>
      <x:c r="E212" s="29" t="str">
        <x:v>Türkiye ile bağın</x:v>
      </x:c>
      <x:c r="F212" s="29" t="str">
        <x:v>ABD'de adres kaydı yapmak, Türkiye'deki adres beyanını otomatik güncellemez. Konsolosluk sistemindeki nüfus ve adres işlemi, USCIS veya DMV bildiriminden ayrı tutulmalıdır. Aynı taşınma için hangi kurumların güncelleneceğini tek listede izlemek eksikliği önler.</x:v>
      </x:c>
      <x:c r="G212" s="29" t="str">
        <x:v>Türkiye kayıtlarındaki yurt dışı adresini düzenle</x:v>
      </x:c>
      <x:c r="H212" s="29" t="str">
        <x:v>before;new;settled</x:v>
      </x:c>
      <x:c r="I212" s="29" t="str">
        <x:v>bakersfield:src:17732</x:v>
      </x:c>
      <x:c r="J212" s="31" t="d">
        <x:v>2026-10-24T00:00:00.000Z</x:v>
      </x:c>
      <x:c r="K212" s="35" t="n">
        <x:v>204</x:v>
      </x:c>
      <x:c r="L212" s="29" t="str">
        <x:v>Hayır</x:v>
      </x:c>
      <x:c r="M212" s="29" t="str">
        <x:v>İnceleme</x:v>
      </x:c>
      <x:c r="N212" s="29" t="str">
        <x:v>bakersfield:turkiye</x:v>
      </x:c>
      <x:c r="O212" s="29" t="str">
        <x:v>Resmî nüfus/adres işlem bilgisini aç
İstenen ikamet kanıtını hazırla
İşlem sonrasında kayıtlı adresini gözden geçir</x:v>
      </x:c>
      <x:c r="P212" s="29" t="str">
        <x:v>Kimlik
İstenen adres kanıtı</x:v>
      </x:c>
      <x:c r="Q212" s="29" t="str">
        <x:v>Taşınmada Türk nüfus adresini ABD kurumlarından ayrı güncelle; işlem sonucunu sakla.</x:v>
      </x:c>
      <x:c r="R212" s="29" t="str">
        <x:v>Adres beyanı ile belge/posta işlemlerinin ücret koşulları farklı olabilir.</x:v>
      </x:c>
      <x:c r="S212" s="29"/>
      <x:c r="T212" s="29"/>
    </x:row>
    <x:row r="213" ht="96" customHeight="1">
      <x:c r="A213" s="29" t="str">
        <x:v>bakersfield:edevlet-erisim</x:v>
      </x:c>
      <x:c r="B213" s="29" t="str">
        <x:v>bakersfield</x:v>
      </x:c>
      <x:c r="C213" s="29" t="str">
        <x:v>edevlet-erisim</x:v>
      </x:c>
      <x:c r="D213" s="29" t="str">
        <x:v>e-Devlet erişimini yurt dışında kullanılabilir tut</x:v>
      </x:c>
      <x:c r="E213" s="29" t="str">
        <x:v>Türkiye ile bağın</x:v>
      </x:c>
      <x:c r="F213" s="29" t="str">
        <x:v>e-Devlet şifresi ve hesap güvenliği, konsolosluk işlemleri menüsünde ayrı başlıktır. Türkiye'deki telefon numarasını değiştirmek, iki aşamalı giriş veya doğrulama mesajlarını etkileyebilir. Hesabını başkasına kullandırmak yerine kendi kurtarma ve doğrulama seçeneklerini düzenle.</x:v>
      </x:c>
      <x:c r="G213" s="29" t="str">
        <x:v>e-Devlet erişimini yurt dışında kullanılabilir tut</x:v>
      </x:c>
      <x:c r="H213" s="29" t="str">
        <x:v>before;new;settled</x:v>
      </x:c>
      <x:c r="I213" s="29" t="str">
        <x:v>bakersfield:src:17737;bakersfield:src:6150</x:v>
      </x:c>
      <x:c r="J213" s="31" t="d">
        <x:v>2026-10-24T00:00:00.000Z</x:v>
      </x:c>
      <x:c r="K213" s="35" t="n">
        <x:v>205</x:v>
      </x:c>
      <x:c r="L213" s="29" t="str">
        <x:v>Hayır</x:v>
      </x:c>
      <x:c r="M213" s="29" t="str">
        <x:v>İnceleme</x:v>
      </x:c>
      <x:c r="N213" s="29" t="str">
        <x:v>bakersfield:turkiye</x:v>
      </x:c>
      <x:c r="O213" s="29" t="str">
        <x:v>Resmî e-Devlet giriş yolunu kullan
Kayıtlı iletişim ve güvenlik seçeneklerini güncelle
Gerekli şifre işlemi için konsolosluk kanalını incele</x:v>
      </x:c>
      <x:c r="P213" s="29" t="str">
        <x:v>Kimlik
Hesap erişim bilgileri</x:v>
      </x:c>
      <x:c r="Q213" s="29" t="str">
        <x:v>Telefon değişmeden kurtarma/iki aşamalı erişimi düzenle; konsolosluk şifre başvurusu için randevu ve şahsen başvuru gerekir.</x:v>
      </x:c>
      <x:c r="R213" s="29" t="str">
        <x:v>e-Devlet hizmetlerinin kendisiyle temsilcilikte şifre işleminin koşulunu ayrı değerlendir.</x:v>
      </x:c>
      <x:c r="S213" s="29"/>
      <x:c r="T213" s="29"/>
    </x:row>
    <x:row r="214" ht="96" customHeight="1">
      <x:c r="A214" s="29" t="str">
        <x:v>bakersfield:vekaletname</x:v>
      </x:c>
      <x:c r="B214" s="29" t="str">
        <x:v>bakersfield</x:v>
      </x:c>
      <x:c r="C214" s="29" t="str">
        <x:v>vekaletname</x:v>
      </x:c>
      <x:c r="D214" s="29" t="str">
        <x:v>Vekâletnamede yapılacak işi açık tanımla</x:v>
      </x:c>
      <x:c r="E214" s="29" t="str">
        <x:v>Türkiye ile bağın</x:v>
      </x:c>
      <x:c r="F214" s="29" t="str">
        <x:v>Türkiye'de bir işlemi başkasına yaptırmak için hazırlanacak vekâletnamenin yetkileri, yapılacak işe uygun olmalıdır. Taşınmaz, banka veya başka işlemde kurumun istediği metin ve bilgiler değişebilir. Genel bir internet şablonunu olduğu gibi kullanmak yerine işlem tarafının gerekli bilgilerini hazırlamak yararlıdır.</x:v>
      </x:c>
      <x:c r="G214" s="29" t="str">
        <x:v>Vekâletnamede yapılacak işi açık tanımla</x:v>
      </x:c>
      <x:c r="H214" s="29" t="str">
        <x:v>before;new;settled</x:v>
      </x:c>
      <x:c r="I214" s="29" t="str">
        <x:v>bakersfield:src:17736</x:v>
      </x:c>
      <x:c r="J214" s="31" t="d">
        <x:v>2026-10-24T00:00:00.000Z</x:v>
      </x:c>
      <x:c r="K214" s="35" t="n">
        <x:v>206</x:v>
      </x:c>
      <x:c r="L214" s="29" t="str">
        <x:v>Hayır</x:v>
      </x:c>
      <x:c r="M214" s="29" t="str">
        <x:v>İnceleme</x:v>
      </x:c>
      <x:c r="N214" s="29" t="str">
        <x:v>bakersfield:turkiye</x:v>
      </x:c>
      <x:c r="O214" s="29" t="str">
        <x:v>Yetki verilecek kişi ve işlemi belirle
İlgili kurumun istediği bilgileri topla
Noterlik randevusuna gerekli belgelerle git</x:v>
      </x:c>
      <x:c r="P214" s="29" t="str">
        <x:v>Kimlik
Vekil bilgileri
İşlem belgeleri</x:v>
      </x:c>
      <x:c r="Q214" s="29" t="str">
        <x:v>Türkiye'de yapılacak işlemden önce alıcı kurumun istediği metin/bilgileri hazırlayıp randevu al.</x:v>
      </x:c>
      <x:c r="R214" s="29" t="str">
        <x:v>Noterlik bedeli işlemin metni ve kapsamına bağlıdır; genel tek ücret verilmez.</x:v>
      </x:c>
      <x:c r="S214" s="29"/>
      <x:c r="T214" s="29"/>
    </x:row>
    <x:row r="215" ht="82" customHeight="1">
      <x:c r="A215" s="29" t="str">
        <x:v>bakersfield:evlilik-kayit</x:v>
      </x:c>
      <x:c r="B215" s="29" t="str">
        <x:v>bakersfield</x:v>
      </x:c>
      <x:c r="C215" s="29" t="str">
        <x:v>evlilik-kayit</x:v>
      </x:c>
      <x:c r="D215" s="29" t="str">
        <x:v>ABD evliliğinin Türkiye tescilini ayrı takip et</x:v>
      </x:c>
      <x:c r="E215" s="29" t="str">
        <x:v>Türkiye ile bağın</x:v>
      </x:c>
      <x:c r="F215" s="29" t="str">
        <x:v>ABD'de düzenlenen evlilik kaydı, Türkiye nüfus sistemine kendiliğinden işlendiği varsayılmamalıdır. Konsolosluğun evlilik tescili belge listesi, yerel belgenin kullanımı açısından önemlidir. Belgenin aslı, onayı ve çeviri gereksinimini işlem türü üzerinden belirle.</x:v>
      </x:c>
      <x:c r="G215" s="29" t="str">
        <x:v>ABD evliliğinin Türkiye tescilini ayrı takip et</x:v>
      </x:c>
      <x:c r="H215" s="29" t="str">
        <x:v>before;new;settled</x:v>
      </x:c>
      <x:c r="I215" s="29" t="str">
        <x:v>bakersfield:src:17733</x:v>
      </x:c>
      <x:c r="J215" s="31" t="d">
        <x:v>2026-10-24T00:00:00.000Z</x:v>
      </x:c>
      <x:c r="K215" s="35" t="n">
        <x:v>207</x:v>
      </x:c>
      <x:c r="L215" s="29" t="str">
        <x:v>Hayır</x:v>
      </x:c>
      <x:c r="M215" s="29" t="str">
        <x:v>İnceleme</x:v>
      </x:c>
      <x:c r="N215" s="29" t="str">
        <x:v>bakersfield:turkiye</x:v>
      </x:c>
      <x:c r="O215" s="29" t="str">
        <x:v>Resmî evlilik belgesini al
Konsolosluğun tescil belge listesini uygula
Başvuru ve kayıt sonucunu sakla</x:v>
      </x:c>
      <x:c r="P215" s="29" t="str">
        <x:v>Evlilik belgesi
Kimlikler
İstenen onaylar</x:v>
      </x:c>
      <x:c r="Q215" s="29" t="str">
        <x:v>Evlilik belgesini aldıktan sonra tescil yolunu başlat; kayıt sonucunu nüfus kaydında izle.</x:v>
      </x:c>
      <x:c r="R215" s="29" t="str">
        <x:v>Tescil, resmî belge kopyası, apostil/çeviri gibi kalemleri ayrı değerlendirmek gerekir.</x:v>
      </x:c>
      <x:c r="S215" s="29"/>
      <x:c r="T215" s="29"/>
    </x:row>
    <x:row r="216" ht="96" customHeight="1">
      <x:c r="A216" s="29" t="str">
        <x:v>bakersfield:dogum-kayit</x:v>
      </x:c>
      <x:c r="B216" s="29" t="str">
        <x:v>bakersfield</x:v>
      </x:c>
      <x:c r="C216" s="29" t="str">
        <x:v>dogum-kayit</x:v>
      </x:c>
      <x:c r="D216" s="29" t="str">
        <x:v>Çocuğun doğum kaydında iki ülkenin işlemlerini ayır</x:v>
      </x:c>
      <x:c r="E216" s="29" t="str">
        <x:v>Türkiye ile bağın</x:v>
      </x:c>
      <x:c r="F216" s="29" t="str">
        <x:v>ABD doğum belgesi ile Türkiye nüfusuna doğum tescili farklı işlemlerdir. Çocuğun adı, ebeveyn bilgileri ve belge yazımı her başvuruda tutarlı olmalıdır. Vatandaşlık veya pasaport sonucunu yalnız doğum yerinden hareketle bütün durumlar için genellemeden ilgili resmî işlem yolunu kullan.</x:v>
      </x:c>
      <x:c r="G216" s="29" t="str">
        <x:v>Çocuğun doğum kaydında iki ülkenin işlemlerini ayır</x:v>
      </x:c>
      <x:c r="H216" s="29" t="str">
        <x:v>before;new;settled</x:v>
      </x:c>
      <x:c r="I216" s="29" t="str">
        <x:v>bakersfield:src:17731</x:v>
      </x:c>
      <x:c r="J216" s="31" t="d">
        <x:v>2026-10-24T00:00:00.000Z</x:v>
      </x:c>
      <x:c r="K216" s="35" t="n">
        <x:v>208</x:v>
      </x:c>
      <x:c r="L216" s="29" t="str">
        <x:v>Hayır</x:v>
      </x:c>
      <x:c r="M216" s="29" t="str">
        <x:v>İnceleme</x:v>
      </x:c>
      <x:c r="N216" s="29" t="str">
        <x:v>bakersfield:turkiye</x:v>
      </x:c>
      <x:c r="O216" s="29" t="str">
        <x:v>Yerel doğum belgesini temin et
Türk doğum tescili listesini hazırla
Ad ve ebeveyn bilgilerindeki yazımı karşılaştır</x:v>
      </x:c>
      <x:c r="P216" s="29" t="str">
        <x:v>Doğum belgesi
Ebeveyn kimlikleri
İstenen ek belgeler</x:v>
      </x:c>
      <x:c r="Q216" s="29" t="str">
        <x:v>Doğum belgesi alımı, Türk tescili ve pasaport başvurusunu ayrı aşamalarla planla.</x:v>
      </x:c>
      <x:c r="R216" s="29" t="str">
        <x:v>Yerel birth certificate, konsolosluk belge ve pasaport kalemleri farklı olabilir.</x:v>
      </x:c>
      <x:c r="S216" s="29"/>
      <x:c r="T216" s="29"/>
    </x:row>
    <x:row r="217" ht="96" customHeight="1">
      <x:c r="A217" s="29" t="str">
        <x:v>bakersfield:askerlik-islem</x:v>
      </x:c>
      <x:c r="B217" s="29" t="str">
        <x:v>bakersfield</x:v>
      </x:c>
      <x:c r="C217" s="29" t="str">
        <x:v>askerlik-islem</x:v>
      </x:c>
      <x:c r="D217" s="29" t="str">
        <x:v>Askerlik işlemini kişisel durumuna göre seç</x:v>
      </x:c>
      <x:c r="E217" s="29" t="str">
        <x:v>Türkiye ile bağın</x:v>
      </x:c>
      <x:c r="F217" s="29" t="str">
        <x:v>Yurt dışında yaşamak bütün askerlik işlemlerini otomatik olarak aynı sonuca bağlamaz. Erteleme, dövizle askerlik veya başka işlem için yaş, çalışma ve ikamet gibi koşullar önem taşıyabilir. Başvuru türünü resmî askerlik menüsünden belirleyip belge listesini kendi durumuna göre hazırla.</x:v>
      </x:c>
      <x:c r="G217" s="29" t="str">
        <x:v>Askerlik işlemini kişisel durumuna göre seç</x:v>
      </x:c>
      <x:c r="H217" s="29" t="str">
        <x:v>before;new;settled</x:v>
      </x:c>
      <x:c r="I217" s="29" t="str">
        <x:v>bakersfield:src:17735</x:v>
      </x:c>
      <x:c r="J217" s="31" t="d">
        <x:v>2026-10-24T00:00:00.000Z</x:v>
      </x:c>
      <x:c r="K217" s="35" t="n">
        <x:v>209</x:v>
      </x:c>
      <x:c r="L217" s="29" t="str">
        <x:v>Hayır</x:v>
      </x:c>
      <x:c r="M217" s="29" t="str">
        <x:v>İnceleme</x:v>
      </x:c>
      <x:c r="N217" s="29" t="str">
        <x:v>bakersfield:turkiye</x:v>
      </x:c>
      <x:c r="O217" s="29" t="str">
        <x:v>İlgili işlem türünü seç
İkamet ve çalışma belgelerini düzenle
Başvuru sonucu ve sonraki tarihi takvime işle</x:v>
      </x:c>
      <x:c r="P217" s="29" t="str">
        <x:v>Kimlik
İşleme özgü ikamet ve çalışma belgeleri</x:v>
      </x:c>
      <x:c r="Q217" s="29" t="str">
        <x:v>Yaş/statü ve işlem türüne göre son tarih ile sonraki başvuru gününü resmî kayıttan izle.</x:v>
      </x:c>
      <x:c r="R217" s="29" t="str">
        <x:v>Erteleme, dövizle askerlik veya başka işlemin bedeli ve koşulu farklıdır.</x:v>
      </x:c>
      <x:c r="S217" s="29"/>
      <x:c r="T217" s="29"/>
    </x:row>
    <x:row r="218" ht="110" customHeight="1">
      <x:c r="A218" s="29" t="str">
        <x:v>bakersfield:tr-calisma-belgesi</x:v>
      </x:c>
      <x:c r="B218" s="29" t="str">
        <x:v>bakersfield</x:v>
      </x:c>
      <x:c r="C218" s="29" t="str">
        <x:v>tr-calisma-belgesi</x:v>
      </x:c>
      <x:c r="D218" s="29" t="str">
        <x:v>Türkiye sosyal güvenlik işlemlerinde kayıtlarını düzenle</x:v>
      </x:c>
      <x:c r="E218" s="29" t="str">
        <x:v>Türkiye ile bağın</x:v>
      </x:c>
      <x:c r="F218" s="29" t="str">
        <x:v>Yurt dışındaki çalışma veya evde geçirilen döneme ilişkin belgeler, Türkiye'de yapılacak sosyal güvenlik işlemlerinde gerekli olabilir. Konsolosluk çalışma menüsü ile SGK'nın ilgili işlem koşulları farklı parçaları açıklar. Her yurt dışı dönemin otomatik borçlanılabileceği veya aynı emeklilik sonucu verdiği varsayımından kaçın.</x:v>
      </x:c>
      <x:c r="G218" s="29" t="str">
        <x:v>Türkiye sosyal güvenlik işlemlerinde kayıtlarını düzenle</x:v>
      </x:c>
      <x:c r="H218" s="29" t="str">
        <x:v>before;new;settled</x:v>
      </x:c>
      <x:c r="I218" s="29" t="str">
        <x:v>bakersfield:src:17738;bakersfield:src:17727</x:v>
      </x:c>
      <x:c r="J218" s="31" t="d">
        <x:v>2026-10-24T00:00:00.000Z</x:v>
      </x:c>
      <x:c r="K218" s="35" t="n">
        <x:v>210</x:v>
      </x:c>
      <x:c r="L218" s="29" t="str">
        <x:v>Hayır</x:v>
      </x:c>
      <x:c r="M218" s="29" t="str">
        <x:v>İnceleme</x:v>
      </x:c>
      <x:c r="N218" s="29" t="str">
        <x:v>bakersfield:turkiye</x:v>
      </x:c>
      <x:c r="O218" s="29" t="str">
        <x:v>Çalışma tarihlerini ve belgeleri sırala
İstenen konsolosluk belgesini belirle
SGK işlem koşulunu kendi dosyanla eşleştir</x:v>
      </x:c>
      <x:c r="P218" s="29" t="str">
        <x:v>Çalışma ve ikamet kayıtları</x:v>
      </x:c>
      <x:c r="Q218" s="29" t="str">
        <x:v>Yurt dışı dönemlerini tarih sırasıyla hazırlayıp SGK işleminden önce gerekli belgeleri belirle.</x:v>
      </x:c>
      <x:c r="R218" s="29" t="str">
        <x:v>Belge düzenleme ile SGK borçlanma tutarı aynı değildir; süre ve başvuruya göre hesaplanır.</x:v>
      </x:c>
      <x:c r="S218" s="29"/>
      <x:c r="T218" s="29"/>
    </x:row>
    <x:row r="219" ht="124" customHeight="1">
      <x:c r="A219" s="29" t="str">
        <x:v>bakersfield:apostil-tr</x:v>
      </x:c>
      <x:c r="B219" s="29" t="str">
        <x:v>bakersfield</x:v>
      </x:c>
      <x:c r="C219" s="29" t="str">
        <x:v>apostil-tr</x:v>
      </x:c>
      <x:c r="D219" s="29" t="str">
        <x:v>ABD belgesinin Türkiye'de kullanım yolunu belirle</x:v>
      </x:c>
      <x:c r="E219" s="29" t="str">
        <x:v>Türkiye ile bağın</x:v>
      </x:c>
      <x:c r="F219" s="29" t="str">
        <x:v>Kaliforniya'da düzenlenen uygun kamu belgeleri için apostil yetkisi California Secretary of State'tedir. Apostil, belgenin imza/mühür doğrulama zinciriyle ilgilidir; belgedeki her bilginin doğruluğunu veya çevirinin kabulünü tek başına garanti etmez. Belgeyi alacak Türk kurumunun istediği biçimi önce belirle.</x:v>
      </x:c>
      <x:c r="G219" s="29" t="str">
        <x:v>ABD belgesinin Türkiye'de kullanım yolunu belirle</x:v>
      </x:c>
      <x:c r="H219" s="29" t="str">
        <x:v>before;new;settled</x:v>
      </x:c>
      <x:c r="I219" s="29" t="str">
        <x:v>bakersfield:src:17736;bakersfield:src:17865;bakersfield:src:6284</x:v>
      </x:c>
      <x:c r="J219" s="31" t="d">
        <x:v>2026-10-24T00:00:00.000Z</x:v>
      </x:c>
      <x:c r="K219" s="35" t="n">
        <x:v>211</x:v>
      </x:c>
      <x:c r="L219" s="29" t="str">
        <x:v>Hayır</x:v>
      </x:c>
      <x:c r="M219" s="29" t="str">
        <x:v>İnceleme</x:v>
      </x:c>
      <x:c r="N219" s="29" t="str">
        <x:v>bakersfield:turkiye</x:v>
      </x:c>
      <x:c r="O219" s="29" t="str">
        <x:v>Belgenin hangi makamdan çıktığını belirle
Gerekli apostil ve çeviri sırasını öğren
Asıl belge ile eklerini birlikte sakla</x:v>
      </x:c>
      <x:c r="P219" s="29" t="str">
        <x:v>Asıl kamu belgesi
İstenen çeviri</x:v>
      </x:c>
      <x:c r="Q219" s="29" t="str">
        <x:v>Önce belgeyi kullanacak kurumun onay/çeviri sırasını öğren; posta ve yüz yüze işlem takvimi ayrı.</x:v>
      </x:c>
      <x:c r="R219" s="29" t="str">
        <x:v>California SOS apostil bedeli belge başına 20 USD; Sacramento şahsen başvuruda farklı kamu görevlisi imzası başına 6 USD özel işlem bedeli olabilir. Çeviri ayrıca ücretlenir.</x:v>
      </x:c>
      <x:c r="S219" s="29"/>
      <x:c r="T219" s="29"/>
    </x:row>
    <x:row r="220" ht="96" customHeight="1">
      <x:c r="A220" s="29" t="str">
        <x:v>bakersfield:tr-banka</x:v>
      </x:c>
      <x:c r="B220" s="29" t="str">
        <x:v>bakersfield</x:v>
      </x:c>
      <x:c r="C220" s="29" t="str">
        <x:v>tr-banka</x:v>
      </x:c>
      <x:c r="D220" s="29" t="str">
        <x:v>Türkiye banka hesabında iletişim ve vergi bilgisini güncelle</x:v>
      </x:c>
      <x:c r="E220" s="29" t="str">
        <x:v>Türkiye ile bağın</x:v>
      </x:c>
      <x:c r="F220" s="29" t="str">
        <x:v>Yurt dışında yaşamaya başlamak, Türkiye'deki banka hesabının iletişim ve vergi mukimliği kayıtlarını etkileyebilir. İki ülkeye ait vergi değerlendirmesi vatandaşlıktan tek başına çıkarılmaz. Bankanın resmî kanalında adres, telefon ve gerekli beyanları düzenlerken ABD vergi dosyanı ayrı takip et.</x:v>
      </x:c>
      <x:c r="G220" s="29" t="str">
        <x:v>Türkiye banka hesabında iletişim ve vergi bilgisini güncelle</x:v>
      </x:c>
      <x:c r="H220" s="29" t="str">
        <x:v>before;new;settled</x:v>
      </x:c>
      <x:c r="I220" s="29" t="str">
        <x:v>bakersfield:src:17632;bakersfield:src:6551</x:v>
      </x:c>
      <x:c r="J220" s="31" t="d">
        <x:v>2026-10-24T00:00:00.000Z</x:v>
      </x:c>
      <x:c r="K220" s="35" t="n">
        <x:v>212</x:v>
      </x:c>
      <x:c r="L220" s="29" t="str">
        <x:v>Hayır</x:v>
      </x:c>
      <x:c r="M220" s="29" t="str">
        <x:v>İnceleme</x:v>
      </x:c>
      <x:c r="N220" s="29" t="str">
        <x:v>bakersfield:turkiye</x:v>
      </x:c>
      <x:c r="O220" s="29" t="str">
        <x:v>Bankada kayıtlı adres ve telefonu gözden geçir
İstenen vergi mukimliği beyanını doğru doldur
ABD bildirim yükümlülüklerini ayrı değerlendir</x:v>
      </x:c>
      <x:c r="P220" s="29" t="str">
        <x:v>Banka bilgileri
Vergi durumuna ilişkin belgeler</x:v>
      </x:c>
      <x:c r="Q220" s="29" t="str">
        <x:v>Adres/telefon veya vergi mukimliği değişince bankanın resmî kanalındaki kaydı güncelle.</x:v>
      </x:c>
      <x:c r="R220" s="29" t="str">
        <x:v>Türkiye banka ürününün masrafı kendi sözleşmesine bağlıdır; ABD vergi/hesap bildirimi ayrı yükümlülüktür.</x:v>
      </x:c>
      <x:c r="S220" s="29"/>
      <x:c r="T220" s="29"/>
    </x:row>
    <x:row r="221" ht="82" customHeight="1">
      <x:c r="A221" s="29" t="str">
        <x:v>bakersfield:tr-transfer</x:v>
      </x:c>
      <x:c r="B221" s="29" t="str">
        <x:v>bakersfield</x:v>
      </x:c>
      <x:c r="C221" s="29" t="str">
        <x:v>tr-transfer</x:v>
      </x:c>
      <x:c r="D221" s="29" t="str">
        <x:v>Türkiye'ye para aktarımında alıcı tutarını karşılaştır</x:v>
      </x:c>
      <x:c r="E221" s="29" t="str">
        <x:v>Türkiye ile bağın</x:v>
      </x:c>
      <x:c r="F221" s="29" t="str">
        <x:v>Transfer teklifinde komisyon kadar kur ve alıcıya geçen net tutar da önemlidir. Gönderici, aracı banka ve alıcı banka kesintileri aynı yerde görünmeyebilir. Karşılaştırmayı aynı para birimi ve aynı saatteki tekliflerle yapmak maliyeti daha anlaşılır kılar.</x:v>
      </x:c>
      <x:c r="G221" s="29" t="str">
        <x:v>Türkiye'ye para aktarımında alıcı tutarını karşılaştır</x:v>
      </x:c>
      <x:c r="H221" s="29" t="str">
        <x:v>before;new;settled</x:v>
      </x:c>
      <x:c r="I221" s="29" t="str">
        <x:v>bakersfield:src:17870;bakersfield:src:6310</x:v>
      </x:c>
      <x:c r="J221" s="31" t="d">
        <x:v>2026-10-24T00:00:00.000Z</x:v>
      </x:c>
      <x:c r="K221" s="35" t="n">
        <x:v>213</x:v>
      </x:c>
      <x:c r="L221" s="29" t="str">
        <x:v>Hayır</x:v>
      </x:c>
      <x:c r="M221" s="29" t="str">
        <x:v>İnceleme</x:v>
      </x:c>
      <x:c r="N221" s="29" t="str">
        <x:v>bakersfield:turkiye</x:v>
      </x:c>
      <x:c r="O221" s="29" t="str">
        <x:v>Gönderilecek tutarı ve alıcı para birimini seç
Net alıcı tutarını teklifler arasında karşılaştır
Dekont ve işlem numarasını sakla</x:v>
      </x:c>
      <x:c r="P221" s="29" t="str">
        <x:v>Alıcı bilgileri
Transfer teklifi</x:v>
      </x:c>
      <x:c r="Q221" s="29" t="str">
        <x:v>Teklifleri aynı anda karşılaştır; teslim zamanını dekonttan takip et.</x:v>
      </x:c>
      <x:c r="R221" s="29" t="str">
        <x:v>Aynı gönderim tutarında ücret, kur ve alıcı net bedelini birlikte karşılaştır.</x:v>
      </x:c>
      <x:c r="S221" s="29"/>
      <x:c r="T221" s="29"/>
    </x:row>
    <x:row r="222" ht="96" customHeight="1">
      <x:c r="A222" s="29" t="str">
        <x:v>bakersfield:donus-belgeleri</x:v>
      </x:c>
      <x:c r="B222" s="29" t="str">
        <x:v>bakersfield</x:v>
      </x:c>
      <x:c r="C222" s="29" t="str">
        <x:v>donus-belgeleri</x:v>
      </x:c>
      <x:c r="D222" s="29" t="str">
        <x:v>Türkiye seyahatinden önce ABD'ye dönüş belgelerini ayır</x:v>
      </x:c>
      <x:c r="E222" s="29" t="str">
        <x:v>Türkiye ile bağın</x:v>
      </x:c>
      <x:c r="F222" s="29" t="str">
        <x:v>ABD'de geçerli kalış statüsü ile ülkeye yeniden giriş için gereken belgeler aynı şey değildir. Pasaport, vize ve statüye bağlı ek belgeler birlikte değerlendirilir. Bekleyen başvuru veya seyahat izni gereksinimi varsa yalnız vize etiketinin son tarihine bakarak karar verme.</x:v>
      </x:c>
      <x:c r="G222" s="29" t="str">
        <x:v>Türkiye seyahatinden önce ABD'ye dönüş belgelerini ayır</x:v>
      </x:c>
      <x:c r="H222" s="29" t="str">
        <x:v>before;new;settled</x:v>
      </x:c>
      <x:c r="I222" s="29" t="str">
        <x:v>bakersfield:src:6969;bakersfield:src:17605</x:v>
      </x:c>
      <x:c r="J222" s="31" t="d">
        <x:v>2026-10-24T00:00:00.000Z</x:v>
      </x:c>
      <x:c r="K222" s="35" t="n">
        <x:v>214</x:v>
      </x:c>
      <x:c r="L222" s="29" t="str">
        <x:v>Hayır</x:v>
      </x:c>
      <x:c r="M222" s="29" t="str">
        <x:v>İnceleme</x:v>
      </x:c>
      <x:c r="N222" s="29" t="str">
        <x:v>bakersfield:turkiye</x:v>
      </x:c>
      <x:c r="O222" s="29" t="str">
        <x:v>Pasaport ve giriş belgesinin durumunu belirle
Statüne bağlı seyahat belgesini kontrol et
Gerekirse yetkili temsilciyle dosyana özgü plan yap</x:v>
      </x:c>
      <x:c r="P222" s="29" t="str">
        <x:v>Pasaport
Vize
Statüye özgü seyahat belgesi</x:v>
      </x:c>
      <x:c r="Q222" s="29" t="str">
        <x:v>Biletten önce statüye bağlı dönüş koşulunu ve bekleyen dosyanın seyahate etkisini değerlendir.</x:v>
      </x:c>
      <x:c r="R222" s="29" t="str">
        <x:v>Pasaport, vize ve gerekli seyahat izninin başvuru bedelleri farklıdır.</x:v>
      </x:c>
      <x:c r="S222" s="29"/>
      <x:c r="T222" s="29"/>
    </x:row>
    <x:row r="223" ht="82" customHeight="1">
      <x:c r="A223" s="29" t="str">
        <x:v>bakersfield:gumruk-gida</x:v>
      </x:c>
      <x:c r="B223" s="29" t="str">
        <x:v>bakersfield</x:v>
      </x:c>
      <x:c r="C223" s="29" t="str">
        <x:v>gumruk-gida</x:v>
      </x:c>
      <x:c r="D223" s="29" t="str">
        <x:v>Türkiye'den getirilen gıdaları beyan planına dahil et</x:v>
      </x:c>
      <x:c r="E223" s="29" t="str">
        <x:v>Türkiye ile bağın</x:v>
      </x:c>
      <x:c r="F223" s="29" t="str">
        <x:v>Gıda, bitki ve hayvansal ürünlerin ABD'ye girişi ürün ve menşeye göre kısıtlanabilir. Vakumlu veya ticari ambalajlı olması tek başına giriş izni anlamına gelmez. CBP ve USDA kurallarını ürün türüyle eşleştirip gerekli beyanı yapmak, bagaj hazırlığının parçasıdır.</x:v>
      </x:c>
      <x:c r="G223" s="29" t="str">
        <x:v>Türkiye'den getirilen gıdaları beyan planına dahil et</x:v>
      </x:c>
      <x:c r="H223" s="29" t="str">
        <x:v>before;new;settled</x:v>
      </x:c>
      <x:c r="I223" s="29" t="str">
        <x:v>bakersfield:src:6971</x:v>
      </x:c>
      <x:c r="J223" s="31" t="d">
        <x:v>2026-10-24T00:00:00.000Z</x:v>
      </x:c>
      <x:c r="K223" s="35" t="n">
        <x:v>215</x:v>
      </x:c>
      <x:c r="L223" s="29" t="str">
        <x:v>Hayır</x:v>
      </x:c>
      <x:c r="M223" s="29" t="str">
        <x:v>İnceleme</x:v>
      </x:c>
      <x:c r="N223" s="29" t="str">
        <x:v>bakersfield:turkiye</x:v>
      </x:c>
      <x:c r="O223" s="29" t="str">
        <x:v>Getirilecek ürünleri türleriyle listele
CBP/USDA giriş koşulunu ürün bazında incele
Gümrükte gerekli beyanı açıkça yap</x:v>
      </x:c>
      <x:c r="P223" s="29" t="str">
        <x:v>Ürün ve menşe bilgisi</x:v>
      </x:c>
      <x:c r="Q223" s="29" t="str">
        <x:v>Bagajdan önce ürün/menşe koşulunu belirle; sınırda istenen beyanı yap.</x:v>
      </x:c>
      <x:c r="R223" s="29" t="str">
        <x:v>Beyan etmek ürünün serbestçe girişini garanti etmez; yasak ürünün taşınması masraf/kayıp doğurabilir.</x:v>
      </x:c>
      <x:c r="S223" s="29"/>
      <x:c r="T223" s="29"/>
    </x:row>
    <x:row r="224" ht="96" customHeight="1">
      <x:c r="A224" s="29" t="str">
        <x:v>bakersfield:ilac-giris</x:v>
      </x:c>
      <x:c r="B224" s="29" t="str">
        <x:v>bakersfield</x:v>
      </x:c>
      <x:c r="C224" s="29" t="str">
        <x:v>ilac-giris</x:v>
      </x:c>
      <x:c r="D224" s="29" t="str">
        <x:v>Türkiye'den ilaç getirirken kişisel kullanım koşulunu ayır</x:v>
      </x:c>
      <x:c r="E224" s="29" t="str">
        <x:v>Türkiye ile bağın</x:v>
      </x:c>
      <x:c r="F224" s="29" t="str">
        <x:v>FDA'nın kişisel ilaç getirme düzeni, ürünün onay durumu ve yolcunun koşuluna göre farklılaşır. Reçeteli olması, her ilacın her miktarda girişine otomatik izin vermez; kontrollü maddeler için ek kurallar bulunabilir. Etken madde, reçete ve kullanım bilgisini okunur dosyada tut.</x:v>
      </x:c>
      <x:c r="G224" s="29" t="str">
        <x:v>Türkiye'den ilaç getirirken kişisel kullanım koşulunu ayır</x:v>
      </x:c>
      <x:c r="H224" s="29" t="str">
        <x:v>before;new;settled</x:v>
      </x:c>
      <x:c r="I224" s="29" t="str">
        <x:v>bakersfield:src:6853</x:v>
      </x:c>
      <x:c r="J224" s="31" t="d">
        <x:v>2026-10-24T00:00:00.000Z</x:v>
      </x:c>
      <x:c r="K224" s="35" t="n">
        <x:v>216</x:v>
      </x:c>
      <x:c r="L224" s="29" t="str">
        <x:v>Hayır</x:v>
      </x:c>
      <x:c r="M224" s="29" t="str">
        <x:v>İnceleme</x:v>
      </x:c>
      <x:c r="N224" s="29" t="str">
        <x:v>bakersfield:turkiye</x:v>
      </x:c>
      <x:c r="O224" s="29" t="str">
        <x:v>Etken madde ve miktarı belirle
FDA'nın yabancı ziyaretçi/kişisel kullanım bilgisini uygula
İlacı özgün ambalaj ve uygun belgelerle taşı</x:v>
      </x:c>
      <x:c r="P224" s="29" t="str">
        <x:v>Reçete
Etken madde ve kullanım bilgisi</x:v>
      </x:c>
      <x:c r="Q224" s="29" t="str">
        <x:v>Seyahatten önce etken madde/miktar ve yolcu durumuna uygun FDA/diğer kurum koşullarını değerlendir.</x:v>
      </x:c>
      <x:c r="R224" s="29" t="str">
        <x:v>İlaç bedeli ve gerekli belge gideri ayrı olabilir; reçete bütün ürünlerin girişini yasallaştırmaz.</x:v>
      </x:c>
      <x:c r="S224" s="29"/>
      <x:c r="T224" s="29"/>
    </x:row>
    <x:row r="225" ht="82" customHeight="1">
      <x:c r="A225" s="29" t="str">
        <x:v>bakersfield:kopek-seyahat</x:v>
      </x:c>
      <x:c r="B225" s="29" t="str">
        <x:v>bakersfield</x:v>
      </x:c>
      <x:c r="C225" s="29" t="str">
        <x:v>kopek-seyahat</x:v>
      </x:c>
      <x:c r="D225" s="29" t="str">
        <x:v>Köpekle girişte son altı aylık ülke geçmişini kullan</x:v>
      </x:c>
      <x:c r="E225" s="29" t="str">
        <x:v>Türkiye ile bağın</x:v>
      </x:c>
      <x:c r="F225" s="29" t="str">
        <x:v>CDC köpek giriş koşullarını, hayvanın son altı ayda bulunduğu ülkeler ve aşılandığı yerle birlikte belirler. Türkiye'den gelen her köpek için yalnız evcil hayvan pasaportu yeterlidir denemez. CDC navigator sonucunu hava yolunun taşıma koşullarıyla ayrı ayrı tamamla.</x:v>
      </x:c>
      <x:c r="G225" s="29" t="str">
        <x:v>Köpekle girişte son altı aylık ülke geçmişini kullan</x:v>
      </x:c>
      <x:c r="H225" s="29" t="str">
        <x:v>before;new;settled</x:v>
      </x:c>
      <x:c r="I225" s="29" t="str">
        <x:v>bakersfield:src:6633</x:v>
      </x:c>
      <x:c r="J225" s="31" t="d">
        <x:v>2026-10-24T00:00:00.000Z</x:v>
      </x:c>
      <x:c r="K225" s="35" t="n">
        <x:v>217</x:v>
      </x:c>
      <x:c r="L225" s="29" t="str">
        <x:v>Hayır</x:v>
      </x:c>
      <x:c r="M225" s="29" t="str">
        <x:v>İnceleme</x:v>
      </x:c>
      <x:c r="N225" s="29" t="str">
        <x:v>bakersfield:turkiye</x:v>
      </x:c>
      <x:c r="O225" s="29" t="str">
        <x:v>Son altı aylık ülke ve aşı geçmişini yaz
CDC navigator üzerinden gereken yolu belirle
Uçuş, giriş noktası ve belgeleri birlikte planla</x:v>
      </x:c>
      <x:c r="P225" s="29" t="str">
        <x:v>Mikroçip ve aşı bilgileri
Gerekli giriş belgeleri</x:v>
      </x:c>
      <x:c r="Q225" s="29" t="str">
        <x:v>Son 6 ay ülke geçmişi ve aşı yeriyle CDC Navigator; belge/test zamanını uçuş satın almadan planla.</x:v>
      </x:c>
      <x:c r="R225" s="29" t="str">
        <x:v>Veteriner, belge, varsa tesiste işlem ve hava yolu taşıma bedeli hayvanın giriş yoluna bağlıdır.</x:v>
      </x:c>
      <x:c r="S225" s="29"/>
      <x:c r="T225" s="29"/>
    </x:row>
    <x:row r="226" ht="96" customHeight="1">
      <x:c r="A226" s="29" t="str">
        <x:v>bakersfield:saat-farki</x:v>
      </x:c>
      <x:c r="B226" s="29" t="str">
        <x:v>bakersfield</x:v>
      </x:c>
      <x:c r="C226" s="29" t="str">
        <x:v>saat-farki</x:v>
      </x:c>
      <x:c r="D226" s="29" t="str">
        <x:v>Türkiye görüşmelerinde mevsimsel saat farkını hesaba kat</x:v>
      </x:c>
      <x:c r="E226" s="29" t="str">
        <x:v>Türkiye ile bağın</x:v>
      </x:c>
      <x:c r="F226" s="29" t="str">
        <x:v>Bakersfield Pasifik saat dilimindedir; Türkiye yıl boyunca UTC+3 kullanır. ABD'nin yaz ve standart saat dönemleri nedeniyle iki yer arasındaki fark yılın tamamında aynı değildir. Ortak toplantıyı sabit bir farkı ezberleyerek değil, tarihli takvim davetiyle kurmak karışıklığı azaltır.</x:v>
      </x:c>
      <x:c r="G226" s="29" t="str">
        <x:v>Türkiye görüşmelerinde mevsimsel saat farkını hesaba kat</x:v>
      </x:c>
      <x:c r="H226" s="29" t="str">
        <x:v>before;new;settled</x:v>
      </x:c>
      <x:c r="I226" s="29" t="str">
        <x:v>bakersfield:src:6945;bakersfield:src:15973</x:v>
      </x:c>
      <x:c r="J226" s="31" t="d">
        <x:v>2026-10-24T00:00:00.000Z</x:v>
      </x:c>
      <x:c r="K226" s="35" t="n">
        <x:v>218</x:v>
      </x:c>
      <x:c r="L226" s="29" t="str">
        <x:v>Hayır</x:v>
      </x:c>
      <x:c r="M226" s="29" t="str">
        <x:v>İnceleme</x:v>
      </x:c>
      <x:c r="N226" s="29" t="str">
        <x:v>bakersfield:turkiye</x:v>
      </x:c>
      <x:c r="O226" s="29" t="str">
        <x:v>Takvimde America/Los_Angeles ve Europe/Istanbul bölgelerini seç
Toplantı tarihini iki tarafta görüntüle
Saat değişimi döneminde yinelenen daveti gözden geçir</x:v>
      </x:c>
      <x:c r="P226" s="29" t="str">
        <x:v>Tarihli takvim daveti</x:v>
      </x:c>
      <x:c r="Q226" s="29" t="str">
        <x:v>Türkiye, Bakersfield'dan Pasifik yaz saatinde 10 saat, standart saatte 11 saat ileridedir; davetin tarihini kullan.</x:v>
      </x:c>
      <x:c r="R226" s="29" t="str">
        <x:v>Takvimde iki saat dilimi göstermek ücretsizdir; uluslararası görüşme ücreti operatöre bağlıdır.</x:v>
      </x:c>
      <x:c r="S226" s="29"/>
      <x:c r="T226" s="29"/>
    </x:row>
    <x:row r="227" ht="96" customHeight="1">
      <x:c r="A227" s="29" t="str">
        <x:v>bakersfield:konsolosluk-acil</x:v>
      </x:c>
      <x:c r="B227" s="29" t="str">
        <x:v>bakersfield</x:v>
      </x:c>
      <x:c r="C227" s="29" t="str">
        <x:v>konsolosluk-acil</x:v>
      </x:c>
      <x:c r="D227" s="29" t="str">
        <x:v>Konsolosluk acil hattını yerel acilden ayır</x:v>
      </x:c>
      <x:c r="E227" s="29" t="str">
        <x:v>Türkiye ile bağın</x:v>
      </x:c>
      <x:c r="F227" s="29" t="str">
        <x:v>Los Angeles Başkonsolosluğu mesai dışı acil iletişim için +1 310 779 3288 numarasını yayımlıyor. Bu hat, ABD'de ambulans, itfaiye veya polis için yerel 911 acil çağrısının yerine geçmez. Pasaport ve vatandaşlıkla ilgili konsolosluk ihtiyacını yerel acil müdahaleden ayrı ele al.</x:v>
      </x:c>
      <x:c r="G227" s="29" t="str">
        <x:v>Konsolosluk acil hattını yerel acilden ayır</x:v>
      </x:c>
      <x:c r="H227" s="29" t="str">
        <x:v>before;new;settled</x:v>
      </x:c>
      <x:c r="I227" s="29" t="str">
        <x:v>bakersfield:src:17716;bakersfield:src:6967</x:v>
      </x:c>
      <x:c r="J227" s="31" t="d">
        <x:v>2026-10-24T00:00:00.000Z</x:v>
      </x:c>
      <x:c r="K227" s="35" t="n">
        <x:v>219</x:v>
      </x:c>
      <x:c r="L227" s="29" t="str">
        <x:v>Hayır</x:v>
      </x:c>
      <x:c r="M227" s="29" t="str">
        <x:v>İnceleme</x:v>
      </x:c>
      <x:c r="N227" s="29" t="str">
        <x:v>bakersfield:turkiye</x:v>
      </x:c>
      <x:c r="O227" s="29" t="str">
        <x:v>Yerel acil tehlikede 911'i kullan
Konsolosluk ihtiyacı için gerekli kimlik ve konum bilgisini hazırla
Acil olmayan işlemi normal randevu kanalından yürüt</x:v>
      </x:c>
      <x:c r="P227" s="29" t="str">
        <x:v>Kimlik bilgisi
Konum</x:v>
      </x:c>
      <x:c r="Q227" s="29" t="str">
        <x:v>Mesai dışı konsolosluk acili: +1 310 779 3288. Hayati yerel tehlikede önce 911.</x:v>
      </x:c>
      <x:c r="R227" s="29" t="str">
        <x:v>Konsolosluk acil numarasıyla yapılacak işlem ve operatör arama ücretleri ayrı olabilir.</x:v>
      </x:c>
      <x:c r="S227" s="29"/>
      <x:c r="T227" s="29"/>
    </x:row>
    <x:row r="228" ht="96" customHeight="1">
      <x:c r="A228" s="29" t="str">
        <x:v>bakersfield:sehir-ilk-gezi</x:v>
      </x:c>
      <x:c r="B228" s="29" t="str">
        <x:v>bakersfield</x:v>
      </x:c>
      <x:c r="C228" s="29" t="str">
        <x:v>sehir-ilk-gezi</x:v>
      </x:c>
      <x:c r="D228" s="29" t="str">
        <x:v>İlk keşfi şehir merkeziyle başlat</x:v>
      </x:c>
      <x:c r="E228" s="29" t="str">
        <x:v>Sosyal hayat</x:v>
      </x:c>
      <x:c r="F228" s="29" t="str">
        <x:v>Downtown Bakersfield, tiyatro, tarihî cepheler ve kent hizmetlerini aynı gezide görmeye elverişli bir başlangıç alanıdır. İlk yürüyüşü birkaç yakın durakla sınırlamak, şehrin otomobil ağırlıklı büyük ölçeğini anlamayı kolaylaştırır. Öğle sıcağı ve akşam dönüşünü gezi planının parçası yap.</x:v>
      </x:c>
      <x:c r="G228" s="29" t="str">
        <x:v>İlk keşfi şehir merkeziyle başlat</x:v>
      </x:c>
      <x:c r="H228" s="29" t="str">
        <x:v>before;new;settled</x:v>
      </x:c>
      <x:c r="I228" s="29" t="str">
        <x:v>bakersfield:src:17681;bakersfield:src:17671</x:v>
      </x:c>
      <x:c r="J228" s="31" t="d">
        <x:v>2026-10-24T00:00:00.000Z</x:v>
      </x:c>
      <x:c r="K228" s="35" t="n">
        <x:v>220</x:v>
      </x:c>
      <x:c r="L228" s="29" t="str">
        <x:v>Hayır</x:v>
      </x:c>
      <x:c r="M228" s="29" t="str">
        <x:v>İnceleme</x:v>
      </x:c>
      <x:c r="N228" s="29" t="str">
        <x:v>bakersfield:sosyal</x:v>
      </x:c>
      <x:c r="O228" s="29" t="str">
        <x:v>Birbirine yakın üç durak seç
Yürüyüş ve mola noktalarını belirle
Dönüş ulaşımını önceden planla</x:v>
      </x:c>
      <x:c r="P228" s="29" t="str">
        <x:v>Rota</x:v>
      </x:c>
      <x:c r="Q228" s="29" t="str">
        <x:v>İlk geziyi birkaç yakın durakla ve sıcak saatlere göre planla.</x:v>
      </x:c>
      <x:c r="R228" s="29" t="str">
        <x:v>Sokak yürüyüşüyle biletli iç mekânları ayrı bütçele; ulaşım ve mola gideri seçime bağlıdır.</x:v>
      </x:c>
      <x:c r="S228" s="29"/>
      <x:c r="T228" s="29"/>
    </x:row>
    <x:row r="229" ht="96" customHeight="1">
      <x:c r="A229" s="29" t="str">
        <x:v>bakersfield:fox-program</x:v>
      </x:c>
      <x:c r="B229" s="29" t="str">
        <x:v>bakersfield</x:v>
      </x:c>
      <x:c r="C229" s="29" t="str">
        <x:v>fox-program</x:v>
      </x:c>
      <x:c r="D229" s="29" t="str">
        <x:v>Fox Theatre'da gösteri türünü biletle eşleştir</x:v>
      </x:c>
      <x:c r="E229" s="29" t="str">
        <x:v>Sosyal hayat</x:v>
      </x:c>
      <x:c r="F229" s="29" t="str">
        <x:v>Bakersfield Fox Theatre'ın programında farklı sahne ve gösterim türleri yer alabilir. Binanın tarihî mimarisini görmek ile biletli etkinliğe katılmak ayrı deneyimlerdir. Koltuk, etkinlik saati ve yaş koşulunu seçtiğin program üzerinden okumak, yalnız mekânın genel tanımına bakmaktan daha yararlıdır.</x:v>
      </x:c>
      <x:c r="G229" s="29" t="str">
        <x:v>Fox Theatre'da gösteri türünü biletle eşleştir</x:v>
      </x:c>
      <x:c r="H229" s="29" t="str">
        <x:v>before;new;settled</x:v>
      </x:c>
      <x:c r="I229" s="29" t="str">
        <x:v>bakersfield:src:17753</x:v>
      </x:c>
      <x:c r="J229" s="31" t="d">
        <x:v>2026-10-24T00:00:00.000Z</x:v>
      </x:c>
      <x:c r="K229" s="35" t="n">
        <x:v>221</x:v>
      </x:c>
      <x:c r="L229" s="29" t="str">
        <x:v>Hayır</x:v>
      </x:c>
      <x:c r="M229" s="29" t="str">
        <x:v>İnceleme</x:v>
      </x:c>
      <x:c r="N229" s="29" t="str">
        <x:v>bakersfield:sosyal</x:v>
      </x:c>
      <x:c r="O229" s="29" t="str">
        <x:v>Resmî etkinlik takviminden programı seç
Koltuk ve giriş koşullarını bilette incele
Gösteri sonrası ulaşımı planla</x:v>
      </x:c>
      <x:c r="P229" s="29" t="str">
        <x:v>Bilet veya rezervasyon</x:v>
      </x:c>
      <x:c r="Q229" s="29" t="str">
        <x:v>Seçilen etkinliğin kapı açılışı, gösteri ve dönüş saatlerini birlikte izle.</x:v>
      </x:c>
      <x:c r="R229" s="29" t="str">
        <x:v>Bilet bedeli, hizmet ücreti ve koltuk etkinliğe göre değişir.</x:v>
      </x:c>
      <x:c r="S229" s="29"/>
      <x:c r="T229" s="29"/>
    </x:row>
    <x:row r="230" ht="82" customHeight="1">
      <x:c r="A230" s="29" t="str">
        <x:v>bakersfield:kent-muzesi</x:v>
      </x:c>
      <x:c r="B230" s="29" t="str">
        <x:v>bakersfield</x:v>
      </x:c>
      <x:c r="C230" s="29" t="str">
        <x:v>kent-muzesi</x:v>
      </x:c>
      <x:c r="D230" s="29" t="str">
        <x:v>Kern County Museum'u bölge tarihine giriş olarak kullan</x:v>
      </x:c>
      <x:c r="E230" s="29" t="str">
        <x:v>Sosyal hayat</x:v>
      </x:c>
      <x:c r="F230" s="29" t="str">
        <x:v>Kern County Museum, bölgenin tarihî yapılarını ve yerel geçmişini anlamak için temel duraklardan biridir. Açık hava bölümleri ile sergi deneyimini aynı günün hava koşullarına göre planla. Çocukla gidiyorsan yürüyüş, gölge ve mola süresini sergi ilgisi kadar hesaba kat.</x:v>
      </x:c>
      <x:c r="G230" s="29" t="str">
        <x:v>Kern County Museum'u bölge tarihine giriş olarak kullan</x:v>
      </x:c>
      <x:c r="H230" s="29" t="str">
        <x:v>before;new;settled</x:v>
      </x:c>
      <x:c r="I230" s="29" t="str">
        <x:v>bakersfield:src:17720</x:v>
      </x:c>
      <x:c r="J230" s="31" t="d">
        <x:v>2026-10-24T00:00:00.000Z</x:v>
      </x:c>
      <x:c r="K230" s="35" t="n">
        <x:v>222</x:v>
      </x:c>
      <x:c r="L230" s="29" t="str">
        <x:v>Hayır</x:v>
      </x:c>
      <x:c r="M230" s="29" t="str">
        <x:v>İnceleme</x:v>
      </x:c>
      <x:c r="N230" s="29" t="str">
        <x:v>bakersfield:sosyal</x:v>
      </x:c>
      <x:c r="O230" s="29" t="str">
        <x:v>Müzenin ziyaret ve sergi bilgisini aç
Açık ve kapalı alanlara zaman ayır
İlgi duyduğun tarih başlıklarını not et</x:v>
      </x:c>
      <x:c r="P230" s="29" t="str">
        <x:v>Varsa bilet</x:v>
      </x:c>
      <x:c r="Q230" s="29" t="str">
        <x:v>Açık hava Pioneer Village gezisi için hava ve mola planı yap; kapalı sergiyi programa dahil etme.</x:v>
      </x:c>
      <x:c r="R230" s="29" t="str">
        <x:v>Giriş ve özel etkinlik bedelleri müzenin ziyaret tarifesine bağlıdır.</x:v>
      </x:c>
      <x:c r="S230" s="29"/>
      <x:c r="T230" s="29"/>
    </x:row>
    <x:row r="231" ht="82" customHeight="1">
      <x:c r="A231" s="29" t="str">
        <x:v>bakersfield:sanat-program</x:v>
      </x:c>
      <x:c r="B231" s="29" t="str">
        <x:v>bakersfield</x:v>
      </x:c>
      <x:c r="C231" s="29" t="str">
        <x:v>sanat-program</x:v>
      </x:c>
      <x:c r="D231" s="29" t="str">
        <x:v>Bakersfield Museum of Art'ta sergiyle etkinliği ayır</x:v>
      </x:c>
      <x:c r="E231" s="29" t="str">
        <x:v>Sosyal hayat</x:v>
      </x:c>
      <x:c r="F231" s="29" t="str">
        <x:v>Bakersfield Museum of Art, sergi ziyaretinin yanı sıra program ve eğitim seçeneklerini araştırabileceğin bir kültür kurumudur. Sergi bileti, her atölyeyi veya özel etkinliği kapsadığı anlamına gelmez. Katılım türünü seçip ilgili kayıt bilgisini ayrı takip et.</x:v>
      </x:c>
      <x:c r="G231" s="29" t="str">
        <x:v>Bakersfield Museum of Art'ta sergiyle etkinliği ayır</x:v>
      </x:c>
      <x:c r="H231" s="29" t="str">
        <x:v>before;new;settled</x:v>
      </x:c>
      <x:c r="I231" s="29" t="str">
        <x:v>bakersfield:src:17750</x:v>
      </x:c>
      <x:c r="J231" s="31" t="d">
        <x:v>2026-10-24T00:00:00.000Z</x:v>
      </x:c>
      <x:c r="K231" s="35" t="n">
        <x:v>223</x:v>
      </x:c>
      <x:c r="L231" s="29" t="str">
        <x:v>Hayır</x:v>
      </x:c>
      <x:c r="M231" s="29" t="str">
        <x:v>İnceleme</x:v>
      </x:c>
      <x:c r="N231" s="29" t="str">
        <x:v>bakersfield:sosyal</x:v>
      </x:c>
      <x:c r="O231" s="29" t="str">
        <x:v>Güncel sergilerden ilgi alanını seç
Atölye varsa ayrı kayıt koşulunu incele
Ziyareti yakın çevre yürüyüşüyle birleştir</x:v>
      </x:c>
      <x:c r="P231" s="29" t="str">
        <x:v>Bilet veya etkinlik kaydı</x:v>
      </x:c>
      <x:c r="Q231" s="29" t="str">
        <x:v>1 Şubat 2026'dan beri genel saat Çarşamba–Pazar 11.00–17.00; tatil ve özel program istisnaları var.</x:v>
      </x:c>
      <x:c r="R231" s="29" t="str">
        <x:v>Güncel genel giriş yetişkin 12 USD, öğrenci/62+ 10 USD; 5 yaş ve altı ücretsiz. Atölyeler ayrı olabilir.</x:v>
      </x:c>
      <x:c r="S231" s="29"/>
      <x:c r="T231" s="29"/>
    </x:row>
    <x:row r="232" ht="82" customHeight="1">
      <x:c r="A232" s="29" t="str">
        <x:v>bakersfield:condors-mac</x:v>
      </x:c>
      <x:c r="B232" s="29" t="str">
        <x:v>bakersfield</x:v>
      </x:c>
      <x:c r="C232" s="29" t="str">
        <x:v>condors-mac</x:v>
      </x:c>
      <x:c r="D232" s="29" t="str">
        <x:v>Condors maçını sezon takviminden seç</x:v>
      </x:c>
      <x:c r="E232" s="29" t="str">
        <x:v>Sosyal hayat</x:v>
      </x:c>
      <x:c r="F232" s="29" t="str">
        <x:v>Bakersfield Condors, şehrin buz hokeyi kültürünü tanımak için yerel bir seçenektir. Ev sahibi ve deplasman maçını takvimde ayır; her listelenen maç Bakersfield'da oynanmaz. Arena giriş, çanta ve bilet koşullarını seçtiğin etkinliğin bilgisiyle birlikte planla.</x:v>
      </x:c>
      <x:c r="G232" s="29" t="str">
        <x:v>Condors maçını sezon takviminden seç</x:v>
      </x:c>
      <x:c r="H232" s="29" t="str">
        <x:v>before;new;settled</x:v>
      </x:c>
      <x:c r="I232" s="29" t="str">
        <x:v>bakersfield:src:17710</x:v>
      </x:c>
      <x:c r="J232" s="31" t="d">
        <x:v>2026-10-24T00:00:00.000Z</x:v>
      </x:c>
      <x:c r="K232" s="35" t="n">
        <x:v>224</x:v>
      </x:c>
      <x:c r="L232" s="29" t="str">
        <x:v>Hayır</x:v>
      </x:c>
      <x:c r="M232" s="29" t="str">
        <x:v>İnceleme</x:v>
      </x:c>
      <x:c r="N232" s="29" t="str">
        <x:v>bakersfield:sosyal</x:v>
      </x:c>
      <x:c r="O232" s="29" t="str">
        <x:v>Ev sahibi maçını seç
Resmî bilet kanalını kullan
Arena giriş ve dönüş düzenini hazırla</x:v>
      </x:c>
      <x:c r="P232" s="29" t="str">
        <x:v>Maç bileti</x:v>
      </x:c>
      <x:c r="Q232" s="29" t="str">
        <x:v>Sezon takvimindeki home maçını seç; kapı ve maç başlangıcı farklı olabilir.</x:v>
      </x:c>
      <x:c r="R232" s="29" t="str">
        <x:v>Maç ve koltuk bilet bedeli ile varsa park ayrı giderdir.</x:v>
      </x:c>
      <x:c r="S232" s="29"/>
      <x:c r="T232" s="29"/>
    </x:row>
    <x:row r="233" ht="96" customHeight="1">
      <x:c r="A233" s="29" t="str">
        <x:v>bakersfield:kampus-etkinlik</x:v>
      </x:c>
      <x:c r="B233" s="29" t="str">
        <x:v>bakersfield</x:v>
      </x:c>
      <x:c r="C233" s="29" t="str">
        <x:v>kampus-etkinlik</x:v>
      </x:c>
      <x:c r="D233" s="29" t="str">
        <x:v>CSUB etkinliklerini öğrenci olmayanlar için koşullarıyla incele</x:v>
      </x:c>
      <x:c r="E233" s="29" t="str">
        <x:v>Sosyal hayat</x:v>
      </x:c>
      <x:c r="F233" s="29" t="str">
        <x:v>California State University Bakersfield kampüsünün etkinlik takvimi, akademik ve kültürel programları araştırmak için yerel bir kaynak olabilir. Kampüste düzenlenmesi etkinliğin herkese açık veya ücretsiz olduğunu göstermez. Katılımcı koşulu, kayıt ve park düzenini program bazında değerlendir.</x:v>
      </x:c>
      <x:c r="G233" s="29" t="str">
        <x:v>CSUB etkinliklerini öğrenci olmayanlar için koşullarıyla incele</x:v>
      </x:c>
      <x:c r="H233" s="29" t="str">
        <x:v>before;new;settled</x:v>
      </x:c>
      <x:c r="I233" s="29" t="str">
        <x:v>bakersfield:src:17714</x:v>
      </x:c>
      <x:c r="J233" s="31" t="d">
        <x:v>2026-10-24T00:00:00.000Z</x:v>
      </x:c>
      <x:c r="K233" s="35" t="n">
        <x:v>225</x:v>
      </x:c>
      <x:c r="L233" s="29" t="str">
        <x:v>Hayır</x:v>
      </x:c>
      <x:c r="M233" s="29" t="str">
        <x:v>İnceleme</x:v>
      </x:c>
      <x:c r="N233" s="29" t="str">
        <x:v>bakersfield:sosyal</x:v>
      </x:c>
      <x:c r="O233" s="29" t="str">
        <x:v>İlgi alanına uygun etkinliği bul
Halka açıklık ve kayıt koşulunu belirle
Kampüs ulaşım ve park planını yap</x:v>
      </x:c>
      <x:c r="P233" s="29" t="str">
        <x:v>Etkinlik kaydı</x:v>
      </x:c>
      <x:c r="Q233" s="29" t="str">
        <x:v>Halka açıklık, kayıt son günü ve program saatini seçilen etkinlikte izle.</x:v>
      </x:c>
      <x:c r="R233" s="29" t="str">
        <x:v>Kayıt/bilet ve kampüs park ücreti etkinliğe göre değişir.</x:v>
      </x:c>
      <x:c r="S233" s="29"/>
      <x:c r="T233" s="29"/>
    </x:row>
    <x:row r="234" ht="96" customHeight="1">
      <x:c r="A234" s="29" t="str">
        <x:v>bakersfield:kutuphane-topluluk</x:v>
      </x:c>
      <x:c r="B234" s="29" t="str">
        <x:v>bakersfield</x:v>
      </x:c>
      <x:c r="C234" s="29" t="str">
        <x:v>kutuphane-topluluk</x:v>
      </x:c>
      <x:c r="D234" s="29" t="str">
        <x:v>Kütüphanede tekrar eden bir programa katıl</x:v>
      </x:c>
      <x:c r="E234" s="29" t="str">
        <x:v>Sosyal hayat</x:v>
      </x:c>
      <x:c r="F234" s="29" t="str">
        <x:v>Yeni şehirde sosyal bağ kurmak için tek seferlik büyük etkinlikten çok, düzenli devam edilebilen küçük programlar yararlı olabilir. Kern County Library'nin şube takvimleri kitap, öğrenme ve aile etkinliklerini araştırmaya imkân verir. Zamanına ve ulaşımına uygun bir programı birkaç hafta dene.</x:v>
      </x:c>
      <x:c r="G234" s="29" t="str">
        <x:v>Kütüphanede tekrar eden bir programa katıl</x:v>
      </x:c>
      <x:c r="H234" s="29" t="str">
        <x:v>before;new;settled</x:v>
      </x:c>
      <x:c r="I234" s="29" t="str">
        <x:v>bakersfield:src:17723</x:v>
      </x:c>
      <x:c r="J234" s="31" t="d">
        <x:v>2026-10-24T00:00:00.000Z</x:v>
      </x:c>
      <x:c r="K234" s="35" t="n">
        <x:v>226</x:v>
      </x:c>
      <x:c r="L234" s="29" t="str">
        <x:v>Hayır</x:v>
      </x:c>
      <x:c r="M234" s="29" t="str">
        <x:v>İnceleme</x:v>
      </x:c>
      <x:c r="N234" s="29" t="str">
        <x:v>bakersfield:sosyal</x:v>
      </x:c>
      <x:c r="O234" s="29" t="str">
        <x:v>Yakın şubenin takvimini aç
Düzenli katılabileceğin etkinliği seç
Gerekli kayıt ve yaş koşulunu öğren</x:v>
      </x:c>
      <x:c r="P234" s="29" t="str">
        <x:v>Varsa kayıt</x:v>
      </x:c>
      <x:c r="Q234" s="29" t="str">
        <x:v>Tekrar eden programa katılımı şube takvimindeki gerçek tarihlerle planla.</x:v>
      </x:c>
      <x:c r="R234" s="29" t="str">
        <x:v>Program ilanındaki katılım koşulunu kullan; kitap/ekipman gibi kişisel giderler ayrı olabilir.</x:v>
      </x:c>
      <x:c r="S234" s="29"/>
      <x:c r="T234" s="29"/>
    </x:row>
    <x:row r="235" ht="96" customHeight="1">
      <x:c r="A235" s="29" t="str">
        <x:v>bakersfield:gonulluluk</x:v>
      </x:c>
      <x:c r="B235" s="29" t="str">
        <x:v>bakersfield</x:v>
      </x:c>
      <x:c r="C235" s="29" t="str">
        <x:v>gonulluluk</x:v>
      </x:c>
      <x:c r="D235" s="29" t="str">
        <x:v>Gönüllülükte görev ve taahhüdü açıklaştır</x:v>
      </x:c>
      <x:c r="E235" s="29" t="str">
        <x:v>Sosyal hayat</x:v>
      </x:c>
      <x:c r="F235" s="29" t="str">
        <x:v>Kern County Library'nin gönüllülük bilgisi, yerel katkı seçeneklerinden birini sunar. Gönüllü görevinde de yaş, eğitim, süre veya inceleme koşulları bulunabilir. Başvuru formu doldurmadan önce yapacağın işi ve ayırabileceğin zamanı netleştirmek sürdürülebilir katılım sağlar.</x:v>
      </x:c>
      <x:c r="G235" s="29" t="str">
        <x:v>Gönüllülükte görev ve taahhüdü açıklaştır</x:v>
      </x:c>
      <x:c r="H235" s="29" t="str">
        <x:v>before;new;settled</x:v>
      </x:c>
      <x:c r="I235" s="29" t="str">
        <x:v>bakersfield:src:17724</x:v>
      </x:c>
      <x:c r="J235" s="31" t="d">
        <x:v>2026-10-24T00:00:00.000Z</x:v>
      </x:c>
      <x:c r="K235" s="35" t="n">
        <x:v>227</x:v>
      </x:c>
      <x:c r="L235" s="29" t="str">
        <x:v>Hayır</x:v>
      </x:c>
      <x:c r="M235" s="29" t="str">
        <x:v>İnceleme</x:v>
      </x:c>
      <x:c r="N235" s="29" t="str">
        <x:v>bakersfield:sosyal</x:v>
      </x:c>
      <x:c r="O235" s="29" t="str">
        <x:v>Kuruluşun resmî gönüllülük kanalını seç
Görev ve zaman beklentisini görüş
Gerekli başvuru ve eğitimi tamamla</x:v>
      </x:c>
      <x:c r="P235" s="29" t="str">
        <x:v>Başvuru bilgileri</x:v>
      </x:c>
      <x:c r="Q235" s="29" t="str">
        <x:v>Görev, yaş ve zaman taahhüdünü kabulden önce netleştir.</x:v>
      </x:c>
      <x:c r="R235" s="29" t="str">
        <x:v>Gönüllülük ücretli istihdam değildir; gerekli tarama/eğitim koşulları kuruma bağlıdır.</x:v>
      </x:c>
      <x:c r="S235" s="29"/>
      <x:c r="T235" s="29"/>
    </x:row>
    <x:row r="236" ht="96" customHeight="1">
      <x:c r="A236" s="29" t="str">
        <x:v>bakersfield:bask-kulturu</x:v>
      </x:c>
      <x:c r="B236" s="29" t="str">
        <x:v>bakersfield</x:v>
      </x:c>
      <x:c r="C236" s="29" t="str">
        <x:v>bask-kulturu</x:v>
      </x:c>
      <x:c r="D236" s="29" t="str">
        <x:v>Bakersfield'ın Bask kültürünü yemek ve tarih üzerinden tanı</x:v>
      </x:c>
      <x:c r="E236" s="29" t="str">
        <x:v>Sosyal hayat</x:v>
      </x:c>
      <x:c r="F236" s="29" t="str">
        <x:v>Bakersfield'ın Bask mirası, kentin göç ve çalışma tarihinin bir parçasıdır. Bir restoranın veya kulübün bütün programlarının halka açık olduğunu varsaymak yerine yemek hizmeti ile kültür etkinliğini ayır. Ziyareti yerel tarih anlatısıyla birleştirmek yalnız menüden oluşmayan bir deneyim sağlar.</x:v>
      </x:c>
      <x:c r="G236" s="29" t="str">
        <x:v>Bakersfield'ın Bask kültürünü yemek ve tarih üzerinden tanı</x:v>
      </x:c>
      <x:c r="H236" s="29" t="str">
        <x:v>before;new;settled</x:v>
      </x:c>
      <x:c r="I236" s="29" t="str">
        <x:v>bakersfield:src:17730</x:v>
      </x:c>
      <x:c r="J236" s="31" t="d">
        <x:v>2026-10-24T00:00:00.000Z</x:v>
      </x:c>
      <x:c r="K236" s="35" t="n">
        <x:v>228</x:v>
      </x:c>
      <x:c r="L236" s="29" t="str">
        <x:v>Hayır</x:v>
      </x:c>
      <x:c r="M236" s="29" t="str">
        <x:v>İnceleme</x:v>
      </x:c>
      <x:c r="N236" s="29" t="str">
        <x:v>bakersfield:sosyal</x:v>
      </x:c>
      <x:c r="O236" s="29" t="str">
        <x:v>Resmî turizm kaynağındaki Bask kültürü bölümünü incele
Güncel işletme veya etkinliği seç
Katılım ve rezervasyon düzenini uygula</x:v>
      </x:c>
      <x:c r="P236" s="29" t="str">
        <x:v>Varsa rezervasyon</x:v>
      </x:c>
      <x:c r="Q236" s="29" t="str">
        <x:v>Yemek servisi ve kültür etkinliğinin kendi takvimini kullan.</x:v>
      </x:c>
      <x:c r="R236" s="29" t="str">
        <x:v>Restoran hesabı ile kulüp/etkinlik giriş bedelleri ayrı olabilir.</x:v>
      </x:c>
      <x:c r="S236" s="29"/>
      <x:c r="T236" s="29"/>
    </x:row>
    <x:row r="237" ht="110" customHeight="1">
      <x:c r="A237" s="29" t="str">
        <x:v>bakersfield:country-tarih</x:v>
      </x:c>
      <x:c r="B237" s="29" t="str">
        <x:v>bakersfield</x:v>
      </x:c>
      <x:c r="C237" s="29" t="str">
        <x:v>country-tarih</x:v>
      </x:c>
      <x:c r="D237" s="29" t="str">
        <x:v>Bakersfield Sound'u güncel mekânlardan ayrı oku</x:v>
      </x:c>
      <x:c r="E237" s="29" t="str">
        <x:v>Sosyal hayat</x:v>
      </x:c>
      <x:c r="F237" s="29" t="str">
        <x:v>Bakersfield Sound, şehrin country müzik tarihindeki yerini anlatır. Bir sanatçıyla ilişkilendirilen tarihî mekânın bugün açık olduğu sonucu buradan çıkarılamaz. Özellikle Crystal Palace'ın kapanış bilgisi varken onu güncel restoran veya konser önerisi olarak kullanmadan, müzik tarihini güncel programlarla ayrı ilişkilendir.</x:v>
      </x:c>
      <x:c r="G237" s="29" t="str">
        <x:v>Bakersfield Sound'u güncel mekânlardan ayrı oku</x:v>
      </x:c>
      <x:c r="H237" s="29" t="str">
        <x:v>before;new;settled</x:v>
      </x:c>
      <x:c r="I237" s="29" t="str">
        <x:v>bakersfield:src:17682;bakersfield:src:17683</x:v>
      </x:c>
      <x:c r="J237" s="31" t="d">
        <x:v>2026-10-24T00:00:00.000Z</x:v>
      </x:c>
      <x:c r="K237" s="35" t="n">
        <x:v>229</x:v>
      </x:c>
      <x:c r="L237" s="29" t="str">
        <x:v>Hayır</x:v>
      </x:c>
      <x:c r="M237" s="29" t="str">
        <x:v>İnceleme</x:v>
      </x:c>
      <x:c r="N237" s="29" t="str">
        <x:v>bakersfield:sosyal</x:v>
      </x:c>
      <x:c r="O237" s="29" t="str">
        <x:v>Müzik tarihini güvenilir yerel kaynaktan oku
Canlı müzik için açık mekânın programını seç
Etkinliğin tarih ve bilet bilgisiyle plan yap</x:v>
      </x:c>
      <x:c r="P237" s="29" t="str">
        <x:v>Varsa bilet</x:v>
      </x:c>
      <x:c r="Q237" s="29" t="str">
        <x:v>Canlı müzik için açık mekânın tarihli programını kullan.</x:v>
      </x:c>
      <x:c r="R237" s="29" t="str">
        <x:v>Tarih araştırmasıyla güncel biletli müzik etkinliği farklı maliyetlerdir.</x:v>
      </x:c>
      <x:c r="S237" s="29"/>
      <x:c r="T237" s="29"/>
    </x:row>
    <x:row r="238" ht="96" customHeight="1">
      <x:c r="A238" s="29" t="str">
        <x:v>bakersfield:park-sosyal</x:v>
      </x:c>
      <x:c r="B238" s="29" t="str">
        <x:v>bakersfield</x:v>
      </x:c>
      <x:c r="C238" s="29" t="str">
        <x:v>park-sosyal</x:v>
      </x:c>
      <x:c r="D238" s="29" t="str">
        <x:v>Açık hava buluşmasını parkın kullanım türüne göre kur</x:v>
      </x:c>
      <x:c r="E238" s="29" t="str">
        <x:v>Sosyal hayat</x:v>
      </x:c>
      <x:c r="F238" s="29" t="str">
        <x:v>Parkta yürüyüş, spor sahası ve ayrılmış piknik alanı aynı kullanım düzenine sahip olmayabilir. Büyük grup veya özel alan için rezervasyon gerekebilir. İlk sosyal buluşmada erişilebilir giriş, tuvalet ve gölge gibi somut ihtiyaçları planlamak, yalnız güzel bir fotoğrafa göre yer seçmekten daha kullanışlıdır.</x:v>
      </x:c>
      <x:c r="G238" s="29" t="str">
        <x:v>Açık hava buluşmasını parkın kullanım türüne göre kur</x:v>
      </x:c>
      <x:c r="H238" s="29" t="str">
        <x:v>before;new;settled</x:v>
      </x:c>
      <x:c r="I238" s="29" t="str">
        <x:v>bakersfield:src:17674;bakersfield:src:17687</x:v>
      </x:c>
      <x:c r="J238" s="31" t="d">
        <x:v>2026-10-24T00:00:00.000Z</x:v>
      </x:c>
      <x:c r="K238" s="35" t="n">
        <x:v>230</x:v>
      </x:c>
      <x:c r="L238" s="29" t="str">
        <x:v>Hayır</x:v>
      </x:c>
      <x:c r="M238" s="29" t="str">
        <x:v>İnceleme</x:v>
      </x:c>
      <x:c r="N238" s="29" t="str">
        <x:v>bakersfield:sosyal</x:v>
      </x:c>
      <x:c r="O238" s="29" t="str">
        <x:v>Parkın tesis listesini incele
Grup büyüklüğüne göre rezervasyon ihtiyacını belirle
Buluşma girişini açık konumla paylaş</x:v>
      </x:c>
      <x:c r="P238" s="29" t="str">
        <x:v>Buluşma konumu
Varsa rezervasyon</x:v>
      </x:c>
      <x:c r="Q238" s="29" t="str">
        <x:v>Grup büyüklüğüne göre rezervasyon ve buluşma girişini önceden belirle.</x:v>
      </x:c>
      <x:c r="R238" s="29" t="str">
        <x:v>Genel kullanım ile grup alanı rezervasyonu ücretleri aynı olmayabilir.</x:v>
      </x:c>
      <x:c r="S238" s="29"/>
      <x:c r="T238" s="29"/>
    </x:row>
    <x:row r="239" ht="96" customHeight="1">
      <x:c r="A239" s="29" t="str">
        <x:v>bakersfield:north-rec</x:v>
      </x:c>
      <x:c r="B239" s="29" t="str">
        <x:v>bakersfield</x:v>
      </x:c>
      <x:c r="C239" s="29" t="str">
        <x:v>north-rec</x:v>
      </x:c>
      <x:c r="D239" s="29" t="str">
        <x:v>North of the River programlarını ayrı takvimden izle</x:v>
      </x:c>
      <x:c r="E239" s="29" t="str">
        <x:v>Sosyal hayat</x:v>
      </x:c>
      <x:c r="F239" s="29" t="str">
        <x:v>North of the River Recreation and Park District, kuzey çevredeki rekreasyon seçenekleri için ayrı bir işletmecidir. Belediye programlarıyla aynı ücret ve kayıt sistemini kullandığını varsayma. Evin, işin ve program saatinin uyumu düzenli katılımda etkinliğin adından daha belirleyici olabilir.</x:v>
      </x:c>
      <x:c r="G239" s="29" t="str">
        <x:v>North of the River programlarını ayrı takvimden izle</x:v>
      </x:c>
      <x:c r="H239" s="29" t="str">
        <x:v>before;new;settled</x:v>
      </x:c>
      <x:c r="I239" s="29" t="str">
        <x:v>bakersfield:src:17675</x:v>
      </x:c>
      <x:c r="J239" s="31" t="d">
        <x:v>2026-10-24T00:00:00.000Z</x:v>
      </x:c>
      <x:c r="K239" s="35" t="n">
        <x:v>231</x:v>
      </x:c>
      <x:c r="L239" s="29" t="str">
        <x:v>Hayır</x:v>
      </x:c>
      <x:c r="M239" s="29" t="str">
        <x:v>İnceleme</x:v>
      </x:c>
      <x:c r="N239" s="29" t="str">
        <x:v>bakersfield:sosyal</x:v>
      </x:c>
      <x:c r="O239" s="29" t="str">
        <x:v>NOR program listesinden uygun seçeneği bul
Kayıt ve ücret koşulunu incele
Haftalık ulaşım planına ekle</x:v>
      </x:c>
      <x:c r="P239" s="29" t="str">
        <x:v>Program kaydı</x:v>
      </x:c>
      <x:c r="Q239" s="29" t="str">
        <x:v>Yaş/dönem koşulu ile haftalık ulaşımı birlikte planla.</x:v>
      </x:c>
      <x:c r="R239" s="29" t="str">
        <x:v>NOR ücret ve kayıt sistemi belediyeden ayrıdır; programın toplam bedelini kullan.</x:v>
      </x:c>
      <x:c r="S239" s="29"/>
      <x:c r="T239" s="29"/>
    </x:row>
    <x:row r="240" ht="96" customHeight="1">
      <x:c r="A240" s="29" t="str">
        <x:v>bakersfield:cocukla-kultur</x:v>
      </x:c>
      <x:c r="B240" s="29" t="str">
        <x:v>bakersfield</x:v>
      </x:c>
      <x:c r="C240" s="29" t="str">
        <x:v>cocukla-kultur</x:v>
      </x:c>
      <x:c r="D240" s="29" t="str">
        <x:v>Çocukla kültür gezisini tek ana durakla planla</x:v>
      </x:c>
      <x:c r="E240" s="29" t="str">
        <x:v>Sosyal hayat</x:v>
      </x:c>
      <x:c r="F240" s="29" t="str">
        <x:v>Müze, park ve sanat etkinliklerini aynı güne sıkıştırmak yerine tek ana durak ve kısa bir açık hava molası seçmek daha uygulanabilir olabilir. Bu bir kişisel planlama önerisidir; çocuğun yaşına ve ilgisine göre süreyi değiştir. Müze programlarının yaş ve kayıt koşullarını ayrıca kullan.</x:v>
      </x:c>
      <x:c r="G240" s="29" t="str">
        <x:v>Çocukla kültür gezisini tek ana durakla planla</x:v>
      </x:c>
      <x:c r="H240" s="29" t="str">
        <x:v>before;new;settled</x:v>
      </x:c>
      <x:c r="I240" s="29" t="str">
        <x:v>bakersfield:src:17720;bakersfield:src:17723;bakersfield:src:17750</x:v>
      </x:c>
      <x:c r="J240" s="31" t="d">
        <x:v>2026-10-24T00:00:00.000Z</x:v>
      </x:c>
      <x:c r="K240" s="35" t="n">
        <x:v>232</x:v>
      </x:c>
      <x:c r="L240" s="29" t="str">
        <x:v>Hayır</x:v>
      </x:c>
      <x:c r="M240" s="29" t="str">
        <x:v>İnceleme</x:v>
      </x:c>
      <x:c r="N240" s="29" t="str">
        <x:v>bakersfield:sosyal</x:v>
      </x:c>
      <x:c r="O240" s="29" t="str">
        <x:v>Çocuğun ilgisine uygun ana durağı seç
Yemek ve dinlenme arası koy
Ulaşım ve dönüş süresini toplam plana kat</x:v>
      </x:c>
      <x:c r="P240" s="29" t="str">
        <x:v>Varsa bilet veya kayıt</x:v>
      </x:c>
      <x:c r="Q240" s="29" t="str">
        <x:v>Bir ana durak önerisi çocuğun yaşı/ilgisine göre esnetilir.</x:v>
      </x:c>
      <x:c r="R240" s="29" t="str">
        <x:v>Ana durak biletini, ulaşım ve yemek molasını ayrı hesapla.</x:v>
      </x:c>
      <x:c r="S240" s="29"/>
      <x:c r="T240" s="29"/>
    </x:row>
    <x:row r="241" ht="82" customHeight="1">
      <x:c r="A241" s="29" t="str">
        <x:v>bakersfield:ucretsiz-etkinlik</x:v>
      </x:c>
      <x:c r="B241" s="29" t="str">
        <x:v>bakersfield</x:v>
      </x:c>
      <x:c r="C241" s="29" t="str">
        <x:v>ucretsiz-etkinlik</x:v>
      </x:c>
      <x:c r="D241" s="29" t="str">
        <x:v>Ücretsiz etkinlikte kayıt ve ek gideri ayır</x:v>
      </x:c>
      <x:c r="E241" s="29" t="str">
        <x:v>Sosyal hayat</x:v>
      </x:c>
      <x:c r="F241" s="29" t="str">
        <x:v>Etkinliğin ücretsiz olması, yer garantisi, ücretsiz park veya tüm atölyelerin dahil olduğu anlamına gelmez. Kütüphane ve park programlarında katılım türü ve kapasite bilgisi ayrı bulunabilir. Bütçeyi giriş ücretiyle birlikte ulaşım ve gerekli ekipmanı da düşünerek kur.</x:v>
      </x:c>
      <x:c r="G241" s="29" t="str">
        <x:v>Ücretsiz etkinlikte kayıt ve ek gideri ayır</x:v>
      </x:c>
      <x:c r="H241" s="29" t="str">
        <x:v>before;new;settled</x:v>
      </x:c>
      <x:c r="I241" s="29" t="str">
        <x:v>bakersfield:src:17723;bakersfield:src:17687</x:v>
      </x:c>
      <x:c r="J241" s="31" t="d">
        <x:v>2026-10-24T00:00:00.000Z</x:v>
      </x:c>
      <x:c r="K241" s="35" t="n">
        <x:v>233</x:v>
      </x:c>
      <x:c r="L241" s="29" t="str">
        <x:v>Hayır</x:v>
      </x:c>
      <x:c r="M241" s="29" t="str">
        <x:v>İnceleme</x:v>
      </x:c>
      <x:c r="N241" s="29" t="str">
        <x:v>bakersfield:sosyal</x:v>
      </x:c>
      <x:c r="O241" s="29" t="str">
        <x:v>Etkinliğin ücretsiz kapsamını oku
Gerekliyse kayıt yap
Ulaşım ve ekipman giderini ayır</x:v>
      </x:c>
      <x:c r="P241" s="29" t="str">
        <x:v>Varsa etkinlik kaydı</x:v>
      </x:c>
      <x:c r="Q241" s="29" t="str">
        <x:v>Yer ayrılması gerekiyorsa kayıt penceresinde başvur.</x:v>
      </x:c>
      <x:c r="R241" s="29" t="str">
        <x:v>Ücretsiz katılım park, ulaşım veya ek atölyenin de ücretsiz olduğu anlamına gelmez.</x:v>
      </x:c>
      <x:c r="S241" s="29"/>
      <x:c r="T241" s="29"/>
    </x:row>
    <x:row r="242" ht="96" customHeight="1">
      <x:c r="A242" s="29" t="str">
        <x:v>bakersfield:haftasonu-bolge</x:v>
      </x:c>
      <x:c r="B242" s="29" t="str">
        <x:v>bakersfield</x:v>
      </x:c>
      <x:c r="C242" s="29" t="str">
        <x:v>haftasonu-bolge</x:v>
      </x:c>
      <x:c r="D242" s="29" t="str">
        <x:v>Kern County gezisini şehir içi planla karıştırma</x:v>
      </x:c>
      <x:c r="E242" s="29" t="str">
        <x:v>Sosyal hayat</x:v>
      </x:c>
      <x:c r="F242" s="29" t="str">
        <x:v>Tehachapi, Kernville ve Lake Isabella gibi bölgesel duraklar Bakersfield mahalleleri değildir. Günübirlik gezi planında yol, yükseklik, hava ve dönüş seçenekleri ayrı değerlendirilir. Şehir merkezinde kısa yürüyüş isteyen kişiyle dağ yolculuğu isteyen kişiye aynı rota uygun olmaz.</x:v>
      </x:c>
      <x:c r="G242" s="29" t="str">
        <x:v>Kern County gezisini şehir içi planla karıştırma</x:v>
      </x:c>
      <x:c r="H242" s="29" t="str">
        <x:v>before;new;settled</x:v>
      </x:c>
      <x:c r="I242" s="29" t="str">
        <x:v>bakersfield:src:17666;bakersfield:src:17674;bakersfield:src:17670</x:v>
      </x:c>
      <x:c r="J242" s="31" t="d">
        <x:v>2026-10-24T00:00:00.000Z</x:v>
      </x:c>
      <x:c r="K242" s="35" t="n">
        <x:v>234</x:v>
      </x:c>
      <x:c r="L242" s="29" t="str">
        <x:v>Hayır</x:v>
      </x:c>
      <x:c r="M242" s="29" t="str">
        <x:v>İnceleme</x:v>
      </x:c>
      <x:c r="N242" s="29" t="str">
        <x:v>bakersfield:sosyal</x:v>
      </x:c>
      <x:c r="O242" s="29" t="str">
        <x:v>Günü şehir içi veya bölgesel olarak seç
Yol koşulu ve dönüş süresini planla
Her durak için gerçek konumu kullan</x:v>
      </x:c>
      <x:c r="P242" s="29" t="str">
        <x:v>Rota
Ulaşım planı</x:v>
      </x:c>
      <x:c r="Q242" s="29" t="str">
        <x:v>Dağ, kırsal alan ve son dönüş için tam günlük plan gerekebilir.</x:v>
      </x:c>
      <x:c r="R242" s="29" t="str">
        <x:v>Bölgesel ulaşım, varsa giriş ve araç giderlerini şehir içi bütçeden ayrı topla.</x:v>
      </x:c>
      <x:c r="S242" s="29"/>
      <x:c r="T242" s="29"/>
    </x:row>
    <x:row r="243" ht="82" customHeight="1">
      <x:c r="A243" s="29" t="str">
        <x:v>bakersfield:dogada-izin</x:v>
      </x:c>
      <x:c r="B243" s="29" t="str">
        <x:v>bakersfield</x:v>
      </x:c>
      <x:c r="C243" s="29" t="str">
        <x:v>dogada-izin</x:v>
      </x:c>
      <x:c r="D243" s="29" t="str">
        <x:v>Doğa alanında işletmeci ve izin türünü belirle</x:v>
      </x:c>
      <x:c r="E243" s="29" t="str">
        <x:v>Sosyal hayat</x:v>
      </x:c>
      <x:c r="F243" s="29" t="str">
        <x:v>County parkı, state park, BLM arazisi ve ulusal orman farklı kullanım kurallarına sahip olabilir. Aynı bölgede yürüyüş, kamp ve araçla giriş için ayrı ücret veya izin gerekebilir. Park adını değil, ziyaret edeceğin giriş ve faaliyet türünü esas al.</x:v>
      </x:c>
      <x:c r="G243" s="29" t="str">
        <x:v>Doğa alanında işletmeci ve izin türünü belirle</x:v>
      </x:c>
      <x:c r="H243" s="29" t="str">
        <x:v>before;new;settled</x:v>
      </x:c>
      <x:c r="I243" s="29" t="str">
        <x:v>bakersfield:src:17704;bakersfield:src:17674;bakersfield:src:17726</x:v>
      </x:c>
      <x:c r="J243" s="31" t="d">
        <x:v>2026-10-24T00:00:00.000Z</x:v>
      </x:c>
      <x:c r="K243" s="35" t="n">
        <x:v>235</x:v>
      </x:c>
      <x:c r="L243" s="29" t="str">
        <x:v>Hayır</x:v>
      </x:c>
      <x:c r="M243" s="29" t="str">
        <x:v>İnceleme</x:v>
      </x:c>
      <x:c r="N243" s="29" t="str">
        <x:v>bakersfield:sosyal</x:v>
      </x:c>
      <x:c r="O243" s="29" t="str">
        <x:v>Alanı yöneten kurumu belirle
Yapacağın faaliyet için gerekli izinleri incele
Giriş ve dönüş planını resmî haritayla kur</x:v>
      </x:c>
      <x:c r="P243" s="29" t="str">
        <x:v>Varsa izin veya rezervasyon</x:v>
      </x:c>
      <x:c r="Q243" s="29" t="str">
        <x:v>Faaliyeti ve giriş noktasını belirleyip izin/rezervasyon takvimine göre git.</x:v>
      </x:c>
      <x:c r="R243" s="29" t="str">
        <x:v>Yürüyüş, kamp, araç girişi ve özel etkinlik izni farklı ücretlere tabi olabilir.</x:v>
      </x:c>
      <x:c r="S243" s="29"/>
      <x:c r="T243" s="29"/>
    </x:row>
    <x:row r="244" ht="96" customHeight="1">
      <x:c r="A244" s="29" t="str">
        <x:v>bakersfield:etkinlik-bileti</x:v>
      </x:c>
      <x:c r="B244" s="29" t="str">
        <x:v>bakersfield</x:v>
      </x:c>
      <x:c r="C244" s="29" t="str">
        <x:v>etkinlik-bileti</x:v>
      </x:c>
      <x:c r="D244" s="29" t="str">
        <x:v>Bileti mekânın resmî yönlendirmesinden al</x:v>
      </x:c>
      <x:c r="E244" s="29" t="str">
        <x:v>Sosyal hayat</x:v>
      </x:c>
      <x:c r="F244" s="29" t="str">
        <x:v>Arama motorunda ilk çıkan bilet sitesi, etkinlik sahibinin resmî satış kanalı olmayabilir. İkinci el satış ve asıl organizatör farklı ücret ve iptal düzenlerine sahip olabilir. Mekânın kendi program sayfasından satış bağlantısına geçmek hangi tarafla işlem yaptığını daha açık gösterir.</x:v>
      </x:c>
      <x:c r="G244" s="29" t="str">
        <x:v>Bileti mekânın resmî yönlendirmesinden al</x:v>
      </x:c>
      <x:c r="H244" s="29" t="str">
        <x:v>before;new;settled</x:v>
      </x:c>
      <x:c r="I244" s="29" t="str">
        <x:v>bakersfield:src:17753;bakersfield:src:17710;bakersfield:src:17679</x:v>
      </x:c>
      <x:c r="J244" s="31" t="d">
        <x:v>2026-10-24T00:00:00.000Z</x:v>
      </x:c>
      <x:c r="K244" s="35" t="n">
        <x:v>236</x:v>
      </x:c>
      <x:c r="L244" s="29" t="str">
        <x:v>Hayır</x:v>
      </x:c>
      <x:c r="M244" s="29" t="str">
        <x:v>İnceleme</x:v>
      </x:c>
      <x:c r="N244" s="29" t="str">
        <x:v>bakersfield:sosyal</x:v>
      </x:c>
      <x:c r="O244" s="29" t="str">
        <x:v>Etkinliği mekânın takviminde bul
Oradaki satış bağlantısını kullan
Toplam ücret ve teslim biçimini kaydet</x:v>
      </x:c>
      <x:c r="P244" s="29" t="str">
        <x:v>Bilet ve ödeme kaydı</x:v>
      </x:c>
      <x:c r="Q244" s="29" t="str">
        <x:v>Mekânın tarihli takviminden resmî satış bağlantısına geç; teslim/iptal koşulunu ödemeden önce oku.</x:v>
      </x:c>
      <x:c r="R244" s="29" t="str">
        <x:v>Bilet, zorunlu satış ücreti ve ikinci el fiyatını ayrı gör.</x:v>
      </x:c>
      <x:c r="S244" s="29"/>
      <x:c r="T244" s="29"/>
    </x:row>
    <x:row r="245" ht="96" customHeight="1">
      <x:c r="A245" s="29" t="str">
        <x:v>bakersfield:topluluk-bul</x:v>
      </x:c>
      <x:c r="B245" s="29" t="str">
        <x:v>bakersfield</x:v>
      </x:c>
      <x:c r="C245" s="29" t="str">
        <x:v>topluluk-bul</x:v>
      </x:c>
      <x:c r="D245" s="29" t="str">
        <x:v>Topluluk ararken etkinlik ve kurumu ayrı doğrula</x:v>
      </x:c>
      <x:c r="E245" s="29" t="str">
        <x:v>Sosyal hayat</x:v>
      </x:c>
      <x:c r="F245" s="29" t="str">
        <x:v>Türkçe konuşan kişilerle tanışmak veya başka bir topluluğa katılmak için kamuya açık etkinlik ve resmî kurum duyurularından başlamak yararlıdır. Doğrulanmamış bir sosyal medya grubunu resmî hizmet sağlayıcısı gibi görme. Göçmenlik, iş veya para talebi içeren önerileri sosyal tanışmadan ayrı değerlendir.</x:v>
      </x:c>
      <x:c r="G245" s="29" t="str">
        <x:v>Topluluk ararken etkinlik ve kurumu ayrı doğrula</x:v>
      </x:c>
      <x:c r="H245" s="29" t="str">
        <x:v>before;new;settled</x:v>
      </x:c>
      <x:c r="I245" s="29" t="str">
        <x:v>bakersfield:src:17723;bakersfield:src:6967</x:v>
      </x:c>
      <x:c r="J245" s="31" t="d">
        <x:v>2026-10-24T00:00:00.000Z</x:v>
      </x:c>
      <x:c r="K245" s="35" t="n">
        <x:v>237</x:v>
      </x:c>
      <x:c r="L245" s="29" t="str">
        <x:v>Hayır</x:v>
      </x:c>
      <x:c r="M245" s="29" t="str">
        <x:v>İnceleme</x:v>
      </x:c>
      <x:c r="N245" s="29" t="str">
        <x:v>bakersfield:sosyal</x:v>
      </x:c>
      <x:c r="O245" s="29" t="str">
        <x:v>Kamuya açık etkinlik seç
Organizatörün kimliğini öğren
Hassas bilgi veya ödemeyi sosyal tanışmadan ayrı tut</x:v>
      </x:c>
      <x:c r="P245" s="29" t="str">
        <x:v>Etkinlik bilgisi</x:v>
      </x:c>
      <x:c r="Q245" s="29" t="str">
        <x:v>Organizatörün tarihli duyurusuyla etkinliği eşleştir; hassas veriyi sosyal tanışmada verme.</x:v>
      </x:c>
      <x:c r="R245" s="29" t="str">
        <x:v>Sosyal üyelik/etkinlik bedelini göçmenlik veya iş hizmeti ödemesiyle karıştırma.</x:v>
      </x:c>
      <x:c r="S245" s="29"/>
      <x:c r="T245" s="29"/>
    </x:row>
    <x:row r="246" ht="96" customHeight="1">
      <x:c r="A246" s="29" t="str">
        <x:v>bakersfield:erisimli-gezi</x:v>
      </x:c>
      <x:c r="B246" s="29" t="str">
        <x:v>bakersfield</x:v>
      </x:c>
      <x:c r="C246" s="29" t="str">
        <x:v>erisimli-gezi</x:v>
      </x:c>
      <x:c r="D246" s="29" t="str">
        <x:v>Gezinin erişilebilirliğini kapıdan kapıya düşün</x:v>
      </x:c>
      <x:c r="E246" s="29" t="str">
        <x:v>Sosyal hayat</x:v>
      </x:c>
      <x:c r="F246" s="29" t="str">
        <x:v>Bir mekânın erişilebilir girişinin bulunması, otoparktan veya duraktan o girişe kadar tüm yolun uygun olduğu anlamına gelmez. Basamaksız yol, oturma, tuvalet ve refakat ihtiyacını birlikte ele al. Kesin donanım iddiası yerine ihtiyaç duyduğun düzenlemeyi işletmeciyle somut olarak eşleştir.</x:v>
      </x:c>
      <x:c r="G246" s="29" t="str">
        <x:v>Gezinin erişilebilirliğini kapıdan kapıya düşün</x:v>
      </x:c>
      <x:c r="H246" s="29" t="str">
        <x:v>before;new;settled</x:v>
      </x:c>
      <x:c r="I246" s="29" t="str">
        <x:v>bakersfield:src:17680;bakersfield:src:17681</x:v>
      </x:c>
      <x:c r="J246" s="31" t="d">
        <x:v>2026-10-24T00:00:00.000Z</x:v>
      </x:c>
      <x:c r="K246" s="35" t="n">
        <x:v>238</x:v>
      </x:c>
      <x:c r="L246" s="29" t="str">
        <x:v>Hayır</x:v>
      </x:c>
      <x:c r="M246" s="29" t="str">
        <x:v>İnceleme</x:v>
      </x:c>
      <x:c r="N246" s="29" t="str">
        <x:v>bakersfield:sosyal</x:v>
      </x:c>
      <x:c r="O246" s="29" t="str">
        <x:v>Geliş noktasından girişe rotayı belirle
İhtiyaç duyduğun tesis bilgisini al
Etkinlikte uygun oturma veya destek düzenini yap</x:v>
      </x:c>
      <x:c r="P246" s="29" t="str">
        <x:v>Kişisel erişim planı</x:v>
      </x:c>
      <x:c r="Q246" s="29" t="str">
        <x:v>Durak/otoparktan girişe ve dönüşe kadar gereken düzenlemeyi etkinlikten önce belirle.</x:v>
      </x:c>
      <x:c r="R246" s="29" t="str">
        <x:v>Erişilebilir düzenleme, bilet ve özel destek bedelleri hizmete göre değişebilir.</x:v>
      </x:c>
      <x:c r="S246" s="29"/>
      <x:c r="T246" s="29"/>
    </x:row>
    <x:row r="247" ht="110" customHeight="1">
      <x:c r="A247" s="29" t="str">
        <x:v>bakersfield:sosyal-takvim</x:v>
      </x:c>
      <x:c r="B247" s="29" t="str">
        <x:v>bakersfield</x:v>
      </x:c>
      <x:c r="C247" s="29" t="str">
        <x:v>sosyal-takvim</x:v>
      </x:c>
      <x:c r="D247" s="29" t="str">
        <x:v>Sosyal yaşamı sürdürülebilir bir haftalık düzenle kur</x:v>
      </x:c>
      <x:c r="E247" s="29" t="str">
        <x:v>Sosyal hayat</x:v>
      </x:c>
      <x:c r="F247" s="29" t="str">
        <x:v>Yeni bir şehirde bütün seçenekleri hemen tüketmek yerine bir kültür etkinliği, bir açık hava planı ve düzenli bir topluluk buluşması seçebilirsin. Bu öneri zorunlu bir program değildir; bütçe, çalışma saatleri ve aile ihtiyaçlarına göre azaltılabilir. Düzenli katılım, şehri yalnız ziyaret noktalarıyla tanımaktan daha kalıcı bir bağ kurar.</x:v>
      </x:c>
      <x:c r="G247" s="29" t="str">
        <x:v>Sosyal yaşamı sürdürülebilir bir haftalık düzenle kur</x:v>
      </x:c>
      <x:c r="H247" s="29" t="str">
        <x:v>before;new;settled</x:v>
      </x:c>
      <x:c r="I247" s="29" t="str">
        <x:v>bakersfield:src:17681;bakersfield:src:17723;bakersfield:src:17687</x:v>
      </x:c>
      <x:c r="J247" s="31" t="d">
        <x:v>2026-10-24T00:00:00.000Z</x:v>
      </x:c>
      <x:c r="K247" s="35" t="n">
        <x:v>239</x:v>
      </x:c>
      <x:c r="L247" s="29" t="str">
        <x:v>Hayır</x:v>
      </x:c>
      <x:c r="M247" s="29" t="str">
        <x:v>İnceleme</x:v>
      </x:c>
      <x:c r="N247" s="29" t="str">
        <x:v>bakersfield:sosyal</x:v>
      </x:c>
      <x:c r="O247" s="29" t="str">
        <x:v>Haftada ayırabileceğin zamanı belirle
Yakın ve ulaşılabilir üç seçenek seç
Ay sonunda zaman ve bütçe uyumunu değerlendir</x:v>
      </x:c>
      <x:c r="P247" s="29" t="str">
        <x:v>Kişisel takvim</x:v>
      </x:c>
      <x:c r="Q247" s="29" t="str">
        <x:v>Düzeni birkaç hafta dene, ay sonunda zaman ve bütçe uyumunu değerlendir.</x:v>
      </x:c>
      <x:c r="R247" s="29" t="str">
        <x:v>Haftalık planı kişisel zaman/gelir sınırına göre kur; üç etkinlik zorunlu masraf değildir.</x:v>
      </x:c>
      <x:c r="S247" s="29"/>
      <x:c r="T247" s="29"/>
    </x:row>
    <x:row r="248" ht="54" customHeight="1">
      <x:c r="A248" s="29"/>
      <x:c r="B248" s="29"/>
      <x:c r="C248" s="29"/>
      <x:c r="D248" s="29"/>
      <x:c r="E248" s="29"/>
      <x:c r="F248" s="29"/>
      <x:c r="G248" s="29"/>
      <x:c r="H248" s="29"/>
      <x:c r="I248" s="29"/>
      <x:c r="J248" s="31"/>
      <x:c r="K248" s="35"/>
      <x:c r="L248" s="29"/>
      <x:c r="M248" s="29"/>
      <x:c r="N248" s="29"/>
      <x:c r="O248" s="29"/>
      <x:c r="P248" s="29"/>
      <x:c r="Q248" s="29"/>
      <x:c r="R248" s="29"/>
      <x:c r="S248" s="29"/>
      <x:c r="T248" s="29"/>
    </x:row>
    <x:row r="249" ht="54" customHeight="1">
      <x:c r="A249" s="29"/>
      <x:c r="B249" s="29"/>
      <x:c r="C249" s="29"/>
      <x:c r="D249" s="29"/>
      <x:c r="E249" s="29"/>
      <x:c r="F249" s="29"/>
      <x:c r="G249" s="29"/>
      <x:c r="H249" s="29"/>
      <x:c r="I249" s="29"/>
      <x:c r="J249" s="31"/>
      <x:c r="K249" s="35"/>
      <x:c r="L249" s="29"/>
      <x:c r="M249" s="29"/>
      <x:c r="N249" s="29"/>
      <x:c r="O249" s="29"/>
      <x:c r="P249" s="29"/>
      <x:c r="Q249" s="29"/>
      <x:c r="R249" s="29"/>
      <x:c r="S249" s="29"/>
      <x:c r="T249" s="29"/>
    </x:row>
  </x:sheetData>
  <x:mergeCells>
    <x:mergeCell ref="A3:H3"/>
  </x:mergeCells>
  <x:conditionalFormatting sqref="A8:A249">
    <x:cfRule type="expression" dxfId="36" priority="1">
      <x:formula>AND($A8&lt;&gt;"",ISBLANK(A8))</x:formula>
    </x:cfRule>
  </x:conditionalFormatting>
  <x:conditionalFormatting sqref="B8:B249">
    <x:cfRule type="expression" dxfId="37" priority="2">
      <x:formula>AND($A8&lt;&gt;"",ISBLANK(B8))</x:formula>
    </x:cfRule>
  </x:conditionalFormatting>
  <x:conditionalFormatting sqref="C8:C249">
    <x:cfRule type="expression" dxfId="38" priority="3">
      <x:formula>AND($A8&lt;&gt;"",ISBLANK(C8))</x:formula>
    </x:cfRule>
  </x:conditionalFormatting>
  <x:conditionalFormatting sqref="D8:D249">
    <x:cfRule type="expression" dxfId="39" priority="4">
      <x:formula>AND($A8&lt;&gt;"",ISBLANK(D8))</x:formula>
    </x:cfRule>
  </x:conditionalFormatting>
  <x:conditionalFormatting sqref="F8:F249">
    <x:cfRule type="expression" dxfId="40" priority="5">
      <x:formula>AND($A8&lt;&gt;"",ISBLANK(F8))</x:formula>
    </x:cfRule>
  </x:conditionalFormatting>
  <x:conditionalFormatting sqref="I8:I249">
    <x:cfRule type="expression" dxfId="41" priority="6">
      <x:formula>AND($A8&lt;&gt;"",ISBLANK(I8))</x:formula>
    </x:cfRule>
  </x:conditionalFormatting>
  <x:conditionalFormatting sqref="J8:J249">
    <x:cfRule type="expression" dxfId="42" priority="7">
      <x:formula>AND($A8&lt;&gt;"",ISBLANK(J8))</x:formula>
    </x:cfRule>
  </x:conditionalFormatting>
  <x:conditionalFormatting sqref="K8:K249">
    <x:cfRule type="expression" dxfId="43" priority="8">
      <x:formula>AND($A8&lt;&gt;"",ISBLANK(K8))</x:formula>
    </x:cfRule>
  </x:conditionalFormatting>
  <x:conditionalFormatting sqref="L8:L249">
    <x:cfRule type="expression" dxfId="44" priority="9">
      <x:formula>AND($A8&lt;&gt;"",ISBLANK(L8))</x:formula>
    </x:cfRule>
  </x:conditionalFormatting>
  <x:conditionalFormatting sqref="M8:M249">
    <x:cfRule type="expression" dxfId="45" priority="10">
      <x:formula>AND($A8&lt;&gt;"",ISBLANK(M8))</x:formula>
    </x:cfRule>
  </x:conditionalFormatting>
  <x:conditionalFormatting sqref="N8:N249">
    <x:cfRule type="expression" dxfId="46" priority="11">
      <x:formula>AND($A8&lt;&gt;"",ISBLANK(N8))</x:formula>
    </x:cfRule>
  </x:conditionalFormatting>
  <x:conditionalFormatting sqref="O8:O249">
    <x:cfRule type="expression" dxfId="47" priority="12">
      <x:formula>AND($A8&lt;&gt;"",ISBLANK(O8))</x:formula>
    </x:cfRule>
  </x:conditionalFormatting>
  <x:dataValidations count="2">
    <x:dataValidation type="list" sqref="L8:L249">
      <x:formula1>"Evet,Hayır"</x:formula1>
    </x:dataValidation>
    <x:dataValidation type="list" sqref="M8:M249">
      <x:formula1>"Taslak,İnceleme,Düzeltme,Onaylandı"</x:formula1>
    </x:dataValidation>
  </x:dataValidations>
  <x:pageMargins left="0.7" right="0.7" top="0.75" bottom="0.75" header="0.3" footer="0.3"/>
  <x:tableParts count="1">
    <x:tablePart xmlns:r="http://schemas.openxmlformats.org/officeDocument/2006/relationships" r:id="R7a289376b6fe4ae4"/>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 min="8" max="8" width="28" hidden="0" customWidth="1"/>
    <x:col min="9" max="9" width="28" hidden="0" customWidth="1"/>
    <x:col min="10" max="10" width="20"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58" hidden="0" customWidth="1"/>
    <x:col min="22" max="22" width="28" hidden="0" customWidth="1"/>
    <x:col min="23" max="23" width="28" hidden="0" customWidth="1"/>
  </x:cols>
  <x:sheetData>
    <x:row r="1" ht="30" customHeight="1">
      <x:c r="A1" s="2"/>
      <x:c r="B1" s="2"/>
      <x:c r="C1" s="2"/>
      <x:c r="D1" s="2"/>
      <x:c r="E1" s="2"/>
      <x:c r="F1" s="2"/>
      <x:c r="G1" s="2"/>
      <x:c r="H1" s="2"/>
      <x:c r="I1" s="2"/>
      <x:c r="J1" s="2"/>
      <x:c r="K1" s="2"/>
      <x:c r="L1" s="2"/>
      <x:c r="M1" s="2"/>
      <x:c r="N1" s="2"/>
      <x:c r="O1" s="2"/>
      <x:c r="P1" s="2"/>
      <x:c r="Q1" s="2"/>
      <x:c r="R1" s="2"/>
      <x:c r="S1" s="2"/>
      <x:c r="T1" s="2"/>
      <x:c r="U1" s="2"/>
      <x:c r="V1" s="2"/>
      <x:c r="W1" s="2"/>
    </x:row>
    <x:row r="2" ht="30" customHeight="1">
      <x:c r="A2" s="19" t="str">
        <x:v>Corteqs · Keşif noktaları</x:v>
      </x:c>
      <x:c r="B2" s="2"/>
      <x:c r="C2" s="2"/>
      <x:c r="D2" s="2"/>
      <x:c r="E2" s="2"/>
      <x:c r="F2" s="2"/>
      <x:c r="G2" s="2"/>
      <x:c r="H2" s="2"/>
      <x:c r="I2" s="2"/>
      <x:c r="J2" s="2"/>
      <x:c r="K2" s="2"/>
      <x:c r="L2" s="2"/>
      <x:c r="M2" s="2"/>
      <x:c r="N2" s="2"/>
      <x:c r="O2" s="2"/>
      <x:c r="P2" s="2"/>
      <x:c r="Q2" s="2"/>
      <x:c r="R2" s="2"/>
      <x:c r="S2" s="2"/>
      <x:c r="T2" s="2"/>
      <x:c r="U2" s="2"/>
      <x:c r="V2" s="2"/>
      <x:c r="W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c r="M3" s="2"/>
      <x:c r="N3" s="2"/>
      <x:c r="O3" s="2"/>
      <x:c r="P3" s="2"/>
      <x:c r="Q3" s="2"/>
      <x:c r="R3" s="2"/>
      <x:c r="S3" s="2"/>
      <x:c r="T3" s="2"/>
      <x:c r="U3" s="2"/>
      <x:c r="V3" s="2"/>
      <x:c r="W3" s="2"/>
    </x:row>
    <x:row r="4" ht="30" customHeight="1">
      <x:c r="A4" s="21"/>
      <x:c r="B4" s="21"/>
      <x:c r="C4" s="21"/>
      <x:c r="D4" s="21"/>
      <x:c r="E4" s="21"/>
      <x:c r="F4" s="21"/>
      <x:c r="G4" s="21"/>
      <x:c r="H4" s="21"/>
      <x:c r="I4" s="21"/>
      <x:c r="J4" s="21"/>
      <x:c r="K4" s="21"/>
      <x:c r="L4" s="21"/>
      <x:c r="M4" s="21"/>
      <x:c r="N4" s="21"/>
      <x:c r="O4" s="21"/>
      <x:c r="P4" s="21"/>
      <x:c r="Q4" s="21"/>
      <x:c r="R4" s="21"/>
      <x:c r="S4" s="21"/>
      <x:c r="T4" s="21"/>
      <x:c r="U4" s="21"/>
      <x:c r="V4" s="21"/>
      <x:c r="W4" s="21"/>
    </x:row>
    <x:row r="5" ht="26" customHeight="1">
      <x:c r="A5" s="22" t="str">
        <x:v>Zorunlu</x:v>
      </x:c>
      <x:c r="B5" s="22" t="str">
        <x:v>Zorunlu</x:v>
      </x:c>
      <x:c r="C5" s="22" t="str">
        <x:v>Zorunlu</x:v>
      </x:c>
      <x:c r="D5" s="22" t="str">
        <x:v>Zorunlu</x:v>
      </x:c>
      <x:c r="E5" s="22" t="str">
        <x:v>İsteğe bağlı</x:v>
      </x:c>
      <x:c r="F5" s="22" t="str">
        <x:v>Zorunlu</x:v>
      </x:c>
      <x:c r="G5" s="22" t="str">
        <x:v>İsteğe bağlı</x:v>
      </x:c>
      <x:c r="H5" s="22" t="str">
        <x:v>İsteğe bağlı · ; ile</x:v>
      </x:c>
      <x:c r="I5" s="22" t="str">
        <x:v>Zorunlu · ; ile</x:v>
      </x:c>
      <x:c r="J5" s="22" t="str">
        <x:v>Zorunlu · tarih</x:v>
      </x:c>
      <x:c r="K5" s="22" t="str">
        <x:v>Zorunlu</x:v>
      </x:c>
      <x:c r="L5" s="22" t="str">
        <x:v>Zorunlu</x:v>
      </x:c>
      <x:c r="M5" s="22" t="str">
        <x:v>Zorunlu</x:v>
      </x:c>
      <x:c r="N5" s="22" t="str">
        <x:v>Zorunlu</x:v>
      </x:c>
      <x:c r="O5" s="22" t="str">
        <x:v>Zorunlu</x:v>
      </x:c>
      <x:c r="P5" s="22" t="str">
        <x:v>Zorunlu</x:v>
      </x:c>
      <x:c r="Q5" s="22" t="str">
        <x:v>Zorunlu</x:v>
      </x:c>
      <x:c r="R5" s="22" t="str">
        <x:v>İsteğe bağlı</x:v>
      </x:c>
      <x:c r="S5" s="22" t="str">
        <x:v>İsteğe bağlı</x:v>
      </x:c>
      <x:c r="T5" s="22" t="str">
        <x:v>İsteğe bağlı</x:v>
      </x:c>
      <x:c r="U5" s="22" t="str">
        <x:v>İsteğe bağlı</x:v>
      </x:c>
      <x:c r="V5" s="22" t="str">
        <x:v>Zorunlu</x:v>
      </x:c>
      <x:c r="W5" s="22" t="str">
        <x:v>İsteğe bağlı</x:v>
      </x:c>
    </x:row>
    <x:row r="6" ht="44" customHeight="1">
      <x:c r="A6" s="25" t="str">
        <x:v>İçerik kimliği</x:v>
      </x:c>
      <x:c r="B6" s="25" t="str">
        <x:v>Şehir kimliği</x:v>
      </x:c>
      <x:c r="C6" s="25" t="str">
        <x:v>Adres adı</x:v>
      </x:c>
      <x:c r="D6" s="25" t="str">
        <x:v>Başlık</x:v>
      </x:c>
      <x:c r="E6" s="25" t="str">
        <x:v>Alt başlık</x:v>
      </x:c>
      <x:c r="F6" s="25" t="str">
        <x:v>Türkçe kısa yanıt / özet</x:v>
      </x:c>
      <x:c r="G6" s="25" t="str">
        <x:v>Arama sözcükleri</x:v>
      </x:c>
      <x:c r="H6" s="25" t="str">
        <x:v>Yaşam aşamaları</x:v>
      </x:c>
      <x:c r="I6" s="25" t="str">
        <x:v>Kaynak kimlikleri</x:v>
      </x:c>
      <x:c r="J6" s="25" t="str">
        <x:v>İçerik kontrol tarihi</x:v>
      </x:c>
      <x:c r="K6" s="25" t="str">
        <x:v>Sıra</x:v>
      </x:c>
      <x:c r="L6" s="25" t="str">
        <x:v>Öne çıkar</x:v>
      </x:c>
      <x:c r="M6" s="25" t="str">
        <x:v>Editör durumu</x:v>
      </x:c>
      <x:c r="N6" s="25" t="str">
        <x:v>Keşif grubu</x:v>
      </x:c>
      <x:c r="O6" s="25" t="str">
        <x:v>Mahalle / ilçe</x:v>
      </x:c>
      <x:c r="P6" s="25" t="str">
        <x:v>Ortam</x:v>
      </x:c>
      <x:c r="Q6" s="25" t="str">
        <x:v>Adres / konum</x:v>
      </x:c>
      <x:c r="R6" s="25" t="str">
        <x:v>Enlem</x:v>
      </x:c>
      <x:c r="S6" s="25" t="str">
        <x:v>Boylam</x:v>
      </x:c>
      <x:c r="T6" s="25" t="str">
        <x:v>Ziyaret durumu</x:v>
      </x:c>
      <x:c r="U6" s="25" t="str">
        <x:v>Ziyaret notu</x:v>
      </x:c>
      <x:c r="V6" s="25" t="str">
        <x:v>Derleme / dizin</x:v>
      </x:c>
      <x:c r="W6" s="25" t="str">
        <x:v>Medya eşleştirme anahtarı</x:v>
      </x:c>
    </x:row>
    <x:row r="7" ht="32" customHeight="1">
      <x:c r="A7" s="28" t="str">
        <x:v>entry_id</x:v>
      </x:c>
      <x:c r="B7" s="28" t="str">
        <x:v>city_id</x:v>
      </x:c>
      <x:c r="C7" s="28" t="str">
        <x:v>slug</x:v>
      </x:c>
      <x:c r="D7" s="28" t="str">
        <x:v>title</x:v>
      </x:c>
      <x:c r="E7" s="28" t="str">
        <x:v>subtitle</x:v>
      </x:c>
      <x:c r="F7" s="28" t="str">
        <x:v>summary</x:v>
      </x:c>
      <x:c r="G7" s="28" t="str">
        <x:v>keywords</x:v>
      </x:c>
      <x:c r="H7" s="28" t="str">
        <x:v>stages</x:v>
      </x:c>
      <x:c r="I7" s="28" t="str">
        <x:v>source_ids</x:v>
      </x:c>
      <x:c r="J7" s="28" t="str">
        <x:v>reviewed_on</x:v>
      </x:c>
      <x:c r="K7" s="28" t="str">
        <x:v>order</x:v>
      </x:c>
      <x:c r="L7" s="28" t="str">
        <x:v>featured</x:v>
      </x:c>
      <x:c r="M7" s="28" t="str">
        <x:v>editorial_status</x:v>
      </x:c>
      <x:c r="N7" s="28" t="str">
        <x:v>group</x:v>
      </x:c>
      <x:c r="O7" s="28" t="str">
        <x:v>district</x:v>
      </x:c>
      <x:c r="P7" s="28" t="str">
        <x:v>setting</x:v>
      </x:c>
      <x:c r="Q7" s="28" t="str">
        <x:v>location</x:v>
      </x:c>
      <x:c r="R7" s="28" t="str">
        <x:v>latitude</x:v>
      </x:c>
      <x:c r="S7" s="28" t="str">
        <x:v>longitude</x:v>
      </x:c>
      <x:c r="T7" s="28" t="str">
        <x:v>visit_status</x:v>
      </x:c>
      <x:c r="U7" s="28" t="str">
        <x:v>note</x:v>
      </x:c>
      <x:c r="V7" s="28" t="str">
        <x:v>collection</x:v>
      </x:c>
      <x:c r="W7" s="28" t="str">
        <x:v>media_key</x:v>
      </x:c>
    </x:row>
    <x:row r="8" ht="110" customHeight="1">
      <x:c r="A8" s="29" t="str">
        <x:v>bakersfield:yer-local-bakersfield-kern-county-museum</x:v>
      </x:c>
      <x:c r="B8" s="29" t="str">
        <x:v>bakersfield</x:v>
      </x:c>
      <x:c r="C8" s="29" t="str">
        <x:v>yer-local-bakersfield-kern-county-museum</x:v>
      </x:c>
      <x:c r="D8" s="29" t="str">
        <x:v>Kern County Museum</x:v>
      </x:c>
      <x:c r="E8" s="29" t="str">
        <x:v>Müzeler · Chester Avenue</x:v>
      </x:c>
      <x:c r="F8" s="29" t="str">
        <x:v>Pioneer Village'daki tarihî yapılar, Kern County'nin yerleşim, ulaşım ve üretim geçmişini açık hava yürüyüşüyle anlatır. Tek bir kapalı salondan oluşmaz; bahçe içindeki farklı yapılara zaman ayır. Kurumun güncel ziyaret sayfasında Black Gold sergisi kapalı olarak belirtiliyor; bu bölümü açık sergi olarak gezi planına dahil etme.</x:v>
      </x:c>
      <x:c r="G8" s="29" t="str">
        <x:v>kern-county-museum</x:v>
      </x:c>
      <x:c r="H8" s="29" t="str"/>
      <x:c r="I8" s="29" t="str">
        <x:v>bakersfield:src:17720</x:v>
      </x:c>
      <x:c r="J8" s="31" t="d">
        <x:v>2026-10-24T00:00:00.000Z</x:v>
      </x:c>
      <x:c r="K8" s="35" t="n">
        <x:v>240</x:v>
      </x:c>
      <x:c r="L8" s="29" t="str">
        <x:v>Hayır</x:v>
      </x:c>
      <x:c r="M8" s="29" t="str">
        <x:v>İnceleme</x:v>
      </x:c>
      <x:c r="N8" s="29" t="str">
        <x:v>Müzeler</x:v>
      </x:c>
      <x:c r="O8" s="29" t="str">
        <x:v>Chester Avenue</x:v>
      </x:c>
      <x:c r="P8" s="29" t="str">
        <x:v>Kapalı alan</x:v>
      </x:c>
      <x:c r="Q8" s="29" t="str">
        <x:v>3801 Chester Avenue, Bakersfield, California</x:v>
      </x:c>
      <x:c r="R8" s="33"/>
      <x:c r="S8" s="33"/>
      <x:c r="T8" s="29"/>
      <x:c r="U8" s="29"/>
      <x:c r="V8" s="29" t="str">
        <x:v>Hayır</x:v>
      </x:c>
      <x:c r="W8" s="29" t="str">
        <x:v>local-bakersfield-kern-county-museum</x:v>
      </x:c>
    </x:row>
    <x:row r="9" ht="96" customHeight="1">
      <x:c r="A9" s="29" t="str">
        <x:v>bakersfield:yer-local-bakersfield-bakersfield-museum-art</x:v>
      </x:c>
      <x:c r="B9" s="29" t="str">
        <x:v>bakersfield</x:v>
      </x:c>
      <x:c r="C9" s="29" t="str">
        <x:v>yer-local-bakersfield-bakersfield-museum-art</x:v>
      </x:c>
      <x:c r="D9" s="29" t="str">
        <x:v>Bakersfield Museum of Art</x:v>
      </x:c>
      <x:c r="E9" s="29" t="str">
        <x:v>Sanat ve tasarım · Downtown / Mill Creek</x:v>
      </x:c>
      <x:c r="F9" s="29" t="str">
        <x:v>Mill Creek yanındaki müze, değişen sergileri bahçe ortamıyla birleştirir. 2026 programında ziyaret günleri çarşambadan pazara 11.00–17.00, yetişkin giriş ücreti 12 dolardır; 5 yaş ve altı ücretsizdir. Ana giriş kuzey cephesindedir. Müze gezisini kanal çevresindeki kısa yürüyüşle aynı güne koyabilirsin.</x:v>
      </x:c>
      <x:c r="G9" s="29" t="str">
        <x:v>bakersfield-museum-art</x:v>
      </x:c>
      <x:c r="H9" s="29" t="str"/>
      <x:c r="I9" s="29" t="str">
        <x:v>bakersfield:src:17750</x:v>
      </x:c>
      <x:c r="J9" s="31" t="d">
        <x:v>2026-10-24T00:00:00.000Z</x:v>
      </x:c>
      <x:c r="K9" s="35" t="n">
        <x:v>241</x:v>
      </x:c>
      <x:c r="L9" s="29" t="str">
        <x:v>Hayır</x:v>
      </x:c>
      <x:c r="M9" s="29" t="str">
        <x:v>İnceleme</x:v>
      </x:c>
      <x:c r="N9" s="29" t="str">
        <x:v>Sanat ve sergiler</x:v>
      </x:c>
      <x:c r="O9" s="29" t="str">
        <x:v>Downtown / Mill Creek</x:v>
      </x:c>
      <x:c r="P9" s="29" t="str">
        <x:v>Kapalı alan</x:v>
      </x:c>
      <x:c r="Q9" s="29" t="str">
        <x:v>1930 R Street, Bakersfield, California</x:v>
      </x:c>
      <x:c r="R9" s="33"/>
      <x:c r="S9" s="33"/>
      <x:c r="T9" s="29"/>
      <x:c r="U9" s="29"/>
      <x:c r="V9" s="29" t="str">
        <x:v>Hayır</x:v>
      </x:c>
      <x:c r="W9" s="29" t="str">
        <x:v>local-bakersfield-bakersfield-museum-art</x:v>
      </x:c>
    </x:row>
    <x:row r="10" ht="110" customHeight="1">
      <x:c r="A10" s="29" t="str">
        <x:v>bakersfield:yer-local-bakersfield-hardt-field</x:v>
      </x:c>
      <x:c r="B10" s="29" t="str">
        <x:v>bakersfield</x:v>
      </x:c>
      <x:c r="C10" s="29" t="str">
        <x:v>yer-local-bakersfield-hardt-field</x:v>
      </x:c>
      <x:c r="D10" s="29" t="str">
        <x:v>Hardt Field – CSU Bakersfield</x:v>
      </x:c>
      <x:c r="E10" s="29" t="str">
        <x:v>Spor · Southwest / CSU Bakersfield</x:v>
      </x:c>
      <x:c r="F10" s="29" t="str">
        <x:v>CSU Bakersfield’ın beyzbol sahası, üniversite sporunu açık tribün ortamında izlemek için bir duraktır. Stockdale kampüsündeki saha, futbol sahasından ve Icardo salonundan ayrı bir tesistir. Karşılaşma günü ziyaretinde takımın ev sahibi maç programı ve kampüsün etkinlik otoparkı kullanılır; antrenman alanı serbestçe girilen kent parkı değildir.</x:v>
      </x:c>
      <x:c r="G10" s="29" t="str">
        <x:v>hardt-field</x:v>
      </x:c>
      <x:c r="H10" s="29" t="str"/>
      <x:c r="I10" s="29" t="str">
        <x:v>bakersfield:src:17878</x:v>
      </x:c>
      <x:c r="J10" s="31" t="d">
        <x:v>2026-10-24T00:00:00.000Z</x:v>
      </x:c>
      <x:c r="K10" s="35" t="n">
        <x:v>242</x:v>
      </x:c>
      <x:c r="L10" s="29" t="str">
        <x:v>Hayır</x:v>
      </x:c>
      <x:c r="M10" s="29" t="str">
        <x:v>İnceleme</x:v>
      </x:c>
      <x:c r="N10" s="29" t="str">
        <x:v>Spor</x:v>
      </x:c>
      <x:c r="O10" s="29" t="str">
        <x:v>Southwest / CSU Bakersfield</x:v>
      </x:c>
      <x:c r="P10" s="29" t="str">
        <x:v>Karma</x:v>
      </x:c>
      <x:c r="Q10" s="29" t="str">
        <x:v>9001 Stockdale Highway, Bakersfield, California</x:v>
      </x:c>
      <x:c r="R10" s="33"/>
      <x:c r="S10" s="33"/>
      <x:c r="T10" s="29"/>
      <x:c r="U10" s="29"/>
      <x:c r="V10" s="29" t="str">
        <x:v>Hayır</x:v>
      </x:c>
      <x:c r="W10" s="29" t="str">
        <x:v>local-bakersfield-hardt-field</x:v>
      </x:c>
    </x:row>
    <x:row r="11" ht="110" customHeight="1">
      <x:c r="A11" s="29" t="str">
        <x:v>bakersfield:yer-local-bakersfield-calm</x:v>
      </x:c>
      <x:c r="B11" s="29" t="str">
        <x:v>bakersfield</x:v>
      </x:c>
      <x:c r="C11" s="29" t="str">
        <x:v>yer-local-bakersfield-calm</x:v>
      </x:c>
      <x:c r="D11" s="29" t="str">
        <x:v>CALM – California Living Museum</x:v>
      </x:c>
      <x:c r="E11" s="29" t="str">
        <x:v>Aile ve çocuk · Northeast / Alfred Harrell Highway</x:v>
      </x:c>
      <x:c r="F11" s="29" t="str">
        <x:v>Kaliforniya'nın yerli hayvan ve bitkilerine odaklanan CALM, Kern River County Park çevresindeki bir hayvanat bahçesi ve eğitim alanıdır. Salı–pazar 09.00–16.00 açık, son giriş 15.00'tir. Kurum, beklenen sıcaklığın 105°F'ı aşacağı günlerde öğlen kapanacağını belirtir; yaz gezisini sabah saatlerine kurmak bu nedenle önemlidir.</x:v>
      </x:c>
      <x:c r="G11" s="29" t="str">
        <x:v>calm</x:v>
      </x:c>
      <x:c r="H11" s="29" t="str"/>
      <x:c r="I11" s="29" t="str">
        <x:v>bakersfield:src:17752</x:v>
      </x:c>
      <x:c r="J11" s="31" t="d">
        <x:v>2026-10-24T00:00:00.000Z</x:v>
      </x:c>
      <x:c r="K11" s="35" t="n">
        <x:v>243</x:v>
      </x:c>
      <x:c r="L11" s="29" t="str">
        <x:v>Hayır</x:v>
      </x:c>
      <x:c r="M11" s="29" t="str">
        <x:v>İnceleme</x:v>
      </x:c>
      <x:c r="N11" s="29" t="str">
        <x:v>Çocuklarla keşif</x:v>
      </x:c>
      <x:c r="O11" s="29" t="str">
        <x:v>Northeast / Alfred Harrell Highway</x:v>
      </x:c>
      <x:c r="P11" s="29" t="str">
        <x:v>Karma</x:v>
      </x:c>
      <x:c r="Q11" s="29" t="str">
        <x:v>10500 Alfred Harrell Highway, Bakersfield, California</x:v>
      </x:c>
      <x:c r="R11" s="33"/>
      <x:c r="S11" s="33"/>
      <x:c r="T11" s="29"/>
      <x:c r="U11" s="29"/>
      <x:c r="V11" s="29" t="str">
        <x:v>Hayır</x:v>
      </x:c>
      <x:c r="W11" s="29" t="str">
        <x:v>local-bakersfield-calm</x:v>
      </x:c>
    </x:row>
    <x:row r="12" ht="96" customHeight="1">
      <x:c r="A12" s="29" t="str">
        <x:v>bakersfield:yer-local-bakersfield-fox-theater</x:v>
      </x:c>
      <x:c r="B12" s="29" t="str">
        <x:v>bakersfield</x:v>
      </x:c>
      <x:c r="C12" s="29" t="str">
        <x:v>yer-local-bakersfield-fox-theater</x:v>
      </x:c>
      <x:c r="D12" s="29" t="str">
        <x:v>Historic Bakersfield Fox Theater</x:v>
      </x:c>
      <x:c r="E12" s="29" t="str">
        <x:v>Sahne ve müzik · Downtown</x:v>
      </x:c>
      <x:c r="F12" s="29" t="str">
        <x:v>Fox'un saat kulesi ve uzun düşey tabelası, Downtown siluetinin kolay tanınan parçalarıdır. H Street üzerindeki tarihî salon bugün konser, komedi ve film gösterimlerini ağırlıyor. 20th Street çevresindeki kafelerle birlikte kısa bir akşam rotası oluşturur; iç mekân deneyimi seçilen gösterinin biletine bağlıdır.</x:v>
      </x:c>
      <x:c r="G12" s="29" t="str">
        <x:v>fox-theater</x:v>
      </x:c>
      <x:c r="H12" s="29" t="str"/>
      <x:c r="I12" s="29" t="str">
        <x:v>bakersfield:src:17753</x:v>
      </x:c>
      <x:c r="J12" s="31" t="d">
        <x:v>2026-10-24T00:00:00.000Z</x:v>
      </x:c>
      <x:c r="K12" s="35" t="n">
        <x:v>244</x:v>
      </x:c>
      <x:c r="L12" s="29" t="str">
        <x:v>Hayır</x:v>
      </x:c>
      <x:c r="M12" s="29" t="str">
        <x:v>İnceleme</x:v>
      </x:c>
      <x:c r="N12" s="29" t="str">
        <x:v>Sahne ve müzik</x:v>
      </x:c>
      <x:c r="O12" s="29" t="str">
        <x:v>Downtown</x:v>
      </x:c>
      <x:c r="P12" s="29" t="str">
        <x:v>Kapalı alan</x:v>
      </x:c>
      <x:c r="Q12" s="29" t="str">
        <x:v>2001 H Street, Bakersfield, California</x:v>
      </x:c>
      <x:c r="R12" s="33"/>
      <x:c r="S12" s="33"/>
      <x:c r="T12" s="29"/>
      <x:c r="U12" s="29"/>
      <x:c r="V12" s="29" t="str">
        <x:v>Hayır</x:v>
      </x:c>
      <x:c r="W12" s="29" t="str">
        <x:v>local-bakersfield-fox-theater</x:v>
      </x:c>
    </x:row>
    <x:row r="13" ht="96" customHeight="1">
      <x:c r="A13" s="29" t="str">
        <x:v>bakersfield:yer-local-bakersfield-nile-theater</x:v>
      </x:c>
      <x:c r="B13" s="29" t="str">
        <x:v>bakersfield</x:v>
      </x:c>
      <x:c r="C13" s="29" t="str">
        <x:v>yer-local-bakersfield-nile-theater</x:v>
      </x:c>
      <x:c r="D13" s="29" t="str">
        <x:v>The Nile Theater</x:v>
      </x:c>
      <x:c r="E13" s="29" t="str">
        <x:v>Sahne ve müzik · Downtown</x:v>
      </x:c>
      <x:c r="F13" s="29" t="str">
        <x:v>Art Deco cephesiyle 19th Street boyunca yürürken hemen seçilen Nile, Downtown'ın canlı müzik salonlarından biridir. Fox ile ortak etkinlik kanalı kullanmasına rağmen ayrı bir yapıdır. Küçük salon atmosferini çevredeki restoranlarla birleştirmek isteyenler için şehir merkezinde, yürüyerek ulaşılabilen bir akşam durağıdır.</x:v>
      </x:c>
      <x:c r="G13" s="29" t="str">
        <x:v>nile-theater</x:v>
      </x:c>
      <x:c r="H13" s="29" t="str"/>
      <x:c r="I13" s="29" t="str">
        <x:v>bakersfield:src:17753</x:v>
      </x:c>
      <x:c r="J13" s="31" t="d">
        <x:v>2026-10-24T00:00:00.000Z</x:v>
      </x:c>
      <x:c r="K13" s="35" t="n">
        <x:v>245</x:v>
      </x:c>
      <x:c r="L13" s="29" t="str">
        <x:v>Hayır</x:v>
      </x:c>
      <x:c r="M13" s="29" t="str">
        <x:v>İnceleme</x:v>
      </x:c>
      <x:c r="N13" s="29" t="str">
        <x:v>Sahne ve müzik</x:v>
      </x:c>
      <x:c r="O13" s="29" t="str">
        <x:v>Downtown</x:v>
      </x:c>
      <x:c r="P13" s="29" t="str">
        <x:v>Kapalı alan</x:v>
      </x:c>
      <x:c r="Q13" s="29" t="str">
        <x:v>1721 19th Street, Bakersfield, California</x:v>
      </x:c>
      <x:c r="R13" s="33"/>
      <x:c r="S13" s="33"/>
      <x:c r="T13" s="29"/>
      <x:c r="U13" s="29"/>
      <x:c r="V13" s="29" t="str">
        <x:v>Hayır</x:v>
      </x:c>
      <x:c r="W13" s="29" t="str">
        <x:v>local-bakersfield-nile-theater</x:v>
      </x:c>
    </x:row>
    <x:row r="14" ht="110" customHeight="1">
      <x:c r="A14" s="29" t="str">
        <x:v>bakersfield:yer-local-bakersfield-dignity-theater</x:v>
      </x:c>
      <x:c r="B14" s="29" t="str">
        <x:v>bakersfield</x:v>
      </x:c>
      <x:c r="C14" s="29" t="str">
        <x:v>yer-local-bakersfield-dignity-theater</x:v>
      </x:c>
      <x:c r="D14" s="29" t="str">
        <x:v>Dignity Health Theater</x:v>
      </x:c>
      <x:c r="E14" s="29" t="str">
        <x:v>Sahne ve müzik · Downtown / Truxtun</x:v>
      </x:c>
      <x:c r="F14" s="29" t="str">
        <x:v>Truxtun Avenue’deki tiyatro salonu, Broadway turneleri ve senfoni konserleriyle Downtown’ın sahne yaşamının büyük duraklarından biridir. Aynı işletmenin arenasından ayrı bir oturma planı vardır; buz hokeyi karşılaşmaları arena tarafında gerçekleşir. Tiyatro akşamı, Mill Creek ve Q Street çevresindeki şehir merkezi gezisiyle birleştirilebilir.</x:v>
      </x:c>
      <x:c r="G14" s="29" t="str">
        <x:v>dignity-theater</x:v>
      </x:c>
      <x:c r="H14" s="29" t="str"/>
      <x:c r="I14" s="29" t="str">
        <x:v>bakersfield:src:17879</x:v>
      </x:c>
      <x:c r="J14" s="31" t="d">
        <x:v>2026-10-24T00:00:00.000Z</x:v>
      </x:c>
      <x:c r="K14" s="35" t="n">
        <x:v>246</x:v>
      </x:c>
      <x:c r="L14" s="29" t="str">
        <x:v>Hayır</x:v>
      </x:c>
      <x:c r="M14" s="29" t="str">
        <x:v>İnceleme</x:v>
      </x:c>
      <x:c r="N14" s="29" t="str">
        <x:v>Sahne ve müzik</x:v>
      </x:c>
      <x:c r="O14" s="29" t="str">
        <x:v>Downtown / Truxtun</x:v>
      </x:c>
      <x:c r="P14" s="29" t="str">
        <x:v>Kapalı alan</x:v>
      </x:c>
      <x:c r="Q14" s="29" t="str">
        <x:v>1001 Truxtun Avenue, Bakersfield, California</x:v>
      </x:c>
      <x:c r="R14" s="33"/>
      <x:c r="S14" s="33"/>
      <x:c r="T14" s="29"/>
      <x:c r="U14" s="29"/>
      <x:c r="V14" s="29" t="str">
        <x:v>Hayır</x:v>
      </x:c>
      <x:c r="W14" s="29" t="str">
        <x:v>local-bakersfield-dignity-theater</x:v>
      </x:c>
    </x:row>
    <x:row r="15" ht="110" customHeight="1">
      <x:c r="A15" s="29" t="str">
        <x:v>bakersfield:yer-local-bakersfield-meadows-terminal</x:v>
      </x:c>
      <x:c r="B15" s="29" t="str">
        <x:v>bakersfield</x:v>
      </x:c>
      <x:c r="C15" s="29" t="str">
        <x:v>yer-local-bakersfield-meadows-terminal</x:v>
      </x:c>
      <x:c r="D15" s="29" t="str">
        <x:v>Meadows Field – William M. Thomas Terminal</x:v>
      </x:c>
      <x:c r="E15" s="29" t="str">
        <x:v>Tarih ve mimari · Kuzey / Meadows Field</x:v>
      </x:c>
      <x:c r="F15" s="29" t="str">
        <x:v>William M. Thomas Terminal, Bakersfield’ın hava yoluyla geliş kapısıdır. Geniş camlı yolcu salonu, ova ve havalimanı çevresini iç mekândan algılamayı sağlar. Bu kayıt uçuş ve yolcu karşılama için terminali tanıtır; uçak sergisi veya havacılık müzesi değildir. Güvenlik kontrolünün ötesindeki alanlar biletli yolculara ayrılmıştır.</x:v>
      </x:c>
      <x:c r="G15" s="29" t="str">
        <x:v>meadows-terminal</x:v>
      </x:c>
      <x:c r="H15" s="29" t="str"/>
      <x:c r="I15" s="29" t="str">
        <x:v>bakersfield:src:17668</x:v>
      </x:c>
      <x:c r="J15" s="31" t="d">
        <x:v>2026-10-24T00:00:00.000Z</x:v>
      </x:c>
      <x:c r="K15" s="35" t="n">
        <x:v>247</x:v>
      </x:c>
      <x:c r="L15" s="29" t="str">
        <x:v>Hayır</x:v>
      </x:c>
      <x:c r="M15" s="29" t="str">
        <x:v>İnceleme</x:v>
      </x:c>
      <x:c r="N15" s="29" t="str">
        <x:v>Tarih ve mimari</x:v>
      </x:c>
      <x:c r="O15" s="29" t="str">
        <x:v>Kuzey / Meadows Field</x:v>
      </x:c>
      <x:c r="P15" s="29" t="str">
        <x:v>Karma</x:v>
      </x:c>
      <x:c r="Q15" s="29" t="str">
        <x:v>3701 Wings Way, Bakersfield, California</x:v>
      </x:c>
      <x:c r="R15" s="33"/>
      <x:c r="S15" s="33"/>
      <x:c r="T15" s="29"/>
      <x:c r="U15" s="29"/>
      <x:c r="V15" s="29" t="str">
        <x:v>Hayır</x:v>
      </x:c>
      <x:c r="W15" s="29" t="str">
        <x:v>local-bakersfield-meadows-terminal</x:v>
      </x:c>
    </x:row>
    <x:row r="16" ht="96" customHeight="1">
      <x:c r="A16" s="29" t="str">
        <x:v>bakersfield:yer-local-bakersfield-blackwells-corner</x:v>
      </x:c>
      <x:c r="B16" s="29" t="str">
        <x:v>bakersfield</x:v>
      </x:c>
      <x:c r="C16" s="29" t="str">
        <x:v>yer-local-bakersfield-blackwells-corner</x:v>
      </x:c>
      <x:c r="D16" s="29" t="str">
        <x:v>Blackwell’s Corner</x:v>
      </x:c>
      <x:c r="E16" s="29" t="str">
        <x:v>Yeme ve içme · Bölge gezisi / Lost Hills</x:v>
      </x:c>
      <x:c r="F16" s="29" t="str">
        <x:v>CA-46 ile CA-33’ün buluştuğu Blackwell’s Corner, Bakersfield’ın batısında yolculuk molası için yemek ve mağazayı bir araya getirir. Şehir merkezinde yürüyerek ulaşılan bir restoran değil, Lost Hills yönündeki araç gezisinin durağıdır. Diner ve market aynı yol üstü kompleksinin parçaları olarak tek kayıt altında ele alınır.</x:v>
      </x:c>
      <x:c r="G16" s="29" t="str">
        <x:v>blackwells-corner</x:v>
      </x:c>
      <x:c r="H16" s="29" t="str"/>
      <x:c r="I16" s="29" t="str">
        <x:v>bakersfield:src:17880</x:v>
      </x:c>
      <x:c r="J16" s="31" t="d">
        <x:v>2026-10-24T00:00:00.000Z</x:v>
      </x:c>
      <x:c r="K16" s="35" t="n">
        <x:v>248</x:v>
      </x:c>
      <x:c r="L16" s="29" t="str">
        <x:v>Hayır</x:v>
      </x:c>
      <x:c r="M16" s="29" t="str">
        <x:v>İnceleme</x:v>
      </x:c>
      <x:c r="N16" s="29" t="str">
        <x:v>Yeme ve içme</x:v>
      </x:c>
      <x:c r="O16" s="29" t="str">
        <x:v>Bölge gezisi / Lost Hills</x:v>
      </x:c>
      <x:c r="P16" s="29" t="str">
        <x:v>Karma</x:v>
      </x:c>
      <x:c r="Q16" s="29" t="str">
        <x:v>17191 Highway 46, Lost Hills, California</x:v>
      </x:c>
      <x:c r="R16" s="33"/>
      <x:c r="S16" s="33"/>
      <x:c r="T16" s="29"/>
      <x:c r="U16" s="29"/>
      <x:c r="V16" s="29" t="str">
        <x:v>Hayır</x:v>
      </x:c>
      <x:c r="W16" s="29" t="str">
        <x:v>local-bakersfield-blackwells-corner</x:v>
      </x:c>
    </x:row>
    <x:row r="17" ht="110" customHeight="1">
      <x:c r="A17" s="29" t="str">
        <x:v>bakersfield:yer-local-bakersfield-buttonwillow-library</x:v>
      </x:c>
      <x:c r="B17" s="29" t="str">
        <x:v>bakersfield</x:v>
      </x:c>
      <x:c r="C17" s="29" t="str">
        <x:v>yer-local-bakersfield-buttonwillow-library</x:v>
      </x:c>
      <x:c r="D17" s="29" t="str">
        <x:v>Buttonwillow Branch Library</x:v>
      </x:c>
      <x:c r="E17" s="29" t="str">
        <x:v>Aile ve çocuk · Bölge gezisi / Buttonwillow</x:v>
      </x:c>
      <x:c r="F17" s="29" t="str">
        <x:v>Küçük kasaba ölçeğindeki Buttonwillow kütüphanesi, Kern County Library ağının batı vadisindeki duraklarından biridir. Kitap ve topluluk programları, bölgedeki aile yaşamını tanımak için turistik yapıların dışında bir seçenek sunar. Main Street üzerindeki binanın ziyareti, Buttonwillow yönündeki günlük işler veya çevre gezisiyle birleştirilebilir.</x:v>
      </x:c>
      <x:c r="G17" s="29" t="str">
        <x:v>buttonwillow-library</x:v>
      </x:c>
      <x:c r="H17" s="29" t="str"/>
      <x:c r="I17" s="29" t="str">
        <x:v>bakersfield:src:17881</x:v>
      </x:c>
      <x:c r="J17" s="31" t="d">
        <x:v>2026-10-24T00:00:00.000Z</x:v>
      </x:c>
      <x:c r="K17" s="35" t="n">
        <x:v>249</x:v>
      </x:c>
      <x:c r="L17" s="29" t="str">
        <x:v>Hayır</x:v>
      </x:c>
      <x:c r="M17" s="29" t="str">
        <x:v>İnceleme</x:v>
      </x:c>
      <x:c r="N17" s="29" t="str">
        <x:v>Çocuklarla keşif</x:v>
      </x:c>
      <x:c r="O17" s="29" t="str">
        <x:v>Bölge gezisi / Buttonwillow</x:v>
      </x:c>
      <x:c r="P17" s="29" t="str">
        <x:v>Karma</x:v>
      </x:c>
      <x:c r="Q17" s="29" t="str">
        <x:v>101 North Main Street, Buttonwillow, California</x:v>
      </x:c>
      <x:c r="R17" s="33"/>
      <x:c r="S17" s="33"/>
      <x:c r="T17" s="29"/>
      <x:c r="U17" s="29"/>
      <x:c r="V17" s="29" t="str">
        <x:v>Hayır</x:v>
      </x:c>
      <x:c r="W17" s="29" t="str">
        <x:v>local-bakersfield-buttonwillow-library</x:v>
      </x:c>
    </x:row>
    <x:row r="18" ht="96" customHeight="1">
      <x:c r="A18" s="29" t="str">
        <x:v>bakersfield:yer-local-bakersfield-frazier-library</x:v>
      </x:c>
      <x:c r="B18" s="29" t="str">
        <x:v>bakersfield</x:v>
      </x:c>
      <x:c r="C18" s="29" t="str">
        <x:v>yer-local-bakersfield-frazier-library</x:v>
      </x:c>
      <x:c r="D18" s="29" t="str">
        <x:v>Frazier Park Branch Library</x:v>
      </x:c>
      <x:c r="E18" s="29" t="str">
        <x:v>Aile ve çocuk · Bölge gezisi / Frazier Park</x:v>
      </x:c>
      <x:c r="F18" s="29" t="str">
        <x:v>Frazier Park’ın kütüphanesi, dağ yerleşimindeki topluluk yaşamının kamusal odaklarından biridir. Pencereli cephe ve çevresindeki açık alan, vadideki büyük merkez şubelerinden farklı bir ölçekte kitap ve etkinlik deneyimi sunar. Park Drive konumu, yakındaki Frazier Mountain Park ile aynı kasaba gezisine eklenebilir.</x:v>
      </x:c>
      <x:c r="G18" s="29" t="str">
        <x:v>frazier-library</x:v>
      </x:c>
      <x:c r="H18" s="29" t="str"/>
      <x:c r="I18" s="29" t="str">
        <x:v>bakersfield:src:17881</x:v>
      </x:c>
      <x:c r="J18" s="31" t="d">
        <x:v>2026-10-24T00:00:00.000Z</x:v>
      </x:c>
      <x:c r="K18" s="35" t="n">
        <x:v>250</x:v>
      </x:c>
      <x:c r="L18" s="29" t="str">
        <x:v>Hayır</x:v>
      </x:c>
      <x:c r="M18" s="29" t="str">
        <x:v>İnceleme</x:v>
      </x:c>
      <x:c r="N18" s="29" t="str">
        <x:v>Çocuklarla keşif</x:v>
      </x:c>
      <x:c r="O18" s="29" t="str">
        <x:v>Bölge gezisi / Frazier Park</x:v>
      </x:c>
      <x:c r="P18" s="29" t="str">
        <x:v>Karma</x:v>
      </x:c>
      <x:c r="Q18" s="29" t="str">
        <x:v>3732 Park Drive, Frazier Park, California</x:v>
      </x:c>
      <x:c r="R18" s="33"/>
      <x:c r="S18" s="33"/>
      <x:c r="T18" s="29"/>
      <x:c r="U18" s="29"/>
      <x:c r="V18" s="29" t="str">
        <x:v>Hayır</x:v>
      </x:c>
      <x:c r="W18" s="29" t="str">
        <x:v>local-bakersfield-frazier-library</x:v>
      </x:c>
    </x:row>
    <x:row r="19" ht="124" customHeight="1">
      <x:c r="A19" s="29" t="str">
        <x:v>bakersfield:yer-local-bakersfield-allensworth</x:v>
      </x:c>
      <x:c r="B19" s="29" t="str">
        <x:v>bakersfield</x:v>
      </x:c>
      <x:c r="C19" s="29" t="str">
        <x:v>yer-local-bakersfield-allensworth</x:v>
      </x:c>
      <x:c r="D19" s="29" t="str">
        <x:v>Colonel Allensworth State Historic Park</x:v>
      </x:c>
      <x:c r="E19" s="29" t="str">
        <x:v>Tarih ve mimari · Bölge gezisi / Earlimart · Tulare County</x:v>
      </x:c>
      <x:c r="F19" s="29" t="str">
        <x:v>1908’de Siyah Amerikalı kurucuların oluşturduğu Allensworth kasabasını anlatan park, okul, ev ve ticaret yapılarıyla bir yerleşimin hikâyesini birlikte sunar. Restore edilen ve yeniden yapılan binalar tek tarih parkının parçalarıdır. Bakersfield’ın kuzeyinde, Tulare County’dedir. Dış alan gezisi ile randevulu bina içi turu farklıdır; rehberli ziyaret için park en az 72 saat önce düzenleme ister.</x:v>
      </x:c>
      <x:c r="G19" s="29" t="str">
        <x:v>allensworth</x:v>
      </x:c>
      <x:c r="H19" s="29" t="str"/>
      <x:c r="I19" s="29" t="str">
        <x:v>bakersfield:src:17882</x:v>
      </x:c>
      <x:c r="J19" s="31" t="d">
        <x:v>2026-10-24T00:00:00.000Z</x:v>
      </x:c>
      <x:c r="K19" s="35" t="n">
        <x:v>251</x:v>
      </x:c>
      <x:c r="L19" s="29" t="str">
        <x:v>Hayır</x:v>
      </x:c>
      <x:c r="M19" s="29" t="str">
        <x:v>İnceleme</x:v>
      </x:c>
      <x:c r="N19" s="29" t="str">
        <x:v>Tarih ve mimari</x:v>
      </x:c>
      <x:c r="O19" s="29" t="str">
        <x:v>Bölge gezisi / Earlimart · Tulare County</x:v>
      </x:c>
      <x:c r="P19" s="29" t="str">
        <x:v>Karma</x:v>
      </x:c>
      <x:c r="Q19" s="29" t="str">
        <x:v>4011 Grant Drive, Earlimart, California</x:v>
      </x:c>
      <x:c r="R19" s="33"/>
      <x:c r="S19" s="33"/>
      <x:c r="T19" s="29"/>
      <x:c r="U19" s="29"/>
      <x:c r="V19" s="29" t="str">
        <x:v>Hayır</x:v>
      </x:c>
      <x:c r="W19" s="29" t="str">
        <x:v>local-bakersfield-allensworth</x:v>
      </x:c>
    </x:row>
    <x:row r="20" ht="110" customHeight="1">
      <x:c r="A20" s="29" t="str">
        <x:v>bakersfield:yer-local-bakersfield-pixley-refuge</x:v>
      </x:c>
      <x:c r="B20" s="29" t="str">
        <x:v>bakersfield</x:v>
      </x:c>
      <x:c r="C20" s="29" t="str">
        <x:v>yer-local-bakersfield-pixley-refuge</x:v>
      </x:c>
      <x:c r="D20" s="29" t="str">
        <x:v>Pixley National Wildlife Refuge</x:v>
      </x:c>
      <x:c r="E20" s="29" t="str">
        <x:v>Doğa ve açık hava · Bölge gezisi / Pixley · Tulare County</x:v>
      </x:c>
      <x:c r="F20" s="29" t="str">
        <x:v>Pixley’nin sulak alan ve otlak habitatları, özellikle sonbahar ve kışın kuş gözlemine odaklanan bir gezi sunar. Ziyaret, Road 88 üzerindeki girişten başlayan yaklaşık 1,5 millik yürüyüş patikasında yapılır. Bakersfield’ın kuzeyindeki Tulare County durağıdır; Delano’daki idari ofis bu patikanın girişi değildir. Galeride rezervde fotoğraflanmış kuşlar gösterilir.</x:v>
      </x:c>
      <x:c r="G20" s="29" t="str">
        <x:v>pixley-refuge</x:v>
      </x:c>
      <x:c r="H20" s="29" t="str"/>
      <x:c r="I20" s="29" t="str">
        <x:v>bakersfield:src:17883</x:v>
      </x:c>
      <x:c r="J20" s="31" t="d">
        <x:v>2026-10-24T00:00:00.000Z</x:v>
      </x:c>
      <x:c r="K20" s="35" t="n">
        <x:v>252</x:v>
      </x:c>
      <x:c r="L20" s="29" t="str">
        <x:v>Hayır</x:v>
      </x:c>
      <x:c r="M20" s="29" t="str">
        <x:v>İnceleme</x:v>
      </x:c>
      <x:c r="N20" s="29" t="str">
        <x:v>Doğa ve açık hava</x:v>
      </x:c>
      <x:c r="O20" s="29" t="str">
        <x:v>Bölge gezisi / Pixley · Tulare County</x:v>
      </x:c>
      <x:c r="P20" s="29" t="str">
        <x:v>Açık hava</x:v>
      </x:c>
      <x:c r="Q20" s="29" t="str">
        <x:v>Road 88, Deer Creek kuzeyi, Pixley, California</x:v>
      </x:c>
      <x:c r="R20" s="33"/>
      <x:c r="S20" s="33"/>
      <x:c r="T20" s="29"/>
      <x:c r="U20" s="29"/>
      <x:c r="V20" s="29" t="str">
        <x:v>Hayır</x:v>
      </x:c>
      <x:c r="W20" s="29" t="str">
        <x:v>local-bakersfield-pixley-refuge</x:v>
      </x:c>
    </x:row>
    <x:row r="21" ht="110" customHeight="1">
      <x:c r="A21" s="29" t="str">
        <x:v>bakersfield:yer-local-bakersfield-success-lake</x:v>
      </x:c>
      <x:c r="B21" s="29" t="str">
        <x:v>bakersfield</x:v>
      </x:c>
      <x:c r="C21" s="29" t="str">
        <x:v>yer-local-bakersfield-success-lake</x:v>
      </x:c>
      <x:c r="D21" s="29" t="str">
        <x:v>Success Lake</x:v>
      </x:c>
      <x:c r="E21" s="29" t="str">
        <x:v>Doğa ve açık hava · Bölge gezisi / Porterville · Tulare County</x:v>
      </x:c>
      <x:c r="F21" s="29" t="str">
        <x:v>Porterville’in doğusundaki rezervuar, açık su yüzeyiyle Sierra Nevada eteklerini aynı manzarada birleştirir. Kıyıdaki günübirlik alanlar ve kamp yerleri, yalnız kısa fotoğraf molasından daha uzun bir doğa gezisine geçiş sağlar. Bakersfield ve Kern County dışında, Tulare County’de bulunur. Tekne kullanımı, kamp ve piknik ayrı tesis düzenlerine bağlıdır.</x:v>
      </x:c>
      <x:c r="G21" s="29" t="str">
        <x:v>success-lake</x:v>
      </x:c>
      <x:c r="H21" s="29" t="str"/>
      <x:c r="I21" s="29" t="str">
        <x:v>bakersfield:src:17884</x:v>
      </x:c>
      <x:c r="J21" s="31" t="d">
        <x:v>2026-10-24T00:00:00.000Z</x:v>
      </x:c>
      <x:c r="K21" s="35" t="n">
        <x:v>253</x:v>
      </x:c>
      <x:c r="L21" s="29" t="str">
        <x:v>Hayır</x:v>
      </x:c>
      <x:c r="M21" s="29" t="str">
        <x:v>İnceleme</x:v>
      </x:c>
      <x:c r="N21" s="29" t="str">
        <x:v>Doğa ve açık hava</x:v>
      </x:c>
      <x:c r="O21" s="29" t="str">
        <x:v>Bölge gezisi / Porterville · Tulare County</x:v>
      </x:c>
      <x:c r="P21" s="29" t="str">
        <x:v>Açık hava</x:v>
      </x:c>
      <x:c r="Q21" s="29" t="str">
        <x:v>Success Lake, Highway 190, Porterville, California</x:v>
      </x:c>
      <x:c r="R21" s="33"/>
      <x:c r="S21" s="33"/>
      <x:c r="T21" s="29"/>
      <x:c r="U21" s="29"/>
      <x:c r="V21" s="29" t="str">
        <x:v>Hayır</x:v>
      </x:c>
      <x:c r="W21" s="29" t="str">
        <x:v>local-bakersfield-success-lake</x:v>
      </x:c>
    </x:row>
    <x:row r="22" ht="124" customHeight="1">
      <x:c r="A22" s="29" t="str">
        <x:v>bakersfield:yer-local-bakersfield-boron-aerospace</x:v>
      </x:c>
      <x:c r="B22" s="29" t="str">
        <x:v>bakersfield</x:v>
      </x:c>
      <x:c r="C22" s="29" t="str">
        <x:v>yer-local-bakersfield-boron-aerospace</x:v>
      </x:c>
      <x:c r="D22" s="29" t="str">
        <x:v>Boron Aerospace Museum</x:v>
      </x:c>
      <x:c r="E22" s="29" t="str">
        <x:v>Müzeler · Bölge gezisi / Boron</x:v>
      </x:c>
      <x:c r="F22" s="29" t="str">
        <x:v>Daha önce Saxon Aerospace Museum adıyla bilinen kurum, Boron’un havacılık ve uçuş araştırmaları bağını uçaklar ve sergiler üzerinden anlatır. Twenty Mule Team Road’daki açık sergi alanında görülen uçaklar, bu küçük kasaba müzesinin ayırt edici parçalarıdır. Bakersfield’dan ayrı bir çöl bölgesi gezisidir; komşu 20 Mule Team Museum ve Borax maden ziyaret merkezi farklı kurumlardır.</x:v>
      </x:c>
      <x:c r="G22" s="29" t="str">
        <x:v>boron-aerospace</x:v>
      </x:c>
      <x:c r="H22" s="29" t="str"/>
      <x:c r="I22" s="29" t="str">
        <x:v>bakersfield:src:17885</x:v>
      </x:c>
      <x:c r="J22" s="31" t="d">
        <x:v>2026-10-24T00:00:00.000Z</x:v>
      </x:c>
      <x:c r="K22" s="35" t="n">
        <x:v>254</x:v>
      </x:c>
      <x:c r="L22" s="29" t="str">
        <x:v>Hayır</x:v>
      </x:c>
      <x:c r="M22" s="29" t="str">
        <x:v>İnceleme</x:v>
      </x:c>
      <x:c r="N22" s="29" t="str">
        <x:v>Müzeler</x:v>
      </x:c>
      <x:c r="O22" s="29" t="str">
        <x:v>Bölge gezisi / Boron</x:v>
      </x:c>
      <x:c r="P22" s="29" t="str">
        <x:v>Kapalı alan</x:v>
      </x:c>
      <x:c r="Q22" s="29" t="str">
        <x:v>26922 Twenty Mule Team Road, Boron, California</x:v>
      </x:c>
      <x:c r="R22" s="33"/>
      <x:c r="S22" s="33"/>
      <x:c r="T22" s="29"/>
      <x:c r="U22" s="29"/>
      <x:c r="V22" s="29" t="str">
        <x:v>Hayır</x:v>
      </x:c>
      <x:c r="W22" s="29" t="str">
        <x:v>local-bakersfield-boron-aerospace</x:v>
      </x:c>
    </x:row>
    <x:row r="23" ht="110" customHeight="1">
      <x:c r="A23" s="29" t="str">
        <x:v>bakersfield:yer-local-bakersfield-mojave-legacy</x:v>
      </x:c>
      <x:c r="B23" s="29" t="str">
        <x:v>bakersfield</x:v>
      </x:c>
      <x:c r="C23" s="29" t="str">
        <x:v>yer-local-bakersfield-mojave-legacy</x:v>
      </x:c>
      <x:c r="D23" s="29" t="str">
        <x:v>Mojave Air &amp; Space Port – Legacy Park</x:v>
      </x:c>
      <x:c r="E23" s="29" t="str">
        <x:v>Tarih ve mimari · Bölge gezisi / Mojave</x:v>
      </x:c>
      <x:c r="F23" s="29" t="str">
        <x:v>Mojave’nin uçuş denemeleri geçmişi, havalimanı idare binasının karşısındaki açık Legacy Park alanında görünür olur. Roton aracı ile SpaceShipOne ve Voyager replikaları, araştırma havacılığını ölçekleri üzerinden tanıtır. Ziyaret halka açık park ve izinli idare alanlarıyla sınırlıdır; aktif pistler ve uçak depolama sahası tur güzergâhı değildir.</x:v>
      </x:c>
      <x:c r="G23" s="29" t="str">
        <x:v>mojave-legacy</x:v>
      </x:c>
      <x:c r="H23" s="29" t="str"/>
      <x:c r="I23" s="29" t="str">
        <x:v>bakersfield:src:17886</x:v>
      </x:c>
      <x:c r="J23" s="31" t="d">
        <x:v>2026-10-24T00:00:00.000Z</x:v>
      </x:c>
      <x:c r="K23" s="35" t="n">
        <x:v>255</x:v>
      </x:c>
      <x:c r="L23" s="29" t="str">
        <x:v>Hayır</x:v>
      </x:c>
      <x:c r="M23" s="29" t="str">
        <x:v>İnceleme</x:v>
      </x:c>
      <x:c r="N23" s="29" t="str">
        <x:v>Tarih ve mimari</x:v>
      </x:c>
      <x:c r="O23" s="29" t="str">
        <x:v>Bölge gezisi / Mojave</x:v>
      </x:c>
      <x:c r="P23" s="29" t="str">
        <x:v>Karma</x:v>
      </x:c>
      <x:c r="Q23" s="29" t="str">
        <x:v>1434 Flight Line, Mojave, California</x:v>
      </x:c>
      <x:c r="R23" s="33"/>
      <x:c r="S23" s="33"/>
      <x:c r="T23" s="29"/>
      <x:c r="U23" s="29"/>
      <x:c r="V23" s="29" t="str">
        <x:v>Hayır</x:v>
      </x:c>
      <x:c r="W23" s="29" t="str">
        <x:v>local-bakersfield-mojave-legacy</x:v>
      </x:c>
    </x:row>
    <x:row r="24" ht="110" customHeight="1">
      <x:c r="A24" s="29" t="str">
        <x:v>bakersfield:yer-local-bakersfield-california-city-park</x:v>
      </x:c>
      <x:c r="B24" s="29" t="str">
        <x:v>bakersfield</x:v>
      </x:c>
      <x:c r="C24" s="29" t="str">
        <x:v>yer-local-bakersfield-california-city-park</x:v>
      </x:c>
      <x:c r="D24" s="29" t="str">
        <x:v>Central Park – California City</x:v>
      </x:c>
      <x:c r="E24" s="29" t="str">
        <x:v>Doğa ve açık hava · Bölge gezisi / California City</x:v>
      </x:c>
      <x:c r="F24" s="29" t="str">
        <x:v>California City’nin merkez parkı, çöl yerleşiminin ortasında göl, ağaçlı kıyı ve topluluk tesisleriyle yeşil bir mola sunar. Bakersfield’daki Mill Creek Central Park’tan farklı bir yerdir. Kentin planlı gelişimini anlamak için çevre sokaklarıyla birlikte ele alınabilir; göl kenarı yürüyüşü ve parkın mevsimlik rekreasyon programları ayrı deneyimlerdir.</x:v>
      </x:c>
      <x:c r="G24" s="29" t="str">
        <x:v>california-city-park</x:v>
      </x:c>
      <x:c r="H24" s="29" t="str"/>
      <x:c r="I24" s="29" t="str">
        <x:v>bakersfield:src:17887</x:v>
      </x:c>
      <x:c r="J24" s="31" t="d">
        <x:v>2026-10-24T00:00:00.000Z</x:v>
      </x:c>
      <x:c r="K24" s="35" t="n">
        <x:v>256</x:v>
      </x:c>
      <x:c r="L24" s="29" t="str">
        <x:v>Hayır</x:v>
      </x:c>
      <x:c r="M24" s="29" t="str">
        <x:v>İnceleme</x:v>
      </x:c>
      <x:c r="N24" s="29" t="str">
        <x:v>Doğa ve açık hava</x:v>
      </x:c>
      <x:c r="O24" s="29" t="str">
        <x:v>Bölge gezisi / California City</x:v>
      </x:c>
      <x:c r="P24" s="29" t="str">
        <x:v>Açık hava</x:v>
      </x:c>
      <x:c r="Q24" s="29" t="str">
        <x:v>Central Park, California City, California</x:v>
      </x:c>
      <x:c r="R24" s="33"/>
      <x:c r="S24" s="33"/>
      <x:c r="T24" s="29"/>
      <x:c r="U24" s="29"/>
      <x:c r="V24" s="29" t="str">
        <x:v>Hayır</x:v>
      </x:c>
      <x:c r="W24" s="29" t="str">
        <x:v>local-bakersfield-california-city-park</x:v>
      </x:c>
    </x:row>
    <x:row r="25" ht="110" customHeight="1">
      <x:c r="A25" s="29" t="str">
        <x:v>bakersfield:yer-local-bakersfield-dignity-arena</x:v>
      </x:c>
      <x:c r="B25" s="29" t="str">
        <x:v>bakersfield</x:v>
      </x:c>
      <x:c r="C25" s="29" t="str">
        <x:v>yer-local-bakersfield-dignity-arena</x:v>
      </x:c>
      <x:c r="D25" s="29" t="str">
        <x:v>Dignity Health Arena</x:v>
      </x:c>
      <x:c r="E25" s="29" t="str">
        <x:v>Spor · Downtown / Truxtun</x:v>
      </x:c>
      <x:c r="F25" s="29" t="str">
        <x:v>Bakersfield Condors’un iç saha maçları ve büyük konserler, Truxtun Avenue’deki arenada düzenlenir. Buz pisti çevresindeki tribün düzeni, aynı kompleksin tiyatro salonundan farklı bir deneyim sunar. Downtown konumu sayesinde maç öncesi yemek ve şehir merkezi gezisiyle birleştirilebilir. Etkinlik biletinde arena oturma planı kullanılır.</x:v>
      </x:c>
      <x:c r="G25" s="29" t="str">
        <x:v>dignity-arena</x:v>
      </x:c>
      <x:c r="H25" s="29" t="str"/>
      <x:c r="I25" s="29" t="str">
        <x:v>bakersfield:src:17765</x:v>
      </x:c>
      <x:c r="J25" s="31" t="d">
        <x:v>2026-10-24T00:00:00.000Z</x:v>
      </x:c>
      <x:c r="K25" s="35" t="n">
        <x:v>257</x:v>
      </x:c>
      <x:c r="L25" s="29" t="str">
        <x:v>Hayır</x:v>
      </x:c>
      <x:c r="M25" s="29" t="str">
        <x:v>İnceleme</x:v>
      </x:c>
      <x:c r="N25" s="29" t="str">
        <x:v>Spor</x:v>
      </x:c>
      <x:c r="O25" s="29" t="str">
        <x:v>Downtown / Truxtun</x:v>
      </x:c>
      <x:c r="P25" s="29" t="str">
        <x:v>Karma</x:v>
      </x:c>
      <x:c r="Q25" s="29" t="str">
        <x:v>1001 Truxtun Avenue, Bakersfield, California</x:v>
      </x:c>
      <x:c r="R25" s="33"/>
      <x:c r="S25" s="33"/>
      <x:c r="T25" s="29"/>
      <x:c r="U25" s="29"/>
      <x:c r="V25" s="29" t="str">
        <x:v>Hayır</x:v>
      </x:c>
      <x:c r="W25" s="29" t="str">
        <x:v>local-bakersfield-dignity-arena</x:v>
      </x:c>
    </x:row>
    <x:row r="26" ht="96" customHeight="1">
      <x:c r="A26" s="29" t="str">
        <x:v>bakersfield:yer-local-bakersfield-riverwalk-amphitheatre</x:v>
      </x:c>
      <x:c r="B26" s="29" t="str">
        <x:v>bakersfield</x:v>
      </x:c>
      <x:c r="C26" s="29" t="str">
        <x:v>yer-local-bakersfield-riverwalk-amphitheatre</x:v>
      </x:c>
      <x:c r="D26" s="29" t="str">
        <x:v>Dignity Health Amphitheatre</x:v>
      </x:c>
      <x:c r="E26" s="29" t="str">
        <x:v>Sahne ve müzik · Southwest / River Walk</x:v>
      </x:c>
      <x:c r="F26" s="29" t="str">
        <x:v>The Park at River Walk içindeki açık hava sahnesi, park gezisinden ayrı bir konser deneyimi sunar. Downtown'daki Dignity Health Arena ile aynı yerde değildir. Etkinlik için Stockdale Highway adresini kullan; çim veya oturma düzeni, giriş saati ve getirilebilen eşyalar seçilen programa bağlıdır.</x:v>
      </x:c>
      <x:c r="G26" s="29" t="str">
        <x:v>riverwalk-amphitheatre</x:v>
      </x:c>
      <x:c r="H26" s="29" t="str"/>
      <x:c r="I26" s="29" t="str">
        <x:v>bakersfield:src:17766</x:v>
      </x:c>
      <x:c r="J26" s="31" t="d">
        <x:v>2026-10-24T00:00:00.000Z</x:v>
      </x:c>
      <x:c r="K26" s="35" t="n">
        <x:v>258</x:v>
      </x:c>
      <x:c r="L26" s="29" t="str">
        <x:v>Hayır</x:v>
      </x:c>
      <x:c r="M26" s="29" t="str">
        <x:v>İnceleme</x:v>
      </x:c>
      <x:c r="N26" s="29" t="str">
        <x:v>Sahne ve müzik</x:v>
      </x:c>
      <x:c r="O26" s="29" t="str">
        <x:v>Southwest / River Walk</x:v>
      </x:c>
      <x:c r="P26" s="29" t="str">
        <x:v>Kapalı alan</x:v>
      </x:c>
      <x:c r="Q26" s="29" t="str">
        <x:v>11200 Stockdale Highway, Bakersfield, California</x:v>
      </x:c>
      <x:c r="R26" s="33"/>
      <x:c r="S26" s="33"/>
      <x:c r="T26" s="29"/>
      <x:c r="U26" s="29"/>
      <x:c r="V26" s="29" t="str">
        <x:v>Hayır</x:v>
      </x:c>
      <x:c r="W26" s="29" t="str">
        <x:v>local-bakersfield-riverwalk-amphitheatre</x:v>
      </x:c>
    </x:row>
    <x:row r="27" ht="110" customHeight="1">
      <x:c r="A27" s="29" t="str">
        <x:v>bakersfield:yer-local-bakersfield-mcmurtrey</x:v>
      </x:c>
      <x:c r="B27" s="29" t="str">
        <x:v>bakersfield</x:v>
      </x:c>
      <x:c r="C27" s="29" t="str">
        <x:v>yer-local-bakersfield-mcmurtrey</x:v>
      </x:c>
      <x:c r="D27" s="29" t="str">
        <x:v>McMurtrey Aquatic Center</x:v>
      </x:c>
      <x:c r="E27" s="29" t="str">
        <x:v>Spor · Downtown / Q Street</x:v>
      </x:c>
      <x:c r="F27" s="29" t="str">
        <x:v>McMurtrey Aquatic Center, Downtown'da kulvar yüzmesi, yüzme eğitimi ve mevsimlik rekreasyon programlarını bir araya getirir. Spor amaçlı yüzme ile yaz aylarındaki eğlence havuzu kullanımı farklı programlardır. Q Street konumu sayesinde arena çevresindeki tesislerden kolay ayırt edilir; kullanıcı yaşına ve etkinlik türüne uygun seans seçilir.</x:v>
      </x:c>
      <x:c r="G27" s="29" t="str">
        <x:v>mcmurtrey</x:v>
      </x:c>
      <x:c r="H27" s="29" t="str"/>
      <x:c r="I27" s="29" t="str">
        <x:v>bakersfield:src:17687</x:v>
      </x:c>
      <x:c r="J27" s="31" t="d">
        <x:v>2026-10-24T00:00:00.000Z</x:v>
      </x:c>
      <x:c r="K27" s="35" t="n">
        <x:v>259</x:v>
      </x:c>
      <x:c r="L27" s="29" t="str">
        <x:v>Hayır</x:v>
      </x:c>
      <x:c r="M27" s="29" t="str">
        <x:v>İnceleme</x:v>
      </x:c>
      <x:c r="N27" s="29" t="str">
        <x:v>Spor</x:v>
      </x:c>
      <x:c r="O27" s="29" t="str">
        <x:v>Downtown / Q Street</x:v>
      </x:c>
      <x:c r="P27" s="29" t="str">
        <x:v>Karma</x:v>
      </x:c>
      <x:c r="Q27" s="29" t="str">
        <x:v>1325 Q Street, Bakersfield, California</x:v>
      </x:c>
      <x:c r="R27" s="33"/>
      <x:c r="S27" s="33"/>
      <x:c r="T27" s="29"/>
      <x:c r="U27" s="29"/>
      <x:c r="V27" s="29" t="str">
        <x:v>Hayır</x:v>
      </x:c>
      <x:c r="W27" s="29" t="str">
        <x:v>local-bakersfield-mcmurtrey</x:v>
      </x:c>
    </x:row>
    <x:row r="28" ht="110" customHeight="1">
      <x:c r="A28" s="29" t="str">
        <x:v>bakersfield:yer-local-bakersfield-randsburg-main-street</x:v>
      </x:c>
      <x:c r="B28" s="29" t="str">
        <x:v>bakersfield</x:v>
      </x:c>
      <x:c r="C28" s="29" t="str">
        <x:v>yer-local-bakersfield-randsburg-main-street</x:v>
      </x:c>
      <x:c r="D28" s="29" t="str">
        <x:v>Randsburg tarihî ana caddesi</x:v>
      </x:c>
      <x:c r="E28" s="29" t="str">
        <x:v>Tarih ve mimari · Bölge gezisi / Randsburg</x:v>
      </x:c>
      <x:c r="F28" s="29" t="str">
        <x:v>Rand madencilik bölgesindeki Randsburg, ahşap dükkân cepheleri ve çöl tepeleriyle kısa bir tarihî sokak gezisi sunar. Butte Avenue çevresinde görülen yapılar tek bir kasaba yürüyüşü olarak ele alınır. Fotoğraflardaki eski tabelalar güncel işletme açıklığı anlamına gelmez; bu kayıt mimari dış çevreyi tanıtır. 2026’da kapanan General Store, açık restoran olarak önerilmez.</x:v>
      </x:c>
      <x:c r="G28" s="29" t="str">
        <x:v>randsburg-main-street</x:v>
      </x:c>
      <x:c r="H28" s="29" t="str"/>
      <x:c r="I28" s="29" t="str">
        <x:v>bakersfield:src:17888</x:v>
      </x:c>
      <x:c r="J28" s="31" t="d">
        <x:v>2026-10-24T00:00:00.000Z</x:v>
      </x:c>
      <x:c r="K28" s="35" t="n">
        <x:v>260</x:v>
      </x:c>
      <x:c r="L28" s="29" t="str">
        <x:v>Hayır</x:v>
      </x:c>
      <x:c r="M28" s="29" t="str">
        <x:v>İnceleme</x:v>
      </x:c>
      <x:c r="N28" s="29" t="str">
        <x:v>Tarih ve mimari</x:v>
      </x:c>
      <x:c r="O28" s="29" t="str">
        <x:v>Bölge gezisi / Randsburg</x:v>
      </x:c>
      <x:c r="P28" s="29" t="str">
        <x:v>Karma</x:v>
      </x:c>
      <x:c r="Q28" s="29" t="str">
        <x:v>Butte Avenue, Randsburg, California</x:v>
      </x:c>
      <x:c r="R28" s="33"/>
      <x:c r="S28" s="33"/>
      <x:c r="T28" s="29"/>
      <x:c r="U28" s="29"/>
      <x:c r="V28" s="29" t="str">
        <x:v>Hayır</x:v>
      </x:c>
      <x:c r="W28" s="29" t="str">
        <x:v>local-bakersfield-randsburg-main-street</x:v>
      </x:c>
    </x:row>
    <x:row r="29" ht="110" customHeight="1">
      <x:c r="A29" s="29" t="str">
        <x:v>bakersfield:yer-local-bakersfield-kern-fairgrounds</x:v>
      </x:c>
      <x:c r="B29" s="29" t="str">
        <x:v>bakersfield</x:v>
      </x:c>
      <x:c r="C29" s="29" t="str">
        <x:v>yer-local-bakersfield-kern-fairgrounds</x:v>
      </x:c>
      <x:c r="D29" s="29" t="str">
        <x:v>Kern County Fairgrounds</x:v>
      </x:c>
      <x:c r="E29" s="29" t="str">
        <x:v>Aile ve çocuk · South Bakersfield</x:v>
      </x:c>
      <x:c r="F29" s="29" t="str">
        <x:v>Kern County Fairgrounds, yıllık county fuarının lunapark, sergi, hayvancılık ve gösteri alanlarını barındırır. Yılın diğer dönemlerinde de takvimli organizasyonlara ev sahipliği yapar. South P Street üzerindeki alanın ziyaret deneyimi etkinlikten etkinliğe değişir; fuar dönemi dışındaki boş bir gün sürekli çalışan eğlence parkı deneyimi sunmaz.</x:v>
      </x:c>
      <x:c r="G29" s="29" t="str">
        <x:v>kern-fairgrounds</x:v>
      </x:c>
      <x:c r="H29" s="29" t="str"/>
      <x:c r="I29" s="29" t="str">
        <x:v>bakersfield:src:17768</x:v>
      </x:c>
      <x:c r="J29" s="31" t="d">
        <x:v>2026-10-24T00:00:00.000Z</x:v>
      </x:c>
      <x:c r="K29" s="35" t="n">
        <x:v>261</x:v>
      </x:c>
      <x:c r="L29" s="29" t="str">
        <x:v>Hayır</x:v>
      </x:c>
      <x:c r="M29" s="29" t="str">
        <x:v>İnceleme</x:v>
      </x:c>
      <x:c r="N29" s="29" t="str">
        <x:v>Çocuklarla keşif</x:v>
      </x:c>
      <x:c r="O29" s="29" t="str">
        <x:v>South Bakersfield</x:v>
      </x:c>
      <x:c r="P29" s="29" t="str">
        <x:v>Karma</x:v>
      </x:c>
      <x:c r="Q29" s="29" t="str">
        <x:v>1142 South P Street, Bakersfield, California</x:v>
      </x:c>
      <x:c r="R29" s="33"/>
      <x:c r="S29" s="33"/>
      <x:c r="T29" s="29"/>
      <x:c r="U29" s="29"/>
      <x:c r="V29" s="29" t="str">
        <x:v>Hayır</x:v>
      </x:c>
      <x:c r="W29" s="29" t="str">
        <x:v>local-bakersfield-kern-fairgrounds</x:v>
      </x:c>
    </x:row>
    <x:row r="30" ht="110" customHeight="1">
      <x:c r="A30" s="29" t="str">
        <x:v>bakersfield:yer-local-bakersfield-maricopa-jail</x:v>
      </x:c>
      <x:c r="B30" s="29" t="str">
        <x:v>bakersfield</x:v>
      </x:c>
      <x:c r="C30" s="29" t="str">
        <x:v>yer-local-bakersfield-maricopa-jail</x:v>
      </x:c>
      <x:c r="D30" s="29" t="str">
        <x:v>Maricopa tarihî demir hapishanesi</x:v>
      </x:c>
      <x:c r="E30" s="29" t="str">
        <x:v>Tarih ve mimari · Bölge gezisi / Maricopa</x:v>
      </x:c>
      <x:c r="F30" s="29" t="str">
        <x:v>Memorial Park çevresindeki küçük demir hapishane, petrol kasabası Maricopa’nın erken dönem kamu yapılarından biridir. Dışarıdan görülen kompakt yapı, Taft yönündeki bir tarih gezisine kısa bir durak ekler. California Street’teki müze çevresindedir; içeri giriş veya düzenli açık müze programı vaat edilmez. Buradaki Maricopa, California’daki kasabadır.</x:v>
      </x:c>
      <x:c r="G30" s="29" t="str">
        <x:v>maricopa-jail</x:v>
      </x:c>
      <x:c r="H30" s="29" t="str"/>
      <x:c r="I30" s="29" t="str">
        <x:v>bakersfield:src:17889</x:v>
      </x:c>
      <x:c r="J30" s="31" t="d">
        <x:v>2026-10-24T00:00:00.000Z</x:v>
      </x:c>
      <x:c r="K30" s="35" t="n">
        <x:v>262</x:v>
      </x:c>
      <x:c r="L30" s="29" t="str">
        <x:v>Hayır</x:v>
      </x:c>
      <x:c r="M30" s="29" t="str">
        <x:v>İnceleme</x:v>
      </x:c>
      <x:c r="N30" s="29" t="str">
        <x:v>Tarih ve mimari</x:v>
      </x:c>
      <x:c r="O30" s="29" t="str">
        <x:v>Bölge gezisi / Maricopa</x:v>
      </x:c>
      <x:c r="P30" s="29" t="str">
        <x:v>Karma</x:v>
      </x:c>
      <x:c r="Q30" s="29" t="str">
        <x:v>369 California Street çevresi, Maricopa, California</x:v>
      </x:c>
      <x:c r="R30" s="33"/>
      <x:c r="S30" s="33"/>
      <x:c r="T30" s="29"/>
      <x:c r="U30" s="29"/>
      <x:c r="V30" s="29" t="str">
        <x:v>Hayır</x:v>
      </x:c>
      <x:c r="W30" s="29" t="str">
        <x:v>local-bakersfield-maricopa-jail</x:v>
      </x:c>
    </x:row>
    <x:row r="31" ht="96" customHeight="1">
      <x:c r="A31" s="29" t="str">
        <x:v>bakersfield:yer-local-bakersfield-wasco-auditorium</x:v>
      </x:c>
      <x:c r="B31" s="29" t="str">
        <x:v>bakersfield</x:v>
      </x:c>
      <x:c r="C31" s="29" t="str">
        <x:v>yer-local-bakersfield-wasco-auditorium</x:v>
      </x:c>
      <x:c r="D31" s="29" t="str">
        <x:v>Wasco Union High School tarihî salonu</x:v>
      </x:c>
      <x:c r="E31" s="29" t="str">
        <x:v>Tarih ve mimari · Bölge gezisi / Wasco</x:v>
      </x:c>
      <x:c r="F31" s="29" t="str">
        <x:v>Wasco’nun okul salonu, kemerli girişleri ve kiremitli çatısıyla kasabanın tarihî mimarisinin belirgin yapılarındandır. 1928–1929 döneminde yapılan bina, okul kampüsünün erken dokusunu temsil eder. Bu kayıt sokaktan görülen dış mimari içindir; çalışan okul kampüsüne serbest giriş ya da içeride müze gezisi anlamına gelmez.</x:v>
      </x:c>
      <x:c r="G31" s="29" t="str">
        <x:v>wasco-auditorium</x:v>
      </x:c>
      <x:c r="H31" s="29" t="str"/>
      <x:c r="I31" s="29" t="str">
        <x:v>bakersfield:src:17890</x:v>
      </x:c>
      <x:c r="J31" s="31" t="d">
        <x:v>2026-10-24T00:00:00.000Z</x:v>
      </x:c>
      <x:c r="K31" s="35" t="n">
        <x:v>263</x:v>
      </x:c>
      <x:c r="L31" s="29" t="str">
        <x:v>Hayır</x:v>
      </x:c>
      <x:c r="M31" s="29" t="str">
        <x:v>İnceleme</x:v>
      </x:c>
      <x:c r="N31" s="29" t="str">
        <x:v>Tarih ve mimari</x:v>
      </x:c>
      <x:c r="O31" s="29" t="str">
        <x:v>Bölge gezisi / Wasco</x:v>
      </x:c>
      <x:c r="P31" s="29" t="str">
        <x:v>Karma</x:v>
      </x:c>
      <x:c r="Q31" s="29" t="str">
        <x:v>Wasco Union High School, 1900 7th Street, Wasco, California</x:v>
      </x:c>
      <x:c r="R31" s="33"/>
      <x:c r="S31" s="33"/>
      <x:c r="T31" s="29"/>
      <x:c r="U31" s="29"/>
      <x:c r="V31" s="29" t="str">
        <x:v>Hayır</x:v>
      </x:c>
      <x:c r="W31" s="29" t="str">
        <x:v>local-bakersfield-wasco-auditorium</x:v>
      </x:c>
    </x:row>
    <x:row r="32" ht="110" customHeight="1">
      <x:c r="A32" s="29" t="str">
        <x:v>bakersfield:yer-local-bakersfield-padre-hotel</x:v>
      </x:c>
      <x:c r="B32" s="29" t="str">
        <x:v>bakersfield</x:v>
      </x:c>
      <x:c r="C32" s="29" t="str">
        <x:v>yer-local-bakersfield-padre-hotel</x:v>
      </x:c>
      <x:c r="D32" s="29" t="str">
        <x:v>The Padre Hotel</x:v>
      </x:c>
      <x:c r="E32" s="29" t="str">
        <x:v>Tarih ve mimari · Downtown</x:v>
      </x:c>
      <x:c r="F32" s="29" t="str">
        <x:v>Padre'nin yüksek kütlesi ve çatı tabelası, Downtown'ın tarihî otel mimarisini görünür kılar. 18th Street ile H Street köşesindeki yapı, dış cephe yürüyüşü için iyi bir yön bulma noktasıdır. İçeride konaklama ve yeme içme işlevleri bulunur; otel odaları gezi alanı değildir. Fox ve Woolworth çevresiyle aynı şehir merkezi rotasına eklenebilir.</x:v>
      </x:c>
      <x:c r="G32" s="29" t="str">
        <x:v>padre-hotel</x:v>
      </x:c>
      <x:c r="H32" s="29" t="str"/>
      <x:c r="I32" s="29" t="str">
        <x:v>bakersfield:src:17771</x:v>
      </x:c>
      <x:c r="J32" s="31" t="d">
        <x:v>2026-10-24T00:00:00.000Z</x:v>
      </x:c>
      <x:c r="K32" s="35" t="n">
        <x:v>264</x:v>
      </x:c>
      <x:c r="L32" s="29" t="str">
        <x:v>Hayır</x:v>
      </x:c>
      <x:c r="M32" s="29" t="str">
        <x:v>İnceleme</x:v>
      </x:c>
      <x:c r="N32" s="29" t="str">
        <x:v>Tarih ve mimari</x:v>
      </x:c>
      <x:c r="O32" s="29" t="str">
        <x:v>Downtown</x:v>
      </x:c>
      <x:c r="P32" s="29" t="str">
        <x:v>Karma</x:v>
      </x:c>
      <x:c r="Q32" s="29" t="str">
        <x:v>1702 18th Street, Bakersfield, California</x:v>
      </x:c>
      <x:c r="R32" s="33"/>
      <x:c r="S32" s="33"/>
      <x:c r="T32" s="29"/>
      <x:c r="U32" s="29"/>
      <x:c r="V32" s="29" t="str">
        <x:v>Hayır</x:v>
      </x:c>
      <x:c r="W32" s="29" t="str">
        <x:v>local-bakersfield-padre-hotel</x:v>
      </x:c>
    </x:row>
    <x:row r="33" ht="96" customHeight="1">
      <x:c r="A33" s="29" t="str">
        <x:v>bakersfield:yer-local-bakersfield-24th-cafe</x:v>
      </x:c>
      <x:c r="B33" s="29" t="str">
        <x:v>bakersfield</x:v>
      </x:c>
      <x:c r="C33" s="29" t="str">
        <x:v>yer-local-bakersfield-24th-cafe</x:v>
      </x:c>
      <x:c r="D33" s="29" t="str">
        <x:v>24th Street Café</x:v>
      </x:c>
      <x:c r="E33" s="29" t="str">
        <x:v>Yeme ve içme · Downtown / 24th Street</x:v>
      </x:c>
      <x:c r="F33" s="29" t="str">
        <x:v>24th Street Café, eski coffee shop havasını koruyan gündüz yemek duraklarından biridir. Kahvaltı tabakları ve tezgâh çevresindeki kafe düzeni, Downtown'daki kısa bir yürüyüşe oturarak mola vermek için uygun bir ortam oluşturur. 1415 24th Street adresi, F Street ve Chester Avenue çevresindeki kent gezisine yakındır.</x:v>
      </x:c>
      <x:c r="G33" s="29" t="str">
        <x:v>24th-cafe</x:v>
      </x:c>
      <x:c r="H33" s="29" t="str"/>
      <x:c r="I33" s="29" t="str">
        <x:v>bakersfield:src:17772</x:v>
      </x:c>
      <x:c r="J33" s="31" t="d">
        <x:v>2026-10-24T00:00:00.000Z</x:v>
      </x:c>
      <x:c r="K33" s="35" t="n">
        <x:v>265</x:v>
      </x:c>
      <x:c r="L33" s="29" t="str">
        <x:v>Hayır</x:v>
      </x:c>
      <x:c r="M33" s="29" t="str">
        <x:v>İnceleme</x:v>
      </x:c>
      <x:c r="N33" s="29" t="str">
        <x:v>Yeme ve içme</x:v>
      </x:c>
      <x:c r="O33" s="29" t="str">
        <x:v>Downtown / 24th Street</x:v>
      </x:c>
      <x:c r="P33" s="29" t="str">
        <x:v>Karma</x:v>
      </x:c>
      <x:c r="Q33" s="29" t="str">
        <x:v>1415 24th Street, Bakersfield, California</x:v>
      </x:c>
      <x:c r="R33" s="33"/>
      <x:c r="S33" s="33"/>
      <x:c r="T33" s="29"/>
      <x:c r="U33" s="29"/>
      <x:c r="V33" s="29" t="str">
        <x:v>Hayır</x:v>
      </x:c>
      <x:c r="W33" s="29" t="str">
        <x:v>local-bakersfield-24th-cafe</x:v>
      </x:c>
    </x:row>
    <x:row r="34" ht="124" customHeight="1">
      <x:c r="A34" s="29" t="str">
        <x:v>bakersfield:yer-local-bakersfield-mount-pinos</x:v>
      </x:c>
      <x:c r="B34" s="29" t="str">
        <x:v>bakersfield</x:v>
      </x:c>
      <x:c r="C34" s="29" t="str">
        <x:v>yer-local-bakersfield-mount-pinos</x:v>
      </x:c>
      <x:c r="D34" s="29" t="str">
        <x:v>Mount Pinos</x:v>
      </x:c>
      <x:c r="E34" s="29" t="str">
        <x:v>Doğa ve açık hava · Bölge gezisi / Los Padres National Forest</x:v>
      </x:c>
      <x:c r="F34" s="29" t="str">
        <x:v>Mount Pinos’un ormanları, açık yüksek çayırları ve geniş dağ manzaraları, Bakersfield ovasından farklı bir yüksek rakım gezisi sunar. Yürüyüş, yıldız gözlemi ve mevsiminde kar manzarası farklı hazırlıklar gerektirir. Frazier Park üzerinden ulaşılan dağ alanı Kern–Ventura çevresindedir; kamp alanı, Nordic Base ve zirve aynı nokta değildir. Dağda içme suyu için hazırlıklı gelmek gerekir.</x:v>
      </x:c>
      <x:c r="G34" s="29" t="str">
        <x:v>mount-pinos</x:v>
      </x:c>
      <x:c r="H34" s="29" t="str"/>
      <x:c r="I34" s="29" t="str">
        <x:v>bakersfield:src:17891</x:v>
      </x:c>
      <x:c r="J34" s="31" t="d">
        <x:v>2026-10-24T00:00:00.000Z</x:v>
      </x:c>
      <x:c r="K34" s="35" t="n">
        <x:v>266</x:v>
      </x:c>
      <x:c r="L34" s="29" t="str">
        <x:v>Hayır</x:v>
      </x:c>
      <x:c r="M34" s="29" t="str">
        <x:v>İnceleme</x:v>
      </x:c>
      <x:c r="N34" s="29" t="str">
        <x:v>Doğa ve açık hava</x:v>
      </x:c>
      <x:c r="O34" s="29" t="str">
        <x:v>Bölge gezisi / Los Padres National Forest</x:v>
      </x:c>
      <x:c r="P34" s="29" t="str">
        <x:v>Açık hava</x:v>
      </x:c>
      <x:c r="Q34" s="29" t="str">
        <x:v>Mount Pinos, Los Padres National Forest, California</x:v>
      </x:c>
      <x:c r="R34" s="33"/>
      <x:c r="S34" s="33"/>
      <x:c r="T34" s="29"/>
      <x:c r="U34" s="29"/>
      <x:c r="V34" s="29" t="str">
        <x:v>Hayır</x:v>
      </x:c>
      <x:c r="W34" s="29" t="str">
        <x:v>local-bakersfield-mount-pinos</x:v>
      </x:c>
    </x:row>
    <x:row r="35" ht="124" customHeight="1">
      <x:c r="A35" s="29" t="str">
        <x:v>bakersfield:yer-local-bakersfield-tomo-kahni</x:v>
      </x:c>
      <x:c r="B35" s="29" t="str">
        <x:v>bakersfield</x:v>
      </x:c>
      <x:c r="C35" s="29" t="str">
        <x:v>yer-local-bakersfield-tomo-kahni</x:v>
      </x:c>
      <x:c r="D35" s="29" t="str">
        <x:v>Tomo-Kahni State Historic Park</x:v>
      </x:c>
      <x:c r="E35" s="29" t="str">
        <x:v>Tarih ve mimari · Bölge gezisi / Tehachapi</x:v>
      </x:c>
      <x:c r="F35" s="29" t="str">
        <x:v>Kawaiisu halkının tarihî yerleşim çevresini koruyan Tomo-Kahni, yalnız rezervasyonlu rehberli turlarla gezilen bir devlet parkıdır. Kayalık vadi ve yerleşim izleri, rehber eşliğinde doğal çevreyle birlikte okunur. Tur Tehachapi’deki tanışma bölümünden sonra araç konvoyuyla devam eder; ardından eğimli arazide yaklaşık üç millik yürüyüş yapılır. İlkbahar ve sonbahar programına göre ayrı bir gün ayrılır.</x:v>
      </x:c>
      <x:c r="G35" s="29" t="str">
        <x:v>tomo-kahni</x:v>
      </x:c>
      <x:c r="H35" s="29" t="str"/>
      <x:c r="I35" s="29" t="str">
        <x:v>bakersfield:src:17892</x:v>
      </x:c>
      <x:c r="J35" s="31" t="d">
        <x:v>2026-10-24T00:00:00.000Z</x:v>
      </x:c>
      <x:c r="K35" s="35" t="n">
        <x:v>267</x:v>
      </x:c>
      <x:c r="L35" s="29" t="str">
        <x:v>Hayır</x:v>
      </x:c>
      <x:c r="M35" s="29" t="str">
        <x:v>İnceleme</x:v>
      </x:c>
      <x:c r="N35" s="29" t="str">
        <x:v>Tarih ve mimari</x:v>
      </x:c>
      <x:c r="O35" s="29" t="str">
        <x:v>Bölge gezisi / Tehachapi</x:v>
      </x:c>
      <x:c r="P35" s="29" t="str">
        <x:v>Karma</x:v>
      </x:c>
      <x:c r="Q35" s="29" t="str">
        <x:v>Tomo-Kahni State Historic Park, Tehachapi çevresi, California</x:v>
      </x:c>
      <x:c r="R35" s="33"/>
      <x:c r="S35" s="33"/>
      <x:c r="T35" s="29"/>
      <x:c r="U35" s="29"/>
      <x:c r="V35" s="29" t="str">
        <x:v>Hayır</x:v>
      </x:c>
      <x:c r="W35" s="29" t="str">
        <x:v>local-bakersfield-tomo-kahni</x:v>
      </x:c>
    </x:row>
    <x:row r="36" ht="96" customHeight="1">
      <x:c r="A36" s="29" t="str">
        <x:v>bakersfield:yer-local-bakersfield-cafe-smitten</x:v>
      </x:c>
      <x:c r="B36" s="29" t="str">
        <x:v>bakersfield</x:v>
      </x:c>
      <x:c r="C36" s="29" t="str">
        <x:v>yer-local-bakersfield-cafe-smitten</x:v>
      </x:c>
      <x:c r="D36" s="29" t="str">
        <x:v>Café Smitten</x:v>
      </x:c>
      <x:c r="E36" s="29" t="str">
        <x:v>Yeme ve içme · Downtown / East 18th Street</x:v>
      </x:c>
      <x:c r="F36" s="29" t="str">
        <x:v>Café Smitten'ın 909 18th Street adresi, Downtown'ın doğu bölümünde kahve ve gündüz buluşması için bir duraktır. Mill Creek ve şehir merkezi çevresinde dolaşanlar için güzergâha eklenebilir. Aynı markanın başka konumlarıyla karışmaması için bu rehberde East 18th Street şubesi esas alınmıştır.</x:v>
      </x:c>
      <x:c r="G36" s="29" t="str">
        <x:v>cafe-smitten</x:v>
      </x:c>
      <x:c r="H36" s="29" t="str"/>
      <x:c r="I36" s="29" t="str">
        <x:v>bakersfield:src:17775</x:v>
      </x:c>
      <x:c r="J36" s="31" t="d">
        <x:v>2026-10-24T00:00:00.000Z</x:v>
      </x:c>
      <x:c r="K36" s="35" t="n">
        <x:v>268</x:v>
      </x:c>
      <x:c r="L36" s="29" t="str">
        <x:v>Hayır</x:v>
      </x:c>
      <x:c r="M36" s="29" t="str">
        <x:v>İnceleme</x:v>
      </x:c>
      <x:c r="N36" s="29" t="str">
        <x:v>Yeme ve içme</x:v>
      </x:c>
      <x:c r="O36" s="29" t="str">
        <x:v>Downtown / East 18th Street</x:v>
      </x:c>
      <x:c r="P36" s="29" t="str">
        <x:v>Karma</x:v>
      </x:c>
      <x:c r="Q36" s="29" t="str">
        <x:v>909 18th Street, Bakersfield, California</x:v>
      </x:c>
      <x:c r="R36" s="33"/>
      <x:c r="S36" s="33"/>
      <x:c r="T36" s="29"/>
      <x:c r="U36" s="29"/>
      <x:c r="V36" s="29" t="str">
        <x:v>Hayır</x:v>
      </x:c>
      <x:c r="W36" s="29" t="str">
        <x:v>local-bakersfield-cafe-smitten</x:v>
      </x:c>
    </x:row>
    <x:row r="37" ht="82" customHeight="1">
      <x:c r="A37" s="29" t="str">
        <x:v>bakersfield:yer-local-bakersfield-dagnys</x:v>
      </x:c>
      <x:c r="B37" s="29" t="str">
        <x:v>bakersfield</x:v>
      </x:c>
      <x:c r="C37" s="29" t="str">
        <x:v>yer-local-bakersfield-dagnys</x:v>
      </x:c>
      <x:c r="D37" s="29" t="str">
        <x:v>Dagny's Coffee</x:v>
      </x:c>
      <x:c r="E37" s="29" t="str">
        <x:v>Yeme ve içme · Downtown</x:v>
      </x:c>
      <x:c r="F37" s="29" t="str">
        <x:v>Dagny's, 20th Street'te Fox Theatre çevresindeki yaya rotasına yakın bir kahve durağıdır. Kafe masasında mola vermek, Downtown'ın kültür ve tarih yapıları arasında dolaşırken geziyi kısa bir dinlenmeyle bölmeyi sağlar.</x:v>
      </x:c>
      <x:c r="G37" s="29" t="str">
        <x:v>dagnys</x:v>
      </x:c>
      <x:c r="H37" s="29" t="str"/>
      <x:c r="I37" s="29" t="str">
        <x:v>bakersfield:src:17776</x:v>
      </x:c>
      <x:c r="J37" s="31" t="d">
        <x:v>2026-10-24T00:00:00.000Z</x:v>
      </x:c>
      <x:c r="K37" s="35" t="n">
        <x:v>269</x:v>
      </x:c>
      <x:c r="L37" s="29" t="str">
        <x:v>Hayır</x:v>
      </x:c>
      <x:c r="M37" s="29" t="str">
        <x:v>İnceleme</x:v>
      </x:c>
      <x:c r="N37" s="29" t="str">
        <x:v>Yeme ve içme</x:v>
      </x:c>
      <x:c r="O37" s="29" t="str">
        <x:v>Downtown</x:v>
      </x:c>
      <x:c r="P37" s="29" t="str">
        <x:v>Karma</x:v>
      </x:c>
      <x:c r="Q37" s="29" t="str">
        <x:v>1600 20th Street, Bakersfield, California</x:v>
      </x:c>
      <x:c r="R37" s="33"/>
      <x:c r="S37" s="33"/>
      <x:c r="T37" s="29"/>
      <x:c r="U37" s="29"/>
      <x:c r="V37" s="29" t="str">
        <x:v>Hayır</x:v>
      </x:c>
      <x:c r="W37" s="29" t="str">
        <x:v>local-bakersfield-dagnys</x:v>
      </x:c>
    </x:row>
    <x:row r="38" ht="124" customHeight="1">
      <x:c r="A38" s="29" t="str">
        <x:v>bakersfield:yer-local-bakersfield-trail-giants</x:v>
      </x:c>
      <x:c r="B38" s="29" t="str">
        <x:v>bakersfield</x:v>
      </x:c>
      <x:c r="C38" s="29" t="str">
        <x:v>yer-local-bakersfield-trail-giants</x:v>
      </x:c>
      <x:c r="D38" s="29" t="str">
        <x:v>Trail of 100 Giants</x:v>
      </x:c>
      <x:c r="E38" s="29" t="str">
        <x:v>Doğa ve açık hava · Bölge gezisi / Long Meadow Grove · Tulare County</x:v>
      </x:c>
      <x:c r="F38" s="29" t="str">
        <x:v>Dev sekoyaların arasındaki kısa orman rotası, ağaçların gövde ölçeğini yakından deneyimlemek için bölgenin güçlü duraklarından biridir. Western Divide Highway üzerindeki Long Meadow Grove, Giant Sequoia National Monument’ın güney bölümündedir; Sequoia National Park ile aynı giriş değildir. Bakersfield’dan uzun bir dağ günü gerektirir. Kar ve dağ yolu mevsimi, burayı şehir parkı yürüyüşünden ayırır.</x:v>
      </x:c>
      <x:c r="G38" s="29" t="str">
        <x:v>trail-giants</x:v>
      </x:c>
      <x:c r="H38" s="29" t="str"/>
      <x:c r="I38" s="29" t="str">
        <x:v>bakersfield:src:17893</x:v>
      </x:c>
      <x:c r="J38" s="31" t="d">
        <x:v>2026-10-24T00:00:00.000Z</x:v>
      </x:c>
      <x:c r="K38" s="35" t="n">
        <x:v>270</x:v>
      </x:c>
      <x:c r="L38" s="29" t="str">
        <x:v>Hayır</x:v>
      </x:c>
      <x:c r="M38" s="29" t="str">
        <x:v>İnceleme</x:v>
      </x:c>
      <x:c r="N38" s="29" t="str">
        <x:v>Doğa ve açık hava</x:v>
      </x:c>
      <x:c r="O38" s="29" t="str">
        <x:v>Bölge gezisi / Long Meadow Grove · Tulare County</x:v>
      </x:c>
      <x:c r="P38" s="29" t="str">
        <x:v>Açık hava</x:v>
      </x:c>
      <x:c r="Q38" s="29" t="str">
        <x:v>Long Meadow Grove, Western Divide Highway, Tulare County, California</x:v>
      </x:c>
      <x:c r="R38" s="33"/>
      <x:c r="S38" s="33"/>
      <x:c r="T38" s="29"/>
      <x:c r="U38" s="29"/>
      <x:c r="V38" s="29" t="str">
        <x:v>Hayır</x:v>
      </x:c>
      <x:c r="W38" s="29" t="str">
        <x:v>local-bakersfield-trail-giants</x:v>
      </x:c>
    </x:row>
    <x:row r="39" ht="110" customHeight="1">
      <x:c r="A39" s="29" t="str">
        <x:v>bakersfield:yer-local-bakersfield-willow-springs</x:v>
      </x:c>
      <x:c r="B39" s="29" t="str">
        <x:v>bakersfield</x:v>
      </x:c>
      <x:c r="C39" s="29" t="str">
        <x:v>yer-local-bakersfield-willow-springs</x:v>
      </x:c>
      <x:c r="D39" s="29" t="str">
        <x:v>Willow Springs International Raceway</x:v>
      </x:c>
      <x:c r="E39" s="29" t="str">
        <x:v>Spor · Bölge gezisi / Rosamond</x:v>
      </x:c>
      <x:c r="F39" s="29" t="str">
        <x:v>Rosamond yakınındaki yol yarış kompleksi, çöl etekleri arasındaki virajlarıyla motor sporları için ayrı bir bölge durağıdır. Yarış, kulüp sürüşü ve test günleri farklı programlarla düzenlenir. Ziyaret seçilen organizasyonun seyirci düzenine göre yapılır; genel giriş sürüş hakkı vermez. Bakersfield’daki Kern Raceway ve Buttonwillow pistiyle aynı tesis değildir.</x:v>
      </x:c>
      <x:c r="G39" s="29" t="str">
        <x:v>willow-springs</x:v>
      </x:c>
      <x:c r="H39" s="29" t="str"/>
      <x:c r="I39" s="29" t="str">
        <x:v>bakersfield:src:17894</x:v>
      </x:c>
      <x:c r="J39" s="31" t="d">
        <x:v>2026-10-24T00:00:00.000Z</x:v>
      </x:c>
      <x:c r="K39" s="35" t="n">
        <x:v>271</x:v>
      </x:c>
      <x:c r="L39" s="29" t="str">
        <x:v>Hayır</x:v>
      </x:c>
      <x:c r="M39" s="29" t="str">
        <x:v>İnceleme</x:v>
      </x:c>
      <x:c r="N39" s="29" t="str">
        <x:v>Spor</x:v>
      </x:c>
      <x:c r="O39" s="29" t="str">
        <x:v>Bölge gezisi / Rosamond</x:v>
      </x:c>
      <x:c r="P39" s="29" t="str">
        <x:v>Karma</x:v>
      </x:c>
      <x:c r="Q39" s="29" t="str">
        <x:v>3500 75th Street West, Rosamond, California</x:v>
      </x:c>
      <x:c r="R39" s="33"/>
      <x:c r="S39" s="33"/>
      <x:c r="T39" s="29"/>
      <x:c r="U39" s="29"/>
      <x:c r="V39" s="29" t="str">
        <x:v>Hayır</x:v>
      </x:c>
      <x:c r="W39" s="29" t="str">
        <x:v>local-bakersfield-willow-springs</x:v>
      </x:c>
    </x:row>
    <x:row r="40" ht="110" customHeight="1">
      <x:c r="A40" s="29" t="str">
        <x:v>bakersfield:yer-local-bakersfield-temblor</x:v>
      </x:c>
      <x:c r="B40" s="29" t="str">
        <x:v>bakersfield</x:v>
      </x:c>
      <x:c r="C40" s="29" t="str">
        <x:v>yer-local-bakersfield-temblor</x:v>
      </x:c>
      <x:c r="D40" s="29" t="str">
        <x:v>Temblor Brewing Company</x:v>
      </x:c>
      <x:c r="E40" s="29" t="str">
        <x:v>Yeme ve içme · Buck Owens Boulevard</x:v>
      </x:c>
      <x:c r="F40" s="29" t="str">
        <x:v>Temblor Brewing Company'nin Buck Owens Boulevard tesisi, bira üretimi ve yemek servisini canlı etkinliklerle birleştirir. Konser veya toplu buluşma ile normal restoran ziyareti ayrı deneyimlerdir. Bu kart 3200 Buck Owens Boulevard, Suite 200 adresindeki üretim tesisi ve mekânı anlatır; 17th Place üzerindeki Temblor Tavern şubesiyle karıştırılmamalıdır.</x:v>
      </x:c>
      <x:c r="G40" s="29" t="str">
        <x:v>temblor</x:v>
      </x:c>
      <x:c r="H40" s="29" t="str"/>
      <x:c r="I40" s="29" t="str">
        <x:v>bakersfield:src:17779</x:v>
      </x:c>
      <x:c r="J40" s="31" t="d">
        <x:v>2026-10-24T00:00:00.000Z</x:v>
      </x:c>
      <x:c r="K40" s="35" t="n">
        <x:v>272</x:v>
      </x:c>
      <x:c r="L40" s="29" t="str">
        <x:v>Hayır</x:v>
      </x:c>
      <x:c r="M40" s="29" t="str">
        <x:v>İnceleme</x:v>
      </x:c>
      <x:c r="N40" s="29" t="str">
        <x:v>Yeme ve içme</x:v>
      </x:c>
      <x:c r="O40" s="29" t="str">
        <x:v>Buck Owens Boulevard</x:v>
      </x:c>
      <x:c r="P40" s="29" t="str">
        <x:v>Karma</x:v>
      </x:c>
      <x:c r="Q40" s="29" t="str">
        <x:v>3200 Buck Owens Boulevard, Bakersfield, California</x:v>
      </x:c>
      <x:c r="R40" s="33"/>
      <x:c r="S40" s="33"/>
      <x:c r="T40" s="29"/>
      <x:c r="U40" s="29"/>
      <x:c r="V40" s="29" t="str">
        <x:v>Hayır</x:v>
      </x:c>
      <x:c r="W40" s="29" t="str">
        <x:v>local-bakersfield-temblor</x:v>
      </x:c>
    </x:row>
    <x:row r="41" ht="110" customHeight="1">
      <x:c r="A41" s="29" t="str">
        <x:v>bakersfield:yer-local-bakersfield-frog-meadow</x:v>
      </x:c>
      <x:c r="B41" s="29" t="str">
        <x:v>bakersfield</x:v>
      </x:c>
      <x:c r="C41" s="29" t="str">
        <x:v>yer-local-bakersfield-frog-meadow</x:v>
      </x:c>
      <x:c r="D41" s="29" t="str">
        <x:v>Frog Meadow</x:v>
      </x:c>
      <x:c r="E41" s="29" t="str">
        <x:v>Doğa ve açık hava · Bölge gezisi / Greenhorn Mountains</x:v>
      </x:c>
      <x:c r="F41" s="29" t="str">
        <x:v>Greenhorn dağlarındaki yüksek çayır ve orman çevresi, daha sakin ve temel hizmetli bir dağ kampı deneyimi sunar. Erişim Glennville yönünden dar ve toprak orman yollarıyla yapılır; büyük römork veya karavan gezisi için uygun bir hedef değildir. İçme suyu bulunmayan, mevsimlik erişimli bu alan deneyimli ve hazırlıklı doğa gezileri kapsamında ele alınır.</x:v>
      </x:c>
      <x:c r="G41" s="29" t="str">
        <x:v>frog-meadow</x:v>
      </x:c>
      <x:c r="H41" s="29" t="str"/>
      <x:c r="I41" s="29" t="str">
        <x:v>bakersfield:src:17895</x:v>
      </x:c>
      <x:c r="J41" s="31" t="d">
        <x:v>2026-10-24T00:00:00.000Z</x:v>
      </x:c>
      <x:c r="K41" s="35" t="n">
        <x:v>273</x:v>
      </x:c>
      <x:c r="L41" s="29" t="str">
        <x:v>Hayır</x:v>
      </x:c>
      <x:c r="M41" s="29" t="str">
        <x:v>İnceleme</x:v>
      </x:c>
      <x:c r="N41" s="29" t="str">
        <x:v>Doğa ve açık hava</x:v>
      </x:c>
      <x:c r="O41" s="29" t="str">
        <x:v>Bölge gezisi / Greenhorn Mountains</x:v>
      </x:c>
      <x:c r="P41" s="29" t="str">
        <x:v>Açık hava</x:v>
      </x:c>
      <x:c r="Q41" s="29" t="str">
        <x:v>Frog Meadow, Sequoia National Forest, California</x:v>
      </x:c>
      <x:c r="R41" s="33"/>
      <x:c r="S41" s="33"/>
      <x:c r="T41" s="29"/>
      <x:c r="U41" s="29"/>
      <x:c r="V41" s="29" t="str">
        <x:v>Hayır</x:v>
      </x:c>
      <x:c r="W41" s="29" t="str">
        <x:v>local-bakersfield-frog-meadow</x:v>
      </x:c>
    </x:row>
    <x:row r="42" ht="124" customHeight="1">
      <x:c r="A42" s="29" t="str">
        <x:v>bakersfield:yer-local-bakersfield-owens-peak</x:v>
      </x:c>
      <x:c r="B42" s="29" t="str">
        <x:v>bakersfield</x:v>
      </x:c>
      <x:c r="C42" s="29" t="str">
        <x:v>yer-local-bakersfield-owens-peak</x:v>
      </x:c>
      <x:c r="D42" s="29" t="str">
        <x:v>Owens Peak Wilderness – Short Canyon çevresi</x:v>
      </x:c>
      <x:c r="E42" s="29" t="str">
        <x:v>Doğa ve açık hava · Bölge gezisi / Güney Sierra Nevada</x:v>
      </x:c>
      <x:c r="F42" s="29" t="str">
        <x:v>Sierra Nevada’nın güneyinde çöl ile dağ habitatlarının birleştiği Owens Peak çevresi, geniş kayalık yamaçlar ve açık vadi manzaraları sunar. Korunan wilderness alanında motorlu araç ve bisiklet kullanımı izinli değildir. Short Canyon yaklaşımı ve diğer başlangıçlar ayrı güzergâhlardır; bu kayıt tam zirve tırmanışını veya 41 millik uzun parkuru günlük şehir gezisi gibi önermez.</x:v>
      </x:c>
      <x:c r="G42" s="29" t="str">
        <x:v>owens-peak</x:v>
      </x:c>
      <x:c r="H42" s="29" t="str"/>
      <x:c r="I42" s="29" t="str">
        <x:v>bakersfield:src:17896</x:v>
      </x:c>
      <x:c r="J42" s="31" t="d">
        <x:v>2026-10-24T00:00:00.000Z</x:v>
      </x:c>
      <x:c r="K42" s="35" t="n">
        <x:v>274</x:v>
      </x:c>
      <x:c r="L42" s="29" t="str">
        <x:v>Hayır</x:v>
      </x:c>
      <x:c r="M42" s="29" t="str">
        <x:v>İnceleme</x:v>
      </x:c>
      <x:c r="N42" s="29" t="str">
        <x:v>Doğa ve açık hava</x:v>
      </x:c>
      <x:c r="O42" s="29" t="str">
        <x:v>Bölge gezisi / Güney Sierra Nevada</x:v>
      </x:c>
      <x:c r="P42" s="29" t="str">
        <x:v>Açık hava</x:v>
      </x:c>
      <x:c r="Q42" s="29" t="str">
        <x:v>Owens Peak Wilderness, Short Canyon yaklaşımı, California</x:v>
      </x:c>
      <x:c r="R42" s="33"/>
      <x:c r="S42" s="33"/>
      <x:c r="T42" s="29"/>
      <x:c r="U42" s="29"/>
      <x:c r="V42" s="29" t="str">
        <x:v>Hayır</x:v>
      </x:c>
      <x:c r="W42" s="29" t="str">
        <x:v>local-bakersfield-owens-peak</x:v>
      </x:c>
    </x:row>
    <x:row r="43" ht="124" customHeight="1">
      <x:c r="A43" s="29" t="str">
        <x:v>bakersfield:yer-local-bakersfield-last-chance</x:v>
      </x:c>
      <x:c r="B43" s="29" t="str">
        <x:v>bakersfield</x:v>
      </x:c>
      <x:c r="C43" s="29" t="str">
        <x:v>yer-local-bakersfield-last-chance</x:v>
      </x:c>
      <x:c r="D43" s="29" t="str">
        <x:v>Last Chance Canyon</x:v>
      </x:c>
      <x:c r="E43" s="29" t="str">
        <x:v>Doğa ve açık hava · Bölge gezisi / El Paso Mountains</x:v>
      </x:c>
      <x:c r="F43" s="29" t="str">
        <x:v>El Paso Mountains içindeki Last Chance Canyon, renkli katmanları ve kuru vadi dokusuyla Kern County’nin çöl peyzajını tanıtır. Bickel Camp ve Burro Schmidt çevresindeki madencilik geçmişi aynı geniş bölgede bulunur. Arazi yolları asfalt şehir erişiminden farklıdır; gezi izinli açık güzergâhlarla ve uygun araç hazırlığıyla yapılır. 2026’daki bölgesel rota kapanışları nedeniyle tüm bağlantı yolları açık kabul edilmez.</x:v>
      </x:c>
      <x:c r="G43" s="29" t="str">
        <x:v>last-chance</x:v>
      </x:c>
      <x:c r="H43" s="29" t="str"/>
      <x:c r="I43" s="29" t="str">
        <x:v>bakersfield:src:17897</x:v>
      </x:c>
      <x:c r="J43" s="31" t="d">
        <x:v>2026-10-24T00:00:00.000Z</x:v>
      </x:c>
      <x:c r="K43" s="35" t="n">
        <x:v>275</x:v>
      </x:c>
      <x:c r="L43" s="29" t="str">
        <x:v>Hayır</x:v>
      </x:c>
      <x:c r="M43" s="29" t="str">
        <x:v>İnceleme</x:v>
      </x:c>
      <x:c r="N43" s="29" t="str">
        <x:v>Doğa ve açık hava</x:v>
      </x:c>
      <x:c r="O43" s="29" t="str">
        <x:v>Bölge gezisi / El Paso Mountains</x:v>
      </x:c>
      <x:c r="P43" s="29" t="str">
        <x:v>Açık hava</x:v>
      </x:c>
      <x:c r="Q43" s="29" t="str">
        <x:v>Last Chance Canyon, El Paso Mountains, Kern County, California</x:v>
      </x:c>
      <x:c r="R43" s="33"/>
      <x:c r="S43" s="33"/>
      <x:c r="T43" s="29"/>
      <x:c r="U43" s="29"/>
      <x:c r="V43" s="29" t="str">
        <x:v>Hayır</x:v>
      </x:c>
      <x:c r="W43" s="29" t="str">
        <x:v>local-bakersfield-last-chance</x:v>
      </x:c>
    </x:row>
    <x:row r="44" ht="96" customHeight="1">
      <x:c r="A44" s="29" t="str">
        <x:v>bakersfield:yer-local-bakersfield-alley-cat</x:v>
      </x:c>
      <x:c r="B44" s="29" t="str">
        <x:v>bakersfield</x:v>
      </x:c>
      <x:c r="C44" s="29" t="str">
        <x:v>yer-local-bakersfield-alley-cat</x:v>
      </x:c>
      <x:c r="D44" s="29" t="str">
        <x:v>Guthrie's Alley Cat</x:v>
      </x:c>
      <x:c r="E44" s="29" t="str">
        <x:v>Yeme ve içme · Downtown</x:v>
      </x:c>
      <x:c r="F44" s="29" t="str">
        <x:v>Guthrie's Alley Cat, Wall Street geçidindeki neon tabelasıyla tanınan küçük bir Downtown barıdır. Sokak görünümü kent merkezinin gece atmosferini fotoğraflamak için ayırt edici bir ayrıntı sunar. Mekân yetişkinlere yönelik bir akşam durağıdır ve çevredeki sahne programlarından sonra kısa bir yürüyüşle ulaşılabilir.</x:v>
      </x:c>
      <x:c r="G44" s="29" t="str">
        <x:v>alley-cat</x:v>
      </x:c>
      <x:c r="H44" s="29" t="str"/>
      <x:c r="I44" s="29" t="str">
        <x:v>bakersfield:src:17783</x:v>
      </x:c>
      <x:c r="J44" s="31" t="d">
        <x:v>2026-10-24T00:00:00.000Z</x:v>
      </x:c>
      <x:c r="K44" s="35" t="n">
        <x:v>276</x:v>
      </x:c>
      <x:c r="L44" s="29" t="str">
        <x:v>Hayır</x:v>
      </x:c>
      <x:c r="M44" s="29" t="str">
        <x:v>İnceleme</x:v>
      </x:c>
      <x:c r="N44" s="29" t="str">
        <x:v>Yeme ve içme</x:v>
      </x:c>
      <x:c r="O44" s="29" t="str">
        <x:v>Downtown</x:v>
      </x:c>
      <x:c r="P44" s="29" t="str">
        <x:v>Karma</x:v>
      </x:c>
      <x:c r="Q44" s="29" t="str">
        <x:v>1525 Wall Street, Bakersfield, California</x:v>
      </x:c>
      <x:c r="R44" s="33"/>
      <x:c r="S44" s="33"/>
      <x:c r="T44" s="29"/>
      <x:c r="U44" s="29"/>
      <x:c r="V44" s="29" t="str">
        <x:v>Hayır</x:v>
      </x:c>
      <x:c r="W44" s="29" t="str">
        <x:v>local-bakersfield-alley-cat</x:v>
      </x:c>
    </x:row>
    <x:row r="45" ht="124" customHeight="1">
      <x:c r="A45" s="29" t="str">
        <x:v>bakersfield:yer-local-bakersfield-wool-growers</x:v>
      </x:c>
      <x:c r="B45" s="29" t="str">
        <x:v>bakersfield</x:v>
      </x:c>
      <x:c r="C45" s="29" t="str">
        <x:v>yer-local-bakersfield-wool-growers</x:v>
      </x:c>
      <x:c r="D45" s="29" t="str">
        <x:v>Wool Growers Restaurant</x:v>
      </x:c>
      <x:c r="E45" s="29" t="str">
        <x:v>Yeme ve içme · Old Town Kern</x:v>
      </x:c>
      <x:c r="F45" s="29" t="str">
        <x:v>Old Town Kern'deki Wool Growers, Bakersfield'ın Bask yemek geleneğini sofra etrafında tanıtan adreslerden biridir. East 19th Street üzerindeki restoranın neon tabelası da mahallenin tanınan ayrıntıları arasındadır. Ana yemek ile yanında sunulan ortak sofra düzeni ayrı seçenekler içerir; kalabalık bir yemek buluşması için Downtown'ın doğusuna uzanan kısa bir geziye eklenebilir.</x:v>
      </x:c>
      <x:c r="G45" s="29" t="str">
        <x:v>wool-growers</x:v>
      </x:c>
      <x:c r="H45" s="29" t="str"/>
      <x:c r="I45" s="29" t="str">
        <x:v>bakersfield:src:17784</x:v>
      </x:c>
      <x:c r="J45" s="31" t="d">
        <x:v>2026-10-24T00:00:00.000Z</x:v>
      </x:c>
      <x:c r="K45" s="35" t="n">
        <x:v>277</x:v>
      </x:c>
      <x:c r="L45" s="29" t="str">
        <x:v>Hayır</x:v>
      </x:c>
      <x:c r="M45" s="29" t="str">
        <x:v>İnceleme</x:v>
      </x:c>
      <x:c r="N45" s="29" t="str">
        <x:v>Yeme ve içme</x:v>
      </x:c>
      <x:c r="O45" s="29" t="str">
        <x:v>Old Town Kern</x:v>
      </x:c>
      <x:c r="P45" s="29" t="str">
        <x:v>Karma</x:v>
      </x:c>
      <x:c r="Q45" s="29" t="str">
        <x:v>620 East 19th Street, Bakersfield, California</x:v>
      </x:c>
      <x:c r="R45" s="33"/>
      <x:c r="S45" s="33"/>
      <x:c r="T45" s="29"/>
      <x:c r="U45" s="29"/>
      <x:c r="V45" s="29" t="str">
        <x:v>Hayır</x:v>
      </x:c>
      <x:c r="W45" s="29" t="str">
        <x:v>local-bakersfield-wool-growers</x:v>
      </x:c>
    </x:row>
    <x:row r="46" ht="110" customHeight="1">
      <x:c r="A46" s="29" t="str">
        <x:v>bakersfield:yer-local-bakersfield-dewar-eye</x:v>
      </x:c>
      <x:c r="B46" s="29" t="str">
        <x:v>bakersfield</x:v>
      </x:c>
      <x:c r="C46" s="29" t="str">
        <x:v>yer-local-bakersfield-dewar-eye</x:v>
      </x:c>
      <x:c r="D46" s="29" t="str">
        <x:v>Dewar's Candy Shop – Eye Street</x:v>
      </x:c>
      <x:c r="E46" s="29" t="str">
        <x:v>Yeme ve içme · Downtown / Oleander</x:v>
      </x:c>
      <x:c r="F46" s="29" t="str">
        <x:v>Dewar's'ın tarihî Eye Street şubesi, dondurma ve şekerleme tezgâhıyla kentteki tatlı molalarının köklü adresidir. Rehberdeki fotoğraflar 1120 Eye Street konumuna aittir; Calloway ve Ming Avenue şubeleriyle karıştırılmamalıdır. Şekerleme üretim turu mağazaya uğramaktan ayrı, randevulu bir programdır ve kurum ekim–ocak döneminde tur düzenlemediğini belirtir.</x:v>
      </x:c>
      <x:c r="G46" s="29" t="str">
        <x:v>dewar-eye</x:v>
      </x:c>
      <x:c r="H46" s="29" t="str"/>
      <x:c r="I46" s="29" t="str">
        <x:v>bakersfield:src:17785</x:v>
      </x:c>
      <x:c r="J46" s="31" t="d">
        <x:v>2026-10-24T00:00:00.000Z</x:v>
      </x:c>
      <x:c r="K46" s="35" t="n">
        <x:v>278</x:v>
      </x:c>
      <x:c r="L46" s="29" t="str">
        <x:v>Hayır</x:v>
      </x:c>
      <x:c r="M46" s="29" t="str">
        <x:v>İnceleme</x:v>
      </x:c>
      <x:c r="N46" s="29" t="str">
        <x:v>Yeme ve içme</x:v>
      </x:c>
      <x:c r="O46" s="29" t="str">
        <x:v>Downtown / Oleander</x:v>
      </x:c>
      <x:c r="P46" s="29" t="str">
        <x:v>Karma</x:v>
      </x:c>
      <x:c r="Q46" s="29" t="str">
        <x:v>1120 Eye Street, Bakersfield, California</x:v>
      </x:c>
      <x:c r="R46" s="33"/>
      <x:c r="S46" s="33"/>
      <x:c r="T46" s="29"/>
      <x:c r="U46" s="29"/>
      <x:c r="V46" s="29" t="str">
        <x:v>Hayır</x:v>
      </x:c>
      <x:c r="W46" s="29" t="str">
        <x:v>local-bakersfield-dewar-eye</x:v>
      </x:c>
    </x:row>
    <x:row r="47" ht="96" customHeight="1">
      <x:c r="A47" s="29" t="str">
        <x:v>bakersfield:yer-local-bakersfield-visitors-center</x:v>
      </x:c>
      <x:c r="B47" s="29" t="str">
        <x:v>bakersfield</x:v>
      </x:c>
      <x:c r="C47" s="29" t="str">
        <x:v>yer-local-bakersfield-visitors-center</x:v>
      </x:c>
      <x:c r="D47" s="29" t="str">
        <x:v>Bakersfield Ziyaretçi Bilgi Merkezi</x:v>
      </x:c>
      <x:c r="E47" s="29" t="str">
        <x:v>Tarih ve mimari · Downtown</x:v>
      </x:c>
      <x:c r="F47" s="29" t="str">
        <x:v>Truxtun Avenue üzerindeki ziyaretçi merkezi, kenti ilk kez gezenler için harita ve yerel gezi bilgisi toplama durağıdır. Amtrak istasyonunun önünde, Kern Veterans Memorial yakınındadır. Hafta içi gündüz uğranabilen merkezi, bağımsız bir müze veya biletli gösteri alanı gibi düşünme.</x:v>
      </x:c>
      <x:c r="G47" s="29" t="str">
        <x:v>visitors-center</x:v>
      </x:c>
      <x:c r="H47" s="29" t="str"/>
      <x:c r="I47" s="29" t="str">
        <x:v>bakersfield:src:17786</x:v>
      </x:c>
      <x:c r="J47" s="31" t="d">
        <x:v>2026-10-24T00:00:00.000Z</x:v>
      </x:c>
      <x:c r="K47" s="35" t="n">
        <x:v>279</x:v>
      </x:c>
      <x:c r="L47" s="29" t="str">
        <x:v>Hayır</x:v>
      </x:c>
      <x:c r="M47" s="29" t="str">
        <x:v>İnceleme</x:v>
      </x:c>
      <x:c r="N47" s="29" t="str">
        <x:v>Tarih ve mimari</x:v>
      </x:c>
      <x:c r="O47" s="29" t="str">
        <x:v>Downtown</x:v>
      </x:c>
      <x:c r="P47" s="29" t="str">
        <x:v>Karma</x:v>
      </x:c>
      <x:c r="Q47" s="29" t="str">
        <x:v>515 Truxtun Avenue, Bakersfield, CA</x:v>
      </x:c>
      <x:c r="R47" s="33"/>
      <x:c r="S47" s="33"/>
      <x:c r="T47" s="29"/>
      <x:c r="U47" s="29"/>
      <x:c r="V47" s="29" t="str">
        <x:v>Hayır</x:v>
      </x:c>
      <x:c r="W47" s="29" t="str">
        <x:v>local-bakersfield-visitors-center</x:v>
      </x:c>
    </x:row>
    <x:row r="48" ht="82" customHeight="1">
      <x:c r="A48" s="29" t="str">
        <x:v>bakersfield:yer-local-bakersfield-zingos</x:v>
      </x:c>
      <x:c r="B48" s="29" t="str">
        <x:v>bakersfield</x:v>
      </x:c>
      <x:c r="C48" s="29" t="str">
        <x:v>yer-local-bakersfield-zingos</x:v>
      </x:c>
      <x:c r="D48" s="29" t="str">
        <x:v>Zingo's Café</x:v>
      </x:c>
      <x:c r="E48" s="29" t="str">
        <x:v>Yeme ve içme · Buck Owens Boulevard</x:v>
      </x:c>
      <x:c r="F48" s="29" t="str">
        <x:v>Buck Owens Boulevard üzerindeki Zingo's, neon tabelası ve yol üstü kafe kimliğiyle tanınır. Kahvaltı ya da gündüz yemeğini şehir merkezinin kuzeybatı girişindeki bir mola olarak planlayanlar için konumu kullanışlıdır.</x:v>
      </x:c>
      <x:c r="G48" s="29" t="str">
        <x:v>zingos</x:v>
      </x:c>
      <x:c r="H48" s="29" t="str"/>
      <x:c r="I48" s="29" t="str">
        <x:v>bakersfield:src:17787</x:v>
      </x:c>
      <x:c r="J48" s="31" t="d">
        <x:v>2026-10-24T00:00:00.000Z</x:v>
      </x:c>
      <x:c r="K48" s="35" t="n">
        <x:v>280</x:v>
      </x:c>
      <x:c r="L48" s="29" t="str">
        <x:v>Hayır</x:v>
      </x:c>
      <x:c r="M48" s="29" t="str">
        <x:v>İnceleme</x:v>
      </x:c>
      <x:c r="N48" s="29" t="str">
        <x:v>Yeme ve içme</x:v>
      </x:c>
      <x:c r="O48" s="29" t="str">
        <x:v>Buck Owens Boulevard</x:v>
      </x:c>
      <x:c r="P48" s="29" t="str">
        <x:v>Karma</x:v>
      </x:c>
      <x:c r="Q48" s="29" t="str">
        <x:v>3201 Buck Owens Boulevard, Bakersfield, California</x:v>
      </x:c>
      <x:c r="R48" s="33"/>
      <x:c r="S48" s="33"/>
      <x:c r="T48" s="29"/>
      <x:c r="U48" s="29"/>
      <x:c r="V48" s="29" t="str">
        <x:v>Hayır</x:v>
      </x:c>
      <x:c r="W48" s="29" t="str">
        <x:v>local-bakersfield-zingos</x:v>
      </x:c>
    </x:row>
    <x:row r="49" ht="96" customHeight="1">
      <x:c r="A49" s="29" t="str">
        <x:v>bakersfield:yer-local-bakersfield-rice-bowl</x:v>
      </x:c>
      <x:c r="B49" s="29" t="str">
        <x:v>bakersfield</x:v>
      </x:c>
      <x:c r="C49" s="29" t="str">
        <x:v>yer-local-bakersfield-rice-bowl</x:v>
      </x:c>
      <x:c r="D49" s="29" t="str">
        <x:v>Rice Bowl Chinese Restaurant</x:v>
      </x:c>
      <x:c r="E49" s="29" t="str">
        <x:v>Yeme ve içme · Downtown</x:v>
      </x:c>
      <x:c r="F49" s="29" t="str">
        <x:v>Rice Bowl, 18th Street üzerinde Çin mutfağı sunan bir şehir merkezi restoranıdır. Düşey neon tabelası, sokağın tarihî ticaret görünümüne belirgin bir katkı yapar. Downtown'ın müze ve sahne çevresindeki gezisine oturarak yemek molası eklemek isteyenler için 1119 numaralı adres esas alınır.</x:v>
      </x:c>
      <x:c r="G49" s="29" t="str">
        <x:v>rice-bowl</x:v>
      </x:c>
      <x:c r="H49" s="29" t="str"/>
      <x:c r="I49" s="29" t="str">
        <x:v>bakersfield:src:17788</x:v>
      </x:c>
      <x:c r="J49" s="31" t="d">
        <x:v>2026-10-24T00:00:00.000Z</x:v>
      </x:c>
      <x:c r="K49" s="35" t="n">
        <x:v>281</x:v>
      </x:c>
      <x:c r="L49" s="29" t="str">
        <x:v>Hayır</x:v>
      </x:c>
      <x:c r="M49" s="29" t="str">
        <x:v>İnceleme</x:v>
      </x:c>
      <x:c r="N49" s="29" t="str">
        <x:v>Yeme ve içme</x:v>
      </x:c>
      <x:c r="O49" s="29" t="str">
        <x:v>Downtown</x:v>
      </x:c>
      <x:c r="P49" s="29" t="str">
        <x:v>Karma</x:v>
      </x:c>
      <x:c r="Q49" s="29" t="str">
        <x:v>1119 18th Street, Bakersfield, California</x:v>
      </x:c>
      <x:c r="R49" s="33"/>
      <x:c r="S49" s="33"/>
      <x:c r="T49" s="29"/>
      <x:c r="U49" s="29"/>
      <x:c r="V49" s="29" t="str">
        <x:v>Hayır</x:v>
      </x:c>
      <x:c r="W49" s="29" t="str">
        <x:v>local-bakersfield-rice-bowl</x:v>
      </x:c>
    </x:row>
    <x:row r="50" ht="110" customHeight="1">
      <x:c r="A50" s="29" t="str">
        <x:v>bakersfield:yer-local-bakersfield-mamma-mia</x:v>
      </x:c>
      <x:c r="B50" s="29" t="str">
        <x:v>bakersfield</x:v>
      </x:c>
      <x:c r="C50" s="29" t="str">
        <x:v>yer-local-bakersfield-mamma-mia</x:v>
      </x:c>
      <x:c r="D50" s="29" t="str">
        <x:v>Mamma Mia Restaurant</x:v>
      </x:c>
      <x:c r="E50" s="29" t="str">
        <x:v>Yeme ve içme · Downtown / East 18th Street</x:v>
      </x:c>
      <x:c r="F50" s="29" t="str">
        <x:v>Mamma Mia, Downtown'ın doğu kesiminde İtalyan yemekleri ve şarap servisine odaklanan bir restorandır. 18th Street üzerindeki küçük ölçekli salonu, hızlı servis molasından ziyade masada geçirilen bir akşam yemeği için uygundur. Bu konum Mill Creek çevresindeki kültür gezisinin ardından ulaşılabilecek şehir içi seçenekler arasındadır.</x:v>
      </x:c>
      <x:c r="G50" s="29" t="str">
        <x:v>mamma-mia</x:v>
      </x:c>
      <x:c r="H50" s="29" t="str"/>
      <x:c r="I50" s="29" t="str">
        <x:v>bakersfield:src:17789</x:v>
      </x:c>
      <x:c r="J50" s="31" t="d">
        <x:v>2026-10-24T00:00:00.000Z</x:v>
      </x:c>
      <x:c r="K50" s="35" t="n">
        <x:v>282</x:v>
      </x:c>
      <x:c r="L50" s="29" t="str">
        <x:v>Hayır</x:v>
      </x:c>
      <x:c r="M50" s="29" t="str">
        <x:v>İnceleme</x:v>
      </x:c>
      <x:c r="N50" s="29" t="str">
        <x:v>Yeme ve içme</x:v>
      </x:c>
      <x:c r="O50" s="29" t="str">
        <x:v>Downtown / East 18th Street</x:v>
      </x:c>
      <x:c r="P50" s="29" t="str">
        <x:v>Karma</x:v>
      </x:c>
      <x:c r="Q50" s="29" t="str">
        <x:v>418 18th Street, Bakersfield, California</x:v>
      </x:c>
      <x:c r="R50" s="33"/>
      <x:c r="S50" s="33"/>
      <x:c r="T50" s="29"/>
      <x:c r="U50" s="29"/>
      <x:c r="V50" s="29" t="str">
        <x:v>Hayır</x:v>
      </x:c>
      <x:c r="W50" s="29" t="str">
        <x:v>local-bakersfield-mamma-mia</x:v>
      </x:c>
    </x:row>
    <x:row r="51" ht="96" customHeight="1">
      <x:c r="A51" s="29" t="str">
        <x:v>bakersfield:yer-local-bakersfield-woolworth</x:v>
      </x:c>
      <x:c r="B51" s="29" t="str">
        <x:v>bakersfield</x:v>
      </x:c>
      <x:c r="C51" s="29" t="str">
        <x:v>yer-local-bakersfield-woolworth</x:v>
      </x:c>
      <x:c r="D51" s="29" t="str">
        <x:v>The Woolworth's Building</x:v>
      </x:c>
      <x:c r="E51" s="29" t="str">
        <x:v>Alışveriş ve pazarlar · Downtown</x:v>
      </x:c>
      <x:c r="F51" s="29" t="str">
        <x:v>19th ve K Street köşesindeki Woolworth, eski büyük mağaza yapısını yemek, müzik ve farklı işletmelerle yaşatan bir Downtown durağıdır. Güncel işletmeci Luncheonette, Reverb ve The Basement gibi kullanımları aynı bina altında tanıtır. Yapının dışı tarihî merkez yürüyüşünün doğal duraklarından biridir.</x:v>
      </x:c>
      <x:c r="G51" s="29" t="str">
        <x:v>woolworth</x:v>
      </x:c>
      <x:c r="H51" s="29" t="str"/>
      <x:c r="I51" s="29" t="str">
        <x:v>bakersfield:src:17790</x:v>
      </x:c>
      <x:c r="J51" s="31" t="d">
        <x:v>2026-10-24T00:00:00.000Z</x:v>
      </x:c>
      <x:c r="K51" s="35" t="n">
        <x:v>283</x:v>
      </x:c>
      <x:c r="L51" s="29" t="str">
        <x:v>Hayır</x:v>
      </x:c>
      <x:c r="M51" s="29" t="str">
        <x:v>İnceleme</x:v>
      </x:c>
      <x:c r="N51" s="29" t="str">
        <x:v>Alışveriş ve pazarlar</x:v>
      </x:c>
      <x:c r="O51" s="29" t="str">
        <x:v>Downtown</x:v>
      </x:c>
      <x:c r="P51" s="29" t="str">
        <x:v>Kapalı alan</x:v>
      </x:c>
      <x:c r="Q51" s="29" t="str">
        <x:v>1400 19th Street, Bakersfield, California</x:v>
      </x:c>
      <x:c r="R51" s="33"/>
      <x:c r="S51" s="33"/>
      <x:c r="T51" s="29"/>
      <x:c r="U51" s="29"/>
      <x:c r="V51" s="29" t="str">
        <x:v>Hayır</x:v>
      </x:c>
      <x:c r="W51" s="29" t="str">
        <x:v>local-bakersfield-woolworth</x:v>
      </x:c>
    </x:row>
    <x:row r="52" ht="110" customHeight="1">
      <x:c r="A52" s="29" t="str">
        <x:v>bakersfield:yer-local-bakersfield-marketplace</x:v>
      </x:c>
      <x:c r="B52" s="29" t="str">
        <x:v>bakersfield</x:v>
      </x:c>
      <x:c r="C52" s="29" t="str">
        <x:v>yer-local-bakersfield-marketplace</x:v>
      </x:c>
      <x:c r="D52" s="29" t="str">
        <x:v>The Marketplace Bakersfield</x:v>
      </x:c>
      <x:c r="E52" s="29" t="str">
        <x:v>Alışveriş ve pazarlar · Southwest / Ming Avenue</x:v>
      </x:c>
      <x:c r="F52" s="29" t="str">
        <x:v>Ming Avenue üzerindeki açık hava alışveriş alanı, mağaza ve restoranları yaya koridorları çevresinde toplar. Southwest tarafında alışverişi bir yemek veya kahve molasıyla birleştirmek için kullanılabilir. Burası Downtown antika bölgesinden farklı, araçla erişilen ayrı bir ticaret merkezidir; kart 9000 Ming Avenue çevresini anlatır.</x:v>
      </x:c>
      <x:c r="G52" s="29" t="str">
        <x:v>marketplace</x:v>
      </x:c>
      <x:c r="H52" s="29" t="str"/>
      <x:c r="I52" s="29" t="str">
        <x:v>bakersfield:src:17791</x:v>
      </x:c>
      <x:c r="J52" s="31" t="d">
        <x:v>2026-10-24T00:00:00.000Z</x:v>
      </x:c>
      <x:c r="K52" s="35" t="n">
        <x:v>284</x:v>
      </x:c>
      <x:c r="L52" s="29" t="str">
        <x:v>Hayır</x:v>
      </x:c>
      <x:c r="M52" s="29" t="str">
        <x:v>İnceleme</x:v>
      </x:c>
      <x:c r="N52" s="29" t="str">
        <x:v>Alışveriş ve pazarlar</x:v>
      </x:c>
      <x:c r="O52" s="29" t="str">
        <x:v>Southwest / Ming Avenue</x:v>
      </x:c>
      <x:c r="P52" s="29" t="str">
        <x:v>Kapalı alan</x:v>
      </x:c>
      <x:c r="Q52" s="29" t="str">
        <x:v>9000 Ming Avenue, Bakersfield, California</x:v>
      </x:c>
      <x:c r="R52" s="33"/>
      <x:c r="S52" s="33"/>
      <x:c r="T52" s="29"/>
      <x:c r="U52" s="29"/>
      <x:c r="V52" s="29" t="str">
        <x:v>Hayır</x:v>
      </x:c>
      <x:c r="W52" s="29" t="str">
        <x:v>local-bakersfield-marketplace</x:v>
      </x:c>
    </x:row>
    <x:row r="53" ht="110" customHeight="1">
      <x:c r="A53" s="29" t="str">
        <x:v>bakersfield:yer-local-bakersfield-valley-plaza</x:v>
      </x:c>
      <x:c r="B53" s="29" t="str">
        <x:v>bakersfield</x:v>
      </x:c>
      <x:c r="C53" s="29" t="str">
        <x:v>yer-local-bakersfield-valley-plaza</x:v>
      </x:c>
      <x:c r="D53" s="29" t="str">
        <x:v>Valley Plaza Mall</x:v>
      </x:c>
      <x:c r="E53" s="29" t="str">
        <x:v>Alışveriş ve pazarlar · Southwest / Ming Avenue</x:v>
      </x:c>
      <x:c r="F53" s="29" t="str">
        <x:v>Valley Plaza, Bakersfield'ın büyük kapalı alışveriş merkezlerinden biridir. Ming Avenue konumu ve GET bağlantıları, mağaza ziyaretini şehir içi günlük ihtiyaçlarla birleştirmeyi kolaylaştırır. Klimalı iç koridorları açık hava pazarı deneyiminden farklıdır; mağaza dizini ve restoranlar merkezin kendi işletme listesinde yer alır.</x:v>
      </x:c>
      <x:c r="G53" s="29" t="str">
        <x:v>valley-plaza</x:v>
      </x:c>
      <x:c r="H53" s="29" t="str"/>
      <x:c r="I53" s="29" t="str">
        <x:v>bakersfield:src:17792</x:v>
      </x:c>
      <x:c r="J53" s="31" t="d">
        <x:v>2026-10-24T00:00:00.000Z</x:v>
      </x:c>
      <x:c r="K53" s="35" t="n">
        <x:v>285</x:v>
      </x:c>
      <x:c r="L53" s="29" t="str">
        <x:v>Hayır</x:v>
      </x:c>
      <x:c r="M53" s="29" t="str">
        <x:v>İnceleme</x:v>
      </x:c>
      <x:c r="N53" s="29" t="str">
        <x:v>Alışveriş ve pazarlar</x:v>
      </x:c>
      <x:c r="O53" s="29" t="str">
        <x:v>Southwest / Ming Avenue</x:v>
      </x:c>
      <x:c r="P53" s="29" t="str">
        <x:v>Kapalı alan</x:v>
      </x:c>
      <x:c r="Q53" s="29" t="str">
        <x:v>2701 Ming Avenue, Bakersfield, California</x:v>
      </x:c>
      <x:c r="R53" s="33"/>
      <x:c r="S53" s="33"/>
      <x:c r="T53" s="29"/>
      <x:c r="U53" s="29"/>
      <x:c r="V53" s="29" t="str">
        <x:v>Hayır</x:v>
      </x:c>
      <x:c r="W53" s="29" t="str">
        <x:v>local-bakersfield-valley-plaza</x:v>
      </x:c>
    </x:row>
    <x:row r="54" ht="110" customHeight="1">
      <x:c r="A54" s="29" t="str">
        <x:v>bakersfield:yer-local-bakersfield-basque-club</x:v>
      </x:c>
      <x:c r="B54" s="29" t="str">
        <x:v>bakersfield</x:v>
      </x:c>
      <x:c r="C54" s="29" t="str">
        <x:v>yer-local-bakersfield-basque-club</x:v>
      </x:c>
      <x:c r="D54" s="29" t="str">
        <x:v>Kern County Basque Club</x:v>
      </x:c>
      <x:c r="E54" s="29" t="str">
        <x:v>Aile ve çocuk · South Bakersfield</x:v>
      </x:c>
      <x:c r="F54" s="29" t="str">
        <x:v>Kern County Basque Club, Bask kültürünün dans, yemek, buluşma ve pelota geleneğiyle sürdürüldüğü topluluk alanıdır. Geniş açık alan ve pelota sahası, restoran ziyaretinden farklı bir kültürel deneyimin parçasıdır. Kamuya açık festival ve etkinlikler kendi takvimleriyle düzenlenir; özel kulüp etkinliği otomatik olarak serbest ziyaret anlamına gelmez.</x:v>
      </x:c>
      <x:c r="G54" s="29" t="str">
        <x:v>basque-club</x:v>
      </x:c>
      <x:c r="H54" s="29" t="str"/>
      <x:c r="I54" s="29" t="str">
        <x:v>bakersfield:src:17793</x:v>
      </x:c>
      <x:c r="J54" s="31" t="d">
        <x:v>2026-10-24T00:00:00.000Z</x:v>
      </x:c>
      <x:c r="K54" s="35" t="n">
        <x:v>286</x:v>
      </x:c>
      <x:c r="L54" s="29" t="str">
        <x:v>Hayır</x:v>
      </x:c>
      <x:c r="M54" s="29" t="str">
        <x:v>İnceleme</x:v>
      </x:c>
      <x:c r="N54" s="29" t="str">
        <x:v>Çocuklarla keşif</x:v>
      </x:c>
      <x:c r="O54" s="29" t="str">
        <x:v>South Bakersfield</x:v>
      </x:c>
      <x:c r="P54" s="29" t="str">
        <x:v>Karma</x:v>
      </x:c>
      <x:c r="Q54" s="29" t="str">
        <x:v>2301 South Union Avenue, Bakersfield, California</x:v>
      </x:c>
      <x:c r="R54" s="33"/>
      <x:c r="S54" s="33"/>
      <x:c r="T54" s="29"/>
      <x:c r="U54" s="29"/>
      <x:c r="V54" s="29" t="str">
        <x:v>Hayır</x:v>
      </x:c>
      <x:c r="W54" s="29" t="str">
        <x:v>local-bakersfield-basque-club</x:v>
      </x:c>
    </x:row>
    <x:row r="55" ht="96" customHeight="1">
      <x:c r="A55" s="29" t="str">
        <x:v>bakersfield:yer-local-bakersfield-murray-farms</x:v>
      </x:c>
      <x:c r="B55" s="29" t="str">
        <x:v>bakersfield</x:v>
      </x:c>
      <x:c r="C55" s="29" t="str">
        <x:v>yer-local-bakersfield-murray-farms</x:v>
      </x:c>
      <x:c r="D55" s="29" t="str">
        <x:v>Murray Family Farms – Big Red Barn</x:v>
      </x:c>
      <x:c r="E55" s="29" t="str">
        <x:v>Aile ve çocuk · Kent dışı / CA-58 doğusu</x:v>
      </x:c>
      <x:c r="F55" s="29" t="str">
        <x:v>Big Red Barn, Bakersfield'ın doğusunda tarımsal üretimi çiftlik pazarı ve mevsimlik aile etkinlikleriyle buluşturur. Kırmızı ana yapı çevresindeki pazar, piknik alanı ve tarım manzarası aynı ziyaretin parçalarıdır. Meyve toplama ve özel festival programları mevsime bağlıdır; yılın her günü aynı ürün ve etkinlik bulunmaz.</x:v>
      </x:c>
      <x:c r="G55" s="29" t="str">
        <x:v>murray-farms</x:v>
      </x:c>
      <x:c r="H55" s="29" t="str"/>
      <x:c r="I55" s="29" t="str">
        <x:v>bakersfield:src:17794</x:v>
      </x:c>
      <x:c r="J55" s="31" t="d">
        <x:v>2026-10-24T00:00:00.000Z</x:v>
      </x:c>
      <x:c r="K55" s="35" t="n">
        <x:v>287</x:v>
      </x:c>
      <x:c r="L55" s="29" t="str">
        <x:v>Hayır</x:v>
      </x:c>
      <x:c r="M55" s="29" t="str">
        <x:v>İnceleme</x:v>
      </x:c>
      <x:c r="N55" s="29" t="str">
        <x:v>Çocuklarla keşif</x:v>
      </x:c>
      <x:c r="O55" s="29" t="str">
        <x:v>Kent dışı / CA-58 doğusu</x:v>
      </x:c>
      <x:c r="P55" s="29" t="str">
        <x:v>Karma</x:v>
      </x:c>
      <x:c r="Q55" s="29" t="str">
        <x:v>6700 General Beale Road, Bakersfield, California</x:v>
      </x:c>
      <x:c r="R55" s="33"/>
      <x:c r="S55" s="33"/>
      <x:c r="T55" s="29"/>
      <x:c r="U55" s="29"/>
      <x:c r="V55" s="29" t="str">
        <x:v>Hayır</x:v>
      </x:c>
      <x:c r="W55" s="29" t="str">
        <x:v>local-bakersfield-murray-farms</x:v>
      </x:c>
    </x:row>
    <x:row r="56" ht="110" customHeight="1">
      <x:c r="A56" s="29" t="str">
        <x:v>bakersfield:yer-local-bakersfield-river-walk</x:v>
      </x:c>
      <x:c r="B56" s="29" t="str">
        <x:v>bakersfield</x:v>
      </x:c>
      <x:c r="C56" s="29" t="str">
        <x:v>yer-local-bakersfield-river-walk</x:v>
      </x:c>
      <x:c r="D56" s="29" t="str">
        <x:v>The Park at River Walk</x:v>
      </x:c>
      <x:c r="E56" s="29" t="str">
        <x:v>Doğa ve açık hava · Southwest / River Walk</x:v>
      </x:c>
      <x:c r="F56" s="29" t="str">
        <x:v>Göl kıyıları, küçük su geçişleri ve çim alanlarıyla River Walk, Southwest'te yürüyüş ve piknik için geniş bir şehir parkıdır. Park içindeki açık hava sahnesi ayrıca biletli etkinlikler düzenleyebilir; sıradan park gezisi konser katılımından farklıdır. Su kenarındaki kısa turları Kern River Parkway bağlantısıyla daha uzun yürüyüşe çevirmek mümkündür.</x:v>
      </x:c>
      <x:c r="G56" s="29" t="str">
        <x:v>river-walk</x:v>
      </x:c>
      <x:c r="H56" s="29" t="str"/>
      <x:c r="I56" s="29" t="str">
        <x:v>bakersfield:src:17687</x:v>
      </x:c>
      <x:c r="J56" s="31" t="d">
        <x:v>2026-10-24T00:00:00.000Z</x:v>
      </x:c>
      <x:c r="K56" s="35" t="n">
        <x:v>288</x:v>
      </x:c>
      <x:c r="L56" s="29" t="str">
        <x:v>Hayır</x:v>
      </x:c>
      <x:c r="M56" s="29" t="str">
        <x:v>İnceleme</x:v>
      </x:c>
      <x:c r="N56" s="29" t="str">
        <x:v>Doğa ve açık hava</x:v>
      </x:c>
      <x:c r="O56" s="29" t="str">
        <x:v>Southwest / River Walk</x:v>
      </x:c>
      <x:c r="P56" s="29" t="str">
        <x:v>Açık hava</x:v>
      </x:c>
      <x:c r="Q56" s="29" t="str">
        <x:v>11298 Stockdale Highway, Bakersfield, California</x:v>
      </x:c>
      <x:c r="R56" s="33"/>
      <x:c r="S56" s="33"/>
      <x:c r="T56" s="29"/>
      <x:c r="U56" s="29"/>
      <x:c r="V56" s="29" t="str">
        <x:v>Hayır</x:v>
      </x:c>
      <x:c r="W56" s="29" t="str">
        <x:v>local-bakersfield-river-walk</x:v>
      </x:c>
    </x:row>
    <x:row r="57" ht="110" customHeight="1">
      <x:c r="A57" s="29" t="str">
        <x:v>bakersfield:yer-local-bakersfield-mill-creek</x:v>
      </x:c>
      <x:c r="B57" s="29" t="str">
        <x:v>bakersfield</x:v>
      </x:c>
      <x:c r="C57" s="29" t="str">
        <x:v>yer-local-bakersfield-mill-creek</x:v>
      </x:c>
      <x:c r="D57" s="29" t="str">
        <x:v>Central Park at Mill Creek</x:v>
      </x:c>
      <x:c r="E57" s="29" t="str">
        <x:v>Doğa ve açık hava · Downtown / Mill Creek</x:v>
      </x:c>
      <x:c r="F57" s="29" t="str">
        <x:v>Mill Creek'in köprüleri ve su kenarı yolları, Downtown içinde sakin bir yürüyüş çizgisi oluşturur. Bakersfield Museum of Art ve çevredeki kamu yapılarıyla birlikte kısa bir kültür rotasına uygundur. Kanal kıyısı manzarası ile tarihî merkez sokaklarını aynı gezide birleştirmek, uzun araç transferi gerektirmeyen bir şehir keşfi sağlar.</x:v>
      </x:c>
      <x:c r="G57" s="29" t="str">
        <x:v>mill-creek</x:v>
      </x:c>
      <x:c r="H57" s="29" t="str"/>
      <x:c r="I57" s="29" t="str">
        <x:v>bakersfield:src:17687</x:v>
      </x:c>
      <x:c r="J57" s="31" t="d">
        <x:v>2026-10-24T00:00:00.000Z</x:v>
      </x:c>
      <x:c r="K57" s="35" t="n">
        <x:v>289</x:v>
      </x:c>
      <x:c r="L57" s="29" t="str">
        <x:v>Hayır</x:v>
      </x:c>
      <x:c r="M57" s="29" t="str">
        <x:v>İnceleme</x:v>
      </x:c>
      <x:c r="N57" s="29" t="str">
        <x:v>Doğa ve açık hava</x:v>
      </x:c>
      <x:c r="O57" s="29" t="str">
        <x:v>Downtown / Mill Creek</x:v>
      </x:c>
      <x:c r="P57" s="29" t="str">
        <x:v>Açık hava</x:v>
      </x:c>
      <x:c r="Q57" s="29" t="str">
        <x:v>Central Park at Mill Creek, Bakersfield, California</x:v>
      </x:c>
      <x:c r="R57" s="33"/>
      <x:c r="S57" s="33"/>
      <x:c r="T57" s="29"/>
      <x:c r="U57" s="29"/>
      <x:c r="V57" s="29" t="str">
        <x:v>Hayır</x:v>
      </x:c>
      <x:c r="W57" s="29" t="str">
        <x:v>local-bakersfield-mill-creek</x:v>
      </x:c>
    </x:row>
    <x:row r="58" ht="110" customHeight="1">
      <x:c r="A58" s="29" t="str">
        <x:v>bakersfield:yer-local-bakersfield-hart-park</x:v>
      </x:c>
      <x:c r="B58" s="29" t="str">
        <x:v>bakersfield</x:v>
      </x:c>
      <x:c r="C58" s="29" t="str">
        <x:v>yer-local-bakersfield-hart-park</x:v>
      </x:c>
      <x:c r="D58" s="29" t="str">
        <x:v>Hart Memorial Park</x:v>
      </x:c>
      <x:c r="E58" s="29" t="str">
        <x:v>Doğa ve açık hava · Northeast / Alfred Harrell Highway</x:v>
      </x:c>
      <x:c r="F58" s="29" t="str">
        <x:v>Hart Park, Kern River kıyısındaki gölleri, ağaçlı piknik alanları ve yamaçlara açılan yollarıyla şehrin doğa yaşamında önemli bir yere sahiptir. County tarafından yönetilen park, CALM ve Lake Ming ile aynı bölgesel park sistemi içindedir. Nehir kıyısı yürüyüşü serinleme için yüzme önerisi değildir: Kern River'ın güçlü akıntıları burada da belirleyici bir risktir.</x:v>
      </x:c>
      <x:c r="G58" s="29" t="str">
        <x:v>hart-park</x:v>
      </x:c>
      <x:c r="H58" s="29" t="str"/>
      <x:c r="I58" s="29" t="str">
        <x:v>bakersfield:src:17795</x:v>
      </x:c>
      <x:c r="J58" s="31" t="d">
        <x:v>2026-10-24T00:00:00.000Z</x:v>
      </x:c>
      <x:c r="K58" s="35" t="n">
        <x:v>290</x:v>
      </x:c>
      <x:c r="L58" s="29" t="str">
        <x:v>Hayır</x:v>
      </x:c>
      <x:c r="M58" s="29" t="str">
        <x:v>İnceleme</x:v>
      </x:c>
      <x:c r="N58" s="29" t="str">
        <x:v>Doğa ve açık hava</x:v>
      </x:c>
      <x:c r="O58" s="29" t="str">
        <x:v>Northeast / Alfred Harrell Highway</x:v>
      </x:c>
      <x:c r="P58" s="29" t="str">
        <x:v>Açık hava</x:v>
      </x:c>
      <x:c r="Q58" s="29" t="str">
        <x:v>Hart Memorial Park, Alfred Harrell Highway, Bakersfield, California</x:v>
      </x:c>
      <x:c r="R58" s="33"/>
      <x:c r="S58" s="33"/>
      <x:c r="T58" s="29"/>
      <x:c r="U58" s="29"/>
      <x:c r="V58" s="29" t="str">
        <x:v>Hayır</x:v>
      </x:c>
      <x:c r="W58" s="29" t="str">
        <x:v>local-bakersfield-hart-park</x:v>
      </x:c>
    </x:row>
    <x:row r="59" ht="96" customHeight="1">
      <x:c r="A59" s="29" t="str">
        <x:v>bakersfield:yer-local-bakersfield-lake-ming</x:v>
      </x:c>
      <x:c r="B59" s="29" t="str">
        <x:v>bakersfield</x:v>
      </x:c>
      <x:c r="C59" s="29" t="str">
        <x:v>yer-local-bakersfield-lake-ming</x:v>
      </x:c>
      <x:c r="D59" s="29" t="str">
        <x:v>Lake Ming</x:v>
      </x:c>
      <x:c r="E59" s="29" t="str">
        <x:v>Doğa ve açık hava · Northeast / Kern River County Park</x:v>
      </x:c>
      <x:c r="F59" s="29" t="str">
        <x:v>Lake Ming, Bakersfield'ın kuzeydoğusunda dağ eteklerinin çevrelediği bir rekreasyon gölüdür. Kıyı manzarası, piknik ve takvimli su sporları etkinlikleri farklı ziyaret biçimleri sunar. Yarış veya özel etkinlik günlerinde kıyı kullanımı değişebilir; gölü şehir merkezindeki River Walk göletleriyle karıştırmamak gerekir.</x:v>
      </x:c>
      <x:c r="G59" s="29" t="str">
        <x:v>lake-ming</x:v>
      </x:c>
      <x:c r="H59" s="29" t="str"/>
      <x:c r="I59" s="29" t="str">
        <x:v>bakersfield:src:17674</x:v>
      </x:c>
      <x:c r="J59" s="31" t="d">
        <x:v>2026-10-24T00:00:00.000Z</x:v>
      </x:c>
      <x:c r="K59" s="35" t="n">
        <x:v>291</x:v>
      </x:c>
      <x:c r="L59" s="29" t="str">
        <x:v>Hayır</x:v>
      </x:c>
      <x:c r="M59" s="29" t="str">
        <x:v>İnceleme</x:v>
      </x:c>
      <x:c r="N59" s="29" t="str">
        <x:v>Doğa ve açık hava</x:v>
      </x:c>
      <x:c r="O59" s="29" t="str">
        <x:v>Northeast / Kern River County Park</x:v>
      </x:c>
      <x:c r="P59" s="29" t="str">
        <x:v>Açık hava</x:v>
      </x:c>
      <x:c r="Q59" s="29" t="str">
        <x:v>Lake Ming Road, Bakersfield, California</x:v>
      </x:c>
      <x:c r="R59" s="33"/>
      <x:c r="S59" s="33"/>
      <x:c r="T59" s="29"/>
      <x:c r="U59" s="29"/>
      <x:c r="V59" s="29" t="str">
        <x:v>Hayır</x:v>
      </x:c>
      <x:c r="W59" s="29" t="str">
        <x:v>local-bakersfield-lake-ming</x:v>
      </x:c>
    </x:row>
    <x:row r="60" ht="96" customHeight="1">
      <x:c r="A60" s="29" t="str">
        <x:v>bakersfield:yer-local-bakersfield-panorama-park</x:v>
      </x:c>
      <x:c r="B60" s="29" t="str">
        <x:v>bakersfield</x:v>
      </x:c>
      <x:c r="C60" s="29" t="str">
        <x:v>yer-local-bakersfield-panorama-park</x:v>
      </x:c>
      <x:c r="D60" s="29" t="str">
        <x:v>Panorama Park – The Bluffs</x:v>
      </x:c>
      <x:c r="E60" s="29" t="str">
        <x:v>Doğa ve açık hava · Northeast / Panorama Drive</x:v>
      </x:c>
      <x:c r="F60" s="29" t="str">
        <x:v>Panorama Drive boyunca uzanan blöf üstü park, Kern River koridoruna ve kuzeydeki üretim alanlarına geniş bir bakış açar. Düz üst hat boyunca yapılan kısa yürüyüşler, Bakersfield'ın ova ile yamaç arasındaki konumunu hissettirir. Blöf üstü park ile aşağıdaki Panorama Vista Preserve ayrı alanlardır ve girişleri aynı değildir.</x:v>
      </x:c>
      <x:c r="G60" s="29" t="str">
        <x:v>panorama-park</x:v>
      </x:c>
      <x:c r="H60" s="29" t="str"/>
      <x:c r="I60" s="29" t="str">
        <x:v>bakersfield:src:17796</x:v>
      </x:c>
      <x:c r="J60" s="31" t="d">
        <x:v>2026-10-24T00:00:00.000Z</x:v>
      </x:c>
      <x:c r="K60" s="35" t="n">
        <x:v>292</x:v>
      </x:c>
      <x:c r="L60" s="29" t="str">
        <x:v>Hayır</x:v>
      </x:c>
      <x:c r="M60" s="29" t="str">
        <x:v>İnceleme</x:v>
      </x:c>
      <x:c r="N60" s="29" t="str">
        <x:v>Doğa ve açık hava</x:v>
      </x:c>
      <x:c r="O60" s="29" t="str">
        <x:v>Northeast / Panorama Drive</x:v>
      </x:c>
      <x:c r="P60" s="29" t="str">
        <x:v>Açık hava</x:v>
      </x:c>
      <x:c r="Q60" s="29" t="str">
        <x:v>Panorama Drive, Bakersfield, California</x:v>
      </x:c>
      <x:c r="R60" s="33"/>
      <x:c r="S60" s="33"/>
      <x:c r="T60" s="29"/>
      <x:c r="U60" s="29"/>
      <x:c r="V60" s="29" t="str">
        <x:v>Hayır</x:v>
      </x:c>
      <x:c r="W60" s="29" t="str">
        <x:v>local-bakersfield-panorama-park</x:v>
      </x:c>
    </x:row>
    <x:row r="61" ht="110" customHeight="1">
      <x:c r="A61" s="29" t="str">
        <x:v>bakersfield:yer-local-bakersfield-jastro-park</x:v>
      </x:c>
      <x:c r="B61" s="29" t="str">
        <x:v>bakersfield</x:v>
      </x:c>
      <x:c r="C61" s="29" t="str">
        <x:v>yer-local-bakersfield-jastro-park</x:v>
      </x:c>
      <x:c r="D61" s="29" t="str">
        <x:v>Jastro Park</x:v>
      </x:c>
      <x:c r="E61" s="29" t="str">
        <x:v>Doğa ve açık hava · Westchester</x:v>
      </x:c>
      <x:c r="F61" s="29" t="str">
        <x:v>Westchester'daki Jastro Park, olgun ağaçlar, çim alanlar ve rekreasyon tesisleriyle mahalle ölçeğinde bir açık hava molası sunar. Bando standı ve spor alanları parkın farklı kullanım biçimlerini gösterir. Downtown'ın batısına kısa bir uzantı olarak eklenebilir; mevsimlik su oyunları bütün yıl çalışan bir havuz olarak değerlendirilmez.</x:v>
      </x:c>
      <x:c r="G61" s="29" t="str">
        <x:v>jastro-park</x:v>
      </x:c>
      <x:c r="H61" s="29" t="str"/>
      <x:c r="I61" s="29" t="str">
        <x:v>bakersfield:src:17687</x:v>
      </x:c>
      <x:c r="J61" s="31" t="d">
        <x:v>2026-10-24T00:00:00.000Z</x:v>
      </x:c>
      <x:c r="K61" s="35" t="n">
        <x:v>293</x:v>
      </x:c>
      <x:c r="L61" s="29" t="str">
        <x:v>Hayır</x:v>
      </x:c>
      <x:c r="M61" s="29" t="str">
        <x:v>İnceleme</x:v>
      </x:c>
      <x:c r="N61" s="29" t="str">
        <x:v>Doğa ve açık hava</x:v>
      </x:c>
      <x:c r="O61" s="29" t="str">
        <x:v>Westchester</x:v>
      </x:c>
      <x:c r="P61" s="29" t="str">
        <x:v>Açık hava</x:v>
      </x:c>
      <x:c r="Q61" s="29" t="str">
        <x:v>2900 Truxtun Avenue, Bakersfield, California</x:v>
      </x:c>
      <x:c r="R61" s="33"/>
      <x:c r="S61" s="33"/>
      <x:c r="T61" s="29"/>
      <x:c r="U61" s="29"/>
      <x:c r="V61" s="29" t="str">
        <x:v>Hayır</x:v>
      </x:c>
      <x:c r="W61" s="29" t="str">
        <x:v>local-bakersfield-jastro-park</x:v>
      </x:c>
    </x:row>
    <x:row r="62" ht="96" customHeight="1">
      <x:c r="A62" s="29" t="str">
        <x:v>bakersfield:yer-local-bakersfield-beach-park</x:v>
      </x:c>
      <x:c r="B62" s="29" t="str">
        <x:v>bakersfield</x:v>
      </x:c>
      <x:c r="C62" s="29" t="str">
        <x:v>yer-local-bakersfield-beach-park</x:v>
      </x:c>
      <x:c r="D62" s="29" t="str">
        <x:v>Beach Park</x:v>
      </x:c>
      <x:c r="E62" s="29" t="str">
        <x:v>Doğa ve açık hava · Central / Kern River</x:v>
      </x:c>
      <x:c r="F62" s="29" t="str">
        <x:v>Beach Park, adına rağmen deniz kıyısında bir plaj değildir. Kern River koridoruna yakın çim alanları, ağaç gölgeleri ve yürüyüş bağlantılarıyla kent içi bir rekreasyon parkıdır. Cancer Survivors Plaza çevresi ve nehir hattı aynı gezide görülebilir; günlük yürüyüşü uzun bir kıyı tatili beklentisiyle karıştırmamak gerekir.</x:v>
      </x:c>
      <x:c r="G62" s="29" t="str">
        <x:v>beach-park</x:v>
      </x:c>
      <x:c r="H62" s="29" t="str"/>
      <x:c r="I62" s="29" t="str">
        <x:v>bakersfield:src:17796</x:v>
      </x:c>
      <x:c r="J62" s="31" t="d">
        <x:v>2026-10-24T00:00:00.000Z</x:v>
      </x:c>
      <x:c r="K62" s="35" t="n">
        <x:v>294</x:v>
      </x:c>
      <x:c r="L62" s="29" t="str">
        <x:v>Hayır</x:v>
      </x:c>
      <x:c r="M62" s="29" t="str">
        <x:v>İnceleme</x:v>
      </x:c>
      <x:c r="N62" s="29" t="str">
        <x:v>Doğa ve açık hava</x:v>
      </x:c>
      <x:c r="O62" s="29" t="str">
        <x:v>Central / Kern River</x:v>
      </x:c>
      <x:c r="P62" s="29" t="str">
        <x:v>Açık hava</x:v>
      </x:c>
      <x:c r="Q62" s="29" t="str">
        <x:v>3400 21st Street, Bakersfield, California</x:v>
      </x:c>
      <x:c r="R62" s="33"/>
      <x:c r="S62" s="33"/>
      <x:c r="T62" s="29"/>
      <x:c r="U62" s="29"/>
      <x:c r="V62" s="29" t="str">
        <x:v>Hayır</x:v>
      </x:c>
      <x:c r="W62" s="29" t="str">
        <x:v>local-bakersfield-beach-park</x:v>
      </x:c>
    </x:row>
    <x:row r="63" ht="110" customHeight="1">
      <x:c r="A63" s="29" t="str">
        <x:v>bakersfield:yer-local-bakersfield-beale-park</x:v>
      </x:c>
      <x:c r="B63" s="29" t="str">
        <x:v>bakersfield</x:v>
      </x:c>
      <x:c r="C63" s="29" t="str">
        <x:v>yer-local-bakersfield-beale-park</x:v>
      </x:c>
      <x:c r="D63" s="29" t="str">
        <x:v>Beale Park</x:v>
      </x:c>
      <x:c r="E63" s="29" t="str">
        <x:v>Doğa ve açık hava · Oleander / Downtown güneyi</x:v>
      </x:c>
      <x:c r="F63" s="29" t="str">
        <x:v>Oleander çevresindeki Beale Park, yerleşim sokakları arasında çim, ağaç ve açık hava rekreasyonu için bir mahalle parkıdır. Kent merkezinin yoğun caddelerinden güneye kısa bir yürüyüşle farklı bir gündelik ortam sunar. Parkta gözlenen kuşlar ziyaret deneyiminin doğal bir parçasıdır; belirli bir hayvanı her gelişte görme garantisi yoktur.</x:v>
      </x:c>
      <x:c r="G63" s="29" t="str">
        <x:v>beale-park</x:v>
      </x:c>
      <x:c r="H63" s="29" t="str"/>
      <x:c r="I63" s="29" t="str">
        <x:v>bakersfield:src:17687</x:v>
      </x:c>
      <x:c r="J63" s="31" t="d">
        <x:v>2026-10-24T00:00:00.000Z</x:v>
      </x:c>
      <x:c r="K63" s="35" t="n">
        <x:v>295</x:v>
      </x:c>
      <x:c r="L63" s="29" t="str">
        <x:v>Hayır</x:v>
      </x:c>
      <x:c r="M63" s="29" t="str">
        <x:v>İnceleme</x:v>
      </x:c>
      <x:c r="N63" s="29" t="str">
        <x:v>Doğa ve açık hava</x:v>
      </x:c>
      <x:c r="O63" s="29" t="str">
        <x:v>Oleander / Downtown güneyi</x:v>
      </x:c>
      <x:c r="P63" s="29" t="str">
        <x:v>Açık hava</x:v>
      </x:c>
      <x:c r="Q63" s="29" t="str">
        <x:v>500 Oleander Avenue, Bakersfield, California</x:v>
      </x:c>
      <x:c r="R63" s="33"/>
      <x:c r="S63" s="33"/>
      <x:c r="T63" s="29"/>
      <x:c r="U63" s="29"/>
      <x:c r="V63" s="29" t="str">
        <x:v>Hayır</x:v>
      </x:c>
      <x:c r="W63" s="29" t="str">
        <x:v>local-bakersfield-beale-park</x:v>
      </x:c>
    </x:row>
    <x:row r="64" ht="110" customHeight="1">
      <x:c r="A64" s="29" t="str">
        <x:v>bakersfield:yer-local-bakersfield-yokuts-park</x:v>
      </x:c>
      <x:c r="B64" s="29" t="str">
        <x:v>bakersfield</x:v>
      </x:c>
      <x:c r="C64" s="29" t="str">
        <x:v>yer-local-bakersfield-yokuts-park</x:v>
      </x:c>
      <x:c r="D64" s="29" t="str">
        <x:v>Yokuts Park</x:v>
      </x:c>
      <x:c r="E64" s="29" t="str">
        <x:v>Doğa ve açık hava · Central / Empire Drive</x:v>
      </x:c>
      <x:c r="F64" s="29" t="str">
        <x:v>Yokuts Park, Kern River kıyı koridoruna bağlanan çim alanları ve yürüyüş çevresiyle şehir içinde açık havada zaman geçirmek için bir duraktır. Uzun nehir parkuru yerine kısa bir yürüyüş veya piknik seçilebilir. Geniş çimlerin etkinlik kullanımı ile sıradan park ziyareti aynı program değildir; alanın açık kısımları ve belirlenmiş yollar kullanılır.</x:v>
      </x:c>
      <x:c r="G64" s="29" t="str">
        <x:v>yokuts-park</x:v>
      </x:c>
      <x:c r="H64" s="29" t="str"/>
      <x:c r="I64" s="29" t="str">
        <x:v>bakersfield:src:17687</x:v>
      </x:c>
      <x:c r="J64" s="31" t="d">
        <x:v>2026-10-24T00:00:00.000Z</x:v>
      </x:c>
      <x:c r="K64" s="35" t="n">
        <x:v>296</x:v>
      </x:c>
      <x:c r="L64" s="29" t="str">
        <x:v>Hayır</x:v>
      </x:c>
      <x:c r="M64" s="29" t="str">
        <x:v>İnceleme</x:v>
      </x:c>
      <x:c r="N64" s="29" t="str">
        <x:v>Doğa ve açık hava</x:v>
      </x:c>
      <x:c r="O64" s="29" t="str">
        <x:v>Central / Empire Drive</x:v>
      </x:c>
      <x:c r="P64" s="29" t="str">
        <x:v>Açık hava</x:v>
      </x:c>
      <x:c r="Q64" s="29" t="str">
        <x:v>4200 Empire Drive, Bakersfield, California</x:v>
      </x:c>
      <x:c r="R64" s="33"/>
      <x:c r="S64" s="33"/>
      <x:c r="T64" s="29"/>
      <x:c r="U64" s="29"/>
      <x:c r="V64" s="29" t="str">
        <x:v>Hayır</x:v>
      </x:c>
      <x:c r="W64" s="29" t="str">
        <x:v>local-bakersfield-yokuts-park</x:v>
      </x:c>
    </x:row>
    <x:row r="65" ht="110" customHeight="1">
      <x:c r="A65" s="29" t="str">
        <x:v>bakersfield:yer-local-bakersfield-silver-creek-park</x:v>
      </x:c>
      <x:c r="B65" s="29" t="str">
        <x:v>bakersfield</x:v>
      </x:c>
      <x:c r="C65" s="29" t="str">
        <x:v>yer-local-bakersfield-silver-creek-park</x:v>
      </x:c>
      <x:c r="D65" s="29" t="str">
        <x:v>Silver Creek Park</x:v>
      </x:c>
      <x:c r="E65" s="29" t="str">
        <x:v>Doğa ve açık hava · Southwest / Silver Creek</x:v>
      </x:c>
      <x:c r="F65" s="29" t="str">
        <x:v>Silver Creek Park, Southwest yerleşim alanlarının içinde piknik ve mahalle rekreasyonu için kullanılan bir şehir parkıdır. Açık çim alanları ile gölgeli oturma noktaları, günlük yaşamı görmek isteyenler için turistik merkezlerden farklı bir ortam sunar. Aynı adlı semti keşfederken kısa yürüyüş ve dinlenme durağı olarak değerlendirilebilir.</x:v>
      </x:c>
      <x:c r="G65" s="29" t="str">
        <x:v>silver-creek-park</x:v>
      </x:c>
      <x:c r="H65" s="29" t="str"/>
      <x:c r="I65" s="29" t="str">
        <x:v>bakersfield:src:17687</x:v>
      </x:c>
      <x:c r="J65" s="31" t="d">
        <x:v>2026-10-24T00:00:00.000Z</x:v>
      </x:c>
      <x:c r="K65" s="35" t="n">
        <x:v>297</x:v>
      </x:c>
      <x:c r="L65" s="29" t="str">
        <x:v>Hayır</x:v>
      </x:c>
      <x:c r="M65" s="29" t="str">
        <x:v>İnceleme</x:v>
      </x:c>
      <x:c r="N65" s="29" t="str">
        <x:v>Doğa ve açık hava</x:v>
      </x:c>
      <x:c r="O65" s="29" t="str">
        <x:v>Southwest / Silver Creek</x:v>
      </x:c>
      <x:c r="P65" s="29" t="str">
        <x:v>Açık hava</x:v>
      </x:c>
      <x:c r="Q65" s="29" t="str">
        <x:v>7011 Harris Road, Bakersfield, California</x:v>
      </x:c>
      <x:c r="R65" s="33"/>
      <x:c r="S65" s="33"/>
      <x:c r="T65" s="29"/>
      <x:c r="U65" s="29"/>
      <x:c r="V65" s="29" t="str">
        <x:v>Hayır</x:v>
      </x:c>
      <x:c r="W65" s="29" t="str">
        <x:v>local-bakersfield-silver-creek-park</x:v>
      </x:c>
    </x:row>
    <x:row r="66" ht="110" customHeight="1">
      <x:c r="A66" s="29" t="str">
        <x:v>bakersfield:yer-local-bakersfield-kern-river-parkway</x:v>
      </x:c>
      <x:c r="B66" s="29" t="str">
        <x:v>bakersfield</x:v>
      </x:c>
      <x:c r="C66" s="29" t="str">
        <x:v>yer-local-bakersfield-kern-river-parkway</x:v>
      </x:c>
      <x:c r="D66" s="29" t="str">
        <x:v>Kern River Parkway Trail</x:v>
      </x:c>
      <x:c r="E66" s="29" t="str">
        <x:v>Doğa ve açık hava · Kent boyunca / Kern River</x:v>
      </x:c>
      <x:c r="F66" s="29" t="str">
        <x:v>Kern River Parkway, Bakersfield boyunca nehir koridorunu parklar ve yürüyüş-bisiklet bağlantılarıyla izler. Tek bir kapıdan girilen küçük park değildir; gezi süresine göre River Walk, Beach Park veya başka bir bağlantıdan kısa bir bölüm seçilebilir. Nehir yatağındaki su miktarı mevsim ve işletme koşullarına göre değişir; fotoğraflardaki akış sabit bir özellik değildir.</x:v>
      </x:c>
      <x:c r="G66" s="29" t="str">
        <x:v>kern-river-parkway</x:v>
      </x:c>
      <x:c r="H66" s="29" t="str"/>
      <x:c r="I66" s="29" t="str">
        <x:v>bakersfield:src:17797</x:v>
      </x:c>
      <x:c r="J66" s="31" t="d">
        <x:v>2026-10-24T00:00:00.000Z</x:v>
      </x:c>
      <x:c r="K66" s="35" t="n">
        <x:v>298</x:v>
      </x:c>
      <x:c r="L66" s="29" t="str">
        <x:v>Hayır</x:v>
      </x:c>
      <x:c r="M66" s="29" t="str">
        <x:v>İnceleme</x:v>
      </x:c>
      <x:c r="N66" s="29" t="str">
        <x:v>Doğa ve açık hava</x:v>
      </x:c>
      <x:c r="O66" s="29" t="str">
        <x:v>Kent boyunca / Kern River</x:v>
      </x:c>
      <x:c r="P66" s="29" t="str">
        <x:v>Açık hava</x:v>
      </x:c>
      <x:c r="Q66" s="29" t="str">
        <x:v>Kern River Parkway Trail, Bakersfield, California</x:v>
      </x:c>
      <x:c r="R66" s="33"/>
      <x:c r="S66" s="33"/>
      <x:c r="T66" s="29"/>
      <x:c r="U66" s="29"/>
      <x:c r="V66" s="29" t="str">
        <x:v>Hayır</x:v>
      </x:c>
      <x:c r="W66" s="29" t="str">
        <x:v>local-bakersfield-kern-river-parkway</x:v>
      </x:c>
    </x:row>
    <x:row r="67" ht="96" customHeight="1">
      <x:c r="A67" s="29" t="str">
        <x:v>bakersfield:yer-local-bakersfield-truxtun-lake</x:v>
      </x:c>
      <x:c r="B67" s="29" t="str">
        <x:v>bakersfield</x:v>
      </x:c>
      <x:c r="C67" s="29" t="str">
        <x:v>yer-local-bakersfield-truxtun-lake</x:v>
      </x:c>
      <x:c r="D67" s="29" t="str">
        <x:v>Truxtun Lake</x:v>
      </x:c>
      <x:c r="E67" s="29" t="str">
        <x:v>Doğa ve açık hava · Central / Truxtun Extension</x:v>
      </x:c>
      <x:c r="F67" s="29" t="str">
        <x:v>Truxtun Avenue'nün batı uzantısındaki göller, yeraltı suyu besleme işleviyle kentsel açık alanı birleştirir. Ağaçların suya yansıdığı kıyılar, Kern River Parkway çevresindeki kısa yürüyüşlerde farklı bir manzara sunar. Burayı yüzme plajı olarak değil, kent içi su ve peyzaj gözlem noktası olarak ele almak uygundur.</x:v>
      </x:c>
      <x:c r="G67" s="29" t="str">
        <x:v>truxtun-lake</x:v>
      </x:c>
      <x:c r="H67" s="29" t="str"/>
      <x:c r="I67" s="29" t="str">
        <x:v>bakersfield:src:17796</x:v>
      </x:c>
      <x:c r="J67" s="31" t="d">
        <x:v>2026-10-24T00:00:00.000Z</x:v>
      </x:c>
      <x:c r="K67" s="35" t="n">
        <x:v>299</x:v>
      </x:c>
      <x:c r="L67" s="29" t="str">
        <x:v>Hayır</x:v>
      </x:c>
      <x:c r="M67" s="29" t="str">
        <x:v>İnceleme</x:v>
      </x:c>
      <x:c r="N67" s="29" t="str">
        <x:v>Doğa ve açık hava</x:v>
      </x:c>
      <x:c r="O67" s="29" t="str">
        <x:v>Central / Truxtun Extension</x:v>
      </x:c>
      <x:c r="P67" s="29" t="str">
        <x:v>Açık hava</x:v>
      </x:c>
      <x:c r="Q67" s="29" t="str">
        <x:v>Truxtun Lake, Bakersfield, California</x:v>
      </x:c>
      <x:c r="R67" s="33"/>
      <x:c r="S67" s="33"/>
      <x:c r="T67" s="29"/>
      <x:c r="U67" s="29"/>
      <x:c r="V67" s="29" t="str">
        <x:v>Hayır</x:v>
      </x:c>
      <x:c r="W67" s="29" t="str">
        <x:v>local-bakersfield-truxtun-lake</x:v>
      </x:c>
    </x:row>
    <x:row r="68" ht="96" customHeight="1">
      <x:c r="A68" s="29" t="str">
        <x:v>bakersfield:yer-local-bakersfield-sam-lynn</x:v>
      </x:c>
      <x:c r="B68" s="29" t="str">
        <x:v>bakersfield</x:v>
      </x:c>
      <x:c r="C68" s="29" t="str">
        <x:v>yer-local-bakersfield-sam-lynn</x:v>
      </x:c>
      <x:c r="D68" s="29" t="str">
        <x:v>Sam Lynn Ballpark</x:v>
      </x:c>
      <x:c r="E68" s="29" t="str">
        <x:v>Spor · North Chester / Museum çevresi</x:v>
      </x:c>
      <x:c r="F68" s="29" t="str">
        <x:v>Sam Lynn Ballpark, Bakersfield'ın beyzbol geçmişini açık hava tribününde deneyimleme imkânı sunan tarihî bir sahadır. Akşam ışığı ve saha yönlenmesi fotoğraflarında belirgin yer tutar. Ziyaretin temelini takvimdeki maç veya saha etkinliği oluşturur; sezon dışında boş bir tribün, maç deneyiminin yerine geçmez.</x:v>
      </x:c>
      <x:c r="G68" s="29" t="str">
        <x:v>sam-lynn</x:v>
      </x:c>
      <x:c r="H68" s="29" t="str"/>
      <x:c r="I68" s="29" t="str">
        <x:v>bakersfield:src:17798</x:v>
      </x:c>
      <x:c r="J68" s="31" t="d">
        <x:v>2026-10-24T00:00:00.000Z</x:v>
      </x:c>
      <x:c r="K68" s="35" t="n">
        <x:v>300</x:v>
      </x:c>
      <x:c r="L68" s="29" t="str">
        <x:v>Hayır</x:v>
      </x:c>
      <x:c r="M68" s="29" t="str">
        <x:v>İnceleme</x:v>
      </x:c>
      <x:c r="N68" s="29" t="str">
        <x:v>Spor</x:v>
      </x:c>
      <x:c r="O68" s="29" t="str">
        <x:v>North Chester / Museum çevresi</x:v>
      </x:c>
      <x:c r="P68" s="29" t="str">
        <x:v>Karma</x:v>
      </x:c>
      <x:c r="Q68" s="29" t="str">
        <x:v>4009 Chester Avenue, Bakersfield, California</x:v>
      </x:c>
      <x:c r="R68" s="33"/>
      <x:c r="S68" s="33"/>
      <x:c r="T68" s="29"/>
      <x:c r="U68" s="29"/>
      <x:c r="V68" s="29" t="str">
        <x:v>Hayır</x:v>
      </x:c>
      <x:c r="W68" s="29" t="str">
        <x:v>local-bakersfield-sam-lynn</x:v>
      </x:c>
    </x:row>
    <x:row r="69" ht="96" customHeight="1">
      <x:c r="A69" s="29" t="str">
        <x:v>bakersfield:yer-local-bakersfield-memorial-stadium</x:v>
      </x:c>
      <x:c r="B69" s="29" t="str">
        <x:v>bakersfield</x:v>
      </x:c>
      <x:c r="C69" s="29" t="str">
        <x:v>yer-local-bakersfield-memorial-stadium</x:v>
      </x:c>
      <x:c r="D69" s="29" t="str">
        <x:v>Memorial Stadium – Bakersfield College</x:v>
      </x:c>
      <x:c r="E69" s="29" t="str">
        <x:v>Spor · Northeast / Bakersfield College</x:v>
      </x:c>
      <x:c r="F69" s="29" t="str">
        <x:v>Bakersfield College kampüsündeki Memorial Stadium, Renegades spor yaşamının büyük açık hava sahasıdır. Tribünler, Amerikan futbolu sahası ve atletizm pisti üniversite maçlarını kent ölçeğinde bir buluşmaya dönüştürür. Kampüsün genel ziyaret alanıyla biletli spor karşılaşmasının girişi ayrı düzenlenir.</x:v>
      </x:c>
      <x:c r="G69" s="29" t="str">
        <x:v>memorial-stadium</x:v>
      </x:c>
      <x:c r="H69" s="29" t="str"/>
      <x:c r="I69" s="29" t="str">
        <x:v>bakersfield:src:17799</x:v>
      </x:c>
      <x:c r="J69" s="31" t="d">
        <x:v>2026-10-24T00:00:00.000Z</x:v>
      </x:c>
      <x:c r="K69" s="35" t="n">
        <x:v>301</x:v>
      </x:c>
      <x:c r="L69" s="29" t="str">
        <x:v>Hayır</x:v>
      </x:c>
      <x:c r="M69" s="29" t="str">
        <x:v>İnceleme</x:v>
      </x:c>
      <x:c r="N69" s="29" t="str">
        <x:v>Spor</x:v>
      </x:c>
      <x:c r="O69" s="29" t="str">
        <x:v>Northeast / Bakersfield College</x:v>
      </x:c>
      <x:c r="P69" s="29" t="str">
        <x:v>Karma</x:v>
      </x:c>
      <x:c r="Q69" s="29" t="str">
        <x:v>1801 Panorama Drive, Bakersfield, California</x:v>
      </x:c>
      <x:c r="R69" s="33"/>
      <x:c r="S69" s="33"/>
      <x:c r="T69" s="29"/>
      <x:c r="U69" s="29"/>
      <x:c r="V69" s="29" t="str">
        <x:v>Hayır</x:v>
      </x:c>
      <x:c r="W69" s="29" t="str">
        <x:v>local-bakersfield-memorial-stadium</x:v>
      </x:c>
    </x:row>
    <x:row r="70" ht="96" customHeight="1">
      <x:c r="A70" s="29" t="str">
        <x:v>bakersfield:yer-local-bakersfield-csub-soccer</x:v>
      </x:c>
      <x:c r="B70" s="29" t="str">
        <x:v>bakersfield</x:v>
      </x:c>
      <x:c r="C70" s="29" t="str">
        <x:v>yer-local-bakersfield-csub-soccer</x:v>
      </x:c>
      <x:c r="D70" s="29" t="str">
        <x:v>CSUB Main Soccer Field</x:v>
      </x:c>
      <x:c r="E70" s="29" t="str">
        <x:v>Spor · Southwest / CSU Bakersfield</x:v>
      </x:c>
      <x:c r="F70" s="29" t="str">
        <x:v>CSU Bakersfield'ın ana futbol sahası, Roadrunners'ın kampüs spor atmosferini açık havada izlemek için bir seçenektir. Çim saha ve tribün düzeni, büyük arena etkinliklerinden daha küçük ölçekli bir seyir deneyimi sunar. Ziyaret, üniversitenin futbol takvimindeki iç saha karşılaşmasına göre kurulur.</x:v>
      </x:c>
      <x:c r="G70" s="29" t="str">
        <x:v>csub-soccer</x:v>
      </x:c>
      <x:c r="H70" s="29" t="str"/>
      <x:c r="I70" s="29" t="str">
        <x:v>bakersfield:src:17800</x:v>
      </x:c>
      <x:c r="J70" s="31" t="d">
        <x:v>2026-10-24T00:00:00.000Z</x:v>
      </x:c>
      <x:c r="K70" s="35" t="n">
        <x:v>302</x:v>
      </x:c>
      <x:c r="L70" s="29" t="str">
        <x:v>Hayır</x:v>
      </x:c>
      <x:c r="M70" s="29" t="str">
        <x:v>İnceleme</x:v>
      </x:c>
      <x:c r="N70" s="29" t="str">
        <x:v>Spor</x:v>
      </x:c>
      <x:c r="O70" s="29" t="str">
        <x:v>Southwest / CSU Bakersfield</x:v>
      </x:c>
      <x:c r="P70" s="29" t="str">
        <x:v>Karma</x:v>
      </x:c>
      <x:c r="Q70" s="29" t="str">
        <x:v>9001 Stockdale Highway, Bakersfield, California</x:v>
      </x:c>
      <x:c r="R70" s="33"/>
      <x:c r="S70" s="33"/>
      <x:c r="T70" s="29"/>
      <x:c r="U70" s="29"/>
      <x:c r="V70" s="29" t="str">
        <x:v>Hayır</x:v>
      </x:c>
      <x:c r="W70" s="29" t="str">
        <x:v>local-bakersfield-csub-soccer</x:v>
      </x:c>
    </x:row>
    <x:row r="71" ht="96" customHeight="1">
      <x:c r="A71" s="29" t="str">
        <x:v>bakersfield:yer-local-bakersfield-kern-raceway</x:v>
      </x:c>
      <x:c r="B71" s="29" t="str">
        <x:v>bakersfield</x:v>
      </x:c>
      <x:c r="C71" s="29" t="str">
        <x:v>yer-local-bakersfield-kern-raceway</x:v>
      </x:c>
      <x:c r="D71" s="29" t="str">
        <x:v>Kevin Harvick's Kern Raceway</x:v>
      </x:c>
      <x:c r="E71" s="29" t="str">
        <x:v>Spor · Kent dışı / CA-43 ve I-5</x:v>
      </x:c>
      <x:c r="F71" s="29" t="str">
        <x:v>Bakersfield'ın batısındaki yarış kompleksi, oval pist ve farklı motor sporları programlarıyla kentin hız sporları yaşamına açılır. Bir yarış gününün seyir düzeni ile pistte sürüş etkinliğine katılım farklıdır. Kent merkezi yürüyüşüne eklenen yakın bir durak yerine, takvimli bir etkinlik için ayrı ulaşım planı gerektirir.</x:v>
      </x:c>
      <x:c r="G71" s="29" t="str">
        <x:v>kern-raceway</x:v>
      </x:c>
      <x:c r="H71" s="29" t="str"/>
      <x:c r="I71" s="29" t="str">
        <x:v>bakersfield:src:17801</x:v>
      </x:c>
      <x:c r="J71" s="31" t="d">
        <x:v>2026-10-24T00:00:00.000Z</x:v>
      </x:c>
      <x:c r="K71" s="35" t="n">
        <x:v>303</x:v>
      </x:c>
      <x:c r="L71" s="29" t="str">
        <x:v>Hayır</x:v>
      </x:c>
      <x:c r="M71" s="29" t="str">
        <x:v>İnceleme</x:v>
      </x:c>
      <x:c r="N71" s="29" t="str">
        <x:v>Spor</x:v>
      </x:c>
      <x:c r="O71" s="29" t="str">
        <x:v>Kent dışı / CA-43 ve I-5</x:v>
      </x:c>
      <x:c r="P71" s="29" t="str">
        <x:v>Karma</x:v>
      </x:c>
      <x:c r="Q71" s="29" t="str">
        <x:v>13500 Raceway Boulevard, Bakersfield, California</x:v>
      </x:c>
      <x:c r="R71" s="33"/>
      <x:c r="S71" s="33"/>
      <x:c r="T71" s="29"/>
      <x:c r="U71" s="29"/>
      <x:c r="V71" s="29" t="str">
        <x:v>Hayır</x:v>
      </x:c>
      <x:c r="W71" s="29" t="str">
        <x:v>local-bakersfield-kern-raceway</x:v>
      </x:c>
    </x:row>
    <x:row r="72" ht="96" customHeight="1">
      <x:c r="A72" s="29" t="str">
        <x:v>bakersfield:yer-local-bakersfield-amtrak-station</x:v>
      </x:c>
      <x:c r="B72" s="29" t="str">
        <x:v>bakersfield</x:v>
      </x:c>
      <x:c r="C72" s="29" t="str">
        <x:v>yer-local-bakersfield-amtrak-station</x:v>
      </x:c>
      <x:c r="D72" s="29" t="str">
        <x:v>Bakersfield Amtrak Station</x:v>
      </x:c>
      <x:c r="E72" s="29" t="str">
        <x:v>Tarih ve mimari · Downtown / Truxtun</x:v>
      </x:c>
      <x:c r="F72" s="29" t="str">
        <x:v>Truxtun Avenue üzerindeki güncel yolcu istasyonu, tren ve bağlantılı otobüs hizmetlerinin buluştuğu ulaşım noktasıdır. Saatli giriş yapısı ve peron çevresi kentin demiryolu kimliğini görünür kılar. Baker Street yakınındaki eski Southern Pacific deposu farklı bir tarihî yapıdır; tren yolculuğu için bu istasyon kullanılır.</x:v>
      </x:c>
      <x:c r="G72" s="29" t="str">
        <x:v>amtrak-station</x:v>
      </x:c>
      <x:c r="H72" s="29" t="str"/>
      <x:c r="I72" s="29" t="str">
        <x:v>bakersfield:src:17802</x:v>
      </x:c>
      <x:c r="J72" s="31" t="d">
        <x:v>2026-10-24T00:00:00.000Z</x:v>
      </x:c>
      <x:c r="K72" s="35" t="n">
        <x:v>304</x:v>
      </x:c>
      <x:c r="L72" s="29" t="str">
        <x:v>Hayır</x:v>
      </x:c>
      <x:c r="M72" s="29" t="str">
        <x:v>İnceleme</x:v>
      </x:c>
      <x:c r="N72" s="29" t="str">
        <x:v>Tarih ve mimari</x:v>
      </x:c>
      <x:c r="O72" s="29" t="str">
        <x:v>Downtown / Truxtun</x:v>
      </x:c>
      <x:c r="P72" s="29" t="str">
        <x:v>Karma</x:v>
      </x:c>
      <x:c r="Q72" s="29" t="str">
        <x:v>601 Truxtun Avenue, Bakersfield, California</x:v>
      </x:c>
      <x:c r="R72" s="33"/>
      <x:c r="S72" s="33"/>
      <x:c r="T72" s="29"/>
      <x:c r="U72" s="29"/>
      <x:c r="V72" s="29" t="str">
        <x:v>Hayır</x:v>
      </x:c>
      <x:c r="W72" s="29" t="str">
        <x:v>local-bakersfield-amtrak-station</x:v>
      </x:c>
    </x:row>
    <x:row r="73" ht="110" customHeight="1">
      <x:c r="A73" s="29" t="str">
        <x:v>bakersfield:yer-local-bakersfield-beale-library</x:v>
      </x:c>
      <x:c r="B73" s="29" t="str">
        <x:v>bakersfield</x:v>
      </x:c>
      <x:c r="C73" s="29" t="str">
        <x:v>yer-local-bakersfield-beale-library</x:v>
      </x:c>
      <x:c r="D73" s="29" t="str">
        <x:v>Beale Memorial Library</x:v>
      </x:c>
      <x:c r="E73" s="29" t="str">
        <x:v>Aile ve çocuk · Downtown / Civic Center</x:v>
      </x:c>
      <x:c r="F73" s="29" t="str">
        <x:v>Beale Memorial Library, Downtown'da kitapların yanı sıra araştırma, dijital erişim ve topluluk programları sunan ana kütüphane duraklarından biridir. Yerel tarih merakı olanlar için Kern County'nin geçmişine açılan bir başlangıç noktasıdır. 701 Truxtun Avenue konumu, Mill Creek ve kamu yapıları çevresindeki yürüyüşe uygundur.</x:v>
      </x:c>
      <x:c r="G73" s="29" t="str">
        <x:v>beale-library</x:v>
      </x:c>
      <x:c r="H73" s="29" t="str"/>
      <x:c r="I73" s="29" t="str">
        <x:v>bakersfield:src:17803</x:v>
      </x:c>
      <x:c r="J73" s="31" t="d">
        <x:v>2026-10-24T00:00:00.000Z</x:v>
      </x:c>
      <x:c r="K73" s="35" t="n">
        <x:v>305</x:v>
      </x:c>
      <x:c r="L73" s="29" t="str">
        <x:v>Hayır</x:v>
      </x:c>
      <x:c r="M73" s="29" t="str">
        <x:v>İnceleme</x:v>
      </x:c>
      <x:c r="N73" s="29" t="str">
        <x:v>Çocuklarla keşif</x:v>
      </x:c>
      <x:c r="O73" s="29" t="str">
        <x:v>Downtown / Civic Center</x:v>
      </x:c>
      <x:c r="P73" s="29" t="str">
        <x:v>Karma</x:v>
      </x:c>
      <x:c r="Q73" s="29" t="str">
        <x:v>701 Truxtun Avenue, Bakersfield, California</x:v>
      </x:c>
      <x:c r="R73" s="33"/>
      <x:c r="S73" s="33"/>
      <x:c r="T73" s="29"/>
      <x:c r="U73" s="29"/>
      <x:c r="V73" s="29" t="str">
        <x:v>Hayır</x:v>
      </x:c>
      <x:c r="W73" s="29" t="str">
        <x:v>local-bakersfield-beale-library</x:v>
      </x:c>
    </x:row>
    <x:row r="74" ht="96" customHeight="1">
      <x:c r="A74" s="29" t="str">
        <x:v>bakersfield:yer-local-bakersfield-union-cemetery</x:v>
      </x:c>
      <x:c r="B74" s="29" t="str">
        <x:v>bakersfield</x:v>
      </x:c>
      <x:c r="C74" s="29" t="str">
        <x:v>yer-local-bakersfield-union-cemetery</x:v>
      </x:c>
      <x:c r="D74" s="29" t="str">
        <x:v>Union Cemetery</x:v>
      </x:c>
      <x:c r="E74" s="29" t="str">
        <x:v>Tarih ve mimari · Southeast / Potomac</x:v>
      </x:c>
      <x:c r="F74" s="29" t="str">
        <x:v>Union Cemetery'nin ağaçlı yolları ve tarihî mezarları, Bakersfield'ın erken dönem sakinlerinin izlerini taşır. Burası aynı zamanda kullanılan bir mezarlıktır; ziyaret sessiz bir tarih yürüyüşü biçiminde, defin ve anma alanlarına saygıyla yapılır. Kişisel mezar alanları yerine kamusal yollar ve tarihî çevre esas alınır.</x:v>
      </x:c>
      <x:c r="G74" s="29" t="str">
        <x:v>union-cemetery</x:v>
      </x:c>
      <x:c r="H74" s="29" t="str"/>
      <x:c r="I74" s="29" t="str">
        <x:v>bakersfield:src:17804</x:v>
      </x:c>
      <x:c r="J74" s="31" t="d">
        <x:v>2026-10-24T00:00:00.000Z</x:v>
      </x:c>
      <x:c r="K74" s="35" t="n">
        <x:v>306</x:v>
      </x:c>
      <x:c r="L74" s="29" t="str">
        <x:v>Hayır</x:v>
      </x:c>
      <x:c r="M74" s="29" t="str">
        <x:v>İnceleme</x:v>
      </x:c>
      <x:c r="N74" s="29" t="str">
        <x:v>Tarih ve mimari</x:v>
      </x:c>
      <x:c r="O74" s="29" t="str">
        <x:v>Southeast / Potomac</x:v>
      </x:c>
      <x:c r="P74" s="29" t="str">
        <x:v>Karma</x:v>
      </x:c>
      <x:c r="Q74" s="29" t="str">
        <x:v>730 East Potomac Avenue, Bakersfield, California</x:v>
      </x:c>
      <x:c r="R74" s="33"/>
      <x:c r="S74" s="33"/>
      <x:c r="T74" s="29"/>
      <x:c r="U74" s="29"/>
      <x:c r="V74" s="29" t="str">
        <x:v>Hayır</x:v>
      </x:c>
      <x:c r="W74" s="29" t="str">
        <x:v>local-bakersfield-union-cemetery</x:v>
      </x:c>
    </x:row>
    <x:row r="75" ht="110" customHeight="1">
      <x:c r="A75" s="29" t="str">
        <x:v>bakersfield:yer-local-bakersfield-national-cemetery</x:v>
      </x:c>
      <x:c r="B75" s="29" t="str">
        <x:v>bakersfield</x:v>
      </x:c>
      <x:c r="C75" s="29" t="str">
        <x:v>yer-local-bakersfield-national-cemetery</x:v>
      </x:c>
      <x:c r="D75" s="29" t="str">
        <x:v>Bakersfield National Cemetery</x:v>
      </x:c>
      <x:c r="E75" s="29" t="str">
        <x:v>Tarih ve mimari · Kent dışı / Arvin yönü</x:v>
      </x:c>
      <x:c r="F75" s="29" t="str">
        <x:v>Tehachapi eteklerindeki ulusal mezarlık, ABD silahlı kuvvetlerinde hizmet etmiş kişilerin anısını geniş bir peyzaj içinde taşır. Düzenli mezar sıraları ve dağ arka planı, şehir içindeki Union Cemetery'den farklı bir anma ortamıdır. Sessiz ziyaret alanı olarak ele alınır; cenaze veya anma törenlerinin işleyişine öncelik verilir.</x:v>
      </x:c>
      <x:c r="G75" s="29" t="str">
        <x:v>national-cemetery</x:v>
      </x:c>
      <x:c r="H75" s="29" t="str"/>
      <x:c r="I75" s="29" t="str">
        <x:v>bakersfield:src:17805</x:v>
      </x:c>
      <x:c r="J75" s="31" t="d">
        <x:v>2026-10-24T00:00:00.000Z</x:v>
      </x:c>
      <x:c r="K75" s="35" t="n">
        <x:v>307</x:v>
      </x:c>
      <x:c r="L75" s="29" t="str">
        <x:v>Hayır</x:v>
      </x:c>
      <x:c r="M75" s="29" t="str">
        <x:v>İnceleme</x:v>
      </x:c>
      <x:c r="N75" s="29" t="str">
        <x:v>Tarih ve mimari</x:v>
      </x:c>
      <x:c r="O75" s="29" t="str">
        <x:v>Kent dışı / Arvin yönü</x:v>
      </x:c>
      <x:c r="P75" s="29" t="str">
        <x:v>Karma</x:v>
      </x:c>
      <x:c r="Q75" s="29" t="str">
        <x:v>30338 East Bear Mountain Boulevard, Arvin, California</x:v>
      </x:c>
      <x:c r="R75" s="33"/>
      <x:c r="S75" s="33"/>
      <x:c r="T75" s="29"/>
      <x:c r="U75" s="29"/>
      <x:c r="V75" s="29" t="str">
        <x:v>Hayır</x:v>
      </x:c>
      <x:c r="W75" s="29" t="str">
        <x:v>local-bakersfield-national-cemetery</x:v>
      </x:c>
    </x:row>
    <x:row r="76" ht="110" customHeight="1">
      <x:c r="A76" s="29" t="str">
        <x:v>bakersfield:yer-local-bakersfield-kress-building</x:v>
      </x:c>
      <x:c r="B76" s="29" t="str">
        <x:v>bakersfield</x:v>
      </x:c>
      <x:c r="C76" s="29" t="str">
        <x:v>yer-local-bakersfield-kress-building</x:v>
      </x:c>
      <x:c r="D76" s="29" t="str">
        <x:v>Kress Building</x:v>
      </x:c>
      <x:c r="E76" s="29" t="str">
        <x:v>Tarih ve mimari · Downtown / 19th Street</x:v>
      </x:c>
      <x:c r="F76" s="29" t="str">
        <x:v>Kress'in belirgin cephe yazısı ve süslemeleri, Downtown'ın eski büyük mağaza dönemini sokaktan okumayı sağlar. Yapı, Visit Bakersfield'ın tarihî kent yürüyüşünde yer alan noktalardandır. Dış cepheyi Woolworth ve Haberfelde ile aynı rotada karşılaştırmak, kısa mesafede farklı ticaret yapılarının karakterini görmeye yardımcı olur.</x:v>
      </x:c>
      <x:c r="G76" s="29" t="str">
        <x:v>kress-building</x:v>
      </x:c>
      <x:c r="H76" s="29" t="str"/>
      <x:c r="I76" s="29" t="str">
        <x:v>bakersfield:src:17806</x:v>
      </x:c>
      <x:c r="J76" s="31" t="d">
        <x:v>2026-10-24T00:00:00.000Z</x:v>
      </x:c>
      <x:c r="K76" s="35" t="n">
        <x:v>308</x:v>
      </x:c>
      <x:c r="L76" s="29" t="str">
        <x:v>Hayır</x:v>
      </x:c>
      <x:c r="M76" s="29" t="str">
        <x:v>İnceleme</x:v>
      </x:c>
      <x:c r="N76" s="29" t="str">
        <x:v>Tarih ve mimari</x:v>
      </x:c>
      <x:c r="O76" s="29" t="str">
        <x:v>Downtown / 19th Street</x:v>
      </x:c>
      <x:c r="P76" s="29" t="str">
        <x:v>Karma</x:v>
      </x:c>
      <x:c r="Q76" s="29" t="str">
        <x:v>Kress Building, Bakersfield, California</x:v>
      </x:c>
      <x:c r="R76" s="33"/>
      <x:c r="S76" s="33"/>
      <x:c r="T76" s="29"/>
      <x:c r="U76" s="29"/>
      <x:c r="V76" s="29" t="str">
        <x:v>Hayır</x:v>
      </x:c>
      <x:c r="W76" s="29" t="str">
        <x:v>local-bakersfield-kress-building</x:v>
      </x:c>
    </x:row>
    <x:row r="77" ht="110" customHeight="1">
      <x:c r="A77" s="29" t="str">
        <x:v>bakersfield:yer-local-bakersfield-haberfelde-building</x:v>
      </x:c>
      <x:c r="B77" s="29" t="str">
        <x:v>bakersfield</x:v>
      </x:c>
      <x:c r="C77" s="29" t="str">
        <x:v>yer-local-bakersfield-haberfelde-building</x:v>
      </x:c>
      <x:c r="D77" s="29" t="str">
        <x:v>Haberfelde Building</x:v>
      </x:c>
      <x:c r="E77" s="29" t="str">
        <x:v>Tarih ve mimari · Downtown</x:v>
      </x:c>
      <x:c r="F77" s="29" t="str">
        <x:v>Haberfelde'nin yükselen tarihî cephesi ve bezemeleri, şehir merkezindeki ticaret mimarisinin ayırt edici örneklerindendir. Kentin resmî turizm tarih rotasında yer alan bina, Kress ve Woolworth çevresindeki yürüyüşün parçasıdır. Gezi dış cepheyi anlamaya odaklanır; içerideki özel işletme alanlarına serbest ziyaret hakkı varsayılmaz.</x:v>
      </x:c>
      <x:c r="G77" s="29" t="str">
        <x:v>haberfelde-building</x:v>
      </x:c>
      <x:c r="H77" s="29" t="str"/>
      <x:c r="I77" s="29" t="str">
        <x:v>bakersfield:src:17806</x:v>
      </x:c>
      <x:c r="J77" s="31" t="d">
        <x:v>2026-10-24T00:00:00.000Z</x:v>
      </x:c>
      <x:c r="K77" s="35" t="n">
        <x:v>309</x:v>
      </x:c>
      <x:c r="L77" s="29" t="str">
        <x:v>Hayır</x:v>
      </x:c>
      <x:c r="M77" s="29" t="str">
        <x:v>İnceleme</x:v>
      </x:c>
      <x:c r="N77" s="29" t="str">
        <x:v>Tarih ve mimari</x:v>
      </x:c>
      <x:c r="O77" s="29" t="str">
        <x:v>Downtown</x:v>
      </x:c>
      <x:c r="P77" s="29" t="str">
        <x:v>Karma</x:v>
      </x:c>
      <x:c r="Q77" s="29" t="str">
        <x:v>Haberfelde Building, Bakersfield, California</x:v>
      </x:c>
      <x:c r="R77" s="33"/>
      <x:c r="S77" s="33"/>
      <x:c r="T77" s="29"/>
      <x:c r="U77" s="29"/>
      <x:c r="V77" s="29" t="str">
        <x:v>Hayır</x:v>
      </x:c>
      <x:c r="W77" s="29" t="str">
        <x:v>local-bakersfield-haberfelde-building</x:v>
      </x:c>
    </x:row>
    <x:row r="78" ht="96" customHeight="1">
      <x:c r="A78" s="29" t="str">
        <x:v>bakersfield:yer-local-bakersfield-californian-building</x:v>
      </x:c>
      <x:c r="B78" s="29" t="str">
        <x:v>bakersfield</x:v>
      </x:c>
      <x:c r="C78" s="29" t="str">
        <x:v>yer-local-bakersfield-californian-building</x:v>
      </x:c>
      <x:c r="D78" s="29" t="str">
        <x:v>Bakersfield Californian Building</x:v>
      </x:c>
      <x:c r="E78" s="29" t="str">
        <x:v>Tarih ve mimari · Downtown / Eye Street</x:v>
      </x:c>
      <x:c r="F78" s="29" t="str">
        <x:v>1926 tarihli Californian Building, gazete yayımcılığının kent hayatındaki yerini ve dönemin gösterişli ticaret mimarisini bir araya getirir. Eye Street üzerindeki cephe, taş işçiliği ve giriş ayrıntılarıyla dışarıdan görülebilir. National Register kaydı yapıyı mimarlık, ticaret ve iletişim tarihi açısından tanımlar.</x:v>
      </x:c>
      <x:c r="G78" s="29" t="str">
        <x:v>californian-building</x:v>
      </x:c>
      <x:c r="H78" s="29" t="str"/>
      <x:c r="I78" s="29" t="str">
        <x:v>bakersfield:src:17807</x:v>
      </x:c>
      <x:c r="J78" s="31" t="d">
        <x:v>2026-10-24T00:00:00.000Z</x:v>
      </x:c>
      <x:c r="K78" s="35" t="n">
        <x:v>310</x:v>
      </x:c>
      <x:c r="L78" s="29" t="str">
        <x:v>Hayır</x:v>
      </x:c>
      <x:c r="M78" s="29" t="str">
        <x:v>İnceleme</x:v>
      </x:c>
      <x:c r="N78" s="29" t="str">
        <x:v>Tarih ve mimari</x:v>
      </x:c>
      <x:c r="O78" s="29" t="str">
        <x:v>Downtown / Eye Street</x:v>
      </x:c>
      <x:c r="P78" s="29" t="str">
        <x:v>Karma</x:v>
      </x:c>
      <x:c r="Q78" s="29" t="str">
        <x:v>1707 Eye Street, Bakersfield, California</x:v>
      </x:c>
      <x:c r="R78" s="33"/>
      <x:c r="S78" s="33"/>
      <x:c r="T78" s="29"/>
      <x:c r="U78" s="29"/>
      <x:c r="V78" s="29" t="str">
        <x:v>Hayır</x:v>
      </x:c>
      <x:c r="W78" s="29" t="str">
        <x:v>local-bakersfield-californian-building</x:v>
      </x:c>
    </x:row>
    <x:row r="79" ht="110" customHeight="1">
      <x:c r="A79" s="29" t="str">
        <x:v>bakersfield:yer-local-bakersfield-southern-pacific-depot</x:v>
      </x:c>
      <x:c r="B79" s="29" t="str">
        <x:v>bakersfield</x:v>
      </x:c>
      <x:c r="C79" s="29" t="str">
        <x:v>yer-local-bakersfield-southern-pacific-depot</x:v>
      </x:c>
      <x:c r="D79" s="29" t="str">
        <x:v>Eski Southern Pacific Depot</x:v>
      </x:c>
      <x:c r="E79" s="29" t="str">
        <x:v>Tarih ve mimari · Old Town Kern / Baker Street</x:v>
      </x:c>
      <x:c r="F79" s="29" t="str">
        <x:v>Old Town Kern'deki uzun revaklı Southern Pacific yapısı, bölgenin demiryolu geçmişini sokak cephesinden anlatır. Bugünkü Bakersfield yolcu istasyonu değildir; tarihî depo ve ona bağlı yapı parçaları tek bir gezi durağı olarak ele alınır. Ray sahasına girmeden dış mimariyi görmek, Baker Street çevresinin kuruluş hikâyesine bağlanır.</x:v>
      </x:c>
      <x:c r="G79" s="29" t="str">
        <x:v>southern-pacific-depot</x:v>
      </x:c>
      <x:c r="H79" s="29" t="str"/>
      <x:c r="I79" s="29" t="str">
        <x:v>bakersfield:src:17808</x:v>
      </x:c>
      <x:c r="J79" s="31" t="d">
        <x:v>2026-10-24T00:00:00.000Z</x:v>
      </x:c>
      <x:c r="K79" s="35" t="n">
        <x:v>311</x:v>
      </x:c>
      <x:c r="L79" s="29" t="str">
        <x:v>Hayır</x:v>
      </x:c>
      <x:c r="M79" s="29" t="str">
        <x:v>İnceleme</x:v>
      </x:c>
      <x:c r="N79" s="29" t="str">
        <x:v>Tarih ve mimari</x:v>
      </x:c>
      <x:c r="O79" s="29" t="str">
        <x:v>Old Town Kern / Baker Street</x:v>
      </x:c>
      <x:c r="P79" s="29" t="str">
        <x:v>Karma</x:v>
      </x:c>
      <x:c r="Q79" s="29" t="str">
        <x:v>Southern Pacific Depot, Baker Street, Bakersfield, California</x:v>
      </x:c>
      <x:c r="R79" s="33"/>
      <x:c r="S79" s="33"/>
      <x:c r="T79" s="29"/>
      <x:c r="U79" s="29"/>
      <x:c r="V79" s="29" t="str">
        <x:v>Hayır</x:v>
      </x:c>
      <x:c r="W79" s="29" t="str">
        <x:v>local-bakersfield-southern-pacific-depot</x:v>
      </x:c>
    </x:row>
    <x:row r="80" ht="110" customHeight="1">
      <x:c r="A80" s="29" t="str">
        <x:v>bakersfield:yer-local-bakersfield-baker-library</x:v>
      </x:c>
      <x:c r="B80" s="29" t="str">
        <x:v>bakersfield</x:v>
      </x:c>
      <x:c r="C80" s="29" t="str">
        <x:v>yer-local-bakersfield-baker-library</x:v>
      </x:c>
      <x:c r="D80" s="29" t="str">
        <x:v>Baker Branch Library</x:v>
      </x:c>
      <x:c r="E80" s="29" t="str">
        <x:v>Tarih ve mimari · Old Town Kern</x:v>
      </x:c>
      <x:c r="F80" s="29" t="str">
        <x:v>Baker Street'teki tarihî kütüphane, neoklasik cephesiyle Old Town Kern'in belirgin kamu yapılarından biridir. Kütüphane idaresi, altyapı yenilemesi sonrasında 27 Ocak 2026'da yeniden açıldığını bildirir. Böylece yapı yalnız dışarıdan görülen bir tarihî eser değil, bölgenin kitap ve topluluk hizmetlerine devam eden bir adresidir.</x:v>
      </x:c>
      <x:c r="G80" s="29" t="str">
        <x:v>baker-library</x:v>
      </x:c>
      <x:c r="H80" s="29" t="str"/>
      <x:c r="I80" s="29" t="str">
        <x:v>bakersfield:src:17809</x:v>
      </x:c>
      <x:c r="J80" s="31" t="d">
        <x:v>2026-10-24T00:00:00.000Z</x:v>
      </x:c>
      <x:c r="K80" s="35" t="n">
        <x:v>312</x:v>
      </x:c>
      <x:c r="L80" s="29" t="str">
        <x:v>Hayır</x:v>
      </x:c>
      <x:c r="M80" s="29" t="str">
        <x:v>İnceleme</x:v>
      </x:c>
      <x:c r="N80" s="29" t="str">
        <x:v>Tarih ve mimari</x:v>
      </x:c>
      <x:c r="O80" s="29" t="str">
        <x:v>Old Town Kern</x:v>
      </x:c>
      <x:c r="P80" s="29" t="str">
        <x:v>Karma</x:v>
      </x:c>
      <x:c r="Q80" s="29" t="str">
        <x:v>1400 Baker Street, Bakersfield, California</x:v>
      </x:c>
      <x:c r="R80" s="33"/>
      <x:c r="S80" s="33"/>
      <x:c r="T80" s="29"/>
      <x:c r="U80" s="29"/>
      <x:c r="V80" s="29" t="str">
        <x:v>Hayır</x:v>
      </x:c>
      <x:c r="W80" s="29" t="str">
        <x:v>local-bakersfield-baker-library</x:v>
      </x:c>
    </x:row>
    <x:row r="81" ht="110" customHeight="1">
      <x:c r="A81" s="29" t="str">
        <x:v>bakersfield:yer-local-bakersfield-hall-records</x:v>
      </x:c>
      <x:c r="B81" s="29" t="str">
        <x:v>bakersfield</x:v>
      </x:c>
      <x:c r="C81" s="29" t="str">
        <x:v>yer-local-bakersfield-hall-records</x:v>
      </x:c>
      <x:c r="D81" s="29" t="str">
        <x:v>Kern County Hall of Records</x:v>
      </x:c>
      <x:c r="E81" s="29" t="str">
        <x:v>Tarih ve mimari · Downtown / Chester Avenue</x:v>
      </x:c>
      <x:c r="F81" s="29" t="str">
        <x:v>Hall of Records, kent merkezindeki kamu mimarisini anlamak için dışarıdan görülebilen tarihî bir yapıdır. Chester Avenue çevresindeki geziye, ticaret binalarından farklı bir kamu hizmeti cephesi ekler. Mimari gözlem ile güncel resmî belge işlemi ayrı konulardır; işlem yapılacak birimin adresi kurum hizmet sayfasından seçilir.</x:v>
      </x:c>
      <x:c r="G81" s="29" t="str">
        <x:v>hall-records</x:v>
      </x:c>
      <x:c r="H81" s="29" t="str"/>
      <x:c r="I81" s="29" t="str">
        <x:v>bakersfield:src:17810</x:v>
      </x:c>
      <x:c r="J81" s="31" t="d">
        <x:v>2026-10-24T00:00:00.000Z</x:v>
      </x:c>
      <x:c r="K81" s="35" t="n">
        <x:v>313</x:v>
      </x:c>
      <x:c r="L81" s="29" t="str">
        <x:v>Hayır</x:v>
      </x:c>
      <x:c r="M81" s="29" t="str">
        <x:v>İnceleme</x:v>
      </x:c>
      <x:c r="N81" s="29" t="str">
        <x:v>Tarih ve mimari</x:v>
      </x:c>
      <x:c r="O81" s="29" t="str">
        <x:v>Downtown / Chester Avenue</x:v>
      </x:c>
      <x:c r="P81" s="29" t="str">
        <x:v>Karma</x:v>
      </x:c>
      <x:c r="Q81" s="29" t="str">
        <x:v>1655 Chester Avenue, Bakersfield, California</x:v>
      </x:c>
      <x:c r="R81" s="33"/>
      <x:c r="S81" s="33"/>
      <x:c r="T81" s="29"/>
      <x:c r="U81" s="29"/>
      <x:c r="V81" s="29" t="str">
        <x:v>Hayır</x:v>
      </x:c>
      <x:c r="W81" s="29" t="str">
        <x:v>local-bakersfield-hall-records</x:v>
      </x:c>
    </x:row>
    <x:row r="82" ht="110" customHeight="1">
      <x:c r="A82" s="29" t="str">
        <x:v>bakersfield:yer-local-bakersfield-historic-post-office</x:v>
      </x:c>
      <x:c r="B82" s="29" t="str">
        <x:v>bakersfield</x:v>
      </x:c>
      <x:c r="C82" s="29" t="str">
        <x:v>yer-local-bakersfield-historic-post-office</x:v>
      </x:c>
      <x:c r="D82" s="29" t="str">
        <x:v>Downtown Tarihî Postane</x:v>
      </x:c>
      <x:c r="E82" s="29" t="str">
        <x:v>Tarih ve mimari · Downtown</x:v>
      </x:c>
      <x:c r="F82" s="29" t="str">
        <x:v>Downtown'ın tarihî postane binası, geniş ana cephesi ve kamu yapısı ölçeğiyle şehir merkezindeki mimari yürüyüşe katılır. Ziyaretin odağı sokaktan görülen yapıdır; posta hizmeti ihtiyacı için güncel USPS şube araması kullanılır. Ticaret blokları ve çevredeki resmî binalarla birlikte kent merkezinin farklı işlevlerini karşılaştırmaya uygundur.</x:v>
      </x:c>
      <x:c r="G82" s="29" t="str">
        <x:v>historic-post-office</x:v>
      </x:c>
      <x:c r="H82" s="29" t="str"/>
      <x:c r="I82" s="29" t="str">
        <x:v>bakersfield:src:17808</x:v>
      </x:c>
      <x:c r="J82" s="31" t="d">
        <x:v>2026-10-24T00:00:00.000Z</x:v>
      </x:c>
      <x:c r="K82" s="35" t="n">
        <x:v>314</x:v>
      </x:c>
      <x:c r="L82" s="29" t="str">
        <x:v>Hayır</x:v>
      </x:c>
      <x:c r="M82" s="29" t="str">
        <x:v>İnceleme</x:v>
      </x:c>
      <x:c r="N82" s="29" t="str">
        <x:v>Tarih ve mimari</x:v>
      </x:c>
      <x:c r="O82" s="29" t="str">
        <x:v>Downtown</x:v>
      </x:c>
      <x:c r="P82" s="29" t="str">
        <x:v>Karma</x:v>
      </x:c>
      <x:c r="Q82" s="29" t="str">
        <x:v>Downtown Post Office, Bakersfield, California</x:v>
      </x:c>
      <x:c r="R82" s="33"/>
      <x:c r="S82" s="33"/>
      <x:c r="T82" s="29"/>
      <x:c r="U82" s="29"/>
      <x:c r="V82" s="29" t="str">
        <x:v>Hayır</x:v>
      </x:c>
      <x:c r="W82" s="29" t="str">
        <x:v>local-bakersfield-historic-post-office</x:v>
      </x:c>
    </x:row>
    <x:row r="83" ht="110" customHeight="1">
      <x:c r="A83" s="29" t="str">
        <x:v>bakersfield:yer-local-bakersfield-fire-station-one</x:v>
      </x:c>
      <x:c r="B83" s="29" t="str">
        <x:v>bakersfield</x:v>
      </x:c>
      <x:c r="C83" s="29" t="str">
        <x:v>yer-local-bakersfield-fire-station-one</x:v>
      </x:c>
      <x:c r="D83" s="29" t="str">
        <x:v>Bakersfield Fire Station No. 1</x:v>
      </x:c>
      <x:c r="E83" s="29" t="str">
        <x:v>Tarih ve mimari · Downtown</x:v>
      </x:c>
      <x:c r="F83" s="29" t="str">
        <x:v>Fire Station No. 1, Bakersfield'ın resmî tarih rotasında yer alan, itfaiye mimarisini sokak cephesinden okumaya uygun bir duraktır. İstasyonun cephe düzeni ve araç kapıları, kent merkezindeki mağaza yapılarından farklı bir işlevi gösterir. Aktif hizmet alanında giriş ve araç çıkışı serbest tutulur; dışarıdan mimari gözlem bir tesis turu değildir.</x:v>
      </x:c>
      <x:c r="G83" s="29" t="str">
        <x:v>fire-station-one</x:v>
      </x:c>
      <x:c r="H83" s="29" t="str"/>
      <x:c r="I83" s="29" t="str">
        <x:v>bakersfield:src:17806</x:v>
      </x:c>
      <x:c r="J83" s="31" t="d">
        <x:v>2026-10-24T00:00:00.000Z</x:v>
      </x:c>
      <x:c r="K83" s="35" t="n">
        <x:v>315</x:v>
      </x:c>
      <x:c r="L83" s="29" t="str">
        <x:v>Hayır</x:v>
      </x:c>
      <x:c r="M83" s="29" t="str">
        <x:v>İnceleme</x:v>
      </x:c>
      <x:c r="N83" s="29" t="str">
        <x:v>Tarih ve mimari</x:v>
      </x:c>
      <x:c r="O83" s="29" t="str">
        <x:v>Downtown</x:v>
      </x:c>
      <x:c r="P83" s="29" t="str">
        <x:v>Karma</x:v>
      </x:c>
      <x:c r="Q83" s="29" t="str">
        <x:v>Bakersfield Fire Station No. 1, Bakersfield, California</x:v>
      </x:c>
      <x:c r="R83" s="33"/>
      <x:c r="S83" s="33"/>
      <x:c r="T83" s="29"/>
      <x:c r="U83" s="29"/>
      <x:c r="V83" s="29" t="str">
        <x:v>Hayır</x:v>
      </x:c>
      <x:c r="W83" s="29" t="str">
        <x:v>local-bakersfield-fire-station-one</x:v>
      </x:c>
    </x:row>
    <x:row r="84" ht="110" customHeight="1">
      <x:c r="A84" s="29" t="str">
        <x:v>bakersfield:yer-local-bakersfield-hayden-building</x:v>
      </x:c>
      <x:c r="B84" s="29" t="str">
        <x:v>bakersfield</x:v>
      </x:c>
      <x:c r="C84" s="29" t="str">
        <x:v>yer-local-bakersfield-hayden-building</x:v>
      </x:c>
      <x:c r="D84" s="29" t="str">
        <x:v>Hayden Building</x:v>
      </x:c>
      <x:c r="E84" s="29" t="str">
        <x:v>Tarih ve mimari · Downtown / 19th Street</x:v>
      </x:c>
      <x:c r="F84" s="29" t="str">
        <x:v>1904'te Hayden Furniture Company için açılan yapı, cephe düzeniyle Downtown'ın erken ticaret mimarisini temsil eder. Kern County Historical Society'nin yerleştirdiği tarih levhası, binanın sonraki farklı kullanımlarını anlatır. Bugün sokaktan görülen tarihî yapıyı geçmişte burada çalışan tiyatroyla aynı faal işletme gibi değerlendirmemek gerekir.</x:v>
      </x:c>
      <x:c r="G84" s="29" t="str">
        <x:v>hayden-building</x:v>
      </x:c>
      <x:c r="H84" s="29" t="str"/>
      <x:c r="I84" s="29" t="str">
        <x:v>bakersfield:src:17811</x:v>
      </x:c>
      <x:c r="J84" s="31" t="d">
        <x:v>2026-10-24T00:00:00.000Z</x:v>
      </x:c>
      <x:c r="K84" s="35" t="n">
        <x:v>316</x:v>
      </x:c>
      <x:c r="L84" s="29" t="str">
        <x:v>Hayır</x:v>
      </x:c>
      <x:c r="M84" s="29" t="str">
        <x:v>İnceleme</x:v>
      </x:c>
      <x:c r="N84" s="29" t="str">
        <x:v>Tarih ve mimari</x:v>
      </x:c>
      <x:c r="O84" s="29" t="str">
        <x:v>Downtown / 19th Street</x:v>
      </x:c>
      <x:c r="P84" s="29" t="str">
        <x:v>Karma</x:v>
      </x:c>
      <x:c r="Q84" s="29" t="str">
        <x:v>Hayden Building, Bakersfield, California</x:v>
      </x:c>
      <x:c r="R84" s="33"/>
      <x:c r="S84" s="33"/>
      <x:c r="T84" s="29"/>
      <x:c r="U84" s="29"/>
      <x:c r="V84" s="29" t="str">
        <x:v>Hayır</x:v>
      </x:c>
      <x:c r="W84" s="29" t="str">
        <x:v>local-bakersfield-hayden-building</x:v>
      </x:c>
    </x:row>
    <x:row r="85" ht="110" customHeight="1">
      <x:c r="A85" s="29" t="str">
        <x:v>bakersfield:yer-local-bakersfield-hopkins-building</x:v>
      </x:c>
      <x:c r="B85" s="29" t="str">
        <x:v>bakersfield</x:v>
      </x:c>
      <x:c r="C85" s="29" t="str">
        <x:v>yer-local-bakersfield-hopkins-building</x:v>
      </x:c>
      <x:c r="D85" s="29" t="str">
        <x:v>Hopkins Building</x:v>
      </x:c>
      <x:c r="E85" s="29" t="str">
        <x:v>Tarih ve mimari · Downtown / 19th Street</x:v>
      </x:c>
      <x:c r="F85" s="29" t="str">
        <x:v>19th Street ile Chester Avenue köşesindeki Hopkins Building, şehir merkezinin erken çok katlı ticaret yapılarından biridir. Zaman içinde değişen cephesi, tek bir dönemden kalmış kusursuz bir dekor yerine kentin dönüşümünü gösterir. Mimari yürüyüşte yapı kütlesi ve sokak köşesi ilişkisi öne çıkar; iç mekân turu sunulduğu varsayılmaz.</x:v>
      </x:c>
      <x:c r="G85" s="29" t="str">
        <x:v>hopkins-building</x:v>
      </x:c>
      <x:c r="H85" s="29" t="str"/>
      <x:c r="I85" s="29" t="str">
        <x:v>bakersfield:src:17808</x:v>
      </x:c>
      <x:c r="J85" s="31" t="d">
        <x:v>2026-10-24T00:00:00.000Z</x:v>
      </x:c>
      <x:c r="K85" s="35" t="n">
        <x:v>317</x:v>
      </x:c>
      <x:c r="L85" s="29" t="str">
        <x:v>Hayır</x:v>
      </x:c>
      <x:c r="M85" s="29" t="str">
        <x:v>İnceleme</x:v>
      </x:c>
      <x:c r="N85" s="29" t="str">
        <x:v>Tarih ve mimari</x:v>
      </x:c>
      <x:c r="O85" s="29" t="str">
        <x:v>Downtown / 19th Street</x:v>
      </x:c>
      <x:c r="P85" s="29" t="str">
        <x:v>Karma</x:v>
      </x:c>
      <x:c r="Q85" s="29" t="str">
        <x:v>Hopkins Building, Bakersfield, California</x:v>
      </x:c>
      <x:c r="R85" s="33"/>
      <x:c r="S85" s="33"/>
      <x:c r="T85" s="29"/>
      <x:c r="U85" s="29"/>
      <x:c r="V85" s="29" t="str">
        <x:v>Hayır</x:v>
      </x:c>
      <x:c r="W85" s="29" t="str">
        <x:v>local-bakersfield-hopkins-building</x:v>
      </x:c>
    </x:row>
    <x:row r="86" ht="96" customHeight="1">
      <x:c r="A86" s="29" t="str">
        <x:v>bakersfield:yer-local-bakersfield-st-pauls</x:v>
      </x:c>
      <x:c r="B86" s="29" t="str">
        <x:v>bakersfield</x:v>
      </x:c>
      <x:c r="C86" s="29" t="str">
        <x:v>yer-local-bakersfield-st-pauls</x:v>
      </x:c>
      <x:c r="D86" s="29" t="str">
        <x:v>St. Paul's Episcopal Church</x:v>
      </x:c>
      <x:c r="E86" s="29" t="str">
        <x:v>Tarih ve mimari · Downtown / Westchester</x:v>
      </x:c>
      <x:c r="F86" s="29" t="str">
        <x:v>St. Paul's, Downtown ile Westchester çevresindeki yerleşim dokusuna kilise mimarisiyle katılır. Sokaktan görülen dış cephe, yakın çevredeki ticaret ve konut yapılarıyla farklı bir ölçek oluşturur. Faal bir ibadet yeridir; iç mekân ziyareti veya topluluk programına katılım, kilisenin yayımladığı düzen üzerinden planlanır.</x:v>
      </x:c>
      <x:c r="G86" s="29" t="str">
        <x:v>st-pauls</x:v>
      </x:c>
      <x:c r="H86" s="29" t="str"/>
      <x:c r="I86" s="29" t="str">
        <x:v>bakersfield:src:17812</x:v>
      </x:c>
      <x:c r="J86" s="31" t="d">
        <x:v>2026-10-24T00:00:00.000Z</x:v>
      </x:c>
      <x:c r="K86" s="35" t="n">
        <x:v>318</x:v>
      </x:c>
      <x:c r="L86" s="29" t="str">
        <x:v>Hayır</x:v>
      </x:c>
      <x:c r="M86" s="29" t="str">
        <x:v>İnceleme</x:v>
      </x:c>
      <x:c r="N86" s="29" t="str">
        <x:v>Tarih ve mimari</x:v>
      </x:c>
      <x:c r="O86" s="29" t="str">
        <x:v>Downtown / Westchester</x:v>
      </x:c>
      <x:c r="P86" s="29" t="str">
        <x:v>Karma</x:v>
      </x:c>
      <x:c r="Q86" s="29" t="str">
        <x:v>2216 17th Street, Bakersfield, California</x:v>
      </x:c>
      <x:c r="R86" s="33"/>
      <x:c r="S86" s="33"/>
      <x:c r="T86" s="29"/>
      <x:c r="U86" s="29"/>
      <x:c r="V86" s="29" t="str">
        <x:v>Hayır</x:v>
      </x:c>
      <x:c r="W86" s="29" t="str">
        <x:v>local-bakersfield-st-pauls</x:v>
      </x:c>
    </x:row>
    <x:row r="87" ht="96" customHeight="1">
      <x:c r="A87" s="29" t="str">
        <x:v>bakersfield:yer-local-bakersfield-bakersfield-sign</x:v>
      </x:c>
      <x:c r="B87" s="29" t="str">
        <x:v>bakersfield</x:v>
      </x:c>
      <x:c r="C87" s="29" t="str">
        <x:v>yer-local-bakersfield-bakersfield-sign</x:v>
      </x:c>
      <x:c r="D87" s="29" t="str">
        <x:v>Bakersfield Sign</x:v>
      </x:c>
      <x:c r="E87" s="29" t="str">
        <x:v>Tarih ve mimari · Buck Owens Boulevard</x:v>
      </x:c>
      <x:c r="F87" s="29" t="str">
        <x:v>Caddeyi geçen Bakersfield yazısı, kentin yol üstü kimliğini görünür kılan simgelerden biridir. Gündüz çerçevesi, gece ise ışıklarıyla farklı bir sokak manzarası sunar. Fotoğraf durağı çevredeki kamusal kaldırımdan ele alınır; yanındaki işletmenin faal olması veya içeriye giriş olanağı tabelanın varlığından çıkarılmaz.</x:v>
      </x:c>
      <x:c r="G87" s="29" t="str">
        <x:v>bakersfield-sign</x:v>
      </x:c>
      <x:c r="H87" s="29" t="str"/>
      <x:c r="I87" s="29" t="str">
        <x:v>bakersfield:src:17813</x:v>
      </x:c>
      <x:c r="J87" s="31" t="d">
        <x:v>2026-10-24T00:00:00.000Z</x:v>
      </x:c>
      <x:c r="K87" s="35" t="n">
        <x:v>319</x:v>
      </x:c>
      <x:c r="L87" s="29" t="str">
        <x:v>Hayır</x:v>
      </x:c>
      <x:c r="M87" s="29" t="str">
        <x:v>İnceleme</x:v>
      </x:c>
      <x:c r="N87" s="29" t="str">
        <x:v>Tarih ve mimari</x:v>
      </x:c>
      <x:c r="O87" s="29" t="str">
        <x:v>Buck Owens Boulevard</x:v>
      </x:c>
      <x:c r="P87" s="29" t="str">
        <x:v>Karma</x:v>
      </x:c>
      <x:c r="Q87" s="29" t="str">
        <x:v>Bakersfield Sign, Buck Owens Boulevard, Bakersfield, California</x:v>
      </x:c>
      <x:c r="R87" s="33"/>
      <x:c r="S87" s="33"/>
      <x:c r="T87" s="29"/>
      <x:c r="U87" s="29"/>
      <x:c r="V87" s="29" t="str">
        <x:v>Hayır</x:v>
      </x:c>
      <x:c r="W87" s="29" t="str">
        <x:v>local-bakersfield-bakersfield-sign</x:v>
      </x:c>
    </x:row>
    <x:row r="88" ht="110" customHeight="1">
      <x:c r="A88" s="29" t="str">
        <x:v>bakersfield:yer-local-bakersfield-city-hall</x:v>
      </x:c>
      <x:c r="B88" s="29" t="str">
        <x:v>bakersfield</x:v>
      </x:c>
      <x:c r="C88" s="29" t="str">
        <x:v>yer-local-bakersfield-city-hall</x:v>
      </x:c>
      <x:c r="D88" s="29" t="str">
        <x:v>Bakersfield City Hall</x:v>
      </x:c>
      <x:c r="E88" s="29" t="str">
        <x:v>Tarih ve mimari · Downtown / Civic Center</x:v>
      </x:c>
      <x:c r="F88" s="29" t="str">
        <x:v>Chester ve Truxtun çevresindeki City Hall, Downtown'ın belediye ve kamu yapıları eksenindeki temel adreslerinden biridir. Kent merkezindeki kısa mimari yürüyüşte ticaret sokaklarıyla yönetim yapıları arasındaki farkı gösterir. Rehberde dış cephe ve çevre düzeni anlatılır; resmî işlem veya toplantı katılımı ayrı belediye programına bağlıdır.</x:v>
      </x:c>
      <x:c r="G88" s="29" t="str">
        <x:v>city-hall</x:v>
      </x:c>
      <x:c r="H88" s="29" t="str"/>
      <x:c r="I88" s="29" t="str">
        <x:v>bakersfield:src:17602</x:v>
      </x:c>
      <x:c r="J88" s="31" t="d">
        <x:v>2026-10-24T00:00:00.000Z</x:v>
      </x:c>
      <x:c r="K88" s="35" t="n">
        <x:v>320</x:v>
      </x:c>
      <x:c r="L88" s="29" t="str">
        <x:v>Hayır</x:v>
      </x:c>
      <x:c r="M88" s="29" t="str">
        <x:v>İnceleme</x:v>
      </x:c>
      <x:c r="N88" s="29" t="str">
        <x:v>Tarih ve mimari</x:v>
      </x:c>
      <x:c r="O88" s="29" t="str">
        <x:v>Downtown / Civic Center</x:v>
      </x:c>
      <x:c r="P88" s="29" t="str">
        <x:v>Karma</x:v>
      </x:c>
      <x:c r="Q88" s="29" t="str">
        <x:v>1501 Truxtun Avenue, Bakersfield, California</x:v>
      </x:c>
      <x:c r="R88" s="33"/>
      <x:c r="S88" s="33"/>
      <x:c r="T88" s="29"/>
      <x:c r="U88" s="29"/>
      <x:c r="V88" s="29" t="str">
        <x:v>Hayır</x:v>
      </x:c>
      <x:c r="W88" s="29" t="str">
        <x:v>local-bakersfield-city-hall</x:v>
      </x:c>
    </x:row>
    <x:row r="89" ht="110" customHeight="1">
      <x:c r="A89" s="29" t="str">
        <x:v>bakersfield:yer-local-bakersfield-bakersfield-college</x:v>
      </x:c>
      <x:c r="B89" s="29" t="str">
        <x:v>bakersfield</x:v>
      </x:c>
      <x:c r="C89" s="29" t="str">
        <x:v>yer-local-bakersfield-bakersfield-college</x:v>
      </x:c>
      <x:c r="D89" s="29" t="str">
        <x:v>Bakersfield College Kampüsü</x:v>
      </x:c>
      <x:c r="E89" s="29" t="str">
        <x:v>Aile ve çocuk · Northeast / Panorama Drive</x:v>
      </x:c>
      <x:c r="F89" s="29" t="str">
        <x:v>Panorama Drive'daki Bakersfield College, eğitim yapıları, spor alanları ve kültür programlarıyla Northeast'in önemli odaklarından biridir. Ana giriş ve kampüsün açık alanları üniversite yaşamına bir bakış sunar. Planetaryum, galeri ve stadyumun her biri kendi programıyla çalışır; kampüs gezisi dersliklere veya kapalı tesislere sınırsız giriş anlamına gelmez.</x:v>
      </x:c>
      <x:c r="G89" s="29" t="str">
        <x:v>bakersfield-college</x:v>
      </x:c>
      <x:c r="H89" s="29" t="str"/>
      <x:c r="I89" s="29" t="str">
        <x:v>bakersfield:src:17662</x:v>
      </x:c>
      <x:c r="J89" s="31" t="d">
        <x:v>2026-10-24T00:00:00.000Z</x:v>
      </x:c>
      <x:c r="K89" s="35" t="n">
        <x:v>321</x:v>
      </x:c>
      <x:c r="L89" s="29" t="str">
        <x:v>Hayır</x:v>
      </x:c>
      <x:c r="M89" s="29" t="str">
        <x:v>İnceleme</x:v>
      </x:c>
      <x:c r="N89" s="29" t="str">
        <x:v>Çocuklarla keşif</x:v>
      </x:c>
      <x:c r="O89" s="29" t="str">
        <x:v>Northeast / Panorama Drive</x:v>
      </x:c>
      <x:c r="P89" s="29" t="str">
        <x:v>Karma</x:v>
      </x:c>
      <x:c r="Q89" s="29" t="str">
        <x:v>1801 Panorama Drive, Bakersfield, California</x:v>
      </x:c>
      <x:c r="R89" s="33"/>
      <x:c r="S89" s="33"/>
      <x:c r="T89" s="29"/>
      <x:c r="U89" s="29"/>
      <x:c r="V89" s="29" t="str">
        <x:v>Hayır</x:v>
      </x:c>
      <x:c r="W89" s="29" t="str">
        <x:v>local-bakersfield-bakersfield-college</x:v>
      </x:c>
    </x:row>
    <x:row r="90" ht="96" customHeight="1">
      <x:c r="A90" s="29" t="str">
        <x:v>bakersfield:yer-local-bakersfield-federal-courthouse</x:v>
      </x:c>
      <x:c r="B90" s="29" t="str">
        <x:v>bakersfield</x:v>
      </x:c>
      <x:c r="C90" s="29" t="str">
        <x:v>yer-local-bakersfield-federal-courthouse</x:v>
      </x:c>
      <x:c r="D90" s="29" t="str">
        <x:v>Bakersfield Federal Courthouse</x:v>
      </x:c>
      <x:c r="E90" s="29" t="str">
        <x:v>Tarih ve mimari · Downtown / Mill Creek</x:v>
      </x:c>
      <x:c r="F90" s="29" t="str">
        <x:v>Mill Creek çevresindeki federal adliye, Downtown'ın tarihî ticaret yapılarından farklı bir çağdaş mimari örneğidir. Yapı ve çevresindeki kamusal yürüyüş alanı, kanal gezisiyle birlikte dışarıdan görülebilir. Mimari gezi ile adliye içine giriş aynı şey değildir; mahkeme alanları güvenlik ve resmî hizmet kurallarına tabidir.</x:v>
      </x:c>
      <x:c r="G90" s="29" t="str">
        <x:v>federal-courthouse</x:v>
      </x:c>
      <x:c r="H90" s="29" t="str"/>
      <x:c r="I90" s="29" t="str">
        <x:v>bakersfield:src:17814</x:v>
      </x:c>
      <x:c r="J90" s="31" t="d">
        <x:v>2026-10-24T00:00:00.000Z</x:v>
      </x:c>
      <x:c r="K90" s="35" t="n">
        <x:v>322</x:v>
      </x:c>
      <x:c r="L90" s="29" t="str">
        <x:v>Hayır</x:v>
      </x:c>
      <x:c r="M90" s="29" t="str">
        <x:v>İnceleme</x:v>
      </x:c>
      <x:c r="N90" s="29" t="str">
        <x:v>Tarih ve mimari</x:v>
      </x:c>
      <x:c r="O90" s="29" t="str">
        <x:v>Downtown / Mill Creek</x:v>
      </x:c>
      <x:c r="P90" s="29" t="str">
        <x:v>Karma</x:v>
      </x:c>
      <x:c r="Q90" s="29" t="str">
        <x:v>510 19th Street, Bakersfield, California</x:v>
      </x:c>
      <x:c r="R90" s="33"/>
      <x:c r="S90" s="33"/>
      <x:c r="T90" s="29"/>
      <x:c r="U90" s="29"/>
      <x:c r="V90" s="29" t="str">
        <x:v>Hayır</x:v>
      </x:c>
      <x:c r="W90" s="29" t="str">
        <x:v>local-bakersfield-federal-courthouse</x:v>
      </x:c>
    </x:row>
    <x:row r="91" ht="96" customHeight="1">
      <x:c r="A91" s="29" t="str">
        <x:v>bakersfield:yer-local-bakersfield-crites-building</x:v>
      </x:c>
      <x:c r="B91" s="29" t="str">
        <x:v>bakersfield</x:v>
      </x:c>
      <x:c r="C91" s="29" t="str">
        <x:v>yer-local-bakersfield-crites-building</x:v>
      </x:c>
      <x:c r="D91" s="29" t="str">
        <x:v>Arthur S. Crites Building</x:v>
      </x:c>
      <x:c r="E91" s="29" t="str">
        <x:v>Tarih ve mimari · Downtown</x:v>
      </x:c>
      <x:c r="F91" s="29" t="str">
        <x:v>19th Street üzerindeki bu köşe yapısı, Bakersfield’ın ticaret ve otel geçmişinin izlerini taşır. Kent tarih kurumu levhası binanın 1900’de tamamlandığını ve farklı ticari kullanımlardan geçtiğini anlatır. Durağı sokaktan mimari gözlem olarak ele al; ofis katları halka açık müze değildir.</x:v>
      </x:c>
      <x:c r="G91" s="29" t="str">
        <x:v>crites-building</x:v>
      </x:c>
      <x:c r="H91" s="29" t="str"/>
      <x:c r="I91" s="29" t="str">
        <x:v>bakersfield:src:17815</x:v>
      </x:c>
      <x:c r="J91" s="31" t="d">
        <x:v>2026-10-24T00:00:00.000Z</x:v>
      </x:c>
      <x:c r="K91" s="35" t="n">
        <x:v>323</x:v>
      </x:c>
      <x:c r="L91" s="29" t="str">
        <x:v>Hayır</x:v>
      </x:c>
      <x:c r="M91" s="29" t="str">
        <x:v>İnceleme</x:v>
      </x:c>
      <x:c r="N91" s="29" t="str">
        <x:v>Tarih ve mimari</x:v>
      </x:c>
      <x:c r="O91" s="29" t="str">
        <x:v>Downtown</x:v>
      </x:c>
      <x:c r="P91" s="29" t="str">
        <x:v>Karma</x:v>
      </x:c>
      <x:c r="Q91" s="29" t="str">
        <x:v>1601 19th Street, Bakersfield, CA</x:v>
      </x:c>
      <x:c r="R91" s="33"/>
      <x:c r="S91" s="33"/>
      <x:c r="T91" s="29"/>
      <x:c r="U91" s="29"/>
      <x:c r="V91" s="29" t="str">
        <x:v>Hayır</x:v>
      </x:c>
      <x:c r="W91" s="29" t="str">
        <x:v>local-bakersfield-crites-building</x:v>
      </x:c>
    </x:row>
    <x:row r="92" ht="110" customHeight="1">
      <x:c r="A92" s="29" t="str">
        <x:v>bakersfield:yer-local-bakersfield-wind-wolves</x:v>
      </x:c>
      <x:c r="B92" s="29" t="str">
        <x:v>bakersfield</x:v>
      </x:c>
      <x:c r="C92" s="29" t="str">
        <x:v>yer-local-bakersfield-wind-wolves</x:v>
      </x:c>
      <x:c r="D92" s="29" t="str">
        <x:v>Wind Wolves Preserve</x:v>
      </x:c>
      <x:c r="E92" s="29" t="str">
        <x:v>Doğa ve açık hava · Bölge gezisi / Bakersfield güneyi</x:v>
      </x:c>
      <x:c r="F92" s="29" t="str">
        <x:v>Wind Wolves, Bakersfield'ın güneyinde geniş çayır, yamaç ve kanyon peyzajını yürüyüşle tanıtan bir koruma alanıdır. The Wildlands Conservancy'nin yönettiği sahada farklı uzunlukta parkurlar ve takvimli doğa programları bulunur. İlkbahardaki yeşil görünüm ile yazın kuruyan ot örtüsü farklı deneyimlerdir; çiçeklenme her yıl aynı tarihte veya yoğunlukta gerçekleşmez.</x:v>
      </x:c>
      <x:c r="G92" s="29" t="str">
        <x:v>wind-wolves</x:v>
      </x:c>
      <x:c r="H92" s="29" t="str"/>
      <x:c r="I92" s="29" t="str">
        <x:v>bakersfield:src:17816</x:v>
      </x:c>
      <x:c r="J92" s="31" t="d">
        <x:v>2026-10-24T00:00:00.000Z</x:v>
      </x:c>
      <x:c r="K92" s="35" t="n">
        <x:v>324</x:v>
      </x:c>
      <x:c r="L92" s="29" t="str">
        <x:v>Hayır</x:v>
      </x:c>
      <x:c r="M92" s="29" t="str">
        <x:v>İnceleme</x:v>
      </x:c>
      <x:c r="N92" s="29" t="str">
        <x:v>Doğa ve açık hava</x:v>
      </x:c>
      <x:c r="O92" s="29" t="str">
        <x:v>Bölge gezisi / Bakersfield güneyi</x:v>
      </x:c>
      <x:c r="P92" s="29" t="str">
        <x:v>Açık hava</x:v>
      </x:c>
      <x:c r="Q92" s="29" t="str">
        <x:v>16019 Maricopa Highway, Bakersfield, California</x:v>
      </x:c>
      <x:c r="R92" s="33"/>
      <x:c r="S92" s="33"/>
      <x:c r="T92" s="29"/>
      <x:c r="U92" s="29"/>
      <x:c r="V92" s="29" t="str">
        <x:v>Hayır</x:v>
      </x:c>
      <x:c r="W92" s="29" t="str">
        <x:v>local-bakersfield-wind-wolves</x:v>
      </x:c>
    </x:row>
    <x:row r="93" ht="110" customHeight="1">
      <x:c r="A93" s="29" t="str">
        <x:v>bakersfield:yer-local-bakersfield-tule-elk</x:v>
      </x:c>
      <x:c r="B93" s="29" t="str">
        <x:v>bakersfield</x:v>
      </x:c>
      <x:c r="C93" s="29" t="str">
        <x:v>yer-local-bakersfield-tule-elk</x:v>
      </x:c>
      <x:c r="D93" s="29" t="str">
        <x:v>Tule Elk State Natural Reserve</x:v>
      </x:c>
      <x:c r="E93" s="29" t="str">
        <x:v>Doğa ve açık hava · Bölge gezisi / Tupman–Buttonwillow</x:v>
      </x:c>
      <x:c r="F93" s="29" t="str">
        <x:v>Tule elk sürüsünü korumaya odaklanan rezerv, San Joaquin Valley'nin yaban hayatını gözlemlemek için özel bir duraktır. Ziyaretçi alanı ve gözlem platformu, hayvanlara yaklaşmadan izlemeyi sağlar. Geniş arazide sürü her zaman yakında olmayabilir; dürbün yararlıdır. Burası serbestçe her noktasına yürünebilen bir kent parkı değildir.</x:v>
      </x:c>
      <x:c r="G93" s="29" t="str">
        <x:v>tule-elk</x:v>
      </x:c>
      <x:c r="H93" s="29" t="str"/>
      <x:c r="I93" s="29" t="str">
        <x:v>bakersfield:src:17817</x:v>
      </x:c>
      <x:c r="J93" s="31" t="d">
        <x:v>2026-10-24T00:00:00.000Z</x:v>
      </x:c>
      <x:c r="K93" s="35" t="n">
        <x:v>325</x:v>
      </x:c>
      <x:c r="L93" s="29" t="str">
        <x:v>Hayır</x:v>
      </x:c>
      <x:c r="M93" s="29" t="str">
        <x:v>İnceleme</x:v>
      </x:c>
      <x:c r="N93" s="29" t="str">
        <x:v>Doğa ve açık hava</x:v>
      </x:c>
      <x:c r="O93" s="29" t="str">
        <x:v>Bölge gezisi / Tupman–Buttonwillow</x:v>
      </x:c>
      <x:c r="P93" s="29" t="str">
        <x:v>Açık hava</x:v>
      </x:c>
      <x:c r="Q93" s="29" t="str">
        <x:v>8653 Station Road, Buttonwillow, California</x:v>
      </x:c>
      <x:c r="R93" s="33"/>
      <x:c r="S93" s="33"/>
      <x:c r="T93" s="29"/>
      <x:c r="U93" s="29"/>
      <x:c r="V93" s="29" t="str">
        <x:v>Hayır</x:v>
      </x:c>
      <x:c r="W93" s="29" t="str">
        <x:v>local-bakersfield-tule-elk</x:v>
      </x:c>
    </x:row>
    <x:row r="94" ht="110" customHeight="1">
      <x:c r="A94" s="29" t="str">
        <x:v>bakersfield:yer-local-bakersfield-fort-tejon</x:v>
      </x:c>
      <x:c r="B94" s="29" t="str">
        <x:v>bakersfield</x:v>
      </x:c>
      <x:c r="C94" s="29" t="str">
        <x:v>yer-local-bakersfield-fort-tejon</x:v>
      </x:c>
      <x:c r="D94" s="29" t="str">
        <x:v>Fort Tejon State Historic Park</x:v>
      </x:c>
      <x:c r="E94" s="29" t="str">
        <x:v>Tarih ve mimari · Bölge gezisi / Lebec</x:v>
      </x:c>
      <x:c r="F94" s="29" t="str">
        <x:v>Lebec yakınındaki Fort Tejon, kerpiç askerî yapılar ve geniş tören alanıyla 19. yüzyılın bölgesel tarihini anlatır. I-5 yönünde ayrı bir gün gezisidir. Park alanı gün doğumundan gün batımına kadar kullanılabilirken ziyaretçi merkezi ve sergiler salı–cumartesi 09.00–16.00 düzenindedir; açık alan ile sergi saatleri birbirinden ayrılır.</x:v>
      </x:c>
      <x:c r="G94" s="29" t="str">
        <x:v>fort-tejon</x:v>
      </x:c>
      <x:c r="H94" s="29" t="str"/>
      <x:c r="I94" s="29" t="str">
        <x:v>bakersfield:src:17818</x:v>
      </x:c>
      <x:c r="J94" s="31" t="d">
        <x:v>2026-10-24T00:00:00.000Z</x:v>
      </x:c>
      <x:c r="K94" s="35" t="n">
        <x:v>326</x:v>
      </x:c>
      <x:c r="L94" s="29" t="str">
        <x:v>Hayır</x:v>
      </x:c>
      <x:c r="M94" s="29" t="str">
        <x:v>İnceleme</x:v>
      </x:c>
      <x:c r="N94" s="29" t="str">
        <x:v>Tarih ve mimari</x:v>
      </x:c>
      <x:c r="O94" s="29" t="str">
        <x:v>Bölge gezisi / Lebec</x:v>
      </x:c>
      <x:c r="P94" s="29" t="str">
        <x:v>Karma</x:v>
      </x:c>
      <x:c r="Q94" s="29" t="str">
        <x:v>4201 Fort Tejon Road, Lebec, California</x:v>
      </x:c>
      <x:c r="R94" s="33"/>
      <x:c r="S94" s="33"/>
      <x:c r="T94" s="29"/>
      <x:c r="U94" s="29"/>
      <x:c r="V94" s="29" t="str">
        <x:v>Hayır</x:v>
      </x:c>
      <x:c r="W94" s="29" t="str">
        <x:v>local-bakersfield-fort-tejon</x:v>
      </x:c>
    </x:row>
    <x:row r="95" ht="96" customHeight="1">
      <x:c r="A95" s="29" t="str">
        <x:v>bakersfield:yer-local-bakersfield-chavez-monument</x:v>
      </x:c>
      <x:c r="B95" s="29" t="str">
        <x:v>bakersfield</x:v>
      </x:c>
      <x:c r="C95" s="29" t="str">
        <x:v>yer-local-bakersfield-chavez-monument</x:v>
      </x:c>
      <x:c r="D95" s="29" t="str">
        <x:v>César E. Chávez National Monument</x:v>
      </x:c>
      <x:c r="E95" s="29" t="str">
        <x:v>Tarih ve mimari · Bölge gezisi / Keene</x:v>
      </x:c>
      <x:c r="F95" s="29" t="str">
        <x:v>Keene'deki anıt, César Chávez'in yaşamını ve tarım işçilerinin örgütlenme mücadelesini anlatır. Ziyaretçi merkezi, korunmuş çalışma odası ve anma bahçesi aynı yerleşke içinde birbirini tamamlar. Bahçede César ve Helen Chávez'in mezarları bulunur. Bu nokta, Delano'daki Forty Acres tarihî alanıyla aynı yer değildir.</x:v>
      </x:c>
      <x:c r="G95" s="29" t="str">
        <x:v>chavez-monument</x:v>
      </x:c>
      <x:c r="H95" s="29" t="str"/>
      <x:c r="I95" s="29" t="str">
        <x:v>bakersfield:src:17819</x:v>
      </x:c>
      <x:c r="J95" s="31" t="d">
        <x:v>2026-10-24T00:00:00.000Z</x:v>
      </x:c>
      <x:c r="K95" s="35" t="n">
        <x:v>327</x:v>
      </x:c>
      <x:c r="L95" s="29" t="str">
        <x:v>Hayır</x:v>
      </x:c>
      <x:c r="M95" s="29" t="str">
        <x:v>İnceleme</x:v>
      </x:c>
      <x:c r="N95" s="29" t="str">
        <x:v>Tarih ve mimari</x:v>
      </x:c>
      <x:c r="O95" s="29" t="str">
        <x:v>Bölge gezisi / Keene</x:v>
      </x:c>
      <x:c r="P95" s="29" t="str">
        <x:v>Karma</x:v>
      </x:c>
      <x:c r="Q95" s="29" t="str">
        <x:v>29700 Woodford-Tehachapi Road, Keene, California</x:v>
      </x:c>
      <x:c r="R95" s="33"/>
      <x:c r="S95" s="33"/>
      <x:c r="T95" s="29"/>
      <x:c r="U95" s="29"/>
      <x:c r="V95" s="29" t="str">
        <x:v>Hayır</x:v>
      </x:c>
      <x:c r="W95" s="29" t="str">
        <x:v>local-bakersfield-chavez-monument</x:v>
      </x:c>
    </x:row>
    <x:row r="96" ht="110" customHeight="1">
      <x:c r="A96" s="29" t="str">
        <x:v>bakersfield:yer-local-bakersfield-forty-acres</x:v>
      </x:c>
      <x:c r="B96" s="29" t="str">
        <x:v>bakersfield</x:v>
      </x:c>
      <x:c r="C96" s="29" t="str">
        <x:v>yer-local-bakersfield-forty-acres</x:v>
      </x:c>
      <x:c r="D96" s="29" t="str">
        <x:v>The Forty Acres</x:v>
      </x:c>
      <x:c r="E96" s="29" t="str">
        <x:v>Tarih ve mimari · Bölge gezisi / Delano</x:v>
      </x:c>
      <x:c r="F96" s="29" t="str">
        <x:v>Delano'daki Forty Acres, tarım işçileri hareketinin örgütlenme ve toplumsal hizmet geçmişiyle bağlantılı tarihî yerleşkedir. Keene'deki ulusal anıttan ayrı, kuzey yönünde bir bölge gezisi olarak ele alınır. Alanın tarihini anlamak için kurumun düzenlediği ziyaret veya program kullanılır; özel çalışma ve konut alanlarına serbest giriş varsayılmaz.</x:v>
      </x:c>
      <x:c r="G96" s="29" t="str">
        <x:v>forty-acres</x:v>
      </x:c>
      <x:c r="H96" s="29" t="str"/>
      <x:c r="I96" s="29" t="str">
        <x:v>bakersfield:src:17820</x:v>
      </x:c>
      <x:c r="J96" s="31" t="d">
        <x:v>2026-10-24T00:00:00.000Z</x:v>
      </x:c>
      <x:c r="K96" s="35" t="n">
        <x:v>328</x:v>
      </x:c>
      <x:c r="L96" s="29" t="str">
        <x:v>Hayır</x:v>
      </x:c>
      <x:c r="M96" s="29" t="str">
        <x:v>İnceleme</x:v>
      </x:c>
      <x:c r="N96" s="29" t="str">
        <x:v>Tarih ve mimari</x:v>
      </x:c>
      <x:c r="O96" s="29" t="str">
        <x:v>Bölge gezisi / Delano</x:v>
      </x:c>
      <x:c r="P96" s="29" t="str">
        <x:v>Karma</x:v>
      </x:c>
      <x:c r="Q96" s="29" t="str">
        <x:v>30168 Garces Highway, Delano, California</x:v>
      </x:c>
      <x:c r="R96" s="33"/>
      <x:c r="S96" s="33"/>
      <x:c r="T96" s="29"/>
      <x:c r="U96" s="29"/>
      <x:c r="V96" s="29" t="str">
        <x:v>Hayır</x:v>
      </x:c>
      <x:c r="W96" s="29" t="str">
        <x:v>local-bakersfield-forty-acres</x:v>
      </x:c>
    </x:row>
    <x:row r="97" ht="96" customHeight="1">
      <x:c r="A97" s="29" t="str">
        <x:v>bakersfield:yer-local-bakersfield-minter-field</x:v>
      </x:c>
      <x:c r="B97" s="29" t="str">
        <x:v>bakersfield</x:v>
      </x:c>
      <x:c r="C97" s="29" t="str">
        <x:v>yer-local-bakersfield-minter-field</x:v>
      </x:c>
      <x:c r="D97" s="29" t="str">
        <x:v>Minter Field Air Museum</x:v>
      </x:c>
      <x:c r="E97" s="29" t="str">
        <x:v>Müzeler · Bölge gezisi / Shafter</x:v>
      </x:c>
      <x:c r="F97" s="29" t="str">
        <x:v>Shafter'daki Minter Field Air Museum, bölgenin askerî havacılık geçmişini uçaklar, fotoğraflar ve havacılık nesneleriyle anlatır. Açık alandaki hava araçları ile müze içi koleksiyon birlikte düşünülür. Müze faal havaalanı çevresindedir; ziyaret alanından pist ve operasyon sahasına geçiş yapılmaz.</x:v>
      </x:c>
      <x:c r="G97" s="29" t="str">
        <x:v>minter-field</x:v>
      </x:c>
      <x:c r="H97" s="29" t="str"/>
      <x:c r="I97" s="29" t="str">
        <x:v>bakersfield:src:17821</x:v>
      </x:c>
      <x:c r="J97" s="31" t="d">
        <x:v>2026-10-24T00:00:00.000Z</x:v>
      </x:c>
      <x:c r="K97" s="35" t="n">
        <x:v>329</x:v>
      </x:c>
      <x:c r="L97" s="29" t="str">
        <x:v>Hayır</x:v>
      </x:c>
      <x:c r="M97" s="29" t="str">
        <x:v>İnceleme</x:v>
      </x:c>
      <x:c r="N97" s="29" t="str">
        <x:v>Müzeler</x:v>
      </x:c>
      <x:c r="O97" s="29" t="str">
        <x:v>Bölge gezisi / Shafter</x:v>
      </x:c>
      <x:c r="P97" s="29" t="str">
        <x:v>Kapalı alan</x:v>
      </x:c>
      <x:c r="Q97" s="29" t="str">
        <x:v>401 Vultee Street, Shafter, California</x:v>
      </x:c>
      <x:c r="R97" s="33"/>
      <x:c r="S97" s="33"/>
      <x:c r="T97" s="29"/>
      <x:c r="U97" s="29"/>
      <x:c r="V97" s="29" t="str">
        <x:v>Hayır</x:v>
      </x:c>
      <x:c r="W97" s="29" t="str">
        <x:v>local-bakersfield-minter-field</x:v>
      </x:c>
    </x:row>
    <x:row r="98" ht="110" customHeight="1">
      <x:c r="A98" s="29" t="str">
        <x:v>bakersfield:yer-local-bakersfield-shafter-depot</x:v>
      </x:c>
      <x:c r="B98" s="29" t="str">
        <x:v>bakersfield</x:v>
      </x:c>
      <x:c r="C98" s="29" t="str">
        <x:v>yer-local-bakersfield-shafter-depot</x:v>
      </x:c>
      <x:c r="D98" s="29" t="str">
        <x:v>Shafter Depot Museum</x:v>
      </x:c>
      <x:c r="E98" s="29" t="str">
        <x:v>Müzeler · Bölge gezisi / Shafter</x:v>
      </x:c>
      <x:c r="F98" s="29" t="str">
        <x:v>Eski istasyon yapısındaki Shafter Depot Museum, demiryolunu kasabanın tarım ve yerleşim tarihiyle ilişkilendirir. Sarı cepheli bina ve istasyon çevresi, Bakersfield'ın kuzeybatısında kısa bir tarih gezisinin odağı olabilir. Müze, Shafter Historical Society tarafından yürütülür; yakındaki Green Hotel ayrı bir tarihî duraktır.</x:v>
      </x:c>
      <x:c r="G98" s="29" t="str">
        <x:v>shafter-depot</x:v>
      </x:c>
      <x:c r="H98" s="29" t="str"/>
      <x:c r="I98" s="29" t="str">
        <x:v>bakersfield:src:17822</x:v>
      </x:c>
      <x:c r="J98" s="31" t="d">
        <x:v>2026-10-24T00:00:00.000Z</x:v>
      </x:c>
      <x:c r="K98" s="35" t="n">
        <x:v>330</x:v>
      </x:c>
      <x:c r="L98" s="29" t="str">
        <x:v>Hayır</x:v>
      </x:c>
      <x:c r="M98" s="29" t="str">
        <x:v>İnceleme</x:v>
      </x:c>
      <x:c r="N98" s="29" t="str">
        <x:v>Müzeler</x:v>
      </x:c>
      <x:c r="O98" s="29" t="str">
        <x:v>Bölge gezisi / Shafter</x:v>
      </x:c>
      <x:c r="P98" s="29" t="str">
        <x:v>Kapalı alan</x:v>
      </x:c>
      <x:c r="Q98" s="29" t="str">
        <x:v>150 Central Valley Highway, Shafter, California</x:v>
      </x:c>
      <x:c r="R98" s="33"/>
      <x:c r="S98" s="33"/>
      <x:c r="T98" s="29"/>
      <x:c r="U98" s="29"/>
      <x:c r="V98" s="29" t="str">
        <x:v>Hayır</x:v>
      </x:c>
      <x:c r="W98" s="29" t="str">
        <x:v>local-bakersfield-shafter-depot</x:v>
      </x:c>
    </x:row>
    <x:row r="99" ht="96" customHeight="1">
      <x:c r="A99" s="29" t="str">
        <x:v>bakersfield:yer-local-bakersfield-green-hotel</x:v>
      </x:c>
      <x:c r="B99" s="29" t="str">
        <x:v>bakersfield</x:v>
      </x:c>
      <x:c r="C99" s="29" t="str">
        <x:v>yer-local-bakersfield-green-hotel</x:v>
      </x:c>
      <x:c r="D99" s="29" t="str">
        <x:v>Historic Green Hotel</x:v>
      </x:c>
      <x:c r="E99" s="29" t="str">
        <x:v>Tarih ve mimari · Bölge gezisi / Shafter</x:v>
      </x:c>
      <x:c r="F99" s="29" t="str">
        <x:v>1913'te yeni kasabadaki arsa alıcılarına konaklama sağlamak amacıyla yapılan Green Hotel, Shafter'ın erken gelişim dönemini temsil eder. Restore edilen otel, kasaba merkezinde Depot Museum ile birlikte ele alınabilir. İç ziyaret davet veya randevulu tur düzenindedir; günlük açık müze gibi sürekli giriş sözü verilmez.</x:v>
      </x:c>
      <x:c r="G99" s="29" t="str">
        <x:v>green-hotel</x:v>
      </x:c>
      <x:c r="H99" s="29" t="str"/>
      <x:c r="I99" s="29" t="str">
        <x:v>bakersfield:src:17823</x:v>
      </x:c>
      <x:c r="J99" s="31" t="d">
        <x:v>2026-10-24T00:00:00.000Z</x:v>
      </x:c>
      <x:c r="K99" s="35" t="n">
        <x:v>331</x:v>
      </x:c>
      <x:c r="L99" s="29" t="str">
        <x:v>Hayır</x:v>
      </x:c>
      <x:c r="M99" s="29" t="str">
        <x:v>İnceleme</x:v>
      </x:c>
      <x:c r="N99" s="29" t="str">
        <x:v>Tarih ve mimari</x:v>
      </x:c>
      <x:c r="O99" s="29" t="str">
        <x:v>Bölge gezisi / Shafter</x:v>
      </x:c>
      <x:c r="P99" s="29" t="str">
        <x:v>Karma</x:v>
      </x:c>
      <x:c r="Q99" s="29" t="str">
        <x:v>320 James Street, Shafter, California</x:v>
      </x:c>
      <x:c r="R99" s="33"/>
      <x:c r="S99" s="33"/>
      <x:c r="T99" s="29"/>
      <x:c r="U99" s="29"/>
      <x:c r="V99" s="29" t="str">
        <x:v>Hayır</x:v>
      </x:c>
      <x:c r="W99" s="29" t="str">
        <x:v>local-bakersfield-green-hotel</x:v>
      </x:c>
    </x:row>
    <x:row r="100" ht="110" customHeight="1">
      <x:c r="A100" s="29" t="str">
        <x:v>bakersfield:yer-local-bakersfield-west-kern-oil</x:v>
      </x:c>
      <x:c r="B100" s="29" t="str">
        <x:v>bakersfield</x:v>
      </x:c>
      <x:c r="C100" s="29" t="str">
        <x:v>yer-local-bakersfield-west-kern-oil</x:v>
      </x:c>
      <x:c r="D100" s="29" t="str">
        <x:v>West Kern Oil Museum</x:v>
      </x:c>
      <x:c r="E100" s="29" t="str">
        <x:v>Müzeler · Bölge gezisi / Taft</x:v>
      </x:c>
      <x:c r="F100" s="29" t="str">
        <x:v>Taft'taki müze, petrol sahalarında kullanılan ekipmanları, işlikleri ve işçi yaşamına ait yapıları açık ve kapalı sergilerde bir araya getirir. Ahşap sondaj kulesi bölgenin üretim geçmişini görünür kılar. Müzenin kendi güncel sayfası ziyaret günlerini cuma ve cumartesi 10.00–16.00 olarak verir; burası Bakersfield merkezindeki Kern County Museum'dan farklı bir kurumdur.</x:v>
      </x:c>
      <x:c r="G100" s="29" t="str">
        <x:v>west-kern-oil</x:v>
      </x:c>
      <x:c r="H100" s="29" t="str"/>
      <x:c r="I100" s="29" t="str">
        <x:v>bakersfield:src:17824</x:v>
      </x:c>
      <x:c r="J100" s="31" t="d">
        <x:v>2026-10-24T00:00:00.000Z</x:v>
      </x:c>
      <x:c r="K100" s="35" t="n">
        <x:v>332</x:v>
      </x:c>
      <x:c r="L100" s="29" t="str">
        <x:v>Hayır</x:v>
      </x:c>
      <x:c r="M100" s="29" t="str">
        <x:v>İnceleme</x:v>
      </x:c>
      <x:c r="N100" s="29" t="str">
        <x:v>Müzeler</x:v>
      </x:c>
      <x:c r="O100" s="29" t="str">
        <x:v>Bölge gezisi / Taft</x:v>
      </x:c>
      <x:c r="P100" s="29" t="str">
        <x:v>Kapalı alan</x:v>
      </x:c>
      <x:c r="Q100" s="29" t="str">
        <x:v>1168 Wood Street, Taft, California</x:v>
      </x:c>
      <x:c r="R100" s="33"/>
      <x:c r="S100" s="33"/>
      <x:c r="T100" s="29"/>
      <x:c r="U100" s="29"/>
      <x:c r="V100" s="29" t="str">
        <x:v>Hayır</x:v>
      </x:c>
      <x:c r="W100" s="29" t="str">
        <x:v>local-bakersfield-west-kern-oil</x:v>
      </x:c>
    </x:row>
    <x:row r="101" ht="124" customHeight="1">
      <x:c r="A101" s="29" t="str">
        <x:v>bakersfield:yer-local-bakersfield-taft-fort</x:v>
      </x:c>
      <x:c r="B101" s="29" t="str">
        <x:v>bakersfield</x:v>
      </x:c>
      <x:c r="C101" s="29" t="str">
        <x:v>yer-local-bakersfield-taft-fort</x:v>
      </x:c>
      <x:c r="D101" s="29" t="str">
        <x:v>The Historic Fort – Taft</x:v>
      </x:c>
      <x:c r="E101" s="29" t="str">
        <x:v>Tarih ve mimari · Bölge gezisi / Taft</x:v>
      </x:c>
      <x:c r="F101" s="29" t="str">
        <x:v>Taft'ın kerpiç surlarla çevrili The Fort yapısı, 1938–1940 döneminde WPA ile Kern County tarafından inşa edildi. Sacramento'daki Sutter's Fort örnek alınarak yapılan yerleşke, geçmişte kamu daireleri ve hastaneyi barındırdı. Bugün avluları ve salonu topluluk buluşmaları, düğünler ve diğer etkinlikler için kullanılıyor. Mimari gezi için kent merkezinden ayrı bir Taft durağıdır.</x:v>
      </x:c>
      <x:c r="G101" s="29" t="str">
        <x:v>taft-fort</x:v>
      </x:c>
      <x:c r="H101" s="29" t="str"/>
      <x:c r="I101" s="29" t="str">
        <x:v>bakersfield:src:17825</x:v>
      </x:c>
      <x:c r="J101" s="31" t="d">
        <x:v>2026-10-24T00:00:00.000Z</x:v>
      </x:c>
      <x:c r="K101" s="35" t="n">
        <x:v>333</x:v>
      </x:c>
      <x:c r="L101" s="29" t="str">
        <x:v>Hayır</x:v>
      </x:c>
      <x:c r="M101" s="29" t="str">
        <x:v>İnceleme</x:v>
      </x:c>
      <x:c r="N101" s="29" t="str">
        <x:v>Tarih ve mimari</x:v>
      </x:c>
      <x:c r="O101" s="29" t="str">
        <x:v>Bölge gezisi / Taft</x:v>
      </x:c>
      <x:c r="P101" s="29" t="str">
        <x:v>Karma</x:v>
      </x:c>
      <x:c r="Q101" s="29" t="str">
        <x:v>915 North 10th Street, Taft, California</x:v>
      </x:c>
      <x:c r="R101" s="33"/>
      <x:c r="S101" s="33"/>
      <x:c r="T101" s="29"/>
      <x:c r="U101" s="29"/>
      <x:c r="V101" s="29" t="str">
        <x:v>Hayır</x:v>
      </x:c>
      <x:c r="W101" s="29" t="str">
        <x:v>local-bakersfield-taft-fort</x:v>
      </x:c>
    </x:row>
    <x:row r="102" ht="96" customHeight="1">
      <x:c r="A102" s="29" t="str">
        <x:v>bakersfield:yer-local-bakersfield-taft-fox</x:v>
      </x:c>
      <x:c r="B102" s="29" t="str">
        <x:v>bakersfield</x:v>
      </x:c>
      <x:c r="C102" s="29" t="str">
        <x:v>yer-local-bakersfield-taft-fox</x:v>
      </x:c>
      <x:c r="D102" s="29" t="str">
        <x:v>Taft Fox Theatre</x:v>
      </x:c>
      <x:c r="E102" s="29" t="str">
        <x:v>Sahne ve müzik · Bölge gezisi / Taft</x:v>
      </x:c>
      <x:c r="F102" s="29" t="str">
        <x:v>Center Street üzerindeki Fox, Taft'ın tarihî şehir merkezi sinema yapısıdır. Cephesi ve tabelası kentteki kısa yürüyüşün belirgin duraklarından biridir. Bu yapı Bakersfield Fox Theater ile aynı salon değildir; film veya sahne deneyimi için Taft'taki işletmenin programı esas alınır.</x:v>
      </x:c>
      <x:c r="G102" s="29" t="str">
        <x:v>taft-fox</x:v>
      </x:c>
      <x:c r="H102" s="29" t="str"/>
      <x:c r="I102" s="29" t="str">
        <x:v>bakersfield:src:17826</x:v>
      </x:c>
      <x:c r="J102" s="31" t="d">
        <x:v>2026-10-24T00:00:00.000Z</x:v>
      </x:c>
      <x:c r="K102" s="35" t="n">
        <x:v>334</x:v>
      </x:c>
      <x:c r="L102" s="29" t="str">
        <x:v>Hayır</x:v>
      </x:c>
      <x:c r="M102" s="29" t="str">
        <x:v>İnceleme</x:v>
      </x:c>
      <x:c r="N102" s="29" t="str">
        <x:v>Sahne ve müzik</x:v>
      </x:c>
      <x:c r="O102" s="29" t="str">
        <x:v>Bölge gezisi / Taft</x:v>
      </x:c>
      <x:c r="P102" s="29" t="str">
        <x:v>Kapalı alan</x:v>
      </x:c>
      <x:c r="Q102" s="29" t="str">
        <x:v>514 Center Street, Taft, California</x:v>
      </x:c>
      <x:c r="R102" s="33"/>
      <x:c r="S102" s="33"/>
      <x:c r="T102" s="29"/>
      <x:c r="U102" s="29"/>
      <x:c r="V102" s="29" t="str">
        <x:v>Hayır</x:v>
      </x:c>
      <x:c r="W102" s="29" t="str">
        <x:v>local-bakersfield-taft-fox</x:v>
      </x:c>
    </x:row>
    <x:row r="103" ht="110" customHeight="1">
      <x:c r="A103" s="29" t="str">
        <x:v>bakersfield:yer-local-bakersfield-beekay-theatre</x:v>
      </x:c>
      <x:c r="B103" s="29" t="str">
        <x:v>bakersfield</x:v>
      </x:c>
      <x:c r="C103" s="29" t="str">
        <x:v>yer-local-bakersfield-beekay-theatre</x:v>
      </x:c>
      <x:c r="D103" s="29" t="str">
        <x:v>BeeKay Theatre</x:v>
      </x:c>
      <x:c r="E103" s="29" t="str">
        <x:v>Sahne ve müzik · Bölge gezisi / Tehachapi</x:v>
      </x:c>
      <x:c r="F103" s="29" t="str">
        <x:v>Tehachapi'nin tarihî BeeKay yapısı, restore edilmiş Art Deco cephesinin arkasında güncel topluluk tiyatrosuna ev sahipliği yapar. Tehachapi Community Theatre Association'ın oyunları ve özel programları, kent merkezindeki gezinin akşam ayağını oluşturabilir. 110 South Green Street adresi, Bakersfield'daki tiyatrolardan ayrı bir bölge yolculuğudur.</x:v>
      </x:c>
      <x:c r="G103" s="29" t="str">
        <x:v>beekay-theatre</x:v>
      </x:c>
      <x:c r="H103" s="29" t="str"/>
      <x:c r="I103" s="29" t="str">
        <x:v>bakersfield:src:17827</x:v>
      </x:c>
      <x:c r="J103" s="31" t="d">
        <x:v>2026-10-24T00:00:00.000Z</x:v>
      </x:c>
      <x:c r="K103" s="35" t="n">
        <x:v>335</x:v>
      </x:c>
      <x:c r="L103" s="29" t="str">
        <x:v>Hayır</x:v>
      </x:c>
      <x:c r="M103" s="29" t="str">
        <x:v>İnceleme</x:v>
      </x:c>
      <x:c r="N103" s="29" t="str">
        <x:v>Sahne ve müzik</x:v>
      </x:c>
      <x:c r="O103" s="29" t="str">
        <x:v>Bölge gezisi / Tehachapi</x:v>
      </x:c>
      <x:c r="P103" s="29" t="str">
        <x:v>Kapalı alan</x:v>
      </x:c>
      <x:c r="Q103" s="29" t="str">
        <x:v>110 South Green Street, Tehachapi, California</x:v>
      </x:c>
      <x:c r="R103" s="33"/>
      <x:c r="S103" s="33"/>
      <x:c r="T103" s="29"/>
      <x:c r="U103" s="29"/>
      <x:c r="V103" s="29" t="str">
        <x:v>Hayır</x:v>
      </x:c>
      <x:c r="W103" s="29" t="str">
        <x:v>local-bakersfield-beekay-theatre</x:v>
      </x:c>
    </x:row>
    <x:row r="104" ht="96" customHeight="1">
      <x:c r="A104" s="29" t="str">
        <x:v>bakersfield:yer-local-bakersfield-errea-house</x:v>
      </x:c>
      <x:c r="B104" s="29" t="str">
        <x:v>bakersfield</x:v>
      </x:c>
      <x:c r="C104" s="29" t="str">
        <x:v>yer-local-bakersfield-errea-house</x:v>
      </x:c>
      <x:c r="D104" s="29" t="str">
        <x:v>Errea House Museum</x:v>
      </x:c>
      <x:c r="E104" s="29" t="str">
        <x:v>Müzeler · Bölge gezisi / Tehachapi</x:v>
      </x:c>
      <x:c r="F104" s="29" t="str">
        <x:v>Errea House, bugünkü Tehachapi'den önceki Tehichipa yerleşiminden kalan ev olarak bölgenin erken yaşamını anlatır. Küçük ev ölçeği, demiryolu yapılarıyla tanınan kent merkezine farklı bir tarih katmanı ekler. Green Street üzerindeki konumu BeeKay çevresindeki yürüyüşle birlikte değerlendirilebilir.</x:v>
      </x:c>
      <x:c r="G104" s="29" t="str">
        <x:v>errea-house</x:v>
      </x:c>
      <x:c r="H104" s="29" t="str"/>
      <x:c r="I104" s="29" t="str">
        <x:v>bakersfield:src:17828</x:v>
      </x:c>
      <x:c r="J104" s="31" t="d">
        <x:v>2026-10-24T00:00:00.000Z</x:v>
      </x:c>
      <x:c r="K104" s="35" t="n">
        <x:v>336</x:v>
      </x:c>
      <x:c r="L104" s="29" t="str">
        <x:v>Hayır</x:v>
      </x:c>
      <x:c r="M104" s="29" t="str">
        <x:v>İnceleme</x:v>
      </x:c>
      <x:c r="N104" s="29" t="str">
        <x:v>Müzeler</x:v>
      </x:c>
      <x:c r="O104" s="29" t="str">
        <x:v>Bölge gezisi / Tehachapi</x:v>
      </x:c>
      <x:c r="P104" s="29" t="str">
        <x:v>Kapalı alan</x:v>
      </x:c>
      <x:c r="Q104" s="29" t="str">
        <x:v>311 South Green Street, Tehachapi, California</x:v>
      </x:c>
      <x:c r="R104" s="33"/>
      <x:c r="S104" s="33"/>
      <x:c r="T104" s="29"/>
      <x:c r="U104" s="29"/>
      <x:c r="V104" s="29" t="str">
        <x:v>Hayır</x:v>
      </x:c>
      <x:c r="W104" s="29" t="str">
        <x:v>local-bakersfield-errea-house</x:v>
      </x:c>
    </x:row>
    <x:row r="105" ht="110" customHeight="1">
      <x:c r="A105" s="29" t="str">
        <x:v>bakersfield:yer-local-bakersfield-tehachapi-loop</x:v>
      </x:c>
      <x:c r="B105" s="29" t="str">
        <x:v>bakersfield</x:v>
      </x:c>
      <x:c r="C105" s="29" t="str">
        <x:v>yer-local-bakersfield-tehachapi-loop</x:v>
      </x:c>
      <x:c r="D105" s="29" t="str">
        <x:v>Tehachapi Loop</x:v>
      </x:c>
      <x:c r="E105" s="29" t="str">
        <x:v>Tarih ve mimari · Bölge gezisi / Keene–Tehachapi</x:v>
      </x:c>
      <x:c r="F105" s="29" t="str">
        <x:v>Tehachapi Loop, trenlerin yükselti kazanmasını sağlayan spiral demiryolu düzeniyle mühendislik tarihinin görünür örneklerinden biridir. Uzun bir yük treninin kendi hattının üzerinden geçtiği an, uygun zamanda çevredeki izinli gözlem noktalarından izlenebilir. Aktif hat ziyaret alanı değildir; fotoğraf için raylara veya özel demiryolu arazisine girilmez.</x:v>
      </x:c>
      <x:c r="G105" s="29" t="str">
        <x:v>tehachapi-loop</x:v>
      </x:c>
      <x:c r="H105" s="29" t="str"/>
      <x:c r="I105" s="29" t="str">
        <x:v>bakersfield:src:17829</x:v>
      </x:c>
      <x:c r="J105" s="31" t="d">
        <x:v>2026-10-24T00:00:00.000Z</x:v>
      </x:c>
      <x:c r="K105" s="35" t="n">
        <x:v>337</x:v>
      </x:c>
      <x:c r="L105" s="29" t="str">
        <x:v>Hayır</x:v>
      </x:c>
      <x:c r="M105" s="29" t="str">
        <x:v>İnceleme</x:v>
      </x:c>
      <x:c r="N105" s="29" t="str">
        <x:v>Tarih ve mimari</x:v>
      </x:c>
      <x:c r="O105" s="29" t="str">
        <x:v>Bölge gezisi / Keene–Tehachapi</x:v>
      </x:c>
      <x:c r="P105" s="29" t="str">
        <x:v>Karma</x:v>
      </x:c>
      <x:c r="Q105" s="29" t="str">
        <x:v>Tehachapi Loop, Woodford-Tehachapi Road, Keene, California</x:v>
      </x:c>
      <x:c r="R105" s="33"/>
      <x:c r="S105" s="33"/>
      <x:c r="T105" s="29"/>
      <x:c r="U105" s="29"/>
      <x:c r="V105" s="29" t="str">
        <x:v>Hayır</x:v>
      </x:c>
      <x:c r="W105" s="29" t="str">
        <x:v>local-bakersfield-tehachapi-loop</x:v>
      </x:c>
    </x:row>
    <x:row r="106" ht="96" customHeight="1">
      <x:c r="A106" s="29" t="str">
        <x:v>bakersfield:yer-local-bakersfield-lake-isabella</x:v>
      </x:c>
      <x:c r="B106" s="29" t="str">
        <x:v>bakersfield</x:v>
      </x:c>
      <x:c r="C106" s="29" t="str">
        <x:v>yer-local-bakersfield-lake-isabella</x:v>
      </x:c>
      <x:c r="D106" s="29" t="str">
        <x:v>Lake Isabella</x:v>
      </x:c>
      <x:c r="E106" s="29" t="str">
        <x:v>Doğa ve açık hava · Bölge gezisi / Kern River Valley</x:v>
      </x:c>
      <x:c r="F106" s="29" t="str">
        <x:v>Lake Isabella, Kern River Valley'de dağlarla çevrili büyük bir rezervuardır. Farklı kıyılar kamp, tekne ve manzara deneyimleri sunar; tek bir giriş ve tek tip kıyı hizmeti yoktur. Su seviyesi fotoğraflardaki çizgiden farklı olabilir. Günübirlik gezi için seçilen kıyı alanı ve gerekiyorsa tekne kuralları ayrı belirlenir.</x:v>
      </x:c>
      <x:c r="G106" s="29" t="str">
        <x:v>lake-isabella</x:v>
      </x:c>
      <x:c r="H106" s="29" t="str"/>
      <x:c r="I106" s="29" t="str">
        <x:v>bakersfield:src:17726</x:v>
      </x:c>
      <x:c r="J106" s="31" t="d">
        <x:v>2026-10-24T00:00:00.000Z</x:v>
      </x:c>
      <x:c r="K106" s="35" t="n">
        <x:v>338</x:v>
      </x:c>
      <x:c r="L106" s="29" t="str">
        <x:v>Hayır</x:v>
      </x:c>
      <x:c r="M106" s="29" t="str">
        <x:v>İnceleme</x:v>
      </x:c>
      <x:c r="N106" s="29" t="str">
        <x:v>Doğa ve açık hava</x:v>
      </x:c>
      <x:c r="O106" s="29" t="str">
        <x:v>Bölge gezisi / Kern River Valley</x:v>
      </x:c>
      <x:c r="P106" s="29" t="str">
        <x:v>Açık hava</x:v>
      </x:c>
      <x:c r="Q106" s="29" t="str">
        <x:v>Lake Isabella, Kern County, California</x:v>
      </x:c>
      <x:c r="R106" s="33"/>
      <x:c r="S106" s="33"/>
      <x:c r="T106" s="29"/>
      <x:c r="U106" s="29"/>
      <x:c r="V106" s="29" t="str">
        <x:v>Hayır</x:v>
      </x:c>
      <x:c r="W106" s="29" t="str">
        <x:v>local-bakersfield-lake-isabella</x:v>
      </x:c>
    </x:row>
    <x:row r="107" ht="110" customHeight="1">
      <x:c r="A107" s="29" t="str">
        <x:v>bakersfield:yer-local-bakersfield-kernville-riverside</x:v>
      </x:c>
      <x:c r="B107" s="29" t="str">
        <x:v>bakersfield</x:v>
      </x:c>
      <x:c r="C107" s="29" t="str">
        <x:v>yer-local-bakersfield-kernville-riverside</x:v>
      </x:c>
      <x:c r="D107" s="29" t="str">
        <x:v>Riverside Park – Kernville</x:v>
      </x:c>
      <x:c r="E107" s="29" t="str">
        <x:v>Doğa ve açık hava · Bölge gezisi / Kernville</x:v>
      </x:c>
      <x:c r="F107" s="29" t="str">
        <x:v>Kernville merkezindeki nehir kıyısı parkı, ağaç gölgesi ve dağ arka planıyla Kern River Valley gezisine kısa bir dinlenme alanı ekler. Çevredeki kasaba sokaklarından yürüyerek ulaşılır. Kıyıda oturmak ve manzara izlemek, güçlü akıntılı nehirde yüzmeyle aynı etkinlik değildir; çocuklarla ziyaret kıyı kenarında yakın gözetim gerektirir.</x:v>
      </x:c>
      <x:c r="G107" s="29" t="str">
        <x:v>kernville-riverside</x:v>
      </x:c>
      <x:c r="H107" s="29" t="str"/>
      <x:c r="I107" s="29" t="str">
        <x:v>bakersfield:src:17898</x:v>
      </x:c>
      <x:c r="J107" s="31" t="d">
        <x:v>2026-10-24T00:00:00.000Z</x:v>
      </x:c>
      <x:c r="K107" s="35" t="n">
        <x:v>339</x:v>
      </x:c>
      <x:c r="L107" s="29" t="str">
        <x:v>Hayır</x:v>
      </x:c>
      <x:c r="M107" s="29" t="str">
        <x:v>İnceleme</x:v>
      </x:c>
      <x:c r="N107" s="29" t="str">
        <x:v>Doğa ve açık hava</x:v>
      </x:c>
      <x:c r="O107" s="29" t="str">
        <x:v>Bölge gezisi / Kernville</x:v>
      </x:c>
      <x:c r="P107" s="29" t="str">
        <x:v>Açık hava</x:v>
      </x:c>
      <x:c r="Q107" s="29" t="str">
        <x:v>10 Kern River Drive, Kernville, California</x:v>
      </x:c>
      <x:c r="R107" s="33"/>
      <x:c r="S107" s="33"/>
      <x:c r="T107" s="29"/>
      <x:c r="U107" s="29"/>
      <x:c r="V107" s="29" t="str">
        <x:v>Hayır</x:v>
      </x:c>
      <x:c r="W107" s="29" t="str">
        <x:v>local-bakersfield-kernville-riverside</x:v>
      </x:c>
    </x:row>
    <x:row r="108" ht="110" customHeight="1">
      <x:c r="A108" s="29" t="str">
        <x:v>bakersfield:yer-local-bakersfield-silver-city</x:v>
      </x:c>
      <x:c r="B108" s="29" t="str">
        <x:v>bakersfield</x:v>
      </x:c>
      <x:c r="C108" s="29" t="str">
        <x:v>yer-local-bakersfield-silver-city</x:v>
      </x:c>
      <x:c r="D108" s="29" t="str">
        <x:v>Silver City Ghost Town</x:v>
      </x:c>
      <x:c r="E108" s="29" t="str">
        <x:v>Müzeler · Bölge gezisi / Bodfish</x:v>
      </x:c>
      <x:c r="F108" s="29" t="str">
        <x:v>Bodfish'teki Silver City, farklı tarihî yapıların bir araya getirildiği açık hava yerleşke düzeniyle bölgenin madencilik geçmişini anlatır. Ahşap cepheler, eski ekipmanlar ve iç mekân düzenlemeleri tek bir müze alanının parçalarıdır. Her bina ayrı bir şehir mekânı olarak sayılmaz; ziyaret Bodfish'te bütünlüklü bir durak şeklinde planlanır.</x:v>
      </x:c>
      <x:c r="G108" s="29" t="str">
        <x:v>silver-city</x:v>
      </x:c>
      <x:c r="H108" s="29" t="str"/>
      <x:c r="I108" s="29" t="str">
        <x:v>bakersfield:src:17830</x:v>
      </x:c>
      <x:c r="J108" s="31" t="d">
        <x:v>2026-10-24T00:00:00.000Z</x:v>
      </x:c>
      <x:c r="K108" s="35" t="n">
        <x:v>340</x:v>
      </x:c>
      <x:c r="L108" s="29" t="str">
        <x:v>Hayır</x:v>
      </x:c>
      <x:c r="M108" s="29" t="str">
        <x:v>İnceleme</x:v>
      </x:c>
      <x:c r="N108" s="29" t="str">
        <x:v>Müzeler</x:v>
      </x:c>
      <x:c r="O108" s="29" t="str">
        <x:v>Bölge gezisi / Bodfish</x:v>
      </x:c>
      <x:c r="P108" s="29" t="str">
        <x:v>Kapalı alan</x:v>
      </x:c>
      <x:c r="Q108" s="29" t="str">
        <x:v>3829 Lake Isabella Boulevard, Bodfish, California</x:v>
      </x:c>
      <x:c r="R108" s="33"/>
      <x:c r="S108" s="33"/>
      <x:c r="T108" s="29"/>
      <x:c r="U108" s="29"/>
      <x:c r="V108" s="29" t="str">
        <x:v>Hayır</x:v>
      </x:c>
      <x:c r="W108" s="29" t="str">
        <x:v>local-bakersfield-silver-city</x:v>
      </x:c>
    </x:row>
    <x:row r="109" ht="110" customHeight="1">
      <x:c r="A109" s="29" t="str">
        <x:v>bakersfield:yer-local-bakersfield-nuui-cunni</x:v>
      </x:c>
      <x:c r="B109" s="29" t="str">
        <x:v>bakersfield</x:v>
      </x:c>
      <x:c r="C109" s="29" t="str">
        <x:v>yer-local-bakersfield-nuui-cunni</x:v>
      </x:c>
      <x:c r="D109" s="29" t="str">
        <x:v>Nuui Cunni Native American Intertribal Cultural Center</x:v>
      </x:c>
      <x:c r="E109" s="29" t="str">
        <x:v>Müzeler · Bölge gezisi / Lake Isabella</x:v>
      </x:c>
      <x:c r="F109" s="29" t="str">
        <x:v>Nuui Cunni, Kern River Valley'deki Yerli halkların kültürlerini tanıtan bir topluluk merkezidir. Sergiler, el sanatları ve kültürel programlar, Lake Isabella çevresine insan hikâyeleri üzerinden bakmayı sağlar. Yerli bitkilerle ilişkilendirilen açık alanı da bu anlatının parçasıdır. Merkez, French Gulch çevresinde göl gezisiyle birleştirilebilen ayrı bir kültür durağıdır.</x:v>
      </x:c>
      <x:c r="G109" s="29" t="str">
        <x:v>nuui-cunni</x:v>
      </x:c>
      <x:c r="H109" s="29" t="str"/>
      <x:c r="I109" s="29" t="str">
        <x:v>bakersfield:src:17831</x:v>
      </x:c>
      <x:c r="J109" s="31" t="d">
        <x:v>2026-10-24T00:00:00.000Z</x:v>
      </x:c>
      <x:c r="K109" s="35" t="n">
        <x:v>341</x:v>
      </x:c>
      <x:c r="L109" s="29" t="str">
        <x:v>Hayır</x:v>
      </x:c>
      <x:c r="M109" s="29" t="str">
        <x:v>İnceleme</x:v>
      </x:c>
      <x:c r="N109" s="29" t="str">
        <x:v>Müzeler</x:v>
      </x:c>
      <x:c r="O109" s="29" t="str">
        <x:v>Bölge gezisi / Lake Isabella</x:v>
      </x:c>
      <x:c r="P109" s="29" t="str">
        <x:v>Kapalı alan</x:v>
      </x:c>
      <x:c r="Q109" s="29" t="str">
        <x:v>2600 Highway 155, Lake Isabella, California</x:v>
      </x:c>
      <x:c r="R109" s="33"/>
      <x:c r="S109" s="33"/>
      <x:c r="T109" s="29"/>
      <x:c r="U109" s="29"/>
      <x:c r="V109" s="29" t="str">
        <x:v>Hayır</x:v>
      </x:c>
      <x:c r="W109" s="29" t="str">
        <x:v>local-bakersfield-nuui-cunni</x:v>
      </x:c>
    </x:row>
    <x:row r="110" ht="124" customHeight="1">
      <x:c r="A110" s="29" t="str">
        <x:v>bakersfield:yer-local-bakersfield-tortoise-area</x:v>
      </x:c>
      <x:c r="B110" s="29" t="str">
        <x:v>bakersfield</x:v>
      </x:c>
      <x:c r="C110" s="29" t="str">
        <x:v>yer-local-bakersfield-tortoise-area</x:v>
      </x:c>
      <x:c r="D110" s="29" t="str">
        <x:v>Desert Tortoise Research Natural Area</x:v>
      </x:c>
      <x:c r="E110" s="29" t="str">
        <x:v>Doğa ve açık hava · Bölge gezisi / California City kuzeyi</x:v>
      </x:c>
      <x:c r="F110" s="29" t="str">
        <x:v>Çöl kaplumbağasının yaşam alanını koruyan bu doğal alan, Mojave habitatını sessiz yürüyüş ve doğa gözlemiyle tanıtır. Kaplumbağa görmek garanti değildir; boynuzlu kertenkele ve diğer türler de ekosistemin parçalarıdır. Galeride burada fotoğraflanmış bir çöl boynuzlu kertenkelesi yer alır. Koruma alanı, yakın çevredeki motorlu arazi sürüş sahalarından farklı kullanıma sahiptir.</x:v>
      </x:c>
      <x:c r="G110" s="29" t="str">
        <x:v>tortoise-area</x:v>
      </x:c>
      <x:c r="H110" s="29" t="str"/>
      <x:c r="I110" s="29" t="str">
        <x:v>bakersfield:src:17899</x:v>
      </x:c>
      <x:c r="J110" s="31" t="d">
        <x:v>2026-10-24T00:00:00.000Z</x:v>
      </x:c>
      <x:c r="K110" s="35" t="n">
        <x:v>342</x:v>
      </x:c>
      <x:c r="L110" s="29" t="str">
        <x:v>Hayır</x:v>
      </x:c>
      <x:c r="M110" s="29" t="str">
        <x:v>İnceleme</x:v>
      </x:c>
      <x:c r="N110" s="29" t="str">
        <x:v>Doğa ve açık hava</x:v>
      </x:c>
      <x:c r="O110" s="29" t="str">
        <x:v>Bölge gezisi / California City kuzeyi</x:v>
      </x:c>
      <x:c r="P110" s="29" t="str">
        <x:v>Açık hava</x:v>
      </x:c>
      <x:c r="Q110" s="29" t="str">
        <x:v>Desert Tortoise Research Natural Area, California City kuzeyi, California</x:v>
      </x:c>
      <x:c r="R110" s="33"/>
      <x:c r="S110" s="33"/>
      <x:c r="T110" s="29"/>
      <x:c r="U110" s="29"/>
      <x:c r="V110" s="29" t="str">
        <x:v>Hayır</x:v>
      </x:c>
      <x:c r="W110" s="29" t="str">
        <x:v>local-bakersfield-tortoise-area</x:v>
      </x:c>
    </x:row>
    <x:row r="111" ht="110" customHeight="1">
      <x:c r="A111" s="29" t="str">
        <x:v>bakersfield:yer-local-bakersfield-canebrake-reserve</x:v>
      </x:c>
      <x:c r="B111" s="29" t="str">
        <x:v>bakersfield</x:v>
      </x:c>
      <x:c r="C111" s="29" t="str">
        <x:v>yer-local-bakersfield-canebrake-reserve</x:v>
      </x:c>
      <x:c r="D111" s="29" t="str">
        <x:v>Canebrake Ecological Reserve</x:v>
      </x:c>
      <x:c r="E111" s="29" t="str">
        <x:v>Doğa ve açık hava · Bölge gezisi / Onyx doğusu</x:v>
      </x:c>
      <x:c r="F111" s="29" t="str">
        <x:v>Canebrake, Kern River Valley'nin doğusunda dere koridoru, açık yamaçlar ve çalı topluluklarını bir araya getiren ekolojik rezervdir. Kent parkından farklı olarak koruma amacı ön plandadır. Sessiz doğa gözlemi için uygun alanlar işletmecinin izin verdiği erişim düzeni içinde kullanılır; her patika kamp veya motorlu araç rotası değildir.</x:v>
      </x:c>
      <x:c r="G111" s="29" t="str">
        <x:v>canebrake-reserve</x:v>
      </x:c>
      <x:c r="H111" s="29" t="str"/>
      <x:c r="I111" s="29" t="str">
        <x:v>bakersfield:src:17833</x:v>
      </x:c>
      <x:c r="J111" s="31" t="d">
        <x:v>2026-10-24T00:00:00.000Z</x:v>
      </x:c>
      <x:c r="K111" s="35" t="n">
        <x:v>343</x:v>
      </x:c>
      <x:c r="L111" s="29" t="str">
        <x:v>Hayır</x:v>
      </x:c>
      <x:c r="M111" s="29" t="str">
        <x:v>İnceleme</x:v>
      </x:c>
      <x:c r="N111" s="29" t="str">
        <x:v>Doğa ve açık hava</x:v>
      </x:c>
      <x:c r="O111" s="29" t="str">
        <x:v>Bölge gezisi / Onyx doğusu</x:v>
      </x:c>
      <x:c r="P111" s="29" t="str">
        <x:v>Açık hava</x:v>
      </x:c>
      <x:c r="Q111" s="29" t="str">
        <x:v>Canebrake Ecological Reserve, Highway 178, Kern County, California</x:v>
      </x:c>
      <x:c r="R111" s="33"/>
      <x:c r="S111" s="33"/>
      <x:c r="T111" s="29"/>
      <x:c r="U111" s="29"/>
      <x:c r="V111" s="29" t="str">
        <x:v>Hayır</x:v>
      </x:c>
      <x:c r="W111" s="29" t="str">
        <x:v>local-bakersfield-canebrake-reserve</x:v>
      </x:c>
    </x:row>
    <x:row r="112" ht="110" customHeight="1">
      <x:c r="A112" s="29" t="str">
        <x:v>bakersfield:yer-local-bakersfield-kern-wildlife-refuge</x:v>
      </x:c>
      <x:c r="B112" s="29" t="str">
        <x:v>bakersfield</x:v>
      </x:c>
      <x:c r="C112" s="29" t="str">
        <x:v>yer-local-bakersfield-kern-wildlife-refuge</x:v>
      </x:c>
      <x:c r="D112" s="29" t="str">
        <x:v>Kern National Wildlife Refuge</x:v>
      </x:c>
      <x:c r="E112" s="29" t="str">
        <x:v>Doğa ve açık hava · Bölge gezisi / Delano batısı</x:v>
      </x:c>
      <x:c r="F112" s="29" t="str">
        <x:v>Delano'nun batısındaki sulak alan rezervi, su kuşları ve vadi habitatlarını gözlemlemek için farklı bir Kern County gezisidir. Ziyaret araç turu ve belirlenmiş gözlem alanları üzerinden yapılır. Av sezonunda ekim–ocak aylarının çarşamba ve cumartesi günleri av dışı ziyaretçilere kapalıdır; bu kısıtlama hafta sonu planını doğrudan etkiler.</x:v>
      </x:c>
      <x:c r="G112" s="29" t="str">
        <x:v>kern-wildlife-refuge</x:v>
      </x:c>
      <x:c r="H112" s="29" t="str"/>
      <x:c r="I112" s="29" t="str">
        <x:v>bakersfield:src:17834</x:v>
      </x:c>
      <x:c r="J112" s="31" t="d">
        <x:v>2026-10-24T00:00:00.000Z</x:v>
      </x:c>
      <x:c r="K112" s="35" t="n">
        <x:v>344</x:v>
      </x:c>
      <x:c r="L112" s="29" t="str">
        <x:v>Hayır</x:v>
      </x:c>
      <x:c r="M112" s="29" t="str">
        <x:v>İnceleme</x:v>
      </x:c>
      <x:c r="N112" s="29" t="str">
        <x:v>Doğa ve açık hava</x:v>
      </x:c>
      <x:c r="O112" s="29" t="str">
        <x:v>Bölge gezisi / Delano batısı</x:v>
      </x:c>
      <x:c r="P112" s="29" t="str">
        <x:v>Açık hava</x:v>
      </x:c>
      <x:c r="Q112" s="29" t="str">
        <x:v>10811 Corcoran Road, Delano, California</x:v>
      </x:c>
      <x:c r="R112" s="33"/>
      <x:c r="S112" s="33"/>
      <x:c r="T112" s="29"/>
      <x:c r="U112" s="29"/>
      <x:c r="V112" s="29" t="str">
        <x:v>Hayır</x:v>
      </x:c>
      <x:c r="W112" s="29" t="str">
        <x:v>local-bakersfield-kern-wildlife-refuge</x:v>
      </x:c>
    </x:row>
    <x:row r="113" ht="96" customHeight="1">
      <x:c r="A113" s="29" t="str">
        <x:v>bakersfield:yer-local-bakersfield-buttonwillow-raceway</x:v>
      </x:c>
      <x:c r="B113" s="29" t="str">
        <x:v>bakersfield</x:v>
      </x:c>
      <x:c r="C113" s="29" t="str">
        <x:v>yer-local-bakersfield-buttonwillow-raceway</x:v>
      </x:c>
      <x:c r="D113" s="29" t="str">
        <x:v>Buttonwillow Raceway Park</x:v>
      </x:c>
      <x:c r="E113" s="29" t="str">
        <x:v>Spor · Bölge gezisi / Buttonwillow</x:v>
      </x:c>
      <x:c r="F113" s="29" t="str">
        <x:v>Buttonwillow'daki yol yarış pisti, motor sporlarını oval pistten farklı viraj ve düzlük düzeninde izleme veya organizasyonla deneyimleme imkânı sunar. Seyirci girişi, sürüş günü ve kulüp organizasyonu ayrı koşullara sahiptir. Bakersfield'ın batısında, takvimdeki etkinlik için ayrı ulaşım gerektiren bir bölge durağıdır.</x:v>
      </x:c>
      <x:c r="G113" s="29" t="str">
        <x:v>buttonwillow-raceway</x:v>
      </x:c>
      <x:c r="H113" s="29" t="str"/>
      <x:c r="I113" s="29" t="str">
        <x:v>bakersfield:src:17835</x:v>
      </x:c>
      <x:c r="J113" s="31" t="d">
        <x:v>2026-10-24T00:00:00.000Z</x:v>
      </x:c>
      <x:c r="K113" s="35" t="n">
        <x:v>345</x:v>
      </x:c>
      <x:c r="L113" s="29" t="str">
        <x:v>Hayır</x:v>
      </x:c>
      <x:c r="M113" s="29" t="str">
        <x:v>İnceleme</x:v>
      </x:c>
      <x:c r="N113" s="29" t="str">
        <x:v>Spor</x:v>
      </x:c>
      <x:c r="O113" s="29" t="str">
        <x:v>Bölge gezisi / Buttonwillow</x:v>
      </x:c>
      <x:c r="P113" s="29" t="str">
        <x:v>Karma</x:v>
      </x:c>
      <x:c r="Q113" s="29" t="str">
        <x:v>24551 Lerdo Highway, Buttonwillow, California</x:v>
      </x:c>
      <x:c r="R113" s="33"/>
      <x:c r="S113" s="33"/>
      <x:c r="T113" s="29"/>
      <x:c r="U113" s="29"/>
      <x:c r="V113" s="29" t="str">
        <x:v>Hayır</x:v>
      </x:c>
      <x:c r="W113" s="29" t="str">
        <x:v>local-bakersfield-buttonwillow-raceway</x:v>
      </x:c>
    </x:row>
    <x:row r="114" ht="110" customHeight="1">
      <x:c r="A114" s="29" t="str">
        <x:v>bakersfield:yer-local-bakersfield-red-rock-canyon</x:v>
      </x:c>
      <x:c r="B114" s="29" t="str">
        <x:v>bakersfield</x:v>
      </x:c>
      <x:c r="C114" s="29" t="str">
        <x:v>yer-local-bakersfield-red-rock-canyon</x:v>
      </x:c>
      <x:c r="D114" s="29" t="str">
        <x:v>Red Rock Canyon State Park</x:v>
      </x:c>
      <x:c r="E114" s="29" t="str">
        <x:v>Doğa ve açık hava · Bölge gezisi / Cantil</x:v>
      </x:c>
      <x:c r="F114" s="29" t="str">
        <x:v>Kızıl ve açık renkli kaya katmanlarıyla Red Rock Canyon, Kern County'nin çöl tarafındaki belirgin peyzaj duraklarından biridir. Gündelik kent yürüyüşünden farklı olarak sıcaklık, su ve patika seçimi gezinin temelidir. Kaya oluşumları parkın korunan doğal varlıklarıdır; manzarayı işaretli yollar ve açık ziyaret alanlarından görmek gerekir.</x:v>
      </x:c>
      <x:c r="G114" s="29" t="str">
        <x:v>red-rock-canyon</x:v>
      </x:c>
      <x:c r="H114" s="29" t="str"/>
      <x:c r="I114" s="29" t="str">
        <x:v>bakersfield:src:17836</x:v>
      </x:c>
      <x:c r="J114" s="31" t="d">
        <x:v>2026-10-24T00:00:00.000Z</x:v>
      </x:c>
      <x:c r="K114" s="35" t="n">
        <x:v>346</x:v>
      </x:c>
      <x:c r="L114" s="29" t="str">
        <x:v>Hayır</x:v>
      </x:c>
      <x:c r="M114" s="29" t="str">
        <x:v>İnceleme</x:v>
      </x:c>
      <x:c r="N114" s="29" t="str">
        <x:v>Doğa ve açık hava</x:v>
      </x:c>
      <x:c r="O114" s="29" t="str">
        <x:v>Bölge gezisi / Cantil</x:v>
      </x:c>
      <x:c r="P114" s="29" t="str">
        <x:v>Açık hava</x:v>
      </x:c>
      <x:c r="Q114" s="29" t="str">
        <x:v>Red Rock Canyon State Park, Cantil, California</x:v>
      </x:c>
      <x:c r="R114" s="33"/>
      <x:c r="S114" s="33"/>
      <x:c r="T114" s="29"/>
      <x:c r="U114" s="29"/>
      <x:c r="V114" s="29" t="str">
        <x:v>Hayır</x:v>
      </x:c>
      <x:c r="W114" s="29" t="str">
        <x:v>local-bakersfield-red-rock-canyon</x:v>
      </x:c>
    </x:row>
    <x:row r="115" ht="110" customHeight="1">
      <x:c r="A115" s="29" t="str">
        <x:v>bakersfield:yer-local-bakersfield-carrizo-plain</x:v>
      </x:c>
      <x:c r="B115" s="29" t="str">
        <x:v>bakersfield</x:v>
      </x:c>
      <x:c r="C115" s="29" t="str">
        <x:v>yer-local-bakersfield-carrizo-plain</x:v>
      </x:c>
      <x:c r="D115" s="29" t="str">
        <x:v>Carrizo Plain National Monument</x:v>
      </x:c>
      <x:c r="E115" s="29" t="str">
        <x:v>Doğa ve açık hava · Bölge gezisi / San Luis Obispo County</x:v>
      </x:c>
      <x:c r="F115" s="29" t="str">
        <x:v>Carrizo Plain, geniş ova, Soda Lake ve çevre yamaçlarıyla California'nın iç peyzajını tanıtan uzak bir doğa gezisidir. Bakersfield kent sınırında ve Kern County içinde değildir; San Luis Obispo County yönünde ayrı bir gün planı olarak sunulur. Çiçekli ilkbahar fotoğrafları mevsimsel bir görünümü kaydeder, her yıl aynı çiçeklenmeyi vaat etmez.</x:v>
      </x:c>
      <x:c r="G115" s="29" t="str">
        <x:v>carrizo-plain</x:v>
      </x:c>
      <x:c r="H115" s="29" t="str"/>
      <x:c r="I115" s="29" t="str">
        <x:v>bakersfield:src:17837</x:v>
      </x:c>
      <x:c r="J115" s="31" t="d">
        <x:v>2026-10-24T00:00:00.000Z</x:v>
      </x:c>
      <x:c r="K115" s="35" t="n">
        <x:v>347</x:v>
      </x:c>
      <x:c r="L115" s="29" t="str">
        <x:v>Hayır</x:v>
      </x:c>
      <x:c r="M115" s="29" t="str">
        <x:v>İnceleme</x:v>
      </x:c>
      <x:c r="N115" s="29" t="str">
        <x:v>Doğa ve açık hava</x:v>
      </x:c>
      <x:c r="O115" s="29" t="str">
        <x:v>Bölge gezisi / San Luis Obispo County</x:v>
      </x:c>
      <x:c r="P115" s="29" t="str">
        <x:v>Açık hava</x:v>
      </x:c>
      <x:c r="Q115" s="29" t="str">
        <x:v>Carrizo Plain National Monument, San Luis Obispo County, California</x:v>
      </x:c>
      <x:c r="R115" s="33"/>
      <x:c r="S115" s="33"/>
      <x:c r="T115" s="29"/>
      <x:c r="U115" s="29"/>
      <x:c r="V115" s="29" t="str">
        <x:v>Hayır</x:v>
      </x:c>
      <x:c r="W115" s="29" t="str">
        <x:v>local-bakersfield-carrizo-plain</x:v>
      </x:c>
    </x:row>
    <x:row r="116" ht="110" customHeight="1">
      <x:c r="A116" s="29" t="str">
        <x:v>bakersfield:yer-local-bakersfield-kern-canyon</x:v>
      </x:c>
      <x:c r="B116" s="29" t="str">
        <x:v>bakersfield</x:v>
      </x:c>
      <x:c r="C116" s="29" t="str">
        <x:v>yer-local-bakersfield-kern-canyon</x:v>
      </x:c>
      <x:c r="D116" s="29" t="str">
        <x:v>Kern River Canyon</x:v>
      </x:c>
      <x:c r="E116" s="29" t="str">
        <x:v>Doğa ve açık hava · Bölge gezisi / CA-178 koridoru</x:v>
      </x:c>
      <x:c r="F116" s="29" t="str">
        <x:v>Bakersfield'dan Lake Isabella yönüne uzanan kanyon, granit kayalar ve akan nehirle kısa mesafede ova manzarasını dağ ortamına dönüştürür. Kanyon tek bir işletme değil, yol boyunca farklı izinli durakları olan bir bölgedir. Fotoğraf molası için ayrılmış güvenli cepler kullanılır; virajlı yol kenarında gelişigüzel durulmaz ve akıntıya girme önerilmez.</x:v>
      </x:c>
      <x:c r="G116" s="29" t="str">
        <x:v>kern-canyon</x:v>
      </x:c>
      <x:c r="H116" s="29" t="str"/>
      <x:c r="I116" s="29" t="str">
        <x:v>bakersfield:src:17726</x:v>
      </x:c>
      <x:c r="J116" s="31" t="d">
        <x:v>2026-10-24T00:00:00.000Z</x:v>
      </x:c>
      <x:c r="K116" s="35" t="n">
        <x:v>348</x:v>
      </x:c>
      <x:c r="L116" s="29" t="str">
        <x:v>Hayır</x:v>
      </x:c>
      <x:c r="M116" s="29" t="str">
        <x:v>İnceleme</x:v>
      </x:c>
      <x:c r="N116" s="29" t="str">
        <x:v>Doğa ve açık hava</x:v>
      </x:c>
      <x:c r="O116" s="29" t="str">
        <x:v>Bölge gezisi / CA-178 koridoru</x:v>
      </x:c>
      <x:c r="P116" s="29" t="str">
        <x:v>Açık hava</x:v>
      </x:c>
      <x:c r="Q116" s="29" t="str">
        <x:v>Kern River Canyon, Highway 178, Kern County, California</x:v>
      </x:c>
      <x:c r="R116" s="33"/>
      <x:c r="S116" s="33"/>
      <x:c r="T116" s="29"/>
      <x:c r="U116" s="29"/>
      <x:c r="V116" s="29" t="str">
        <x:v>Hayır</x:v>
      </x:c>
      <x:c r="W116" s="29" t="str">
        <x:v>local-bakersfield-kern-canyon</x:v>
      </x:c>
    </x:row>
    <x:row r="117" ht="110" customHeight="1">
      <x:c r="A117" s="29" t="str">
        <x:v>bakersfield:yer-local-bakersfield-weedpatch-camp</x:v>
      </x:c>
      <x:c r="B117" s="29" t="str">
        <x:v>bakersfield</x:v>
      </x:c>
      <x:c r="C117" s="29" t="str">
        <x:v>yer-local-bakersfield-weedpatch-camp</x:v>
      </x:c>
      <x:c r="D117" s="29" t="str">
        <x:v>Sunset Labor Camp – Weedpatch</x:v>
      </x:c>
      <x:c r="E117" s="29" t="str">
        <x:v>Tarih ve mimari · Bölge gezisi / Lamont–Weedpatch</x:v>
      </x:c>
      <x:c r="F117" s="29" t="str">
        <x:v>Weedpatch'teki tarihî kamp, tarım işçilerinin göç ve barınma geçmişini anlatan yapılara sahiptir. Tarihî ortak yapılar ile bugün kullanılan konut alanları birbirinden ayrılır. Burası sakinlerinin günlük yaşamı olan bir yerleşimdir; gezi, yetkili kurumun sağladığı ziyaret düzeniyle sınırlı tutulur ve konut çevresi açık hava müzesi gibi dolaşılmaz.</x:v>
      </x:c>
      <x:c r="G117" s="29" t="str">
        <x:v>weedpatch-camp</x:v>
      </x:c>
      <x:c r="H117" s="29" t="str"/>
      <x:c r="I117" s="29" t="str">
        <x:v>bakersfield:src:17838</x:v>
      </x:c>
      <x:c r="J117" s="31" t="d">
        <x:v>2026-10-24T00:00:00.000Z</x:v>
      </x:c>
      <x:c r="K117" s="35" t="n">
        <x:v>349</x:v>
      </x:c>
      <x:c r="L117" s="29" t="str">
        <x:v>Hayır</x:v>
      </x:c>
      <x:c r="M117" s="29" t="str">
        <x:v>İnceleme</x:v>
      </x:c>
      <x:c r="N117" s="29" t="str">
        <x:v>Tarih ve mimari</x:v>
      </x:c>
      <x:c r="O117" s="29" t="str">
        <x:v>Bölge gezisi / Lamont–Weedpatch</x:v>
      </x:c>
      <x:c r="P117" s="29" t="str">
        <x:v>Karma</x:v>
      </x:c>
      <x:c r="Q117" s="29" t="str">
        <x:v>Sunset Labor Camp, Weedpatch, California</x:v>
      </x:c>
      <x:c r="R117" s="33"/>
      <x:c r="S117" s="33"/>
      <x:c r="T117" s="29"/>
      <x:c r="U117" s="29"/>
      <x:c r="V117" s="29" t="str">
        <x:v>Hayır</x:v>
      </x:c>
      <x:c r="W117" s="29" t="str">
        <x:v>local-bakersfield-weedpatch-camp</x:v>
      </x:c>
    </x:row>
    <x:row r="118" ht="96" customHeight="1">
      <x:c r="A118" s="29" t="str">
        <x:v>bakersfield:yer-local-bakersfield-frazier-mountain-park</x:v>
      </x:c>
      <x:c r="B118" s="29" t="str">
        <x:v>bakersfield</x:v>
      </x:c>
      <x:c r="C118" s="29" t="str">
        <x:v>yer-local-bakersfield-frazier-mountain-park</x:v>
      </x:c>
      <x:c r="D118" s="29" t="str">
        <x:v>Frazier Mountain Park</x:v>
      </x:c>
      <x:c r="E118" s="29" t="str">
        <x:v>Doğa ve açık hava · Bölge gezisi / Frazier Park</x:v>
      </x:c>
      <x:c r="F118" s="29" t="str">
        <x:v>Frazier Park yerleşimindeki county parkı, dağ ortamında piknik, çim alan ve gündelik rekreasyon için bir duraktır. Bakersfield ovasından farklı yükseklik ve hava koşulları görülür. Fort Tejon yönündeki bir geziye kısa mola eklenebilir; burası dağ zirvesine çıkan bir yürüyüş parkuru veya ulusal ormanın bütünü değildir.</x:v>
      </x:c>
      <x:c r="G118" s="29" t="str">
        <x:v>frazier-mountain-park</x:v>
      </x:c>
      <x:c r="H118" s="29" t="str"/>
      <x:c r="I118" s="29" t="str">
        <x:v>bakersfield:src:17674</x:v>
      </x:c>
      <x:c r="J118" s="31" t="d">
        <x:v>2026-10-24T00:00:00.000Z</x:v>
      </x:c>
      <x:c r="K118" s="35" t="n">
        <x:v>350</x:v>
      </x:c>
      <x:c r="L118" s="29" t="str">
        <x:v>Hayır</x:v>
      </x:c>
      <x:c r="M118" s="29" t="str">
        <x:v>İnceleme</x:v>
      </x:c>
      <x:c r="N118" s="29" t="str">
        <x:v>Doğa ve açık hava</x:v>
      </x:c>
      <x:c r="O118" s="29" t="str">
        <x:v>Bölge gezisi / Frazier Park</x:v>
      </x:c>
      <x:c r="P118" s="29" t="str">
        <x:v>Açık hava</x:v>
      </x:c>
      <x:c r="Q118" s="29" t="str">
        <x:v>3801 Park Drive, Frazier Park, California</x:v>
      </x:c>
      <x:c r="R118" s="33"/>
      <x:c r="S118" s="33"/>
      <x:c r="T118" s="29"/>
      <x:c r="U118" s="29"/>
      <x:c r="V118" s="29" t="str">
        <x:v>Hayır</x:v>
      </x:c>
      <x:c r="W118" s="29" t="str">
        <x:v>local-bakersfield-frazier-mountain-park</x:v>
      </x:c>
    </x:row>
    <x:row r="119" ht="110" customHeight="1">
      <x:c r="A119" s="29" t="str">
        <x:v>bakersfield:yer-local-bakersfield-maturango-museum</x:v>
      </x:c>
      <x:c r="B119" s="29" t="str">
        <x:v>bakersfield</x:v>
      </x:c>
      <x:c r="C119" s="29" t="str">
        <x:v>yer-local-bakersfield-maturango-museum</x:v>
      </x:c>
      <x:c r="D119" s="29" t="str">
        <x:v>Maturango Museum</x:v>
      </x:c>
      <x:c r="E119" s="29" t="str">
        <x:v>Müzeler · Bölge gezisi / Ridgecrest</x:v>
      </x:c>
      <x:c r="F119" s="29" t="str">
        <x:v>Ridgecrest'teki Maturango Museum, Indian Wells Valley'nin doğa ve kültür tarihini birlikte anlatır. Sergiler, çevredeki çöl peyzajını yalnız jeoloji üzerinden değil insan geçmişiyle de okumaya yardımcı olur. Bakersfield merkezinden uzak olduğu için tam gün veya hafta sonu gezisidir; petroglif turları normal müze girişinden ayrı programlardır.</x:v>
      </x:c>
      <x:c r="G119" s="29" t="str">
        <x:v>maturango-museum</x:v>
      </x:c>
      <x:c r="H119" s="29" t="str"/>
      <x:c r="I119" s="29" t="str">
        <x:v>bakersfield:src:17839</x:v>
      </x:c>
      <x:c r="J119" s="31" t="d">
        <x:v>2026-10-24T00:00:00.000Z</x:v>
      </x:c>
      <x:c r="K119" s="35" t="n">
        <x:v>351</x:v>
      </x:c>
      <x:c r="L119" s="29" t="str">
        <x:v>Hayır</x:v>
      </x:c>
      <x:c r="M119" s="29" t="str">
        <x:v>İnceleme</x:v>
      </x:c>
      <x:c r="N119" s="29" t="str">
        <x:v>Müzeler</x:v>
      </x:c>
      <x:c r="O119" s="29" t="str">
        <x:v>Bölge gezisi / Ridgecrest</x:v>
      </x:c>
      <x:c r="P119" s="29" t="str">
        <x:v>Kapalı alan</x:v>
      </x:c>
      <x:c r="Q119" s="29" t="str">
        <x:v>100 East Las Flores Avenue, Ridgecrest, California</x:v>
      </x:c>
      <x:c r="R119" s="33"/>
      <x:c r="S119" s="33"/>
      <x:c r="T119" s="29"/>
      <x:c r="U119" s="29"/>
      <x:c r="V119" s="29" t="str">
        <x:v>Hayır</x:v>
      </x:c>
      <x:c r="W119" s="29" t="str">
        <x:v>local-bakersfield-maturango-museum</x:v>
      </x:c>
    </x:row>
    <x:row r="120" ht="110" customHeight="1">
      <x:c r="A120" s="29" t="str">
        <x:v>bakersfield:yer-local-bakersfield-walker-pass</x:v>
      </x:c>
      <x:c r="B120" s="29" t="str">
        <x:v>bakersfield</x:v>
      </x:c>
      <x:c r="C120" s="29" t="str">
        <x:v>yer-local-bakersfield-walker-pass</x:v>
      </x:c>
      <x:c r="D120" s="29" t="str">
        <x:v>Walker Pass Campground ve PCT bağlantısı</x:v>
      </x:c>
      <x:c r="E120" s="29" t="str">
        <x:v>Doğa ve açık hava · Bölge gezisi / CA-178 dağ geçidi</x:v>
      </x:c>
      <x:c r="F120" s="29" t="str">
        <x:v>Walker Pass, Kern River Valley’den Mojave yönüne geçerken dağ sırtlarını ve açık vadi manzaralarını bir araya getirir. BLM kamp alanı Pacific Crest Trail’e erişim sağlayan bir başlangıç noktasıdır. Kısa yürüyüş ile uzun mesafeli PCT etapları ayrı deneyimlerdir; su temini ve yüksek rakımdaki hava için hazırlık gerekir. Bakersfield’dan araçla yapılan bağımsız bir dağ gezisidir.</x:v>
      </x:c>
      <x:c r="G120" s="29" t="str">
        <x:v>walker-pass</x:v>
      </x:c>
      <x:c r="H120" s="29" t="str"/>
      <x:c r="I120" s="29" t="str">
        <x:v>bakersfield:src:17900</x:v>
      </x:c>
      <x:c r="J120" s="31" t="d">
        <x:v>2026-10-24T00:00:00.000Z</x:v>
      </x:c>
      <x:c r="K120" s="35" t="n">
        <x:v>352</x:v>
      </x:c>
      <x:c r="L120" s="29" t="str">
        <x:v>Hayır</x:v>
      </x:c>
      <x:c r="M120" s="29" t="str">
        <x:v>İnceleme</x:v>
      </x:c>
      <x:c r="N120" s="29" t="str">
        <x:v>Doğa ve açık hava</x:v>
      </x:c>
      <x:c r="O120" s="29" t="str">
        <x:v>Bölge gezisi / CA-178 dağ geçidi</x:v>
      </x:c>
      <x:c r="P120" s="29" t="str">
        <x:v>Açık hava</x:v>
      </x:c>
      <x:c r="Q120" s="29" t="str">
        <x:v>Walker Pass Campground, Highway 178, Kern County, California</x:v>
      </x:c>
      <x:c r="R120" s="33"/>
      <x:c r="S120" s="33"/>
      <x:c r="T120" s="29"/>
      <x:c r="U120" s="29"/>
      <x:c r="V120" s="29" t="str">
        <x:v>Hayır</x:v>
      </x:c>
      <x:c r="W120" s="29" t="str">
        <x:v>local-bakersfield-walker-pass</x:v>
      </x:c>
    </x:row>
    <x:row r="121" ht="124" customHeight="1">
      <x:c r="A121" s="29" t="str">
        <x:v>bakersfield:yer-local-bakersfield-jawbone-canyon</x:v>
      </x:c>
      <x:c r="B121" s="29" t="str">
        <x:v>bakersfield</x:v>
      </x:c>
      <x:c r="C121" s="29" t="str">
        <x:v>yer-local-bakersfield-jawbone-canyon</x:v>
      </x:c>
      <x:c r="D121" s="29" t="str">
        <x:v>Jawbone Canyon OHV Area</x:v>
      </x:c>
      <x:c r="E121" s="29" t="str">
        <x:v>Spor · Bölge gezisi / Cantil</x:v>
      </x:c>
      <x:c r="F121" s="29" t="str">
        <x:v>Jawbone Canyon’un geniş yamaçları ve renkli kaya duvarları, izinli motorlu arazi sürüşünün öne çıktığı bir çöl alanıdır. Kanyon manzarası ile sürüş programı aynı hazırlığı gerektirmez; araç sınıfı ve izinli alan sınırı önemlidir. BLM’nin açık rekreasyon alanı dışındaki bağlantı yollarında 2026 WEMO kapanışları uygulanabilir. Aile piknik parkı veya her yöne serbest sürüş alanı olarak ele alınmaz.</x:v>
      </x:c>
      <x:c r="G121" s="29" t="str">
        <x:v>jawbone-canyon</x:v>
      </x:c>
      <x:c r="H121" s="29" t="str"/>
      <x:c r="I121" s="29" t="str">
        <x:v>bakersfield:src:17901</x:v>
      </x:c>
      <x:c r="J121" s="31" t="d">
        <x:v>2026-10-24T00:00:00.000Z</x:v>
      </x:c>
      <x:c r="K121" s="35" t="n">
        <x:v>353</x:v>
      </x:c>
      <x:c r="L121" s="29" t="str">
        <x:v>Hayır</x:v>
      </x:c>
      <x:c r="M121" s="29" t="str">
        <x:v>İnceleme</x:v>
      </x:c>
      <x:c r="N121" s="29" t="str">
        <x:v>Spor</x:v>
      </x:c>
      <x:c r="O121" s="29" t="str">
        <x:v>Bölge gezisi / Cantil</x:v>
      </x:c>
      <x:c r="P121" s="29" t="str">
        <x:v>Karma</x:v>
      </x:c>
      <x:c r="Q121" s="29" t="str">
        <x:v>Jawbone Canyon Road, Highway 14, Cantil, California</x:v>
      </x:c>
      <x:c r="R121" s="33"/>
      <x:c r="S121" s="33"/>
      <x:c r="T121" s="29"/>
      <x:c r="U121" s="29"/>
      <x:c r="V121" s="29" t="str">
        <x:v>Hayır</x:v>
      </x:c>
      <x:c r="W121" s="29" t="str">
        <x:v>local-bakersfield-jawbone-canyon</x:v>
      </x:c>
    </x:row>
    <x:row r="122" ht="124" customHeight="1">
      <x:c r="A122" s="29" t="str">
        <x:v>bakersfield:yer-local-bakersfield-dove-springs</x:v>
      </x:c>
      <x:c r="B122" s="29" t="str">
        <x:v>bakersfield</x:v>
      </x:c>
      <x:c r="C122" s="29" t="str">
        <x:v>yer-local-bakersfield-dove-springs</x:v>
      </x:c>
      <x:c r="D122" s="29" t="str">
        <x:v>Dove Springs OHV Area</x:v>
      </x:c>
      <x:c r="E122" s="29" t="str">
        <x:v>Spor · Bölge gezisi / Jawbone kuzeyi</x:v>
      </x:c>
      <x:c r="F122" s="29" t="str">
        <x:v>Dove Springs, Mojave’de açık yamaç ve çöl düzlükleri üzerinde motorlu arazi rekreasyonuna ayrılmış bir BLM alanıdır. Jawbone’dan ayrı bir sürüş sahası olmakla birlikte aynı bölge gezisine bağlanabilir. Alanın dışındaki yollar otomatik olarak açık sayılmaz; işaretli sınırlar ve 2026’daki bölgesel kapanış haritası geçerlidir. Sıcaklık, su ve araç donanımı şehir içindeki spor tesislerinden farklı hazırlık gerektirir.</x:v>
      </x:c>
      <x:c r="G122" s="29" t="str">
        <x:v>dove-springs</x:v>
      </x:c>
      <x:c r="H122" s="29" t="str"/>
      <x:c r="I122" s="29" t="str">
        <x:v>bakersfield:src:17902</x:v>
      </x:c>
      <x:c r="J122" s="31" t="d">
        <x:v>2026-10-24T00:00:00.000Z</x:v>
      </x:c>
      <x:c r="K122" s="35" t="n">
        <x:v>354</x:v>
      </x:c>
      <x:c r="L122" s="29" t="str">
        <x:v>Hayır</x:v>
      </x:c>
      <x:c r="M122" s="29" t="str">
        <x:v>İnceleme</x:v>
      </x:c>
      <x:c r="N122" s="29" t="str">
        <x:v>Spor</x:v>
      </x:c>
      <x:c r="O122" s="29" t="str">
        <x:v>Bölge gezisi / Jawbone kuzeyi</x:v>
      </x:c>
      <x:c r="P122" s="29" t="str">
        <x:v>Karma</x:v>
      </x:c>
      <x:c r="Q122" s="29" t="str">
        <x:v>Dove Springs OHV Area, Highway 14 çevresi, Kern County, California</x:v>
      </x:c>
      <x:c r="R122" s="33"/>
      <x:c r="S122" s="33"/>
      <x:c r="T122" s="29"/>
      <x:c r="U122" s="29"/>
      <x:c r="V122" s="29" t="str">
        <x:v>Hayır</x:v>
      </x:c>
      <x:c r="W122" s="29" t="str">
        <x:v>local-bakersfield-dove-springs</x:v>
      </x:c>
    </x:row>
    <x:row r="123" ht="110" customHeight="1">
      <x:c r="A123" s="29" t="str">
        <x:v>bakersfield:yer-local-bakersfield-panorama-vista</x:v>
      </x:c>
      <x:c r="B123" s="29" t="str">
        <x:v>bakersfield</x:v>
      </x:c>
      <x:c r="C123" s="29" t="str">
        <x:v>yer-local-bakersfield-panorama-vista</x:v>
      </x:c>
      <x:c r="D123" s="29" t="str">
        <x:v>Panorama Vista Preserve</x:v>
      </x:c>
      <x:c r="E123" s="29" t="str">
        <x:v>Doğa ve açık hava · Northeast / Kern River</x:v>
      </x:c>
      <x:c r="F123" s="29" t="str">
        <x:v>Panorama blöflerinin altındaki koruma alanı, Kern River boyunca ağaçlı nehir habitatını ve açık düzlükleri buluşturur. Halkın kullanımına açık patikalar, üstteki Panorama Drive yürüyüşünden farklı olarak nehir koridorunun içine bakmayı sağlar. Doğa gözlemi ve sakin yürüyüş için seçilen giriş, blöf üstü parkın otoparkından ayrı planlanır.</x:v>
      </x:c>
      <x:c r="G123" s="29" t="str">
        <x:v>panorama-vista</x:v>
      </x:c>
      <x:c r="H123" s="29" t="str"/>
      <x:c r="I123" s="29" t="str">
        <x:v>bakersfield:src:17796</x:v>
      </x:c>
      <x:c r="J123" s="31" t="d">
        <x:v>2026-10-24T00:00:00.000Z</x:v>
      </x:c>
      <x:c r="K123" s="35" t="n">
        <x:v>355</x:v>
      </x:c>
      <x:c r="L123" s="29" t="str">
        <x:v>Hayır</x:v>
      </x:c>
      <x:c r="M123" s="29" t="str">
        <x:v>İnceleme</x:v>
      </x:c>
      <x:c r="N123" s="29" t="str">
        <x:v>Doğa ve açık hava</x:v>
      </x:c>
      <x:c r="O123" s="29" t="str">
        <x:v>Northeast / Kern River</x:v>
      </x:c>
      <x:c r="P123" s="29" t="str">
        <x:v>Açık hava</x:v>
      </x:c>
      <x:c r="Q123" s="29" t="str">
        <x:v>Panorama Vista Preserve, Bakersfield, California</x:v>
      </x:c>
      <x:c r="R123" s="33"/>
      <x:c r="S123" s="33"/>
      <x:c r="T123" s="29"/>
      <x:c r="U123" s="29"/>
      <x:c r="V123" s="29" t="str">
        <x:v>Hayır</x:v>
      </x:c>
      <x:c r="W123" s="29" t="str">
        <x:v>local-bakersfield-panorama-vista</x:v>
      </x:c>
    </x:row>
    <x:row r="124" ht="124" customHeight="1">
      <x:c r="A124" s="29" t="str">
        <x:v>bakersfield:yer-local-bakersfield-bickel-camp</x:v>
      </x:c>
      <x:c r="B124" s="29" t="str">
        <x:v>bakersfield</x:v>
      </x:c>
      <x:c r="C124" s="29" t="str">
        <x:v>yer-local-bakersfield-bickel-camp</x:v>
      </x:c>
      <x:c r="D124" s="29" t="str">
        <x:v>Bickel Camp</x:v>
      </x:c>
      <x:c r="E124" s="29" t="str">
        <x:v>Tarih ve mimari · Bölge gezisi / El Paso Mountains</x:v>
      </x:c>
      <x:c r="F124" s="29" t="str">
        <x:v>Walt Bickel’in 1930’larda kurduğu çöl kampı, küçük ölçekli altın arayıcılığı ve gündelik yaşamı kulübe ile işlik ekipmanları üzerinden anlatır. Dağlık çölün içindeki açık tarih alanı, kentteki kapalı müze düzeninden farklıdır. Last Chance Canyon çevresindeki yaklaşım yolları için güncel izinli rota ve arazi koşulları esas alınır; terk edilmiş maden boşluklarına giriş bu ziyaretin parçası değildir.</x:v>
      </x:c>
      <x:c r="G124" s="29" t="str">
        <x:v>bickel-camp</x:v>
      </x:c>
      <x:c r="H124" s="29" t="str"/>
      <x:c r="I124" s="29" t="str">
        <x:v>bakersfield:src:17903</x:v>
      </x:c>
      <x:c r="J124" s="31" t="d">
        <x:v>2026-10-24T00:00:00.000Z</x:v>
      </x:c>
      <x:c r="K124" s="35" t="n">
        <x:v>356</x:v>
      </x:c>
      <x:c r="L124" s="29" t="str">
        <x:v>Hayır</x:v>
      </x:c>
      <x:c r="M124" s="29" t="str">
        <x:v>İnceleme</x:v>
      </x:c>
      <x:c r="N124" s="29" t="str">
        <x:v>Tarih ve mimari</x:v>
      </x:c>
      <x:c r="O124" s="29" t="str">
        <x:v>Bölge gezisi / El Paso Mountains</x:v>
      </x:c>
      <x:c r="P124" s="29" t="str">
        <x:v>Karma</x:v>
      </x:c>
      <x:c r="Q124" s="29" t="str">
        <x:v>Bickel Camp, El Paso Mountains, Kern County, California</x:v>
      </x:c>
      <x:c r="R124" s="33"/>
      <x:c r="S124" s="33"/>
      <x:c r="T124" s="29"/>
      <x:c r="U124" s="29"/>
      <x:c r="V124" s="29" t="str">
        <x:v>Hayır</x:v>
      </x:c>
      <x:c r="W124" s="29" t="str">
        <x:v>local-bakersfield-bickel-camp</x:v>
      </x:c>
    </x:row>
    <x:row r="125" ht="110" customHeight="1">
      <x:c r="A125" s="29" t="str">
        <x:v>bakersfield:yer-local-bakersfield-burro-schmidt</x:v>
      </x:c>
      <x:c r="B125" s="29" t="str">
        <x:v>bakersfield</x:v>
      </x:c>
      <x:c r="C125" s="29" t="str">
        <x:v>yer-local-bakersfield-burro-schmidt</x:v>
      </x:c>
      <x:c r="D125" s="29" t="str">
        <x:v>Burro Schmidt Tunnel çevresi</x:v>
      </x:c>
      <x:c r="E125" s="29" t="str">
        <x:v>Tarih ve mimari · Bölge gezisi / El Paso Mountains</x:v>
      </x:c>
      <x:c r="F125" s="29" t="str">
        <x:v>William Henry Schmidt’in elle açtığı tünelin giriş çevresi ve küçük kulübesi, Mojave’nin bireysel madencilik hikâyelerinden birini anlatır. Açık arazideki tarihî izler, Bickel Camp bölgesiyle ilişkilendirilebilir. Bu kayıt dış tarih alanını tanıtır; denetimli tur veya güvenli tünel geçişi garantisi vermez. Erişimde güncel açık arazi yolları ve koruma sınırları kullanılır.</x:v>
      </x:c>
      <x:c r="G125" s="29" t="str">
        <x:v>burro-schmidt</x:v>
      </x:c>
      <x:c r="H125" s="29" t="str"/>
      <x:c r="I125" s="29" t="str">
        <x:v>bakersfield:src:17904</x:v>
      </x:c>
      <x:c r="J125" s="31" t="d">
        <x:v>2026-10-24T00:00:00.000Z</x:v>
      </x:c>
      <x:c r="K125" s="35" t="n">
        <x:v>357</x:v>
      </x:c>
      <x:c r="L125" s="29" t="str">
        <x:v>Hayır</x:v>
      </x:c>
      <x:c r="M125" s="29" t="str">
        <x:v>İnceleme</x:v>
      </x:c>
      <x:c r="N125" s="29" t="str">
        <x:v>Tarih ve mimari</x:v>
      </x:c>
      <x:c r="O125" s="29" t="str">
        <x:v>Bölge gezisi / El Paso Mountains</x:v>
      </x:c>
      <x:c r="P125" s="29" t="str">
        <x:v>Karma</x:v>
      </x:c>
      <x:c r="Q125" s="29" t="str">
        <x:v>Burro Schmidt Tunnel, El Paso Mountains, Kern County, California</x:v>
      </x:c>
      <x:c r="R125" s="33"/>
      <x:c r="S125" s="33"/>
      <x:c r="T125" s="29"/>
      <x:c r="U125" s="29"/>
      <x:c r="V125" s="29" t="str">
        <x:v>Hayır</x:v>
      </x:c>
      <x:c r="W125" s="29" t="str">
        <x:v>local-bakersfield-burro-schmidt</x:v>
      </x:c>
    </x:row>
    <x:row r="126" ht="124" customHeight="1">
      <x:c r="A126" s="29" t="str">
        <x:v>bakersfield:yer-local-bakersfield-tehachapi-wind</x:v>
      </x:c>
      <x:c r="B126" s="29" t="str">
        <x:v>bakersfield</x:v>
      </x:c>
      <x:c r="C126" s="29" t="str">
        <x:v>yer-local-bakersfield-tehachapi-wind</x:v>
      </x:c>
      <x:c r="D126" s="29" t="str">
        <x:v>Tehachapi rüzgâr enerjisi peyzajı</x:v>
      </x:c>
      <x:c r="E126" s="29" t="str">
        <x:v>Tarih ve mimari · Bölge gezisi / Tehachapi–Mojave</x:v>
      </x:c>
      <x:c r="F126" s="29" t="str">
        <x:v>Tehachapi geçidinin yamaçlarındaki rüzgâr türbinleri, bölgenin enerji üretimini manzaranın bir parçası hâline getirir. Bu kayıt tek bir işletmenin ücretli tesis turunu değil, yolculuk sırasında görülen geniş üretim peyzajını tanıtır. Türbin arazileri ve servis yolları özel işletme alanlarıdır; manzara izinli kamu güzergâhlarından izlenir. Eski fotoğraflardaki türbin modelleri bugünkü tüm sahaları temsil etmez.</x:v>
      </x:c>
      <x:c r="G126" s="29" t="str">
        <x:v>tehachapi-wind</x:v>
      </x:c>
      <x:c r="H126" s="29" t="str"/>
      <x:c r="I126" s="29" t="str">
        <x:v>bakersfield:src:17905</x:v>
      </x:c>
      <x:c r="J126" s="31" t="d">
        <x:v>2026-10-24T00:00:00.000Z</x:v>
      </x:c>
      <x:c r="K126" s="35" t="n">
        <x:v>358</x:v>
      </x:c>
      <x:c r="L126" s="29" t="str">
        <x:v>Hayır</x:v>
      </x:c>
      <x:c r="M126" s="29" t="str">
        <x:v>İnceleme</x:v>
      </x:c>
      <x:c r="N126" s="29" t="str">
        <x:v>Tarih ve mimari</x:v>
      </x:c>
      <x:c r="O126" s="29" t="str">
        <x:v>Bölge gezisi / Tehachapi–Mojave</x:v>
      </x:c>
      <x:c r="P126" s="29" t="str">
        <x:v>Karma</x:v>
      </x:c>
      <x:c r="Q126" s="29" t="str">
        <x:v>Tehachapi Pass ve Tehachapi–Mojave koridoru, California</x:v>
      </x:c>
      <x:c r="R126" s="33"/>
      <x:c r="S126" s="33"/>
      <x:c r="T126" s="29"/>
      <x:c r="U126" s="29"/>
      <x:c r="V126" s="29" t="str">
        <x:v>Hayır</x:v>
      </x:c>
      <x:c r="W126" s="29" t="str">
        <x:v>local-bakersfield-tehachapi-wind</x:v>
      </x:c>
    </x:row>
    <x:row r="127" ht="110" customHeight="1">
      <x:c r="A127" s="29" t="str">
        <x:v>bakersfield:yer-local-bakersfield-pinos-ranger-station</x:v>
      </x:c>
      <x:c r="B127" s="29" t="str">
        <x:v>bakersfield</x:v>
      </x:c>
      <x:c r="C127" s="29" t="str">
        <x:v>yer-local-bakersfield-pinos-ranger-station</x:v>
      </x:c>
      <x:c r="D127" s="29" t="str">
        <x:v>Mt. Pinos Ranger Station – Chuchupate</x:v>
      </x:c>
      <x:c r="E127" s="29" t="str">
        <x:v>Aile ve çocuk · Bölge gezisi / Frazier Park–Lockwood Valley</x:v>
      </x:c>
      <x:c r="F127" s="29" t="str">
        <x:v>Los Padres National Forest’ın Mt. Pinos bölge ofisi, dağ gezisine hazırlık için harita ve ziyaret bilgisi alınabilen kamu noktasıdır. Lockwood Valley Road üzerindeki Chuchupate istasyonu, Mount Pinos zirvesindeki Nordic Base ile aynı yerde değildir. Hafta içi ofis ziyareti, Frazier Park üzerinden ormana geçmeden önce bilgi edinme durağı olarak planlanabilir.</x:v>
      </x:c>
      <x:c r="G127" s="29" t="str">
        <x:v>pinos-ranger-station</x:v>
      </x:c>
      <x:c r="H127" s="29" t="str"/>
      <x:c r="I127" s="29" t="str">
        <x:v>bakersfield:src:17906</x:v>
      </x:c>
      <x:c r="J127" s="31" t="d">
        <x:v>2026-10-24T00:00:00.000Z</x:v>
      </x:c>
      <x:c r="K127" s="35" t="n">
        <x:v>359</x:v>
      </x:c>
      <x:c r="L127" s="29" t="str">
        <x:v>Hayır</x:v>
      </x:c>
      <x:c r="M127" s="29" t="str">
        <x:v>İnceleme</x:v>
      </x:c>
      <x:c r="N127" s="29" t="str">
        <x:v>Çocuklarla keşif</x:v>
      </x:c>
      <x:c r="O127" s="29" t="str">
        <x:v>Bölge gezisi / Frazier Park–Lockwood Valley</x:v>
      </x:c>
      <x:c r="P127" s="29" t="str">
        <x:v>Karma</x:v>
      </x:c>
      <x:c r="Q127" s="29" t="str">
        <x:v>34580 Lockwood Valley Road, Frazier Park, California</x:v>
      </x:c>
      <x:c r="R127" s="33"/>
      <x:c r="S127" s="33"/>
      <x:c r="T127" s="29"/>
      <x:c r="U127" s="29"/>
      <x:c r="V127" s="29" t="str">
        <x:v>Hayır</x:v>
      </x:c>
      <x:c r="W127" s="29" t="str">
        <x:v>local-bakersfield-pinos-ranger-station</x:v>
      </x:c>
    </x:row>
    <x:row r="128" ht="54" customHeight="1">
      <x:c r="A128" s="29"/>
      <x:c r="B128" s="29"/>
      <x:c r="C128" s="29"/>
      <x:c r="D128" s="29"/>
      <x:c r="E128" s="29"/>
      <x:c r="F128" s="29"/>
      <x:c r="G128" s="29"/>
      <x:c r="H128" s="29"/>
      <x:c r="I128" s="29"/>
      <x:c r="J128" s="31"/>
      <x:c r="K128" s="35"/>
      <x:c r="L128" s="29"/>
      <x:c r="M128" s="29"/>
      <x:c r="N128" s="29"/>
      <x:c r="O128" s="29"/>
      <x:c r="P128" s="29"/>
      <x:c r="Q128" s="29"/>
      <x:c r="R128" s="33"/>
      <x:c r="S128" s="33"/>
      <x:c r="T128" s="29"/>
      <x:c r="U128" s="29"/>
      <x:c r="V128" s="29"/>
      <x:c r="W128" s="29"/>
    </x:row>
    <x:row r="129" ht="54" customHeight="1">
      <x:c r="A129" s="29"/>
      <x:c r="B129" s="29"/>
      <x:c r="C129" s="29"/>
      <x:c r="D129" s="29"/>
      <x:c r="E129" s="29"/>
      <x:c r="F129" s="29"/>
      <x:c r="G129" s="29"/>
      <x:c r="H129" s="29"/>
      <x:c r="I129" s="29"/>
      <x:c r="J129" s="31"/>
      <x:c r="K129" s="35"/>
      <x:c r="L129" s="29"/>
      <x:c r="M129" s="29"/>
      <x:c r="N129" s="29"/>
      <x:c r="O129" s="29"/>
      <x:c r="P129" s="29"/>
      <x:c r="Q129" s="29"/>
      <x:c r="R129" s="33"/>
      <x:c r="S129" s="33"/>
      <x:c r="T129" s="29"/>
      <x:c r="U129" s="29"/>
      <x:c r="V129" s="29"/>
      <x:c r="W129" s="29"/>
    </x:row>
  </x:sheetData>
  <x:mergeCells>
    <x:mergeCell ref="A3:H3"/>
  </x:mergeCells>
  <x:conditionalFormatting sqref="A8:A129">
    <x:cfRule type="expression" dxfId="48" priority="1">
      <x:formula>AND($A8&lt;&gt;"",ISBLANK(A8))</x:formula>
    </x:cfRule>
  </x:conditionalFormatting>
  <x:conditionalFormatting sqref="B8:B129">
    <x:cfRule type="expression" dxfId="49" priority="2">
      <x:formula>AND($A8&lt;&gt;"",ISBLANK(B8))</x:formula>
    </x:cfRule>
  </x:conditionalFormatting>
  <x:conditionalFormatting sqref="C8:C129">
    <x:cfRule type="expression" dxfId="50" priority="3">
      <x:formula>AND($A8&lt;&gt;"",ISBLANK(C8))</x:formula>
    </x:cfRule>
  </x:conditionalFormatting>
  <x:conditionalFormatting sqref="D8:D129">
    <x:cfRule type="expression" dxfId="51" priority="4">
      <x:formula>AND($A8&lt;&gt;"",ISBLANK(D8))</x:formula>
    </x:cfRule>
  </x:conditionalFormatting>
  <x:conditionalFormatting sqref="F8:F129">
    <x:cfRule type="expression" dxfId="52" priority="5">
      <x:formula>AND($A8&lt;&gt;"",ISBLANK(F8))</x:formula>
    </x:cfRule>
  </x:conditionalFormatting>
  <x:conditionalFormatting sqref="I8:I129">
    <x:cfRule type="expression" dxfId="53" priority="6">
      <x:formula>AND($A8&lt;&gt;"",ISBLANK(I8))</x:formula>
    </x:cfRule>
  </x:conditionalFormatting>
  <x:conditionalFormatting sqref="J8:J129">
    <x:cfRule type="expression" dxfId="54" priority="7">
      <x:formula>AND($A8&lt;&gt;"",ISBLANK(J8))</x:formula>
    </x:cfRule>
  </x:conditionalFormatting>
  <x:conditionalFormatting sqref="K8:K129">
    <x:cfRule type="expression" dxfId="55" priority="8">
      <x:formula>AND($A8&lt;&gt;"",ISBLANK(K8))</x:formula>
    </x:cfRule>
  </x:conditionalFormatting>
  <x:conditionalFormatting sqref="L8:L129">
    <x:cfRule type="expression" dxfId="56" priority="9">
      <x:formula>AND($A8&lt;&gt;"",ISBLANK(L8))</x:formula>
    </x:cfRule>
  </x:conditionalFormatting>
  <x:conditionalFormatting sqref="M8:M129">
    <x:cfRule type="expression" dxfId="57" priority="10">
      <x:formula>AND($A8&lt;&gt;"",ISBLANK(M8))</x:formula>
    </x:cfRule>
  </x:conditionalFormatting>
  <x:conditionalFormatting sqref="N8:N129">
    <x:cfRule type="expression" dxfId="58" priority="11">
      <x:formula>AND($A8&lt;&gt;"",ISBLANK(N8))</x:formula>
    </x:cfRule>
  </x:conditionalFormatting>
  <x:conditionalFormatting sqref="O8:O129">
    <x:cfRule type="expression" dxfId="59" priority="12">
      <x:formula>AND($A8&lt;&gt;"",ISBLANK(O8))</x:formula>
    </x:cfRule>
  </x:conditionalFormatting>
  <x:conditionalFormatting sqref="P8:P129">
    <x:cfRule type="expression" dxfId="60" priority="13">
      <x:formula>AND($A8&lt;&gt;"",ISBLANK(P8))</x:formula>
    </x:cfRule>
  </x:conditionalFormatting>
  <x:conditionalFormatting sqref="Q8:Q129">
    <x:cfRule type="expression" dxfId="61" priority="14">
      <x:formula>AND($A8&lt;&gt;"",ISBLANK(Q8))</x:formula>
    </x:cfRule>
  </x:conditionalFormatting>
  <x:conditionalFormatting sqref="V8:V129">
    <x:cfRule type="expression" dxfId="62" priority="15">
      <x:formula>AND($A8&lt;&gt;"",ISBLANK(V8))</x:formula>
    </x:cfRule>
  </x:conditionalFormatting>
  <x:dataValidations count="5">
    <x:dataValidation type="list" sqref="L8:L129">
      <x:formula1>"Evet,Hayır"</x:formula1>
    </x:dataValidation>
    <x:dataValidation type="list" sqref="M8:M129">
      <x:formula1>"Taslak,İnceleme,Düzeltme,Onaylandı"</x:formula1>
    </x:dataValidation>
    <x:dataValidation type="list" sqref="N8:N129">
      <x:formula1>"Müzeler,Sanat ve sergiler,Sahne ve müzik,Spor,Doğa ve açık hava,Çocuklarla keşif,Yeme ve içme,Tarih ve mimari,Alışveriş ve pazarlar"</x:formula1>
    </x:dataValidation>
    <x:dataValidation type="list" sqref="P8:P129">
      <x:formula1>"Kapalı alan,Açık hava,Karma"</x:formula1>
    </x:dataValidation>
    <x:dataValidation type="list" sqref="V8:V129">
      <x:formula1>"Evet,Hayır"</x:formula1>
    </x:dataValidation>
  </x:dataValidations>
  <x:pageMargins left="0.7" right="0.7" top="0.75" bottom="0.75" header="0.3" footer="0.3"/>
  <x:tableParts count="1">
    <x:tablePart xmlns:r="http://schemas.openxmlformats.org/officeDocument/2006/relationships" r:id="R097d0fe31e094587"/>
  </x:tableParts>
</x:worksheet>
</file>

<file path=xl/worksheets/sheet7.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 min="8" max="8" width="28" hidden="0" customWidth="1"/>
    <x:col min="9" max="9" width="28" hidden="0" customWidth="1"/>
    <x:col min="10" max="10" width="20" hidden="0" customWidth="1"/>
    <x:col min="11" max="11" width="28" hidden="0" customWidth="1"/>
    <x:col min="12" max="12" width="28" hidden="0" customWidth="1"/>
    <x:col min="13" max="13" width="28" hidden="0" customWidth="1"/>
    <x:col min="14" max="14" width="28" hidden="0" customWidth="1"/>
    <x:col min="15" max="15" width="28" hidden="0" customWidth="1"/>
    <x:col min="16" max="16" width="48" hidden="0" customWidth="1"/>
    <x:col min="17" max="17" width="58" hidden="0" customWidth="1"/>
    <x:col min="18" max="18" width="28" hidden="0" customWidth="1"/>
  </x:cols>
  <x:sheetData>
    <x:row r="1" ht="30" customHeight="1">
      <x:c r="A1" s="2"/>
      <x:c r="B1" s="2"/>
      <x:c r="C1" s="2"/>
      <x:c r="D1" s="2"/>
      <x:c r="E1" s="2"/>
      <x:c r="F1" s="2"/>
      <x:c r="G1" s="2"/>
      <x:c r="H1" s="2"/>
      <x:c r="I1" s="2"/>
      <x:c r="J1" s="2"/>
      <x:c r="K1" s="2"/>
      <x:c r="L1" s="2"/>
      <x:c r="M1" s="2"/>
      <x:c r="N1" s="2"/>
      <x:c r="O1" s="2"/>
      <x:c r="P1" s="2"/>
      <x:c r="Q1" s="2"/>
      <x:c r="R1" s="2"/>
    </x:row>
    <x:row r="2" ht="30" customHeight="1">
      <x:c r="A2" s="19" t="str">
        <x:v>Corteqs · Mahalle ve yerel bölge</x:v>
      </x:c>
      <x:c r="B2" s="2"/>
      <x:c r="C2" s="2"/>
      <x:c r="D2" s="2"/>
      <x:c r="E2" s="2"/>
      <x:c r="F2" s="2"/>
      <x:c r="G2" s="2"/>
      <x:c r="H2" s="2"/>
      <x:c r="I2" s="2"/>
      <x:c r="J2" s="2"/>
      <x:c r="K2" s="2"/>
      <x:c r="L2" s="2"/>
      <x:c r="M2" s="2"/>
      <x:c r="N2" s="2"/>
      <x:c r="O2" s="2"/>
      <x:c r="P2" s="2"/>
      <x:c r="Q2" s="2"/>
      <x:c r="R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c r="M3" s="2"/>
      <x:c r="N3" s="2"/>
      <x:c r="O3" s="2"/>
      <x:c r="P3" s="2"/>
      <x:c r="Q3" s="2"/>
      <x:c r="R3" s="2"/>
    </x:row>
    <x:row r="4" ht="30" customHeight="1">
      <x:c r="A4" s="21"/>
      <x:c r="B4" s="21"/>
      <x:c r="C4" s="21"/>
      <x:c r="D4" s="21"/>
      <x:c r="E4" s="21"/>
      <x:c r="F4" s="21"/>
      <x:c r="G4" s="21"/>
      <x:c r="H4" s="21"/>
      <x:c r="I4" s="21"/>
      <x:c r="J4" s="21"/>
      <x:c r="K4" s="21"/>
      <x:c r="L4" s="21"/>
      <x:c r="M4" s="21"/>
      <x:c r="N4" s="21"/>
      <x:c r="O4" s="21"/>
      <x:c r="P4" s="21"/>
      <x:c r="Q4" s="21"/>
      <x:c r="R4" s="21"/>
    </x:row>
    <x:row r="5" ht="26" customHeight="1">
      <x:c r="A5" s="22" t="str">
        <x:v>Zorunlu</x:v>
      </x:c>
      <x:c r="B5" s="22" t="str">
        <x:v>Zorunlu</x:v>
      </x:c>
      <x:c r="C5" s="22" t="str">
        <x:v>Zorunlu</x:v>
      </x:c>
      <x:c r="D5" s="22" t="str">
        <x:v>Zorunlu</x:v>
      </x:c>
      <x:c r="E5" s="22" t="str">
        <x:v>İsteğe bağlı</x:v>
      </x:c>
      <x:c r="F5" s="22" t="str">
        <x:v>Zorunlu</x:v>
      </x:c>
      <x:c r="G5" s="22" t="str">
        <x:v>İsteğe bağlı</x:v>
      </x:c>
      <x:c r="H5" s="22" t="str">
        <x:v>İsteğe bağlı · ; ile</x:v>
      </x:c>
      <x:c r="I5" s="22" t="str">
        <x:v>Zorunlu · ; ile</x:v>
      </x:c>
      <x:c r="J5" s="22" t="str">
        <x:v>Zorunlu · tarih</x:v>
      </x:c>
      <x:c r="K5" s="22" t="str">
        <x:v>Zorunlu</x:v>
      </x:c>
      <x:c r="L5" s="22" t="str">
        <x:v>Zorunlu</x:v>
      </x:c>
      <x:c r="M5" s="22" t="str">
        <x:v>Zorunlu</x:v>
      </x:c>
      <x:c r="N5" s="22" t="str">
        <x:v>Zorunlu</x:v>
      </x:c>
      <x:c r="O5" s="22" t="str">
        <x:v>İsteğe bağlı · alt satır</x:v>
      </x:c>
      <x:c r="P5" s="22" t="str">
        <x:v>İsteğe bağlı · JSON</x:v>
      </x:c>
      <x:c r="Q5" s="22" t="str">
        <x:v>İsteğe bağlı</x:v>
      </x:c>
      <x:c r="R5" s="22" t="str">
        <x:v>İsteğe bağlı</x:v>
      </x:c>
    </x:row>
    <x:row r="6" ht="44" customHeight="1">
      <x:c r="A6" s="25" t="str">
        <x:v>İçerik kimliği</x:v>
      </x:c>
      <x:c r="B6" s="25" t="str">
        <x:v>Şehir kimliği</x:v>
      </x:c>
      <x:c r="C6" s="25" t="str">
        <x:v>Adres adı</x:v>
      </x:c>
      <x:c r="D6" s="25" t="str">
        <x:v>Başlık</x:v>
      </x:c>
      <x:c r="E6" s="25" t="str">
        <x:v>Alt başlık</x:v>
      </x:c>
      <x:c r="F6" s="25" t="str">
        <x:v>Türkçe kısa yanıt / özet</x:v>
      </x:c>
      <x:c r="G6" s="25" t="str">
        <x:v>Arama sözcükleri</x:v>
      </x:c>
      <x:c r="H6" s="25" t="str">
        <x:v>Yaşam aşamaları</x:v>
      </x:c>
      <x:c r="I6" s="25" t="str">
        <x:v>Kaynak kimlikleri</x:v>
      </x:c>
      <x:c r="J6" s="25" t="str">
        <x:v>İçerik kontrol tarihi</x:v>
      </x:c>
      <x:c r="K6" s="25" t="str">
        <x:v>Sıra</x:v>
      </x:c>
      <x:c r="L6" s="25" t="str">
        <x:v>Öne çıkar</x:v>
      </x:c>
      <x:c r="M6" s="25" t="str">
        <x:v>Editör durumu</x:v>
      </x:c>
      <x:c r="N6" s="25" t="str">
        <x:v>Yer / konum</x:v>
      </x:c>
      <x:c r="O6" s="25" t="str">
        <x:v>Öne çıkan özellikler</x:v>
      </x:c>
      <x:c r="P6" s="25" t="str">
        <x:v>Karşılaştırma alanları (JSON)</x:v>
      </x:c>
      <x:c r="Q6" s="25" t="str">
        <x:v>Yaşam ve ev seçimi notu</x:v>
      </x:c>
      <x:c r="R6" s="25" t="str">
        <x:v>Medya eşleştirme anahtarı</x:v>
      </x:c>
    </x:row>
    <x:row r="7" ht="32" customHeight="1">
      <x:c r="A7" s="28" t="str">
        <x:v>entry_id</x:v>
      </x:c>
      <x:c r="B7" s="28" t="str">
        <x:v>city_id</x:v>
      </x:c>
      <x:c r="C7" s="28" t="str">
        <x:v>slug</x:v>
      </x:c>
      <x:c r="D7" s="28" t="str">
        <x:v>title</x:v>
      </x:c>
      <x:c r="E7" s="28" t="str">
        <x:v>subtitle</x:v>
      </x:c>
      <x:c r="F7" s="28" t="str">
        <x:v>summary</x:v>
      </x:c>
      <x:c r="G7" s="28" t="str">
        <x:v>keywords</x:v>
      </x:c>
      <x:c r="H7" s="28" t="str">
        <x:v>stages</x:v>
      </x:c>
      <x:c r="I7" s="28" t="str">
        <x:v>source_ids</x:v>
      </x:c>
      <x:c r="J7" s="28" t="str">
        <x:v>reviewed_on</x:v>
      </x:c>
      <x:c r="K7" s="28" t="str">
        <x:v>order</x:v>
      </x:c>
      <x:c r="L7" s="28" t="str">
        <x:v>featured</x:v>
      </x:c>
      <x:c r="M7" s="28" t="str">
        <x:v>editorial_status</x:v>
      </x:c>
      <x:c r="N7" s="28" t="str">
        <x:v>location</x:v>
      </x:c>
      <x:c r="O7" s="28" t="str">
        <x:v>tags</x:v>
      </x:c>
      <x:c r="P7" s="28" t="str">
        <x:v>compare_json</x:v>
      </x:c>
      <x:c r="Q7" s="28" t="str">
        <x:v>note</x:v>
      </x:c>
      <x:c r="R7" s="28" t="str">
        <x:v>media_key</x:v>
      </x:c>
    </x:row>
    <x:row r="8" ht="110" customHeight="1">
      <x:c r="A8" s="29" t="str">
        <x:v>bakersfield:mahalle-local-bakersfield-area-downtown</x:v>
      </x:c>
      <x:c r="B8" s="29" t="str">
        <x:v>bakersfield</x:v>
      </x:c>
      <x:c r="C8" s="29" t="str">
        <x:v>mahalle-local-bakersfield-area-downtown</x:v>
      </x:c>
      <x:c r="D8" s="29" t="str">
        <x:v>Downtown</x:v>
      </x:c>
      <x:c r="E8" s="29" t="str">
        <x:v>Tarih, sahne ve merkez yaşamı</x:v>
      </x:c>
      <x:c r="F8" s="29" t="str">
        <x:v>Tarihî ticaret yapıları, tiyatrolar ve kafeler aynı sokak dokusunda buluşur. Fox, Woolworth ve Padre çevresinde kısa yürüyüşler yapılabilir; otobüs yolculuğu için durak ile ev arasındaki son bölüm de önemlidir. Merkezde yaşamak isteyenler için akşam etkinliği sesleri, bina otoparkı ve yaz gölgesi ev seçiminde somut karşılaştırma konularıdır.</x:v>
      </x:c>
      <x:c r="G8" s="29" t="str">
        <x:v>downtown</x:v>
      </x:c>
      <x:c r="H8" s="29" t="str"/>
      <x:c r="I8" s="29" t="str">
        <x:v>bakersfield:src:17665;bakersfield:src:17603;bakersfield:src:17621;bakersfield:src:17846;bakersfield:src:17658;bakersfield:src:14202</x:v>
      </x:c>
      <x:c r="J8" s="31" t="d">
        <x:v>2026-10-24T00:00:00.000Z</x:v>
      </x:c>
      <x:c r="K8" s="35" t="n">
        <x:v>360</x:v>
      </x:c>
      <x:c r="L8" s="29" t="str">
        <x:v>Hayır</x:v>
      </x:c>
      <x:c r="M8" s="29" t="str">
        <x:v>İnceleme</x:v>
      </x:c>
      <x:c r="N8" s="29" t="str">
        <x:v>Downtown, Bakersfield, California, United States</x:v>
      </x:c>
      <x:c r="O8" s="29" t="str">
        <x:v>Tarih, sahne ve merkez yaşamı
Adres bazında karşılaştır</x:v>
      </x:c>
      <x:c r="P8" s="29" t="str">
        <x:v>{"Ulaşım":"GET hatları ve kısa merkez yürüyüşleri; evin tam adresinden işe gidiş ayrı hesaplanır.","Ev seçimi":"Tarihî ticaret yapıları, tiyatrolar ve kafeler aynı sokak dokusunda buluşur. Fox, Woolworth ve Padre çevresinde kısa yürüyüşler yapılabilir; otobüs yolculuğu için durak ile ev arasındaki son bölüm de önemlidir. Merkezde yaşamak isteyenler için akşam etkinliği sesleri, bina otoparkı ve yaz gölgesi ev seçiminde somut karşılaştırma konularıdır.","Yaşam odağı":"Tarih, sahne ve merkez yaşamı","Yakın keşifler":"Historic Bakersfield Fox Theater;The Woolworth's Building;The Padre Hotel"}</x:v>
      </x:c>
      <x:c r="Q8" s="29" t="str">
        <x:v>Kira, gürültü ve ulaşım aynı mahallede binadan binaya değişir. İş ve okul yolculuğunu gerçek adresten dene.</x:v>
      </x:c>
      <x:c r="R8" s="29" t="str">
        <x:v>local-bakersfield-area-downtown</x:v>
      </x:c>
    </x:row>
    <x:row r="9" ht="96" customHeight="1">
      <x:c r="A9" s="29" t="str">
        <x:v>bakersfield:mahalle-local-bakersfield-area-mill-creek</x:v>
      </x:c>
      <x:c r="B9" s="29" t="str">
        <x:v>bakersfield</x:v>
      </x:c>
      <x:c r="C9" s="29" t="str">
        <x:v>mahalle-local-bakersfield-area-mill-creek</x:v>
      </x:c>
      <x:c r="D9" s="29" t="str">
        <x:v>Mill Creek çevresi</x:v>
      </x:c>
      <x:c r="E9" s="29" t="str">
        <x:v>Kanal çevresi ve kültür</x:v>
      </x:c>
      <x:c r="F9" s="29" t="str">
        <x:v>Central Park'ın su kenarı yolları, sanat müzesi ve kamu yapıları bu doğu Downtown bölgesine karakter verir. Kanal çevresinde gündüz yürüyüşü ile kültür ziyaretini birleştirmek kolaydır. Konut ararken parkın adıyla geniş bir alanı eşitlemek yerine sokağın kaldırım, gölge ve günlük market bağlantısına bakmak yararlıdır.</x:v>
      </x:c>
      <x:c r="G9" s="29" t="str">
        <x:v>mill-creek</x:v>
      </x:c>
      <x:c r="H9" s="29" t="str"/>
      <x:c r="I9" s="29" t="str">
        <x:v>bakersfield:src:17665;bakersfield:src:17603;bakersfield:src:17621;bakersfield:src:17847;bakersfield:src:17658;bakersfield:src:14202</x:v>
      </x:c>
      <x:c r="J9" s="31" t="d">
        <x:v>2026-10-24T00:00:00.000Z</x:v>
      </x:c>
      <x:c r="K9" s="35" t="n">
        <x:v>361</x:v>
      </x:c>
      <x:c r="L9" s="29" t="str">
        <x:v>Hayır</x:v>
      </x:c>
      <x:c r="M9" s="29" t="str">
        <x:v>İnceleme</x:v>
      </x:c>
      <x:c r="N9" s="29" t="str">
        <x:v>Mill Creek çevresi, Bakersfield, California, United States</x:v>
      </x:c>
      <x:c r="O9" s="29" t="str">
        <x:v>Kanal çevresi ve kültür
Adres bazında karşılaştır</x:v>
      </x:c>
      <x:c r="P9" s="29" t="str">
        <x:v>{"Ulaşım":"Downtown bağlantılı GET yolculuğu ve yerel yürüyüş; okul ve iş güzergâhı adrese bağlıdır.","Ev seçimi":"Central Park'ın su kenarı yolları, sanat müzesi ve kamu yapıları bu doğu Downtown bölgesine karakter verir. Kanal çevresinde gündüz yürüyüşü ile kültür ziyaretini birleştirmek kolaydır. Konut ararken parkın adıyla geniş bir alanı eşitlemek yerine sokağın kaldırım, gölge ve günlük market bağlantısına bakmak yararlıdır.","Yaşam odağı":"Kanal çevresi ve kültür","Yakın keşifler":"Central Park at Mill Creek;Bakersfield Museum of Art;Bakersfield Federal Courthouse"}</x:v>
      </x:c>
      <x:c r="Q9" s="29" t="str">
        <x:v>Kira, gürültü ve ulaşım aynı mahallede binadan binaya değişir. İş ve okul yolculuğunu gerçek adresten dene.</x:v>
      </x:c>
      <x:c r="R9" s="29" t="str">
        <x:v>local-bakersfield-area-mill-creek</x:v>
      </x:c>
    </x:row>
    <x:row r="10" ht="96" customHeight="1">
      <x:c r="A10" s="29" t="str">
        <x:v>bakersfield:mahalle-local-bakersfield-area-westchester</x:v>
      </x:c>
      <x:c r="B10" s="29" t="str">
        <x:v>bakersfield</x:v>
      </x:c>
      <x:c r="C10" s="29" t="str">
        <x:v>mahalle-local-bakersfield-area-westchester</x:v>
      </x:c>
      <x:c r="D10" s="29" t="str">
        <x:v>Westchester</x:v>
      </x:c>
      <x:c r="E10" s="29" t="str">
        <x:v>Merkeze yakın konut dokusu</x:v>
      </x:c>
      <x:c r="F10" s="29" t="str">
        <x:v>Downtown'ın batısında olgun ağaçlı sokaklar ve Jastro Park çevresi öne çıkar. Kent merkezine yakın kalıp daha çok konut dokusu içinde yaşamak isteyenlerin karşılaştırabileceği bir bölgedir. Eski evlerde gölge kadar yalıtım, pencere, soğutma sistemi ve kiraya dâhil bakım sorumlulukları da önem taşır.</x:v>
      </x:c>
      <x:c r="G10" s="29" t="str">
        <x:v>westchester</x:v>
      </x:c>
      <x:c r="H10" s="29" t="str"/>
      <x:c r="I10" s="29" t="str">
        <x:v>bakersfield:src:17665;bakersfield:src:17603;bakersfield:src:17621;bakersfield:src:17848;bakersfield:src:17658;bakersfield:src:14202</x:v>
      </x:c>
      <x:c r="J10" s="31" t="d">
        <x:v>2026-10-24T00:00:00.000Z</x:v>
      </x:c>
      <x:c r="K10" s="35" t="n">
        <x:v>362</x:v>
      </x:c>
      <x:c r="L10" s="29" t="str">
        <x:v>Hayır</x:v>
      </x:c>
      <x:c r="M10" s="29" t="str">
        <x:v>İnceleme</x:v>
      </x:c>
      <x:c r="N10" s="29" t="str">
        <x:v>Westchester, Bakersfield, California, United States</x:v>
      </x:c>
      <x:c r="O10" s="29" t="str">
        <x:v>Merkeze yakın konut dokusu
Adres bazında karşılaştır</x:v>
      </x:c>
      <x:c r="P10" s="29" t="str">
        <x:v>{"Ulaşım":"Truxtun ve çevre arterlerden GET bağlantıları; yürüyüş mesafesi seçilen bloğa göre değişir.","Ev seçimi":"Downtown'ın batısında olgun ağaçlı sokaklar ve Jastro Park çevresi öne çıkar. Kent merkezine yakın kalıp daha çok konut dokusu içinde yaşamak isteyenlerin karşılaştırabileceği bir bölgedir. Eski evlerde gölge kadar yalıtım, pencere, soğutma sistemi ve kiraya dâhil bakım sorumlulukları da önem taşır.","Yaşam odağı":"Merkeze yakın konut dokusu","Yakın keşifler":"Jastro Park;Beach Park"}</x:v>
      </x:c>
      <x:c r="Q10" s="29" t="str">
        <x:v>Kira, gürültü ve ulaşım aynı mahallede binadan binaya değişir. İş ve okul yolculuğunu gerçek adresten dene.</x:v>
      </x:c>
      <x:c r="R10" s="29" t="str">
        <x:v>local-bakersfield-area-westchester</x:v>
      </x:c>
    </x:row>
    <x:row r="11" ht="110" customHeight="1">
      <x:c r="A11" s="29" t="str">
        <x:v>bakersfield:mahalle-local-bakersfield-area-oleander-eye</x:v>
      </x:c>
      <x:c r="B11" s="29" t="str">
        <x:v>bakersfield</x:v>
      </x:c>
      <x:c r="C11" s="29" t="str">
        <x:v>mahalle-local-bakersfield-area-oleander-eye</x:v>
      </x:c>
      <x:c r="D11" s="29" t="str">
        <x:v>Oleander–Sunset / Eye Street çevresi</x:v>
      </x:c>
      <x:c r="E11" s="29" t="str">
        <x:v>Köklü konut sokakları ve yerel esnaf</x:v>
      </x:c>
      <x:c r="F11" s="29" t="str">
        <x:v>Downtown'ın güneyindeki bu konut çevresinde küçük sokaklar, eski evler ve Eye Street'teki Dewar's gibi yerel duraklar bulunur. Merkeze araçla kısa erişim, her günlük işin yürüyerek yapılabileceği anlamına gelmez. Ev seçimini market, okul ve işe gidiş adresleriyle birlikte kurmak, bölgenin günlük ritmini anlamayı kolaylaştırır.</x:v>
      </x:c>
      <x:c r="G11" s="29" t="str">
        <x:v>oleander-eye</x:v>
      </x:c>
      <x:c r="H11" s="29" t="str"/>
      <x:c r="I11" s="29" t="str">
        <x:v>bakersfield:src:17665;bakersfield:src:17603;bakersfield:src:17621;bakersfield:src:17849;bakersfield:src:17658;bakersfield:src:14202</x:v>
      </x:c>
      <x:c r="J11" s="31" t="d">
        <x:v>2026-10-24T00:00:00.000Z</x:v>
      </x:c>
      <x:c r="K11" s="35" t="n">
        <x:v>363</x:v>
      </x:c>
      <x:c r="L11" s="29" t="str">
        <x:v>Hayır</x:v>
      </x:c>
      <x:c r="M11" s="29" t="str">
        <x:v>İnceleme</x:v>
      </x:c>
      <x:c r="N11" s="29" t="str">
        <x:v>Oleander–Sunset / Eye Street çevresi, Bakersfield, California, United States</x:v>
      </x:c>
      <x:c r="O11" s="29" t="str">
        <x:v>Köklü konut sokakları ve yerel esnaf
Adres bazında karşılaştır</x:v>
      </x:c>
      <x:c r="P11" s="29" t="str">
        <x:v>{"Ulaşım":"California Avenue ve Chester çevresindeki bağlantılar; sıcak günlerde gölgeli son yürüyüş önemlidir.","Ev seçimi":"Downtown'ın güneyindeki bu konut çevresinde küçük sokaklar, eski evler ve Eye Street'teki Dewar's gibi yerel duraklar bulunur. Merkeze araçla kısa erişim, her günlük işin yürüyerek yapılabileceği anlamına gelmez. Ev seçimini market, okul ve işe gidiş adresleriyle birlikte kurmak, bölgenin günlük ritmini anlamayı kolaylaştırır.","Yaşam odağı":"Köklü konut sokakları ve yerel esnaf","Yakın keşifler":"Dewar's Candy Shop – Eye Street;Beale Park"}</x:v>
      </x:c>
      <x:c r="Q11" s="29" t="str">
        <x:v>Kira, gürültü ve ulaşım aynı mahallede binadan binaya değişir. İş ve okul yolculuğunu gerçek adresten dene.</x:v>
      </x:c>
      <x:c r="R11" s="29" t="str">
        <x:v>local-bakersfield-area-oleander-eye</x:v>
      </x:c>
    </x:row>
    <x:row r="12" ht="110" customHeight="1">
      <x:c r="A12" s="29" t="str">
        <x:v>bakersfield:mahalle-local-bakersfield-area-old-town-kern</x:v>
      </x:c>
      <x:c r="B12" s="29" t="str">
        <x:v>bakersfield</x:v>
      </x:c>
      <x:c r="C12" s="29" t="str">
        <x:v>mahalle-local-bakersfield-area-old-town-kern</x:v>
      </x:c>
      <x:c r="D12" s="29" t="str">
        <x:v>Old Town Kern / Baker Street</x:v>
      </x:c>
      <x:c r="E12" s="29" t="str">
        <x:v>Demiryolu geçmişi ve Bask kültürü</x:v>
      </x:c>
      <x:c r="F12" s="29" t="str">
        <x:v>Baker Street çevresindeki demiryolu yapıları, tarihî kütüphane ve Bask yemek geleneği bölgenin kimliğini oluşturur. Downtown'dan farklı bir eski kent odağıdır. Baker Library'nin 2026'da yeniden açılması, kitap ve topluluk hizmetlerini bölge yaşamına geri getirdi. Ev ararken adresin hizmet yetkisini ve ağır trafikle ilişkisini ayrı değerlendirmek gerekir.</x:v>
      </x:c>
      <x:c r="G12" s="29" t="str">
        <x:v>old-town-kern</x:v>
      </x:c>
      <x:c r="H12" s="29" t="str"/>
      <x:c r="I12" s="29" t="str">
        <x:v>bakersfield:src:17665;bakersfield:src:17603;bakersfield:src:17658;bakersfield:src:17621;bakersfield:src:17850;bakersfield:src:14202</x:v>
      </x:c>
      <x:c r="J12" s="31" t="d">
        <x:v>2026-10-24T00:00:00.000Z</x:v>
      </x:c>
      <x:c r="K12" s="35" t="n">
        <x:v>364</x:v>
      </x:c>
      <x:c r="L12" s="29" t="str">
        <x:v>Hayır</x:v>
      </x:c>
      <x:c r="M12" s="29" t="str">
        <x:v>İnceleme</x:v>
      </x:c>
      <x:c r="N12" s="29" t="str">
        <x:v>Old Town Kern / Baker Street, Bakersfield, California, United States</x:v>
      </x:c>
      <x:c r="O12" s="29" t="str">
        <x:v>Demiryolu geçmişi ve Bask kültürü
Adres bazında karşılaştır</x:v>
      </x:c>
      <x:c r="P12" s="29" t="str">
        <x:v>{"Ulaşım":"Baker Street ekseninde GET bağlantıları; demiryolu geçişleri günlük güzergâhı etkileyebilir.","Ev seçimi":"Baker Street çevresindeki demiryolu yapıları, tarihî kütüphane ve Bask yemek geleneği bölgenin kimliğini oluşturur. Downtown'dan farklı bir eski kent odağıdır. Baker Library'nin 2026'da yeniden açılması, kitap ve topluluk hizmetlerini bölge yaşamına geri getirdi. Ev ararken adresin hizmet yetkisini ve ağır trafikle ilişkisini ayrı değerlendirmek gerekir.","Yaşam odağı":"Demiryolu geçmişi ve Bask kültürü","Yakın keşifler":"Baker Branch Library;Eski Southern Pacific Depot;Wool Growers Restaurant"}</x:v>
      </x:c>
      <x:c r="Q12" s="29" t="str">
        <x:v>Kira, gürültü ve ulaşım aynı mahallede binadan binaya değişir. İş ve okul yolculuğunu gerçek adresten dene.</x:v>
      </x:c>
      <x:c r="R12" s="29" t="str">
        <x:v>local-bakersfield-area-old-town-kern</x:v>
      </x:c>
    </x:row>
    <x:row r="13" ht="96" customHeight="1">
      <x:c r="A13" s="29" t="str">
        <x:v>bakersfield:mahalle-local-bakersfield-area-college-panorama</x:v>
      </x:c>
      <x:c r="B13" s="29" t="str">
        <x:v>bakersfield</x:v>
      </x:c>
      <x:c r="C13" s="29" t="str">
        <x:v>mahalle-local-bakersfield-area-college-panorama</x:v>
      </x:c>
      <x:c r="D13" s="29" t="str">
        <x:v>Bakersfield College / Panorama çevresi</x:v>
      </x:c>
      <x:c r="E13" s="29" t="str">
        <x:v>Kampüs ve vadi manzarası</x:v>
      </x:c>
      <x:c r="F13" s="29" t="str">
        <x:v>Panorama Drive üzerindeki kampüs ve blöfler, Northeast'in eğitim ve açık hava odağını oluşturur. Kampüs programları ile üst yamaç yürüyüşleri aynı bölgede buluşur. Öğrenciler ve kampüse düzenli gidenler için ders binası, durak ve ev arasındaki mesafe; aileler içinse tam adrese bağlı okul bölgesi belirleyicidir.</x:v>
      </x:c>
      <x:c r="G13" s="29" t="str">
        <x:v>college-panorama</x:v>
      </x:c>
      <x:c r="H13" s="29" t="str"/>
      <x:c r="I13" s="29" t="str">
        <x:v>bakersfield:src:17665;bakersfield:src:17603;bakersfield:src:17621;bakersfield:src:17658;bakersfield:src:17851;bakersfield:src:14202</x:v>
      </x:c>
      <x:c r="J13" s="31" t="d">
        <x:v>2026-10-24T00:00:00.000Z</x:v>
      </x:c>
      <x:c r="K13" s="35" t="n">
        <x:v>365</x:v>
      </x:c>
      <x:c r="L13" s="29" t="str">
        <x:v>Hayır</x:v>
      </x:c>
      <x:c r="M13" s="29" t="str">
        <x:v>İnceleme</x:v>
      </x:c>
      <x:c r="N13" s="29" t="str">
        <x:v>Bakersfield College / Panorama çevresi, Bakersfield, California, United States</x:v>
      </x:c>
      <x:c r="O13" s="29" t="str">
        <x:v>Kampüs ve vadi manzarası
Adres bazında karşılaştır</x:v>
      </x:c>
      <x:c r="P13" s="29" t="str">
        <x:v>{"Ulaşım":"GET kampüs bağlantıları; yokuş, gölge ve ders saatine uygun dönüş birlikte ele alınır.","Ev seçimi":"Panorama Drive üzerindeki kampüs ve blöfler, Northeast'in eğitim ve açık hava odağını oluşturur. Kampüs programları ile üst yamaç yürüyüşleri aynı bölgede buluşur. Öğrenciler ve kampüse düzenli gidenler için ders binası, durak ve ev arasındaki mesafe; aileler içinse tam adrese bağlı okul bölgesi belirleyicidir.","Yaşam odağı":"Kampüs ve vadi manzarası","Yakın keşifler":"Bakersfield College Kampüsü;Panorama Park – The Bluffs;Memorial Stadium – Bakersfield College"}</x:v>
      </x:c>
      <x:c r="Q13" s="29" t="str">
        <x:v>Kira, gürültü ve ulaşım aynı mahallede binadan binaya değişir. İş ve okul yolculuğunu gerçek adresten dene.</x:v>
      </x:c>
      <x:c r="R13" s="29" t="str">
        <x:v>local-bakersfield-area-college-panorama</x:v>
      </x:c>
    </x:row>
    <x:row r="14" ht="96" customHeight="1">
      <x:c r="A14" s="29" t="str">
        <x:v>bakersfield:mahalle-local-bakersfield-area-south-bakersfield</x:v>
      </x:c>
      <x:c r="B14" s="29" t="str">
        <x:v>bakersfield</x:v>
      </x:c>
      <x:c r="C14" s="29" t="str">
        <x:v>mahalle-local-bakersfield-area-south-bakersfield</x:v>
      </x:c>
      <x:c r="D14" s="29" t="str">
        <x:v>South Bakersfield / Union çevresi</x:v>
      </x:c>
      <x:c r="E14" s="29" t="str">
        <x:v>Topluluk kurumları ve güney koridorları</x:v>
      </x:c>
      <x:c r="F14" s="29" t="str">
        <x:v>South Union ve çevresindeki ticaret koridorları, konut sokakları ve topluluk kurumları geniş bir güney bölgesini oluşturur. Basque Club ile fuar alanı, takvimli buluşmalarda bölgeye hareket katar. Burası tek tip bir mahalle değildir; evin arterlere, okuluna ve iş yerine ilişkisi sokak düzeyinde karşılaştırılmalıdır.</x:v>
      </x:c>
      <x:c r="G14" s="29" t="str">
        <x:v>south-bakersfield</x:v>
      </x:c>
      <x:c r="H14" s="29" t="str"/>
      <x:c r="I14" s="29" t="str">
        <x:v>bakersfield:src:17665;bakersfield:src:17603;bakersfield:src:17621;bakersfield:src:17658;bakersfield:src:17852;bakersfield:src:14202</x:v>
      </x:c>
      <x:c r="J14" s="31" t="d">
        <x:v>2026-10-24T00:00:00.000Z</x:v>
      </x:c>
      <x:c r="K14" s="35" t="n">
        <x:v>366</x:v>
      </x:c>
      <x:c r="L14" s="29" t="str">
        <x:v>Hayır</x:v>
      </x:c>
      <x:c r="M14" s="29" t="str">
        <x:v>İnceleme</x:v>
      </x:c>
      <x:c r="N14" s="29" t="str">
        <x:v>South Bakersfield / Union çevresi, Bakersfield, California, United States</x:v>
      </x:c>
      <x:c r="O14" s="29" t="str">
        <x:v>Topluluk kurumları ve güney koridorları
Adres bazında karşılaştır</x:v>
      </x:c>
      <x:c r="P14" s="29" t="str">
        <x:v>{"Ulaşım":"Union ve Chester yönlerindeki hatlar; vardiya ve etkinlik bitişinde dönüş seçeneği ayrıca planlanır.","Ev seçimi":"South Union ve çevresindeki ticaret koridorları, konut sokakları ve topluluk kurumları geniş bir güney bölgesini oluşturur. Basque Club ile fuar alanı, takvimli buluşmalarda bölgeye hareket katar. Burası tek tip bir mahalle değildir; evin arterlere, okuluna ve iş yerine ilişkisi sokak düzeyinde karşılaştırılmalıdır.","Yaşam odağı":"Topluluk kurumları ve güney koridorları","Yakın keşifler":"Kern County Basque Club;Kern County Fairgrounds;Union Cemetery"}</x:v>
      </x:c>
      <x:c r="Q14" s="29" t="str">
        <x:v>Kira, gürültü ve ulaşım aynı mahallede binadan binaya değişir. İş ve okul yolculuğunu gerçek adresten dene.</x:v>
      </x:c>
      <x:c r="R14" s="29" t="str">
        <x:v>local-bakersfield-area-south-bakersfield</x:v>
      </x:c>
    </x:row>
    <x:row r="15" ht="96" customHeight="1">
      <x:c r="A15" s="29" t="str">
        <x:v>bakersfield:mahalle-local-bakersfield-area-ming-valley-plaza</x:v>
      </x:c>
      <x:c r="B15" s="29" t="str">
        <x:v>bakersfield</x:v>
      </x:c>
      <x:c r="C15" s="29" t="str">
        <x:v>mahalle-local-bakersfield-area-ming-valley-plaza</x:v>
      </x:c>
      <x:c r="D15" s="29" t="str">
        <x:v>Ming Avenue / Valley Plaza çevresi</x:v>
      </x:c>
      <x:c r="E15" s="29" t="str">
        <x:v>Alışveriş ve günlük ihtiyaçlar</x:v>
      </x:c>
      <x:c r="F15" s="29" t="str">
        <x:v>Valley Plaza çevresinde kapalı alışveriş, restoranlar ve geniş arterler günlük yaşamı şekillendirir. Southwest içinde alışverişe yakın olmak isteyenler için işlevsel bir odaktır. Çok şeritli yolların karşıya geçişi ve duraktan eve yürüyüş, haritadaki kısa mesafeden daha önemli olabilir.</x:v>
      </x:c>
      <x:c r="G15" s="29" t="str">
        <x:v>ming-valley-plaza</x:v>
      </x:c>
      <x:c r="H15" s="29" t="str"/>
      <x:c r="I15" s="29" t="str">
        <x:v>bakersfield:src:17665;bakersfield:src:17603;bakersfield:src:17621;bakersfield:src:17658;bakersfield:src:17853;bakersfield:src:14202</x:v>
      </x:c>
      <x:c r="J15" s="31" t="d">
        <x:v>2026-10-24T00:00:00.000Z</x:v>
      </x:c>
      <x:c r="K15" s="35" t="n">
        <x:v>367</x:v>
      </x:c>
      <x:c r="L15" s="29" t="str">
        <x:v>Hayır</x:v>
      </x:c>
      <x:c r="M15" s="29" t="str">
        <x:v>İnceleme</x:v>
      </x:c>
      <x:c r="N15" s="29" t="str">
        <x:v>Ming Avenue / Valley Plaza çevresi, Bakersfield, California, United States</x:v>
      </x:c>
      <x:c r="O15" s="29" t="str">
        <x:v>Alışveriş ve günlük ihtiyaçlar
Adres bazında karşılaştır</x:v>
      </x:c>
      <x:c r="P15" s="29" t="str">
        <x:v>{"Ulaşım":"GET bağlantıları ve Ming Avenue koridoru; durak yönü ve güvenli geçiş noktası birlikte seçilir.","Ev seçimi":"Valley Plaza çevresinde kapalı alışveriş, restoranlar ve geniş arterler günlük yaşamı şekillendirir. Southwest içinde alışverişe yakın olmak isteyenler için işlevsel bir odaktır. Çok şeritli yolların karşıya geçişi ve duraktan eve yürüyüş, haritadaki kısa mesafeden daha önemli olabilir.","Yaşam odağı":"Alışveriş ve günlük ihtiyaçlar","Yakın keşifler":"Valley Plaza Mall"}</x:v>
      </x:c>
      <x:c r="Q15" s="29" t="str">
        <x:v>Kira, gürültü ve ulaşım aynı mahallede binadan binaya değişir. İş ve okul yolculuğunu gerçek adresten dene.</x:v>
      </x:c>
      <x:c r="R15" s="29" t="str">
        <x:v>local-bakersfield-area-ming-valley-plaza</x:v>
      </x:c>
    </x:row>
    <x:row r="16" ht="96" customHeight="1">
      <x:c r="A16" s="29" t="str">
        <x:v>bakersfield:mahalle-local-bakersfield-area-haggin-oaks-marketplace</x:v>
      </x:c>
      <x:c r="B16" s="29" t="str">
        <x:v>bakersfield</x:v>
      </x:c>
      <x:c r="C16" s="29" t="str">
        <x:v>mahalle-local-bakersfield-area-haggin-oaks-marketplace</x:v>
      </x:c>
      <x:c r="D16" s="29" t="str">
        <x:v>Haggin Oaks / Marketplace çevresi</x:v>
      </x:c>
      <x:c r="E16" s="29" t="str">
        <x:v>Açık hava alışverişi ve konut alanları</x:v>
      </x:c>
      <x:c r="F16" s="29" t="str">
        <x:v>Ming Avenue'nin batısındaki Marketplace, restoran ve mağazaları açık hava koridorlarında toplar. Çevredeki konutlar ile alışveriş alanının ilişkisi otomobile dayalı Southwest yaşamının örneklerinden biridir. Ev seçerken site kuralları, bahçe bakımı ve toplam ulaşım gideri, yalnız kira ilanının yanında değerlendirilir.</x:v>
      </x:c>
      <x:c r="G16" s="29" t="str">
        <x:v>haggin-oaks-marketplace</x:v>
      </x:c>
      <x:c r="H16" s="29" t="str"/>
      <x:c r="I16" s="29" t="str">
        <x:v>bakersfield:src:17665;bakersfield:src:17603;bakersfield:src:17854;bakersfield:src:17621;bakersfield:src:17658;bakersfield:src:14202</x:v>
      </x:c>
      <x:c r="J16" s="31" t="d">
        <x:v>2026-10-24T00:00:00.000Z</x:v>
      </x:c>
      <x:c r="K16" s="35" t="n">
        <x:v>368</x:v>
      </x:c>
      <x:c r="L16" s="29" t="str">
        <x:v>Hayır</x:v>
      </x:c>
      <x:c r="M16" s="29" t="str">
        <x:v>İnceleme</x:v>
      </x:c>
      <x:c r="N16" s="29" t="str">
        <x:v>Haggin Oaks / Marketplace çevresi, Bakersfield, California, United States</x:v>
      </x:c>
      <x:c r="O16" s="29" t="str">
        <x:v>Açık hava alışverişi ve konut alanları
Adres bazında karşılaştır</x:v>
      </x:c>
      <x:c r="P16" s="29" t="str">
        <x:v>{"Ulaşım":"Ming Avenue boyunca araç ve otobüs bağlantıları; son yürüme bölümü gerçek kapı adresinden ölçülür.","Ev seçimi":"Ming Avenue'nin batısındaki Marketplace, restoran ve mağazaları açık hava koridorlarında toplar. Çevredeki konutlar ile alışveriş alanının ilişkisi otomobile dayalı Southwest yaşamının örneklerinden biridir. Ev seçerken site kuralları, bahçe bakımı ve toplam ulaşım gideri, yalnız kira ilanının yanında değerlendirilir.","Yaşam odağı":"Açık hava alışverişi ve konut alanları","Yakın keşifler":"The Marketplace Bakersfield"}</x:v>
      </x:c>
      <x:c r="Q16" s="29" t="str">
        <x:v>Kira, gürültü ve ulaşım aynı mahallede binadan binaya değişir. İş ve okul yolculuğunu gerçek adresten dene.</x:v>
      </x:c>
      <x:c r="R16" s="29" t="str">
        <x:v>local-bakersfield-area-haggin-oaks-marketplace</x:v>
      </x:c>
    </x:row>
    <x:row r="17" ht="96" customHeight="1">
      <x:c r="A17" s="29" t="str">
        <x:v>bakersfield:mahalle-local-bakersfield-area-stockdale-csub</x:v>
      </x:c>
      <x:c r="B17" s="29" t="str">
        <x:v>bakersfield</x:v>
      </x:c>
      <x:c r="C17" s="29" t="str">
        <x:v>mahalle-local-bakersfield-area-stockdale-csub</x:v>
      </x:c>
      <x:c r="D17" s="29" t="str">
        <x:v>Stockdale / CSU Bakersfield çevresi</x:v>
      </x:c>
      <x:c r="E17" s="29" t="str">
        <x:v>Üniversite ve batı kent yaşamı</x:v>
      </x:c>
      <x:c r="F17" s="29" t="str">
        <x:v>Stockdale Highway üzerindeki üniversite, eğitim, spor ve sanat programlarıyla çevresine güçlü bir odak verir. Kampüse düzenli erişim isteyenler için konutun adı kadar yaya girişi ve ders binası önemlidir. Nehir koridoru tarafındaki açık alanlar, araç arterlerinin ötesinde yürüyüş ve bisiklet bağlantıları sunar.</x:v>
      </x:c>
      <x:c r="G17" s="29" t="str">
        <x:v>stockdale-csub</x:v>
      </x:c>
      <x:c r="H17" s="29" t="str"/>
      <x:c r="I17" s="29" t="str">
        <x:v>bakersfield:src:17665;bakersfield:src:17603;bakersfield:src:17621;bakersfield:src:17658;bakersfield:src:14202;bakersfield:src:17855</x:v>
      </x:c>
      <x:c r="J17" s="31" t="d">
        <x:v>2026-10-24T00:00:00.000Z</x:v>
      </x:c>
      <x:c r="K17" s="35" t="n">
        <x:v>369</x:v>
      </x:c>
      <x:c r="L17" s="29" t="str">
        <x:v>Hayır</x:v>
      </x:c>
      <x:c r="M17" s="29" t="str">
        <x:v>İnceleme</x:v>
      </x:c>
      <x:c r="N17" s="29" t="str">
        <x:v>Stockdale / CSU Bakersfield çevresi, Bakersfield, California, United States</x:v>
      </x:c>
      <x:c r="O17" s="29" t="str">
        <x:v>Üniversite ve batı kent yaşamı
Adres bazında karşılaştır</x:v>
      </x:c>
      <x:c r="P17" s="29" t="str">
        <x:v>{"Ulaşım":"Kampüs bağlantılı GET hatları; bisiklet ve yürüyüşte uygun kampüs girişleri kullanılır.","Ev seçimi":"Stockdale Highway üzerindeki üniversite, eğitim, spor ve sanat programlarıyla çevresine güçlü bir odak verir. Kampüse düzenli erişim isteyenler için konutun adı kadar yaya girişi ve ders binası önemlidir. Nehir koridoru tarafındaki açık alanlar, araç arterlerinin ötesinde yürüyüş ve bisiklet bağlantıları sunar.","Yaşam odağı":"Üniversite ve batı kent yaşamı","Yakın keşifler":"CSUB Main Soccer Field;Hardt Field – CSU Bakersfield;Kern River Parkway Trail"}</x:v>
      </x:c>
      <x:c r="Q17" s="29" t="str">
        <x:v>Kira, gürültü ve ulaşım aynı mahallede binadan binaya değişir. İş ve okul yolculuğunu gerçek adresten dene.</x:v>
      </x:c>
      <x:c r="R17" s="29" t="str">
        <x:v>local-bakersfield-area-stockdale-csub</x:v>
      </x:c>
    </x:row>
    <x:row r="18" ht="96" customHeight="1">
      <x:c r="A18" s="29" t="str">
        <x:v>bakersfield:mahalle-local-bakersfield-area-river-walk-area</x:v>
      </x:c>
      <x:c r="B18" s="29" t="str">
        <x:v>bakersfield</x:v>
      </x:c>
      <x:c r="C18" s="29" t="str">
        <x:v>mahalle-local-bakersfield-area-river-walk-area</x:v>
      </x:c>
      <x:c r="D18" s="29" t="str">
        <x:v>River Walk çevresi</x:v>
      </x:c>
      <x:c r="E18" s="29" t="str">
        <x:v>Park, gölet ve açık hava</x:v>
      </x:c>
      <x:c r="F18" s="29" t="str">
        <x:v>Stockdale Highway'nin batı kesimindeki River Walk, göletler ve nehir koridoruna bağlanan yollarla bölgenin açık hava odağıdır. Parka yakınlık günlük yürüyüş için değerli olabilir; konser günleri çevredeki hareket farklılaşır. Konut karşılaştırmasında park girişine gerçek mesafe ve işe gidiş trafiği birlikte düşünülür.</x:v>
      </x:c>
      <x:c r="G18" s="29" t="str">
        <x:v>river-walk-area</x:v>
      </x:c>
      <x:c r="H18" s="29" t="str"/>
      <x:c r="I18" s="29" t="str">
        <x:v>bakersfield:src:17856;bakersfield:src:17665;bakersfield:src:17603;bakersfield:src:17621;bakersfield:src:17658;bakersfield:src:14202</x:v>
      </x:c>
      <x:c r="J18" s="31" t="d">
        <x:v>2026-10-24T00:00:00.000Z</x:v>
      </x:c>
      <x:c r="K18" s="35" t="n">
        <x:v>370</x:v>
      </x:c>
      <x:c r="L18" s="29" t="str">
        <x:v>Hayır</x:v>
      </x:c>
      <x:c r="M18" s="29" t="str">
        <x:v>İnceleme</x:v>
      </x:c>
      <x:c r="N18" s="29" t="str">
        <x:v>River Walk çevresi, Bakersfield, California, United States</x:v>
      </x:c>
      <x:c r="O18" s="29" t="str">
        <x:v>Park, gölet ve açık hava
Adres bazında karşılaştır</x:v>
      </x:c>
      <x:c r="P18" s="29" t="str">
        <x:v>{"Ulaşım":"Stockdale koridoru ile park yolları; uzun günlük yolculuklar için araç ve GET seçenekleri karşılaştırılır.","Ev seçimi":"Stockdale Highway'nin batı kesimindeki River Walk, göletler ve nehir koridoruna bağlanan yollarla bölgenin açık hava odağıdır. Parka yakınlık günlük yürüyüş için değerli olabilir; konser günleri çevredeki hareket farklılaşır. Konut karşılaştırmasında park girişine gerçek mesafe ve işe gidiş trafiği birlikte düşünülür.","Yaşam odağı":"Park, gölet ve açık hava","Yakın keşifler":"The Park at River Walk;Dignity Health Amphitheatre"}</x:v>
      </x:c>
      <x:c r="Q18" s="29" t="str">
        <x:v>Kira, gürültü ve ulaşım aynı mahallede binadan binaya değişir. İş ve okul yolculuğunu gerçek adresten dene.</x:v>
      </x:c>
      <x:c r="R18" s="29" t="str">
        <x:v>local-bakersfield-area-river-walk-area</x:v>
      </x:c>
    </x:row>
    <x:row r="19" ht="110" customHeight="1">
      <x:c r="A19" s="29" t="str">
        <x:v>bakersfield:mahalle-local-bakersfield-area-silver-creek-area</x:v>
      </x:c>
      <x:c r="B19" s="29" t="str">
        <x:v>bakersfield</x:v>
      </x:c>
      <x:c r="C19" s="29" t="str">
        <x:v>mahalle-local-bakersfield-area-silver-creek-area</x:v>
      </x:c>
      <x:c r="D19" s="29" t="str">
        <x:v>Silver Creek</x:v>
      </x:c>
      <x:c r="E19" s="29" t="str">
        <x:v>Mahalle parkı ve aile rutini</x:v>
      </x:c>
      <x:c r="F19" s="29" t="str">
        <x:v>Southwest'teki Silver Creek çevresi, park ve konut sokakları üzerinden daha yerel bir günlük düzen kurar. Parkın rekreasyon alanları, ailelerin veya düzenli açık hava etkinliği arayanların yakın çevreyi tanımasına yardımcı olur. Okul, kreş ve işe gidiş farklı yönlere dağılabileceği için aile takviminin adreslerle eşleştirilmesi önemlidir.</x:v>
      </x:c>
      <x:c r="G19" s="29" t="str">
        <x:v>silver-creek-area</x:v>
      </x:c>
      <x:c r="H19" s="29" t="str"/>
      <x:c r="I19" s="29" t="str">
        <x:v>bakersfield:src:17857;bakersfield:src:17665;bakersfield:src:17603;bakersfield:src:17621;bakersfield:src:17658;bakersfield:src:14202</x:v>
      </x:c>
      <x:c r="J19" s="31" t="d">
        <x:v>2026-10-24T00:00:00.000Z</x:v>
      </x:c>
      <x:c r="K19" s="35" t="n">
        <x:v>371</x:v>
      </x:c>
      <x:c r="L19" s="29" t="str">
        <x:v>Hayır</x:v>
      </x:c>
      <x:c r="M19" s="29" t="str">
        <x:v>İnceleme</x:v>
      </x:c>
      <x:c r="N19" s="29" t="str">
        <x:v>Silver Creek, Bakersfield, California, United States</x:v>
      </x:c>
      <x:c r="O19" s="29" t="str">
        <x:v>Mahalle parkı ve aile rutini
Adres bazında karşılaştır</x:v>
      </x:c>
      <x:c r="P19" s="29" t="str">
        <x:v>{"Ulaşım":"Southwest arterleri ve ilgili GET durakları; evden durağa mesafe ve sefer bitişi adrese göre değerlendirilir.","Ev seçimi":"Southwest'teki Silver Creek çevresi, park ve konut sokakları üzerinden daha yerel bir günlük düzen kurar. Parkın rekreasyon alanları, ailelerin veya düzenli açık hava etkinliği arayanların yakın çevreyi tanımasına yardımcı olur. Okul, kreş ve işe gidiş farklı yönlere dağılabileceği için aile takviminin adreslerle eşleştirilmesi önemlidir.","Yaşam odağı":"Mahalle parkı ve aile rutini","Yakın keşifler":"Silver Creek Park"}</x:v>
      </x:c>
      <x:c r="Q19" s="29" t="str">
        <x:v>Kira, gürültü ve ulaşım aynı mahallede binadan binaya değişir. İş ve okul yolculuğunu gerçek adresten dene.</x:v>
      </x:c>
      <x:c r="R19" s="29" t="str">
        <x:v>local-bakersfield-area-silver-creek-area</x:v>
      </x:c>
    </x:row>
    <x:row r="20" ht="110" customHeight="1">
      <x:c r="A20" s="29" t="str">
        <x:v>bakersfield:mahalle-local-bakersfield-area-rio-bravo-area</x:v>
      </x:c>
      <x:c r="B20" s="29" t="str">
        <x:v>bakersfield</x:v>
      </x:c>
      <x:c r="C20" s="29" t="str">
        <x:v>mahalle-local-bakersfield-area-rio-bravo-area</x:v>
      </x:c>
      <x:c r="D20" s="29" t="str">
        <x:v>Rio Bravo / doğu etekleri</x:v>
      </x:c>
      <x:c r="E20" s="29" t="str">
        <x:v>Dağ etekleri ve açık peyzaj</x:v>
      </x:c>
      <x:c r="F20" s="29" t="str">
        <x:v>Şehrin doğu ucundaki Rio Bravo çevresinde açık yamaçlar ve daha seyrek yerleşim görünümü öne çıkar. Downtown'a yakınlık yerine dağ eteğinde yaşam arayanların karşılaştırabileceği bir bölgedir. Golf tesisinin işletmesi 2026’da değişti; burada yaşayanlar için devam eden golf hizmeti varsayılmaz. Yangın riski, sigorta ve günlük yol gideri tam adres üzerinden ele alınmalıdır.</x:v>
      </x:c>
      <x:c r="G20" s="29" t="str">
        <x:v>rio-bravo-area</x:v>
      </x:c>
      <x:c r="H20" s="29" t="str"/>
      <x:c r="I20" s="29" t="str">
        <x:v>bakersfield:src:17665;bakersfield:src:17858;bakersfield:src:17603;bakersfield:src:17621;bakersfield:src:17658;bakersfield:src:14202</x:v>
      </x:c>
      <x:c r="J20" s="31" t="d">
        <x:v>2026-10-24T00:00:00.000Z</x:v>
      </x:c>
      <x:c r="K20" s="35" t="n">
        <x:v>372</x:v>
      </x:c>
      <x:c r="L20" s="29" t="str">
        <x:v>Hayır</x:v>
      </x:c>
      <x:c r="M20" s="29" t="str">
        <x:v>İnceleme</x:v>
      </x:c>
      <x:c r="N20" s="29" t="str">
        <x:v>Rio Bravo / doğu etekleri, Bakersfield, California, United States</x:v>
      </x:c>
      <x:c r="O20" s="29" t="str">
        <x:v>Dağ etekleri ve açık peyzaj
Adres bazında karşılaştır</x:v>
      </x:c>
      <x:c r="P20" s="29" t="str">
        <x:v>{"Ulaşım":"Günlük plan çoğunlukla araç güzergâhına bağlıdır; en yakın düzenli toplu taşıma erişimi tam adresten bulunur.","Ev seçimi":"Şehrin doğu ucundaki Rio Bravo çevresinde açık yamaçlar ve daha seyrek yerleşim görünümü öne çıkar. Downtown'a yakınlık yerine dağ eteğinde yaşam arayanların karşılaştırabileceği bir bölgedir. Golf tesisinin işletmesi 2026’da değişti; burada yaşayanlar için devam eden golf hizmeti varsayılmaz. Yangın riski, sigorta ve günlük yol gideri tam adres üzerinden ele alınmalıdır.","Yaşam odağı":"Dağ etekleri ve açık peyzaj","Yakın keşifler":"Lake Ming"}</x:v>
      </x:c>
      <x:c r="Q20" s="29" t="str">
        <x:v>Kira, gürültü ve ulaşım aynı mahallede binadan binaya değişir. İş ve okul yolculuğunu gerçek adresten dene.</x:v>
      </x:c>
      <x:c r="R20" s="29" t="str">
        <x:v>local-bakersfield-area-rio-bravo-area</x:v>
      </x:c>
    </x:row>
    <x:row r="21" ht="96" customHeight="1">
      <x:c r="A21" s="29" t="str">
        <x:v>bakersfield:mahalle-local-bakersfield-area-meadows-field-area</x:v>
      </x:c>
      <x:c r="B21" s="29" t="str">
        <x:v>bakersfield</x:v>
      </x:c>
      <x:c r="C21" s="29" t="str">
        <x:v>mahalle-local-bakersfield-area-meadows-field-area</x:v>
      </x:c>
      <x:c r="D21" s="29" t="str">
        <x:v>Meadows Field / Airport çevresi</x:v>
      </x:c>
      <x:c r="E21" s="29" t="str">
        <x:v>Havalimanı ve kuzey iş koridorları</x:v>
      </x:c>
      <x:c r="F21" s="29" t="str">
        <x:v>Havalimanı ve kuzey ticaret koridorları, bu geniş çevrenin günlük hareketini belirler. Uçuş bağlantısı veya kuzeydeki iş yerlerine erişim arayanlar için işlevsel olabilir. Havalimanına yakınlığı seçerken uçuş gürültüsü, vardiya saati ve adresin şehir ya da county yetkisinde olması ayrı değerlendirilir.</x:v>
      </x:c>
      <x:c r="G21" s="29" t="str">
        <x:v>meadows-field-area</x:v>
      </x:c>
      <x:c r="H21" s="29" t="str"/>
      <x:c r="I21" s="29" t="str">
        <x:v>bakersfield:src:17665;bakersfield:src:17859;bakersfield:src:17603;bakersfield:src:17621;bakersfield:src:17658;bakersfield:src:14202</x:v>
      </x:c>
      <x:c r="J21" s="31" t="d">
        <x:v>2026-10-24T00:00:00.000Z</x:v>
      </x:c>
      <x:c r="K21" s="35" t="n">
        <x:v>373</x:v>
      </x:c>
      <x:c r="L21" s="29" t="str">
        <x:v>Hayır</x:v>
      </x:c>
      <x:c r="M21" s="29" t="str">
        <x:v>İnceleme</x:v>
      </x:c>
      <x:c r="N21" s="29" t="str">
        <x:v>Meadows Field / Airport çevresi, Bakersfield, California, United States</x:v>
      </x:c>
      <x:c r="O21" s="29" t="str">
        <x:v>Havalimanı ve kuzey iş koridorları
Adres bazında karşılaştır</x:v>
      </x:c>
      <x:c r="P21" s="29" t="str">
        <x:v>{"Ulaşım":"Uçuş transferi ile günlük işe gidiş farklı ihtiyaçlardır; terminale doğrudan otobüs varmış gibi plan yapılmaz.","Ev seçimi":"Havalimanı ve kuzey ticaret koridorları, bu geniş çevrenin günlük hareketini belirler. Uçuş bağlantısı veya kuzeydeki iş yerlerine erişim arayanlar için işlevsel olabilir. Havalimanına yakınlığı seçerken uçuş gürültüsü, vardiya saati ve adresin şehir ya da county yetkisinde olması ayrı değerlendirilir.","Yaşam odağı":"Havalimanı ve kuzey iş koridorları","Yakın keşifler":"Meadows Field – William M. Thomas Terminal"}</x:v>
      </x:c>
      <x:c r="Q21" s="29" t="str">
        <x:v>Kira, gürültü ve ulaşım aynı mahallede binadan binaya değişir. İş ve okul yolculuğunu gerçek adresten dene.</x:v>
      </x:c>
      <x:c r="R21" s="29" t="str">
        <x:v>local-bakersfield-area-meadows-field-area</x:v>
      </x:c>
    </x:row>
    <x:row r="22" ht="96" customHeight="1">
      <x:c r="A22" s="29" t="str">
        <x:v>bakersfield:mahalle-local-bakersfield-area-buck-owens-corridor</x:v>
      </x:c>
      <x:c r="B22" s="29" t="str">
        <x:v>bakersfield</x:v>
      </x:c>
      <x:c r="C22" s="29" t="str">
        <x:v>mahalle-local-bakersfield-area-buck-owens-corridor</x:v>
      </x:c>
      <x:c r="D22" s="29" t="str">
        <x:v>Buck Owens Boulevard çevresi</x:v>
      </x:c>
      <x:c r="E22" s="29" t="str">
        <x:v>Yol üstü kültür, yemek ve eğlence</x:v>
      </x:c>
      <x:c r="F22" s="29" t="str">
        <x:v>Bakersfield tabelası, yol üstü kafeler ve eğlence mekânları Highway 99 yakınındaki bu koridora karakter verir. Downtown'ın batı girişine yakın bir gündüz veya akşam buluşma odağıdır. Geçici konaklama ya da ev arayışında otoyol sesi ve güvenli yaya geçişi, mesafeyle birlikte ele alınmalıdır.</x:v>
      </x:c>
      <x:c r="G22" s="29" t="str">
        <x:v>buck-owens-corridor</x:v>
      </x:c>
      <x:c r="H22" s="29" t="str"/>
      <x:c r="I22" s="29" t="str">
        <x:v>bakersfield:src:17665;bakersfield:src:17603;bakersfield:src:17860;bakersfield:src:17621;bakersfield:src:17658;bakersfield:src:14202</x:v>
      </x:c>
      <x:c r="J22" s="31" t="d">
        <x:v>2026-10-24T00:00:00.000Z</x:v>
      </x:c>
      <x:c r="K22" s="35" t="n">
        <x:v>374</x:v>
      </x:c>
      <x:c r="L22" s="29" t="str">
        <x:v>Hayır</x:v>
      </x:c>
      <x:c r="M22" s="29" t="str">
        <x:v>İnceleme</x:v>
      </x:c>
      <x:c r="N22" s="29" t="str">
        <x:v>Buck Owens Boulevard çevresi, Bakersfield, California, United States</x:v>
      </x:c>
      <x:c r="O22" s="29" t="str">
        <x:v>Yol üstü kültür, yemek ve eğlence
Adres bazında karşılaştır</x:v>
      </x:c>
      <x:c r="P22" s="29" t="str">
        <x:v>{"Ulaşım":"Highway 99 ve yerel arterlere araç bağlantısı; geniş kavşaklarda yürüyüş güzergâhı dikkatle seçilir.","Ev seçimi":"Bakersfield tabelası, yol üstü kafeler ve eğlence mekânları Highway 99 yakınındaki bu koridora karakter verir. Downtown'ın batı girişine yakın bir gündüz veya akşam buluşma odağıdır. Geçici konaklama ya da ev arayışında otoyol sesi ve güvenli yaya geçişi, mesafeyle birlikte ele alınmalıdır.","Yaşam odağı":"Yol üstü kültür, yemek ve eğlence","Yakın keşifler":"Bakersfield Sign;Zingo's Café;Temblor Brewing Company"}</x:v>
      </x:c>
      <x:c r="Q22" s="29" t="str">
        <x:v>Kira, gürültü ve ulaşım aynı mahallede binadan binaya değişir. İş ve okul yolculuğunu gerçek adresten dene.</x:v>
      </x:c>
      <x:c r="R22" s="29" t="str">
        <x:v>local-bakersfield-area-buck-owens-corridor</x:v>
      </x:c>
    </x:row>
    <x:row r="23" ht="110" customHeight="1">
      <x:c r="A23" s="29" t="str">
        <x:v>bakersfield:mahalle-local-bakersfield-area-northeast-parks</x:v>
      </x:c>
      <x:c r="B23" s="29" t="str">
        <x:v>bakersfield</x:v>
      </x:c>
      <x:c r="C23" s="29" t="str">
        <x:v>mahalle-local-bakersfield-area-northeast-parks</x:v>
      </x:c>
      <x:c r="D23" s="29" t="str">
        <x:v>Northeast / Kern River County Park çevresi</x:v>
      </x:c>
      <x:c r="E23" s="29" t="str">
        <x:v>Nehir, göl ve dağ etekleri</x:v>
      </x:c>
      <x:c r="F23" s="29" t="str">
        <x:v>Hart Park, CALM ve Lake Ming, Bakersfield'ın kuzeydoğusunda birbirini tamamlayan büyük açık alan odaklarıdır. Konut bölgesi seçmek ile bir parka yakın olmayı istemek aynı ölçek değildir; bu kart park sistemi çevresindeki yaşam koridorunu tanıtır. Kent merkezine yolculuk, yangın ve taşkın haritaları tam adres üzerinden değerlendirilir.</x:v>
      </x:c>
      <x:c r="G23" s="29" t="str">
        <x:v>northeast-parks</x:v>
      </x:c>
      <x:c r="H23" s="29" t="str"/>
      <x:c r="I23" s="29" t="str">
        <x:v>bakersfield:src:17665;bakersfield:src:17603;bakersfield:src:17861;bakersfield:src:17621;bakersfield:src:17658;bakersfield:src:14202</x:v>
      </x:c>
      <x:c r="J23" s="31" t="d">
        <x:v>2026-10-24T00:00:00.000Z</x:v>
      </x:c>
      <x:c r="K23" s="35" t="n">
        <x:v>375</x:v>
      </x:c>
      <x:c r="L23" s="29" t="str">
        <x:v>Hayır</x:v>
      </x:c>
      <x:c r="M23" s="29" t="str">
        <x:v>İnceleme</x:v>
      </x:c>
      <x:c r="N23" s="29" t="str">
        <x:v>Northeast / Kern River County Park çevresi, Bakersfield, California, United States</x:v>
      </x:c>
      <x:c r="O23" s="29" t="str">
        <x:v>Nehir, göl ve dağ etekleri
Adres bazında karşılaştır</x:v>
      </x:c>
      <x:c r="P23" s="29" t="str">
        <x:v>{"Ulaşım":"Alfred Harrell Highway çevresinde araç erişimi öne çıkar; parklar arası mesafe şehir içi kısa yürüyüş olarak alınmaz.","Ev seçimi":"Hart Park, CALM ve Lake Ming, Bakersfield'ın kuzeydoğusunda birbirini tamamlayan büyük açık alan odaklarıdır. Konut bölgesi seçmek ile bir parka yakın olmayı istemek aynı ölçek değildir; bu kart park sistemi çevresindeki yaşam koridorunu tanıtır. Kent merkezine yolculuk, yangın ve taşkın haritaları tam adres üzerinden değerlendirilir.","Yaşam odağı":"Nehir, göl ve dağ etekleri","Yakın keşifler":"Hart Memorial Park;CALM – California Living Museum;Lake Ming"}</x:v>
      </x:c>
      <x:c r="Q23" s="29" t="str">
        <x:v>Kira, gürültü ve ulaşım aynı mahallede binadan binaya değişir. İş ve okul yolculuğunu gerçek adresten dene.</x:v>
      </x:c>
      <x:c r="R23" s="29" t="str">
        <x:v>local-bakersfield-area-northeast-parks</x:v>
      </x:c>
    </x:row>
    <x:row r="24" ht="54" customHeight="1">
      <x:c r="A24" s="29"/>
      <x:c r="B24" s="29"/>
      <x:c r="C24" s="29"/>
      <x:c r="D24" s="29"/>
      <x:c r="E24" s="29"/>
      <x:c r="F24" s="29"/>
      <x:c r="G24" s="29"/>
      <x:c r="H24" s="29"/>
      <x:c r="I24" s="29"/>
      <x:c r="J24" s="31"/>
      <x:c r="K24" s="35"/>
      <x:c r="L24" s="29"/>
      <x:c r="M24" s="29"/>
      <x:c r="N24" s="29"/>
      <x:c r="O24" s="29"/>
      <x:c r="P24" s="29"/>
      <x:c r="Q24" s="29"/>
      <x:c r="R24" s="29"/>
    </x:row>
    <x:row r="25" ht="54" customHeight="1">
      <x:c r="A25" s="29"/>
      <x:c r="B25" s="29"/>
      <x:c r="C25" s="29"/>
      <x:c r="D25" s="29"/>
      <x:c r="E25" s="29"/>
      <x:c r="F25" s="29"/>
      <x:c r="G25" s="29"/>
      <x:c r="H25" s="29"/>
      <x:c r="I25" s="29"/>
      <x:c r="J25" s="31"/>
      <x:c r="K25" s="35"/>
      <x:c r="L25" s="29"/>
      <x:c r="M25" s="29"/>
      <x:c r="N25" s="29"/>
      <x:c r="O25" s="29"/>
      <x:c r="P25" s="29"/>
      <x:c r="Q25" s="29"/>
      <x:c r="R25" s="29"/>
    </x:row>
  </x:sheetData>
  <x:mergeCells>
    <x:mergeCell ref="A3:H3"/>
  </x:mergeCells>
  <x:conditionalFormatting sqref="A8:A25">
    <x:cfRule type="expression" dxfId="63" priority="1">
      <x:formula>AND($A8&lt;&gt;"",ISBLANK(A8))</x:formula>
    </x:cfRule>
  </x:conditionalFormatting>
  <x:conditionalFormatting sqref="B8:B25">
    <x:cfRule type="expression" dxfId="64" priority="2">
      <x:formula>AND($A8&lt;&gt;"",ISBLANK(B8))</x:formula>
    </x:cfRule>
  </x:conditionalFormatting>
  <x:conditionalFormatting sqref="C8:C25">
    <x:cfRule type="expression" dxfId="65" priority="3">
      <x:formula>AND($A8&lt;&gt;"",ISBLANK(C8))</x:formula>
    </x:cfRule>
  </x:conditionalFormatting>
  <x:conditionalFormatting sqref="D8:D25">
    <x:cfRule type="expression" dxfId="66" priority="4">
      <x:formula>AND($A8&lt;&gt;"",ISBLANK(D8))</x:formula>
    </x:cfRule>
  </x:conditionalFormatting>
  <x:conditionalFormatting sqref="F8:F25">
    <x:cfRule type="expression" dxfId="67" priority="5">
      <x:formula>AND($A8&lt;&gt;"",ISBLANK(F8))</x:formula>
    </x:cfRule>
  </x:conditionalFormatting>
  <x:conditionalFormatting sqref="I8:I25">
    <x:cfRule type="expression" dxfId="68" priority="6">
      <x:formula>AND($A8&lt;&gt;"",ISBLANK(I8))</x:formula>
    </x:cfRule>
  </x:conditionalFormatting>
  <x:conditionalFormatting sqref="J8:J25">
    <x:cfRule type="expression" dxfId="69" priority="7">
      <x:formula>AND($A8&lt;&gt;"",ISBLANK(J8))</x:formula>
    </x:cfRule>
  </x:conditionalFormatting>
  <x:conditionalFormatting sqref="K8:K25">
    <x:cfRule type="expression" dxfId="70" priority="8">
      <x:formula>AND($A8&lt;&gt;"",ISBLANK(K8))</x:formula>
    </x:cfRule>
  </x:conditionalFormatting>
  <x:conditionalFormatting sqref="L8:L25">
    <x:cfRule type="expression" dxfId="71" priority="9">
      <x:formula>AND($A8&lt;&gt;"",ISBLANK(L8))</x:formula>
    </x:cfRule>
  </x:conditionalFormatting>
  <x:conditionalFormatting sqref="M8:M25">
    <x:cfRule type="expression" dxfId="72" priority="10">
      <x:formula>AND($A8&lt;&gt;"",ISBLANK(M8))</x:formula>
    </x:cfRule>
  </x:conditionalFormatting>
  <x:conditionalFormatting sqref="N8:N25">
    <x:cfRule type="expression" dxfId="73" priority="11">
      <x:formula>AND($A8&lt;&gt;"",ISBLANK(N8))</x:formula>
    </x:cfRule>
  </x:conditionalFormatting>
  <x:dataValidations count="2">
    <x:dataValidation type="list" sqref="L8:L25">
      <x:formula1>"Evet,Hayır"</x:formula1>
    </x:dataValidation>
    <x:dataValidation type="list" sqref="M8:M25">
      <x:formula1>"Taslak,İnceleme,Düzeltme,Onaylandı"</x:formula1>
    </x:dataValidation>
  </x:dataValidations>
  <x:pageMargins left="0.7" right="0.7" top="0.75" bottom="0.75" header="0.3" footer="0.3"/>
  <x:tableParts count="1">
    <x:tablePart xmlns:r="http://schemas.openxmlformats.org/officeDocument/2006/relationships" r:id="Rb7b65be208374590"/>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48" hidden="0" customWidth="1"/>
    <x:col min="6" max="6" width="20" hidden="0" customWidth="1"/>
    <x:col min="7" max="7" width="28" hidden="0" customWidth="1"/>
  </x:cols>
  <x:sheetData>
    <x:row r="1" ht="30" customHeight="1">
      <x:c r="A1" s="2"/>
      <x:c r="B1" s="2"/>
      <x:c r="C1" s="2"/>
      <x:c r="D1" s="2"/>
      <x:c r="E1" s="2"/>
      <x:c r="F1" s="2"/>
      <x:c r="G1" s="2"/>
    </x:row>
    <x:row r="2" ht="30" customHeight="1">
      <x:c r="A2" s="19" t="str">
        <x:v>Corteqs · Doğrudan kurum ve işlem bağlantıları</x:v>
      </x:c>
      <x:c r="B2" s="2"/>
      <x:c r="C2" s="2"/>
      <x:c r="D2" s="2"/>
      <x:c r="E2" s="2"/>
      <x:c r="F2" s="2"/>
      <x:c r="G2" s="2"/>
    </x:row>
    <x:row r="3" ht="36" customHeight="1">
      <x:c r="A3" s="20" t="str">
        <x:v>Türkçe başlığı okuyun; veriyi 8. satırdan yazın. 7. satırdaki alan adını ve sayfa adını değiştirmeyin.</x:v>
      </x:c>
      <x:c r="B3" s="20"/>
      <x:c r="C3" s="20"/>
      <x:c r="D3" s="20"/>
      <x:c r="E3" s="20"/>
      <x:c r="F3" s="20"/>
      <x:c r="G3" s="20"/>
    </x:row>
    <x:row r="4" ht="30" customHeight="1">
      <x:c r="A4" s="21"/>
      <x:c r="B4" s="21"/>
      <x:c r="C4" s="21"/>
      <x:c r="D4" s="21"/>
      <x:c r="E4" s="21"/>
      <x:c r="F4" s="21"/>
      <x:c r="G4" s="21"/>
    </x:row>
    <x:row r="5" ht="26" customHeight="1">
      <x:c r="A5" s="22" t="str">
        <x:v>Zorunlu</x:v>
      </x:c>
      <x:c r="B5" s="22" t="str">
        <x:v>Zorunlu</x:v>
      </x:c>
      <x:c r="C5" s="22" t="str">
        <x:v>Zorunlu</x:v>
      </x:c>
      <x:c r="D5" s="22" t="str">
        <x:v>Zorunlu</x:v>
      </x:c>
      <x:c r="E5" s="22" t="str">
        <x:v>Zorunlu</x:v>
      </x:c>
      <x:c r="F5" s="22" t="str">
        <x:v>Zorunlu · tarih</x:v>
      </x:c>
      <x:c r="G5" s="22" t="str">
        <x:v>Zorunlu</x:v>
      </x:c>
    </x:row>
    <x:row r="6" ht="44" customHeight="1">
      <x:c r="A6" s="25" t="str">
        <x:v>Bağlantı kimliği</x:v>
      </x:c>
      <x:c r="B6" s="25" t="str">
        <x:v>Şehir kimliği</x:v>
      </x:c>
      <x:c r="C6" s="25" t="str">
        <x:v>İçerik kimliği</x:v>
      </x:c>
      <x:c r="D6" s="25" t="str">
        <x:v>Bağlantı metni</x:v>
      </x:c>
      <x:c r="E6" s="25" t="str">
        <x:v>Doğrudan bağlantı</x:v>
      </x:c>
      <x:c r="F6" s="25" t="str">
        <x:v>Bağlantı kontrol tarihi</x:v>
      </x:c>
      <x:c r="G6" s="25" t="str">
        <x:v>Sıra</x:v>
      </x:c>
    </x:row>
    <x:row r="7" ht="32" customHeight="1">
      <x:c r="A7" s="28" t="str">
        <x:v>action_id</x:v>
      </x:c>
      <x:c r="B7" s="28" t="str">
        <x:v>city_id</x:v>
      </x:c>
      <x:c r="C7" s="28" t="str">
        <x:v>entry_id</x:v>
      </x:c>
      <x:c r="D7" s="28" t="str">
        <x:v>label</x:v>
      </x:c>
      <x:c r="E7" s="28" t="str">
        <x:v>url</x:v>
      </x:c>
      <x:c r="F7" s="28" t="str">
        <x:v>checked_on</x:v>
      </x:c>
      <x:c r="G7" s="28" t="str">
        <x:v>order</x:v>
      </x:c>
    </x:row>
    <x:row r="8" ht="54" customHeight="1">
      <x:c r="A8" s="29" t="str">
        <x:v>bakersfield:action:ilk-belgeler-1</x:v>
      </x:c>
      <x:c r="B8" s="29" t="str">
        <x:v>bakersfield</x:v>
      </x:c>
      <x:c r="C8" s="29" t="str">
        <x:v>bakersfield:ilk-belgeler</x:v>
      </x:c>
      <x:c r="D8" s="29" t="str">
        <x:v>SSN belgesi koşulları</x:v>
      </x:c>
      <x:c r="E8" s="29" t="str">
        <x:v>https://www.ssa.gov/ssnumber/ss5doc.htm</x:v>
      </x:c>
      <x:c r="F8" s="31" t="d">
        <x:v>2026-10-24T00:00:00.000Z</x:v>
      </x:c>
      <x:c r="G8" s="35" t="n">
        <x:v>0</x:v>
      </x:c>
    </x:row>
    <x:row r="9" ht="54" customHeight="1">
      <x:c r="A9" s="29" t="str">
        <x:v>bakersfield:action:ilk-belgeler-2</x:v>
      </x:c>
      <x:c r="B9" s="29" t="str">
        <x:v>bakersfield</x:v>
      </x:c>
      <x:c r="C9" s="29" t="str">
        <x:v>bakersfield:ilk-belgeler</x:v>
      </x:c>
      <x:c r="D9" s="29" t="str">
        <x:v>Başvuru ve belgeleri hazırlama</x:v>
      </x:c>
      <x:c r="E9" s="29" t="str">
        <x:v>https://www.uscis.gov/forms/filing-guidance/tips-for-filing-forms-by-mail</x:v>
      </x:c>
      <x:c r="F9" s="31" t="d">
        <x:v>2026-10-24T00:00:00.000Z</x:v>
      </x:c>
      <x:c r="G9" s="35" t="n">
        <x:v>1</x:v>
      </x:c>
    </x:row>
    <x:row r="10" ht="54" customHeight="1">
      <x:c r="A10" s="29" t="str">
        <x:v>bakersfield:action:i94-kaydi-1</x:v>
      </x:c>
      <x:c r="B10" s="29" t="str">
        <x:v>bakersfield</x:v>
      </x:c>
      <x:c r="C10" s="29" t="str">
        <x:v>bakersfield:i94-kaydi</x:v>
      </x:c>
      <x:c r="D10" s="29" t="str">
        <x:v>I-94 kayıtları ve açıklamalar</x:v>
      </x:c>
      <x:c r="E10" s="29" t="str">
        <x:v>https://i94.cbp.dhs.gov/help</x:v>
      </x:c>
      <x:c r="F10" s="31" t="d">
        <x:v>2026-10-24T00:00:00.000Z</x:v>
      </x:c>
      <x:c r="G10" s="35" t="n">
        <x:v>0</x:v>
      </x:c>
    </x:row>
    <x:row r="11" ht="54" customHeight="1">
      <x:c r="A11" s="29" t="str">
        <x:v>bakersfield:action:i94-kaydi-2</x:v>
      </x:c>
      <x:c r="B11" s="29" t="str">
        <x:v>bakersfield</x:v>
      </x:c>
      <x:c r="C11" s="29" t="str">
        <x:v>bakersfield:i94-kaydi</x:v>
      </x:c>
      <x:c r="D11" s="29" t="str">
        <x:v>Vize geçerliliği ve kalış süresi</x:v>
      </x:c>
      <x:c r="E11" s="29" t="str">
        <x:v>https://travel.state.gov/content/travel/en/us-visas/visa-information-resources/visa-expiration-date.html</x:v>
      </x:c>
      <x:c r="F11" s="31" t="d">
        <x:v>2026-10-24T00:00:00.000Z</x:v>
      </x:c>
      <x:c r="G11" s="35" t="n">
        <x:v>1</x:v>
      </x:c>
    </x:row>
    <x:row r="12" ht="54" customHeight="1">
      <x:c r="A12" s="29" t="str">
        <x:v>bakersfield:action:vize-ve-statu-1</x:v>
      </x:c>
      <x:c r="B12" s="29" t="str">
        <x:v>bakersfield</x:v>
      </x:c>
      <x:c r="C12" s="29" t="str">
        <x:v>bakersfield:vize-ve-statu</x:v>
      </x:c>
      <x:c r="D12" s="29" t="str">
        <x:v>Vize geçerliliği ve kalış süresi</x:v>
      </x:c>
      <x:c r="E12" s="29" t="str">
        <x:v>https://travel.state.gov/content/travel/en/us-visas/visa-information-resources/visa-expiration-date.html</x:v>
      </x:c>
      <x:c r="F12" s="31" t="d">
        <x:v>2026-10-24T00:00:00.000Z</x:v>
      </x:c>
      <x:c r="G12" s="35" t="n">
        <x:v>0</x:v>
      </x:c>
    </x:row>
    <x:row r="13" ht="54" customHeight="1">
      <x:c r="A13" s="29" t="str">
        <x:v>bakersfield:action:vize-ve-statu-2</x:v>
      </x:c>
      <x:c r="B13" s="29" t="str">
        <x:v>bakersfield</x:v>
      </x:c>
      <x:c r="C13" s="29" t="str">
        <x:v>bakersfield:vize-ve-statu</x:v>
      </x:c>
      <x:c r="D13" s="29" t="str">
        <x:v>ABD'de çalışma yetkisi</x:v>
      </x:c>
      <x:c r="E13" s="29" t="str">
        <x:v>https://www.uscis.gov/working-in-the-united-states</x:v>
      </x:c>
      <x:c r="F13" s="31" t="d">
        <x:v>2026-10-24T00:00:00.000Z</x:v>
      </x:c>
      <x:c r="G13" s="35" t="n">
        <x:v>1</x:v>
      </x:c>
    </x:row>
    <x:row r="14" ht="54" customHeight="1">
      <x:c r="A14" s="29" t="str">
        <x:v>bakersfield:action:vize-ve-statu-3</x:v>
      </x:c>
      <x:c r="B14" s="29" t="str">
        <x:v>bakersfield</x:v>
      </x:c>
      <x:c r="C14" s="29" t="str">
        <x:v>bakersfield:vize-ve-statu</x:v>
      </x:c>
      <x:c r="D14" s="29" t="str">
        <x:v>Social Security kart türleri</x:v>
      </x:c>
      <x:c r="E14" s="29" t="str">
        <x:v>https://www.ssa.gov/ssnumber/cards.htm</x:v>
      </x:c>
      <x:c r="F14" s="31" t="d">
        <x:v>2026-10-24T00:00:00.000Z</x:v>
      </x:c>
      <x:c r="G14" s="35" t="n">
        <x:v>2</x:v>
      </x:c>
    </x:row>
    <x:row r="15" ht="54" customHeight="1">
      <x:c r="A15" s="29" t="str">
        <x:v>bakersfield:action:kalista-ds-1</x:v>
      </x:c>
      <x:c r="B15" s="29" t="str">
        <x:v>bakersfield</x:v>
      </x:c>
      <x:c r="C15" s="29" t="str">
        <x:v>bakersfield:kalista-ds</x:v>
      </x:c>
      <x:c r="D15" s="29" t="str">
        <x:v>I-94 kayıtları ve açıklamalar</x:v>
      </x:c>
      <x:c r="E15" s="29" t="str">
        <x:v>https://i94.cbp.dhs.gov/help</x:v>
      </x:c>
      <x:c r="F15" s="31" t="d">
        <x:v>2026-10-24T00:00:00.000Z</x:v>
      </x:c>
      <x:c r="G15" s="35" t="n">
        <x:v>0</x:v>
      </x:c>
    </x:row>
    <x:row r="16" ht="54" customHeight="1">
      <x:c r="A16" s="29" t="str">
        <x:v>bakersfield:action:aile-statusu-1</x:v>
      </x:c>
      <x:c r="B16" s="29" t="str">
        <x:v>bakersfield</x:v>
      </x:c>
      <x:c r="C16" s="29" t="str">
        <x:v>bakersfield:aile-statusu</x:v>
      </x:c>
      <x:c r="D16" s="29" t="str">
        <x:v>ABD'de çalışma yetkisi</x:v>
      </x:c>
      <x:c r="E16" s="29" t="str">
        <x:v>https://www.uscis.gov/working-in-the-united-states</x:v>
      </x:c>
      <x:c r="F16" s="31" t="d">
        <x:v>2026-10-24T00:00:00.000Z</x:v>
      </x:c>
      <x:c r="G16" s="35" t="n">
        <x:v>0</x:v>
      </x:c>
    </x:row>
    <x:row r="17" ht="54" customHeight="1">
      <x:c r="A17" s="29" t="str">
        <x:v>bakersfield:action:aile-statusu-2</x:v>
      </x:c>
      <x:c r="B17" s="29" t="str">
        <x:v>bakersfield</x:v>
      </x:c>
      <x:c r="C17" s="29" t="str">
        <x:v>bakersfield:aile-statusu</x:v>
      </x:c>
      <x:c r="D17" s="29" t="str">
        <x:v>I-94 kayıtları ve açıklamalar</x:v>
      </x:c>
      <x:c r="E17" s="29" t="str">
        <x:v>https://i94.cbp.dhs.gov/help</x:v>
      </x:c>
      <x:c r="F17" s="31" t="d">
        <x:v>2026-10-24T00:00:00.000Z</x:v>
      </x:c>
      <x:c r="G17" s="35" t="n">
        <x:v>1</x:v>
      </x:c>
    </x:row>
    <x:row r="18" ht="54" customHeight="1">
      <x:c r="A18" s="29" t="str">
        <x:v>bakersfield:action:ssn-basvuru-1</x:v>
      </x:c>
      <x:c r="B18" s="29" t="str">
        <x:v>bakersfield</x:v>
      </x:c>
      <x:c r="C18" s="29" t="str">
        <x:v>bakersfield:ssn-basvuru</x:v>
      </x:c>
      <x:c r="D18" s="29" t="str">
        <x:v>Yabancı uyruklu kişiler ve SSN</x:v>
      </x:c>
      <x:c r="E18" s="29" t="str">
        <x:v>https://www.ssa.gov/faqs/en/questions/KA-02178.html</x:v>
      </x:c>
      <x:c r="F18" s="31" t="d">
        <x:v>2026-10-24T00:00:00.000Z</x:v>
      </x:c>
      <x:c r="G18" s="35" t="n">
        <x:v>0</x:v>
      </x:c>
    </x:row>
    <x:row r="19" ht="54" customHeight="1">
      <x:c r="A19" s="29" t="str">
        <x:v>bakersfield:action:ssn-basvuru-2</x:v>
      </x:c>
      <x:c r="B19" s="29" t="str">
        <x:v>bakersfield</x:v>
      </x:c>
      <x:c r="C19" s="29" t="str">
        <x:v>bakersfield:ssn-basvuru</x:v>
      </x:c>
      <x:c r="D19" s="29" t="str">
        <x:v>SSN belgesi koşulları</x:v>
      </x:c>
      <x:c r="E19" s="29" t="str">
        <x:v>https://www.ssa.gov/ssnumber/ss5doc.htm</x:v>
      </x:c>
      <x:c r="F19" s="31" t="d">
        <x:v>2026-10-24T00:00:00.000Z</x:v>
      </x:c>
      <x:c r="G19" s="35" t="n">
        <x:v>1</x:v>
      </x:c>
    </x:row>
    <x:row r="20" ht="54" customHeight="1">
      <x:c r="A20" s="29" t="str">
        <x:v>bakersfield:action:ssn-basvuru-3</x:v>
      </x:c>
      <x:c r="B20" s="29" t="str">
        <x:v>bakersfield</x:v>
      </x:c>
      <x:c r="C20" s="29" t="str">
        <x:v>bakersfield:ssn-basvuru</x:v>
      </x:c>
      <x:c r="D20" s="29" t="str">
        <x:v>İlk SSN başvurusu, ücretsiz işlem ve teslim süresi</x:v>
      </x:c>
      <x:c r="E20" s="29" t="str">
        <x:v>https://www.ssa.gov/number-card/request-number-first-time</x:v>
      </x:c>
      <x:c r="F20" s="31" t="d">
        <x:v>2026-10-24T00:00:00.000Z</x:v>
      </x:c>
      <x:c r="G20" s="35" t="n">
        <x:v>2</x:v>
      </x:c>
    </x:row>
    <x:row r="21" ht="54" customHeight="1">
      <x:c r="A21" s="29" t="str">
        <x:v>bakersfield:action:ssn-kart-siniri-1</x:v>
      </x:c>
      <x:c r="B21" s="29" t="str">
        <x:v>bakersfield</x:v>
      </x:c>
      <x:c r="C21" s="29" t="str">
        <x:v>bakersfield:ssn-kart-siniri</x:v>
      </x:c>
      <x:c r="D21" s="29" t="str">
        <x:v>Social Security kart türleri</x:v>
      </x:c>
      <x:c r="E21" s="29" t="str">
        <x:v>https://www.ssa.gov/ssnumber/cards.htm</x:v>
      </x:c>
      <x:c r="F21" s="31" t="d">
        <x:v>2026-10-24T00:00:00.000Z</x:v>
      </x:c>
      <x:c r="G21" s="35" t="n">
        <x:v>0</x:v>
      </x:c>
    </x:row>
    <x:row r="22" ht="54" customHeight="1">
      <x:c r="A22" s="29" t="str">
        <x:v>bakersfield:action:ssn-kart-siniri-2</x:v>
      </x:c>
      <x:c r="B22" s="29" t="str">
        <x:v>bakersfield</x:v>
      </x:c>
      <x:c r="C22" s="29" t="str">
        <x:v>bakersfield:ssn-kart-siniri</x:v>
      </x:c>
      <x:c r="D22" s="29" t="str">
        <x:v>ABD'de çalışma yetkisi</x:v>
      </x:c>
      <x:c r="E22" s="29" t="str">
        <x:v>https://www.uscis.gov/working-in-the-united-states</x:v>
      </x:c>
      <x:c r="F22" s="31" t="d">
        <x:v>2026-10-24T00:00:00.000Z</x:v>
      </x:c>
      <x:c r="G22" s="35" t="n">
        <x:v>1</x:v>
      </x:c>
    </x:row>
    <x:row r="23" ht="54" customHeight="1">
      <x:c r="A23" s="29" t="str">
        <x:v>bakersfield:action:ssn-kart-siniri-3</x:v>
      </x:c>
      <x:c r="B23" s="29" t="str">
        <x:v>bakersfield</x:v>
      </x:c>
      <x:c r="C23" s="29" t="str">
        <x:v>bakersfield:ssn-kart-siniri</x:v>
      </x:c>
      <x:c r="D23" s="29" t="str">
        <x:v>İlk SSN başvurusu, ücretsiz işlem ve teslim süresi</x:v>
      </x:c>
      <x:c r="E23" s="29" t="str">
        <x:v>https://www.ssa.gov/number-card/request-number-first-time</x:v>
      </x:c>
      <x:c r="F23" s="31" t="d">
        <x:v>2026-10-24T00:00:00.000Z</x:v>
      </x:c>
      <x:c r="G23" s="35" t="n">
        <x:v>2</x:v>
      </x:c>
    </x:row>
    <x:row r="24" ht="54" customHeight="1">
      <x:c r="A24" s="29" t="str">
        <x:v>bakersfield:action:itin-basvuru-1</x:v>
      </x:c>
      <x:c r="B24" s="29" t="str">
        <x:v>bakersfield</x:v>
      </x:c>
      <x:c r="C24" s="29" t="str">
        <x:v>bakersfield:itin-basvuru</x:v>
      </x:c>
      <x:c r="D24" s="29" t="str">
        <x:v>ITIN kapsamı ve başvuru</x:v>
      </x:c>
      <x:c r="E24" s="29" t="str">
        <x:v>https://www.irs.gov/taxtopics/tc857</x:v>
      </x:c>
      <x:c r="F24" s="31" t="d">
        <x:v>2026-10-24T00:00:00.000Z</x:v>
      </x:c>
      <x:c r="G24" s="35" t="n">
        <x:v>0</x:v>
      </x:c>
    </x:row>
    <x:row r="25" ht="54" customHeight="1">
      <x:c r="A25" s="29" t="str">
        <x:v>bakersfield:action:california-kimlik-1</x:v>
      </x:c>
      <x:c r="B25" s="29" t="str">
        <x:v>bakersfield</x:v>
      </x:c>
      <x:c r="C25" s="29" t="str">
        <x:v>bakersfield:california-kimlik</x:v>
      </x:c>
      <x:c r="D25" s="29" t="str">
        <x:v>Kaliforniya'ya yeni taşınanlar</x:v>
      </x:c>
      <x:c r="E25" s="29" t="str">
        <x:v>https://www.dmv.ca.gov/portal/driver-education-and-safety/special-interest-driver-guides/new-to-california/</x:v>
      </x:c>
      <x:c r="F25" s="31" t="d">
        <x:v>2026-10-24T00:00:00.000Z</x:v>
      </x:c>
      <x:c r="G25" s="35" t="n">
        <x:v>0</x:v>
      </x:c>
    </x:row>
    <x:row r="26" ht="54" customHeight="1">
      <x:c r="A26" s="29" t="str">
        <x:v>bakersfield:action:california-kimlik-2</x:v>
      </x:c>
      <x:c r="B26" s="29" t="str">
        <x:v>bakersfield</x:v>
      </x:c>
      <x:c r="C26" s="29" t="str">
        <x:v>bakersfield:california-kimlik</x:v>
      </x:c>
      <x:c r="D26" s="29" t="str">
        <x:v>REAL ID</x:v>
      </x:c>
      <x:c r="E26" s="29" t="str">
        <x:v>https://www.dmv.ca.gov/portal/driver-licenses-identification-cards/real-id/</x:v>
      </x:c>
      <x:c r="F26" s="31" t="d">
        <x:v>2026-10-24T00:00:00.000Z</x:v>
      </x:c>
      <x:c r="G26" s="35" t="n">
        <x:v>1</x:v>
      </x:c>
    </x:row>
    <x:row r="27" ht="54" customHeight="1">
      <x:c r="A27" s="29" t="str">
        <x:v>bakersfield:action:california-kimlik-3</x:v>
      </x:c>
      <x:c r="B27" s="29" t="str">
        <x:v>bakersfield</x:v>
      </x:c>
      <x:c r="C27" s="29" t="str">
        <x:v>bakersfield:california-kimlik</x:v>
      </x:c>
      <x:c r="D27" s="29" t="str">
        <x:v>Sürücü belgesi ve kimlik ücretleri</x:v>
      </x:c>
      <x:c r="E27" s="29" t="str">
        <x:v>https://www.dmv.ca.gov/portal/driver-licenses-identification-cards/licensing-fees/</x:v>
      </x:c>
      <x:c r="F27" s="31" t="d">
        <x:v>2026-10-24T00:00:00.000Z</x:v>
      </x:c>
      <x:c r="G27" s="35" t="n">
        <x:v>2</x:v>
      </x:c>
    </x:row>
    <x:row r="28" ht="54" customHeight="1">
      <x:c r="A28" s="29" t="str">
        <x:v>bakersfield:action:real-id-1</x:v>
      </x:c>
      <x:c r="B28" s="29" t="str">
        <x:v>bakersfield</x:v>
      </x:c>
      <x:c r="C28" s="29" t="str">
        <x:v>bakersfield:real-id</x:v>
      </x:c>
      <x:c r="D28" s="29" t="str">
        <x:v>REAL ID</x:v>
      </x:c>
      <x:c r="E28" s="29" t="str">
        <x:v>https://www.dmv.ca.gov/portal/driver-licenses-identification-cards/real-id/</x:v>
      </x:c>
      <x:c r="F28" s="31" t="d">
        <x:v>2026-10-24T00:00:00.000Z</x:v>
      </x:c>
      <x:c r="G28" s="35" t="n">
        <x:v>0</x:v>
      </x:c>
    </x:row>
    <x:row r="29" ht="54" customHeight="1">
      <x:c r="A29" s="29" t="str">
        <x:v>bakersfield:action:real-id-2</x:v>
      </x:c>
      <x:c r="B29" s="29" t="str">
        <x:v>bakersfield</x:v>
      </x:c>
      <x:c r="C29" s="29" t="str">
        <x:v>bakersfield:real-id</x:v>
      </x:c>
      <x:c r="D29" s="29" t="str">
        <x:v>Uçuşta kabul edilen kimlikler</x:v>
      </x:c>
      <x:c r="E29" s="29" t="str">
        <x:v>https://www.tsa.gov/travel/security-screening/identification</x:v>
      </x:c>
      <x:c r="F29" s="31" t="d">
        <x:v>2026-10-24T00:00:00.000Z</x:v>
      </x:c>
      <x:c r="G29" s="35" t="n">
        <x:v>1</x:v>
      </x:c>
    </x:row>
    <x:row r="30" ht="54" customHeight="1">
      <x:c r="A30" s="29" t="str">
        <x:v>bakersfield:action:real-id-3</x:v>
      </x:c>
      <x:c r="B30" s="29" t="str">
        <x:v>bakersfield</x:v>
      </x:c>
      <x:c r="C30" s="29" t="str">
        <x:v>bakersfield:real-id</x:v>
      </x:c>
      <x:c r="D30" s="29" t="str">
        <x:v>Sürücü belgesi ve kimlik ücretleri</x:v>
      </x:c>
      <x:c r="E30" s="29" t="str">
        <x:v>https://www.dmv.ca.gov/portal/driver-licenses-identification-cards/licensing-fees/</x:v>
      </x:c>
      <x:c r="F30" s="31" t="d">
        <x:v>2026-10-24T00:00:00.000Z</x:v>
      </x:c>
      <x:c r="G30" s="35" t="n">
        <x:v>2</x:v>
      </x:c>
    </x:row>
    <x:row r="31" ht="54" customHeight="1">
      <x:c r="A31" s="29" t="str">
        <x:v>bakersfield:action:ab60-1</x:v>
      </x:c>
      <x:c r="B31" s="29" t="str">
        <x:v>bakersfield</x:v>
      </x:c>
      <x:c r="C31" s="29" t="str">
        <x:v>bakersfield:ab60</x:v>
      </x:c>
      <x:c r="D31" s="29" t="str">
        <x:v>AB 60 sürücü belgesi</x:v>
      </x:c>
      <x:c r="E31" s="29" t="str">
        <x:v>https://www.dmv.ca.gov/portal/driver-licenses-identification-cards/assembly-bill-ab-60-driver-licenses/</x:v>
      </x:c>
      <x:c r="F31" s="31" t="d">
        <x:v>2026-10-24T00:00:00.000Z</x:v>
      </x:c>
      <x:c r="G31" s="35" t="n">
        <x:v>0</x:v>
      </x:c>
    </x:row>
    <x:row r="32" ht="54" customHeight="1">
      <x:c r="A32" s="29" t="str">
        <x:v>bakersfield:action:ab60-2</x:v>
      </x:c>
      <x:c r="B32" s="29" t="str">
        <x:v>bakersfield</x:v>
      </x:c>
      <x:c r="C32" s="29" t="str">
        <x:v>bakersfield:ab60</x:v>
      </x:c>
      <x:c r="D32" s="29" t="str">
        <x:v>Sürücü belgesi başvurusu</x:v>
      </x:c>
      <x:c r="E32" s="29" t="str">
        <x:v>https://www.dmv.ca.gov/portal/driver-licenses-identification-cards/driver-licenses-dl/</x:v>
      </x:c>
      <x:c r="F32" s="31" t="d">
        <x:v>2026-10-24T00:00:00.000Z</x:v>
      </x:c>
      <x:c r="G32" s="35" t="n">
        <x:v>1</x:v>
      </x:c>
    </x:row>
    <x:row r="33" ht="54" customHeight="1">
      <x:c r="A33" s="29" t="str">
        <x:v>bakersfield:action:ab60-3</x:v>
      </x:c>
      <x:c r="B33" s="29" t="str">
        <x:v>bakersfield</x:v>
      </x:c>
      <x:c r="C33" s="29" t="str">
        <x:v>bakersfield:ab60</x:v>
      </x:c>
      <x:c r="D33" s="29" t="str">
        <x:v>Sürücü belgesi ve kimlik ücretleri</x:v>
      </x:c>
      <x:c r="E33" s="29" t="str">
        <x:v>https://www.dmv.ca.gov/portal/driver-licenses-identification-cards/licensing-fees/</x:v>
      </x:c>
      <x:c r="F33" s="31" t="d">
        <x:v>2026-10-24T00:00:00.000Z</x:v>
      </x:c>
      <x:c r="G33" s="35" t="n">
        <x:v>2</x:v>
      </x:c>
    </x:row>
    <x:row r="34" ht="54" customHeight="1">
      <x:c r="A34" s="29" t="str">
        <x:v>bakersfield:action:uscis-adres-1</x:v>
      </x:c>
      <x:c r="B34" s="29" t="str">
        <x:v>bakersfield</x:v>
      </x:c>
      <x:c r="C34" s="29" t="str">
        <x:v>bakersfield:uscis-adres</x:v>
      </x:c>
      <x:c r="D34" s="29" t="str">
        <x:v>Adres değişikliği</x:v>
      </x:c>
      <x:c r="E34" s="29" t="str">
        <x:v>https://www.uscis.gov/addresschange</x:v>
      </x:c>
      <x:c r="F34" s="31" t="d">
        <x:v>2026-10-24T00:00:00.000Z</x:v>
      </x:c>
      <x:c r="G34" s="35" t="n">
        <x:v>0</x:v>
      </x:c>
    </x:row>
    <x:row r="35" ht="54" customHeight="1">
      <x:c r="A35" s="29" t="str">
        <x:v>bakersfield:action:uscis-adres-2</x:v>
      </x:c>
      <x:c r="B35" s="29" t="str">
        <x:v>bakersfield</x:v>
      </x:c>
      <x:c r="C35" s="29" t="str">
        <x:v>bakersfield:uscis-adres</x:v>
      </x:c>
      <x:c r="D35" s="29" t="str">
        <x:v>Taşınma ve posta yönlendirme</x:v>
      </x:c>
      <x:c r="E35" s="29" t="str">
        <x:v>https://www.usps.com/manage/forward.htm</x:v>
      </x:c>
      <x:c r="F35" s="31" t="d">
        <x:v>2026-10-24T00:00:00.000Z</x:v>
      </x:c>
      <x:c r="G35" s="35" t="n">
        <x:v>1</x:v>
      </x:c>
    </x:row>
    <x:row r="36" ht="54" customHeight="1">
      <x:c r="A36" s="29" t="str">
        <x:v>bakersfield:action:posta-yonlendirme-1</x:v>
      </x:c>
      <x:c r="B36" s="29" t="str">
        <x:v>bakersfield</x:v>
      </x:c>
      <x:c r="C36" s="29" t="str">
        <x:v>bakersfield:posta-yonlendirme</x:v>
      </x:c>
      <x:c r="D36" s="29" t="str">
        <x:v>Taşınma ve posta yönlendirme</x:v>
      </x:c>
      <x:c r="E36" s="29" t="str">
        <x:v>https://www.usps.com/manage/forward.htm</x:v>
      </x:c>
      <x:c r="F36" s="31" t="d">
        <x:v>2026-10-24T00:00:00.000Z</x:v>
      </x:c>
      <x:c r="G36" s="35" t="n">
        <x:v>0</x:v>
      </x:c>
    </x:row>
    <x:row r="37" ht="54" customHeight="1">
      <x:c r="A37" s="29" t="str">
        <x:v>bakersfield:action:posta-yonlendirme-2</x:v>
      </x:c>
      <x:c r="B37" s="29" t="str">
        <x:v>bakersfield</x:v>
      </x:c>
      <x:c r="C37" s="29" t="str">
        <x:v>bakersfield:posta-yonlendirme</x:v>
      </x:c>
      <x:c r="D37" s="29" t="str">
        <x:v>Adres değişikliği</x:v>
      </x:c>
      <x:c r="E37" s="29" t="str">
        <x:v>https://www.uscis.gov/addresschange</x:v>
      </x:c>
      <x:c r="F37" s="31" t="d">
        <x:v>2026-10-24T00:00:00.000Z</x:v>
      </x:c>
      <x:c r="G37" s="35" t="n">
        <x:v>1</x:v>
      </x:c>
    </x:row>
    <x:row r="38" ht="54" customHeight="1">
      <x:c r="A38" s="29" t="str">
        <x:v>bakersfield:action:dmv-adres-1</x:v>
      </x:c>
      <x:c r="B38" s="29" t="str">
        <x:v>bakersfield</x:v>
      </x:c>
      <x:c r="C38" s="29" t="str">
        <x:v>bakersfield:dmv-adres</x:v>
      </x:c>
      <x:c r="D38" s="29" t="str">
        <x:v>DMV adres değişikliği</x:v>
      </x:c>
      <x:c r="E38" s="29" t="str">
        <x:v>https://www.dmv.ca.gov/portal/online-services/online-change-of-address/</x:v>
      </x:c>
      <x:c r="F38" s="31" t="d">
        <x:v>2026-10-24T00:00:00.000Z</x:v>
      </x:c>
      <x:c r="G38" s="35" t="n">
        <x:v>0</x:v>
      </x:c>
    </x:row>
    <x:row r="39" ht="54" customHeight="1">
      <x:c r="A39" s="29" t="str">
        <x:v>bakersfield:action:dmv-adres-2</x:v>
      </x:c>
      <x:c r="B39" s="29" t="str">
        <x:v>bakersfield</x:v>
      </x:c>
      <x:c r="C39" s="29" t="str">
        <x:v>bakersfield:dmv-adres</x:v>
      </x:c>
      <x:c r="D39" s="29" t="str">
        <x:v>Adres değişikliği için on günlük süre</x:v>
      </x:c>
      <x:c r="E39" s="29" t="str">
        <x:v>https://www.dmv.ca.gov/portal/handbook/california-driver-handbook/changing-replacing-and-renewing-your-drivers-license/</x:v>
      </x:c>
      <x:c r="F39" s="31" t="d">
        <x:v>2026-10-24T00:00:00.000Z</x:v>
      </x:c>
      <x:c r="G39" s="35" t="n">
        <x:v>1</x:v>
      </x:c>
    </x:row>
    <x:row r="40" ht="54" customHeight="1">
      <x:c r="A40" s="29" t="str">
        <x:v>bakersfield:action:tercume-1</x:v>
      </x:c>
      <x:c r="B40" s="29" t="str">
        <x:v>bakersfield</x:v>
      </x:c>
      <x:c r="C40" s="29" t="str">
        <x:v>bakersfield:tercume</x:v>
      </x:c>
      <x:c r="D40" s="29" t="str">
        <x:v>Başvuru ve belgeleri hazırlama</x:v>
      </x:c>
      <x:c r="E40" s="29" t="str">
        <x:v>https://www.uscis.gov/forms/filing-guidance/tips-for-filing-forms-by-mail</x:v>
      </x:c>
      <x:c r="F40" s="31" t="d">
        <x:v>2026-10-24T00:00:00.000Z</x:v>
      </x:c>
      <x:c r="G40" s="35" t="n">
        <x:v>0</x:v>
      </x:c>
    </x:row>
    <x:row r="41" ht="54" customHeight="1">
      <x:c r="A41" s="29" t="str">
        <x:v>bakersfield:action:tercume-2</x:v>
      </x:c>
      <x:c r="B41" s="29" t="str">
        <x:v>bakersfield</x:v>
      </x:c>
      <x:c r="C41" s="29" t="str">
        <x:v>bakersfield:tercume</x:v>
      </x:c>
      <x:c r="D41" s="29" t="str">
        <x:v>Yeni öğrenci kayıt işlemleri</x:v>
      </x:c>
      <x:c r="E41" s="29" t="str">
        <x:v>https://www.bcsd.com/enrollment/new-student-enrollment</x:v>
      </x:c>
      <x:c r="F41" s="31" t="d">
        <x:v>2026-10-24T00:00:00.000Z</x:v>
      </x:c>
      <x:c r="G41" s="35" t="n">
        <x:v>1</x:v>
      </x:c>
    </x:row>
    <x:row r="42" ht="54" customHeight="1">
      <x:c r="A42" s="29" t="str">
        <x:v>bakersfield:action:apostil-1</x:v>
      </x:c>
      <x:c r="B42" s="29" t="str">
        <x:v>bakersfield</x:v>
      </x:c>
      <x:c r="C42" s="29" t="str">
        <x:v>bakersfield:apostil</x:v>
      </x:c>
      <x:c r="D42" s="29" t="str">
        <x:v>Apostil işlemleri</x:v>
      </x:c>
      <x:c r="E42" s="29" t="str">
        <x:v>https://www.sos.ca.gov/notary/request-apostille</x:v>
      </x:c>
      <x:c r="F42" s="31" t="d">
        <x:v>2026-10-24T00:00:00.000Z</x:v>
      </x:c>
      <x:c r="G42" s="35" t="n">
        <x:v>0</x:v>
      </x:c>
    </x:row>
    <x:row r="43" ht="54" customHeight="1">
      <x:c r="A43" s="29" t="str">
        <x:v>bakersfield:action:apostil-2</x:v>
      </x:c>
      <x:c r="B43" s="29" t="str">
        <x:v>bakersfield</x:v>
      </x:c>
      <x:c r="C43" s="29" t="str">
        <x:v>bakersfield:apostil</x:v>
      </x:c>
      <x:c r="D43" s="29" t="str">
        <x:v>Konsolosluk işlemleri ve randevu</x:v>
      </x:c>
      <x:c r="E43" s="29" t="str">
        <x:v>https://www.konsolosluk.gov.tr/</x:v>
      </x:c>
      <x:c r="F43" s="31" t="d">
        <x:v>2026-10-24T00:00:00.000Z</x:v>
      </x:c>
      <x:c r="G43" s="35" t="n">
        <x:v>1</x:v>
      </x:c>
    </x:row>
    <x:row r="44" ht="54" customHeight="1">
      <x:c r="A44" s="29" t="str">
        <x:v>bakersfield:action:apostil-3</x:v>
      </x:c>
      <x:c r="B44" s="29" t="str">
        <x:v>bakersfield</x:v>
      </x:c>
      <x:c r="C44" s="29" t="str">
        <x:v>bakersfield:apostil</x:v>
      </x:c>
      <x:c r="D44" s="29" t="str">
        <x:v>Apostil başvuru formu ve ücretleri</x:v>
      </x:c>
      <x:c r="E44" s="29" t="str">
        <x:v>https://notary.cdn.sos.ca.gov/forms/apostille-request-sac.pdf</x:v>
      </x:c>
      <x:c r="F44" s="31" t="d">
        <x:v>2026-10-24T00:00:00.000Z</x:v>
      </x:c>
      <x:c r="G44" s="35" t="n">
        <x:v>2</x:v>
      </x:c>
    </x:row>
    <x:row r="45" ht="54" customHeight="1">
      <x:c r="A45" s="29" t="str">
        <x:v>bakersfield:action:bakersfield-yetki-alani-1</x:v>
      </x:c>
      <x:c r="B45" s="29" t="str">
        <x:v>bakersfield</x:v>
      </x:c>
      <x:c r="C45" s="29" t="str">
        <x:v>bakersfield:bakersfield-yetki-alani</x:v>
      </x:c>
      <x:c r="D45" s="29" t="str">
        <x:v>Belediye sınırları ve GIS haritaları</x:v>
      </x:c>
      <x:c r="E45" s="29" t="str">
        <x:v>https://www.bakersfieldcity.us/gis-mapping-portal</x:v>
      </x:c>
      <x:c r="F45" s="31" t="d">
        <x:v>2026-10-24T00:00:00.000Z</x:v>
      </x:c>
      <x:c r="G45" s="35" t="n">
        <x:v>0</x:v>
      </x:c>
    </x:row>
    <x:row r="46" ht="54" customHeight="1">
      <x:c r="A46" s="29" t="str">
        <x:v>bakersfield:action:bakersfield-yetki-alani-2</x:v>
      </x:c>
      <x:c r="B46" s="29" t="str">
        <x:v>bakersfield</x:v>
      </x:c>
      <x:c r="C46" s="29" t="str">
        <x:v>bakersfield:bakersfield-yetki-alani</x:v>
      </x:c>
      <x:c r="D46" s="29" t="str">
        <x:v>County hizmetleri</x:v>
      </x:c>
      <x:c r="E46" s="29" t="str">
        <x:v>https://www.kerncounty.com/</x:v>
      </x:c>
      <x:c r="F46" s="31" t="d">
        <x:v>2026-10-24T00:00:00.000Z</x:v>
      </x:c>
      <x:c r="G46" s="35" t="n">
        <x:v>1</x:v>
      </x:c>
    </x:row>
    <x:row r="47" ht="54" customHeight="1">
      <x:c r="A47" s="29" t="str">
        <x:v>bakersfield:action:basvuru-takibi-1</x:v>
      </x:c>
      <x:c r="B47" s="29" t="str">
        <x:v>bakersfield</x:v>
      </x:c>
      <x:c r="C47" s="29" t="str">
        <x:v>bakersfield:basvuru-takibi</x:v>
      </x:c>
      <x:c r="D47" s="29" t="str">
        <x:v>Başvuru durumunu izleme</x:v>
      </x:c>
      <x:c r="E47" s="29" t="str">
        <x:v>https://egov.uscis.gov/</x:v>
      </x:c>
      <x:c r="F47" s="31" t="d">
        <x:v>2026-10-24T00:00:00.000Z</x:v>
      </x:c>
      <x:c r="G47" s="35" t="n">
        <x:v>0</x:v>
      </x:c>
    </x:row>
    <x:row r="48" ht="54" customHeight="1">
      <x:c r="A48" s="29" t="str">
        <x:v>bakersfield:action:basvuru-takibi-2</x:v>
      </x:c>
      <x:c r="B48" s="29" t="str">
        <x:v>bakersfield</x:v>
      </x:c>
      <x:c r="C48" s="29" t="str">
        <x:v>bakersfield:basvuru-takibi</x:v>
      </x:c>
      <x:c r="D48" s="29" t="str">
        <x:v>Sürücü belgesi başvurusu</x:v>
      </x:c>
      <x:c r="E48" s="29" t="str">
        <x:v>https://www.dmv.ca.gov/portal/driver-licenses-identification-cards/driver-licenses-dl/</x:v>
      </x:c>
      <x:c r="F48" s="31" t="d">
        <x:v>2026-10-24T00:00:00.000Z</x:v>
      </x:c>
      <x:c r="G48" s="35" t="n">
        <x:v>1</x:v>
      </x:c>
    </x:row>
    <x:row r="49" ht="54" customHeight="1">
      <x:c r="A49" s="29" t="str">
        <x:v>bakersfield:action:basvuru-takibi-3</x:v>
      </x:c>
      <x:c r="B49" s="29" t="str">
        <x:v>bakersfield</x:v>
      </x:c>
      <x:c r="C49" s="29" t="str">
        <x:v>bakersfield:basvuru-takibi</x:v>
      </x:c>
      <x:c r="D49" s="29" t="str">
        <x:v>Konsolosluk işlemleri ve randevu</x:v>
      </x:c>
      <x:c r="E49" s="29" t="str">
        <x:v>https://www.konsolosluk.gov.tr/</x:v>
      </x:c>
      <x:c r="F49" s="31" t="d">
        <x:v>2026-10-24T00:00:00.000Z</x:v>
      </x:c>
      <x:c r="G49" s="35" t="n">
        <x:v>2</x:v>
      </x:c>
    </x:row>
    <x:row r="50" ht="54" customHeight="1">
      <x:c r="A50" s="29" t="str">
        <x:v>bakersfield:action:ssn-ad-duzeltme-1</x:v>
      </x:c>
      <x:c r="B50" s="29" t="str">
        <x:v>bakersfield</x:v>
      </x:c>
      <x:c r="C50" s="29" t="str">
        <x:v>bakersfield:ssn-ad-duzeltme</x:v>
      </x:c>
      <x:c r="D50" s="29" t="str">
        <x:v>SSN kaydında ad düzeltme</x:v>
      </x:c>
      <x:c r="E50" s="29" t="str">
        <x:v>https://www.ssa.gov/faqs/en/questions/KA-01981.html</x:v>
      </x:c>
      <x:c r="F50" s="31" t="d">
        <x:v>2026-10-24T00:00:00.000Z</x:v>
      </x:c>
      <x:c r="G50" s="35" t="n">
        <x:v>0</x:v>
      </x:c>
    </x:row>
    <x:row r="51" ht="54" customHeight="1">
      <x:c r="A51" s="29" t="str">
        <x:v>bakersfield:action:ssn-ad-duzeltme-2</x:v>
      </x:c>
      <x:c r="B51" s="29" t="str">
        <x:v>bakersfield</x:v>
      </x:c>
      <x:c r="C51" s="29" t="str">
        <x:v>bakersfield:ssn-ad-duzeltme</x:v>
      </x:c>
      <x:c r="D51" s="29" t="str">
        <x:v>SSN belgesi koşulları</x:v>
      </x:c>
      <x:c r="E51" s="29" t="str">
        <x:v>https://www.ssa.gov/ssnumber/ss5doc.htm</x:v>
      </x:c>
      <x:c r="F51" s="31" t="d">
        <x:v>2026-10-24T00:00:00.000Z</x:v>
      </x:c>
      <x:c r="G51" s="35" t="n">
        <x:v>1</x:v>
      </x:c>
    </x:row>
    <x:row r="52" ht="54" customHeight="1">
      <x:c r="A52" s="29" t="str">
        <x:v>bakersfield:action:ssn-ad-duzeltme-3</x:v>
      </x:c>
      <x:c r="B52" s="29" t="str">
        <x:v>bakersfield</x:v>
      </x:c>
      <x:c r="C52" s="29" t="str">
        <x:v>bakersfield:ssn-ad-duzeltme</x:v>
      </x:c>
      <x:c r="D52" s="29" t="str">
        <x:v>İlk SSN başvurusu, ücretsiz işlem ve teslim süresi</x:v>
      </x:c>
      <x:c r="E52" s="29" t="str">
        <x:v>https://www.ssa.gov/number-card/request-number-first-time</x:v>
      </x:c>
      <x:c r="F52" s="31" t="d">
        <x:v>2026-10-24T00:00:00.000Z</x:v>
      </x:c>
      <x:c r="G52" s="35" t="n">
        <x:v>2</x:v>
      </x:c>
    </x:row>
    <x:row r="53" ht="54" customHeight="1">
      <x:c r="A53" s="29" t="str">
        <x:v>bakersfield:action:belge-takvimi-1</x:v>
      </x:c>
      <x:c r="B53" s="29" t="str">
        <x:v>bakersfield</x:v>
      </x:c>
      <x:c r="C53" s="29" t="str">
        <x:v>bakersfield:belge-takvimi</x:v>
      </x:c>
      <x:c r="D53" s="29" t="str">
        <x:v>I-94 kayıtları ve açıklamalar</x:v>
      </x:c>
      <x:c r="E53" s="29" t="str">
        <x:v>https://i94.cbp.dhs.gov/help</x:v>
      </x:c>
      <x:c r="F53" s="31" t="d">
        <x:v>2026-10-24T00:00:00.000Z</x:v>
      </x:c>
      <x:c r="G53" s="35" t="n">
        <x:v>0</x:v>
      </x:c>
    </x:row>
    <x:row r="54" ht="54" customHeight="1">
      <x:c r="A54" s="29" t="str">
        <x:v>bakersfield:action:belge-takvimi-2</x:v>
      </x:c>
      <x:c r="B54" s="29" t="str">
        <x:v>bakersfield</x:v>
      </x:c>
      <x:c r="C54" s="29" t="str">
        <x:v>bakersfield:belge-takvimi</x:v>
      </x:c>
      <x:c r="D54" s="29" t="str">
        <x:v>ABD'de çalışma yetkisi</x:v>
      </x:c>
      <x:c r="E54" s="29" t="str">
        <x:v>https://www.uscis.gov/working-in-the-united-states</x:v>
      </x:c>
      <x:c r="F54" s="31" t="d">
        <x:v>2026-10-24T00:00:00.000Z</x:v>
      </x:c>
      <x:c r="G54" s="35" t="n">
        <x:v>1</x:v>
      </x:c>
    </x:row>
    <x:row r="55" ht="54" customHeight="1">
      <x:c r="A55" s="29" t="str">
        <x:v>bakersfield:action:belge-takvimi-3</x:v>
      </x:c>
      <x:c r="B55" s="29" t="str">
        <x:v>bakersfield</x:v>
      </x:c>
      <x:c r="C55" s="29" t="str">
        <x:v>bakersfield:belge-takvimi</x:v>
      </x:c>
      <x:c r="D55" s="29" t="str">
        <x:v>Sürücü belgesi başvurusu</x:v>
      </x:c>
      <x:c r="E55" s="29" t="str">
        <x:v>https://www.dmv.ca.gov/portal/driver-licenses-identification-cards/driver-licenses-dl/</x:v>
      </x:c>
      <x:c r="F55" s="31" t="d">
        <x:v>2026-10-24T00:00:00.000Z</x:v>
      </x:c>
      <x:c r="G55" s="35" t="n">
        <x:v>2</x:v>
      </x:c>
    </x:row>
    <x:row r="56" ht="54" customHeight="1">
      <x:c r="A56" s="29" t="str">
        <x:v>bakersfield:action:ev-bulma-1</x:v>
      </x:c>
      <x:c r="B56" s="29" t="str">
        <x:v>bakersfield</x:v>
      </x:c>
      <x:c r="C56" s="29" t="str">
        <x:v>bakersfield:ev-bulma</x:v>
      </x:c>
      <x:c r="D56" s="29" t="str">
        <x:v>Belediye sınırları ve GIS haritaları</x:v>
      </x:c>
      <x:c r="E56" s="29" t="str">
        <x:v>https://www.bakersfieldcity.us/gis-mapping-portal</x:v>
      </x:c>
      <x:c r="F56" s="31" t="d">
        <x:v>2026-10-24T00:00:00.000Z</x:v>
      </x:c>
      <x:c r="G56" s="35" t="n">
        <x:v>0</x:v>
      </x:c>
    </x:row>
    <x:row r="57" ht="54" customHeight="1">
      <x:c r="A57" s="29" t="str">
        <x:v>bakersfield:action:ev-bulma-2</x:v>
      </x:c>
      <x:c r="B57" s="29" t="str">
        <x:v>bakersfield</x:v>
      </x:c>
      <x:c r="C57" s="29" t="str">
        <x:v>bakersfield:ev-bulma</x:v>
      </x:c>
      <x:c r="D57" s="29" t="str">
        <x:v>Okul bölgeleri</x:v>
      </x:c>
      <x:c r="E57" s="29" t="str">
        <x:v>https://kern.org/</x:v>
      </x:c>
      <x:c r="F57" s="31" t="d">
        <x:v>2026-10-24T00:00:00.000Z</x:v>
      </x:c>
      <x:c r="G57" s="35" t="n">
        <x:v>1</x:v>
      </x:c>
    </x:row>
    <x:row r="58" ht="54" customHeight="1">
      <x:c r="A58" s="29" t="str">
        <x:v>bakersfield:action:ev-bulma-3</x:v>
      </x:c>
      <x:c r="B58" s="29" t="str">
        <x:v>bakersfield</x:v>
      </x:c>
      <x:c r="C58" s="29" t="str">
        <x:v>bakersfield:ev-bulma</x:v>
      </x:c>
      <x:c r="D58" s="29" t="str">
        <x:v>Konut arama ve başvuru</x:v>
      </x:c>
      <x:c r="E58" s="29" t="str">
        <x:v>https://www.dre.ca.gov/publications/ResourceGuidebook/gb05_lookingfor.html</x:v>
      </x:c>
      <x:c r="F58" s="31" t="d">
        <x:v>2026-10-24T00:00:00.000Z</x:v>
      </x:c>
      <x:c r="G58" s="35" t="n">
        <x:v>2</x:v>
      </x:c>
    </x:row>
    <x:row r="59" ht="54" customHeight="1">
      <x:c r="A59" s="29" t="str">
        <x:v>bakersfield:action:kiralik-ilan-1</x:v>
      </x:c>
      <x:c r="B59" s="29" t="str">
        <x:v>bakersfield</x:v>
      </x:c>
      <x:c r="C59" s="29" t="str">
        <x:v>bakersfield:kiralik-ilan</x:v>
      </x:c>
      <x:c r="D59" s="29" t="str">
        <x:v>Rental scams – December 2025 data spotlight</x:v>
      </x:c>
      <x:c r="E59" s="29" t="str">
        <x:v>https://www.ftc.gov/system/files/ftc_gov/pdf/rental-scams-spotlight-2025.pdf</x:v>
      </x:c>
      <x:c r="F59" s="31" t="d">
        <x:v>2026-10-24T00:00:00.000Z</x:v>
      </x:c>
      <x:c r="G59" s="35" t="n">
        <x:v>0</x:v>
      </x:c>
    </x:row>
    <x:row r="60" ht="54" customHeight="1">
      <x:c r="A60" s="29" t="str">
        <x:v>bakersfield:action:kiralik-ilan-2</x:v>
      </x:c>
      <x:c r="B60" s="29" t="str">
        <x:v>bakersfield</x:v>
      </x:c>
      <x:c r="C60" s="29" t="str">
        <x:v>bakersfield:kiralik-ilan</x:v>
      </x:c>
      <x:c r="D60" s="29" t="str">
        <x:v>Konut arama ve başvuru</x:v>
      </x:c>
      <x:c r="E60" s="29" t="str">
        <x:v>https://www.dre.ca.gov/publications/ResourceGuidebook/gb05_lookingfor.html</x:v>
      </x:c>
      <x:c r="F60" s="31" t="d">
        <x:v>2026-10-24T00:00:00.000Z</x:v>
      </x:c>
      <x:c r="G60" s="35" t="n">
        <x:v>1</x:v>
      </x:c>
    </x:row>
    <x:row r="61" ht="54" customHeight="1">
      <x:c r="A61" s="29" t="str">
        <x:v>bakersfield:action:kira-basvuru-1</x:v>
      </x:c>
      <x:c r="B61" s="29" t="str">
        <x:v>bakersfield</x:v>
      </x:c>
      <x:c r="C61" s="29" t="str">
        <x:v>bakersfield:kira-basvuru</x:v>
      </x:c>
      <x:c r="D61" s="29" t="str">
        <x:v>Konut arama ve başvuru</x:v>
      </x:c>
      <x:c r="E61" s="29" t="str">
        <x:v>https://www.dre.ca.gov/publications/ResourceGuidebook/gb05_lookingfor.html</x:v>
      </x:c>
      <x:c r="F61" s="31" t="d">
        <x:v>2026-10-24T00:00:00.000Z</x:v>
      </x:c>
      <x:c r="G61" s="35" t="n">
        <x:v>0</x:v>
      </x:c>
    </x:row>
    <x:row r="62" ht="54" customHeight="1">
      <x:c r="A62" s="29" t="str">
        <x:v>bakersfield:action:kira-basvuru-2</x:v>
      </x:c>
      <x:c r="B62" s="29" t="str">
        <x:v>bakersfield</x:v>
      </x:c>
      <x:c r="C62" s="29" t="str">
        <x:v>bakersfield:kira-basvuru</x:v>
      </x:c>
      <x:c r="D62" s="29" t="str">
        <x:v>Civil Code 1950.6: başvuru ekranlama ücreti</x:v>
      </x:c>
      <x:c r="E62" s="29" t="str">
        <x:v>https://leginfo.legislature.ca.gov/faces/codes_displaySection.xhtml?sectionNum=1950.6.&amp;lawCode=CIV</x:v>
      </x:c>
      <x:c r="F62" s="31" t="d">
        <x:v>2026-10-24T00:00:00.000Z</x:v>
      </x:c>
      <x:c r="G62" s="35" t="n">
        <x:v>1</x:v>
      </x:c>
    </x:row>
    <x:row r="63" ht="54" customHeight="1">
      <x:c r="A63" s="29" t="str">
        <x:v>bakersfield:action:basvuru-ucreti-1</x:v>
      </x:c>
      <x:c r="B63" s="29" t="str">
        <x:v>bakersfield</x:v>
      </x:c>
      <x:c r="C63" s="29" t="str">
        <x:v>bakersfield:basvuru-ucreti</x:v>
      </x:c>
      <x:c r="D63" s="29" t="str">
        <x:v>Konut arama ve başvuru</x:v>
      </x:c>
      <x:c r="E63" s="29" t="str">
        <x:v>https://www.dre.ca.gov/publications/ResourceGuidebook/gb05_lookingfor.html</x:v>
      </x:c>
      <x:c r="F63" s="31" t="d">
        <x:v>2026-10-24T00:00:00.000Z</x:v>
      </x:c>
      <x:c r="G63" s="35" t="n">
        <x:v>0</x:v>
      </x:c>
    </x:row>
    <x:row r="64" ht="54" customHeight="1">
      <x:c r="A64" s="29" t="str">
        <x:v>bakersfield:action:basvuru-ucreti-2</x:v>
      </x:c>
      <x:c r="B64" s="29" t="str">
        <x:v>bakersfield</x:v>
      </x:c>
      <x:c r="C64" s="29" t="str">
        <x:v>bakersfield:basvuru-ucreti</x:v>
      </x:c>
      <x:c r="D64" s="29" t="str">
        <x:v>Civil Code 1950.6: başvuru ekranlama ücreti</x:v>
      </x:c>
      <x:c r="E64" s="29" t="str">
        <x:v>https://leginfo.legislature.ca.gov/faces/codes_displaySection.xhtml?sectionNum=1950.6.&amp;lawCode=CIV</x:v>
      </x:c>
      <x:c r="F64" s="31" t="d">
        <x:v>2026-10-24T00:00:00.000Z</x:v>
      </x:c>
      <x:c r="G64" s="35" t="n">
        <x:v>1</x:v>
      </x:c>
    </x:row>
    <x:row r="65" ht="54" customHeight="1">
      <x:c r="A65" s="29" t="str">
        <x:v>bakersfield:action:sozlesme-1</x:v>
      </x:c>
      <x:c r="B65" s="29" t="str">
        <x:v>bakersfield</x:v>
      </x:c>
      <x:c r="C65" s="29" t="str">
        <x:v>bakersfield:sozlesme</x:v>
      </x:c>
      <x:c r="D65" s="29" t="str">
        <x:v>Kaliforniya kiracı rehberi</x:v>
      </x:c>
      <x:c r="E65" s="29" t="str">
        <x:v>https://www.dre.ca.gov/publications/ResourceGuidebook/2026_Landlord_Tenant_Guide.pdf</x:v>
      </x:c>
      <x:c r="F65" s="31" t="d">
        <x:v>2026-10-24T00:00:00.000Z</x:v>
      </x:c>
      <x:c r="G65" s="35" t="n">
        <x:v>0</x:v>
      </x:c>
    </x:row>
    <x:row r="66" ht="54" customHeight="1">
      <x:c r="A66" s="29" t="str">
        <x:v>bakersfield:action:depozito-siniri-1</x:v>
      </x:c>
      <x:c r="B66" s="29" t="str">
        <x:v>bakersfield</x:v>
      </x:c>
      <x:c r="C66" s="29" t="str">
        <x:v>bakersfield:depozito-siniri</x:v>
      </x:c>
      <x:c r="D66" s="29" t="str">
        <x:v>Depozito sınırı ve küçük ev sahibi istisnası</x:v>
      </x:c>
      <x:c r="E66" s="29" t="str">
        <x:v>https://oag.ca.gov/system/files/media/Know-Your-Rights-Security-Deposits-English.pdf</x:v>
      </x:c>
      <x:c r="F66" s="31" t="d">
        <x:v>2026-10-24T00:00:00.000Z</x:v>
      </x:c>
      <x:c r="G66" s="35" t="n">
        <x:v>0</x:v>
      </x:c>
    </x:row>
    <x:row r="67" ht="54" customHeight="1">
      <x:c r="A67" s="29" t="str">
        <x:v>bakersfield:action:giris-tutanagi-1</x:v>
      </x:c>
      <x:c r="B67" s="29" t="str">
        <x:v>bakersfield</x:v>
      </x:c>
      <x:c r="C67" s="29" t="str">
        <x:v>bakersfield:giris-tutanagi</x:v>
      </x:c>
      <x:c r="D67" s="29" t="str">
        <x:v>Kiracılık başlarken depozito ve durum kaydı</x:v>
      </x:c>
      <x:c r="E67" s="29" t="str">
        <x:v>https://www.dre.ca.gov/publications/ResourceGuidebook/gb07_when.html</x:v>
      </x:c>
      <x:c r="F67" s="31" t="d">
        <x:v>2026-10-24T00:00:00.000Z</x:v>
      </x:c>
      <x:c r="G67" s="35" t="n">
        <x:v>0</x:v>
      </x:c>
    </x:row>
    <x:row r="68" ht="54" customHeight="1">
      <x:c r="A68" s="29" t="str">
        <x:v>bakersfield:action:giris-tutanagi-2</x:v>
      </x:c>
      <x:c r="B68" s="29" t="str">
        <x:v>bakersfield</x:v>
      </x:c>
      <x:c r="C68" s="29" t="str">
        <x:v>bakersfield:giris-tutanagi</x:v>
      </x:c>
      <x:c r="D68" s="29" t="str">
        <x:v>Kira depozitosu</x:v>
      </x:c>
      <x:c r="E68" s="29" t="str">
        <x:v>https://selfhelp.courts.ca.gov/guide-security-deposits-california</x:v>
      </x:c>
      <x:c r="F68" s="31" t="d">
        <x:v>2026-10-24T00:00:00.000Z</x:v>
      </x:c>
      <x:c r="G68" s="35" t="n">
        <x:v>1</x:v>
      </x:c>
    </x:row>
    <x:row r="69" ht="54" customHeight="1">
      <x:c r="A69" s="29" t="str">
        <x:v>bakersfield:action:evde-onarim-1</x:v>
      </x:c>
      <x:c r="B69" s="29" t="str">
        <x:v>bakersfield</x:v>
      </x:c>
      <x:c r="C69" s="29" t="str">
        <x:v>bakersfield:evde-onarim</x:v>
      </x:c>
      <x:c r="D69" s="29" t="str">
        <x:v>Onarım ve yaşanabilirlik</x:v>
      </x:c>
      <x:c r="E69" s="29" t="str">
        <x:v>https://www.dre.ca.gov/publications/ResourceGuidebook/gb09_dealingwith.html</x:v>
      </x:c>
      <x:c r="F69" s="31" t="d">
        <x:v>2026-10-24T00:00:00.000Z</x:v>
      </x:c>
      <x:c r="G69" s="35" t="n">
        <x:v>0</x:v>
      </x:c>
    </x:row>
    <x:row r="70" ht="54" customHeight="1">
      <x:c r="A70" s="29" t="str">
        <x:v>bakersfield:action:evde-onarim-2</x:v>
      </x:c>
      <x:c r="B70" s="29" t="str">
        <x:v>bakersfield</x:v>
      </x:c>
      <x:c r="C70" s="29" t="str">
        <x:v>bakersfield:evde-onarim</x:v>
      </x:c>
      <x:c r="D70" s="29" t="str">
        <x:v>Yerel hukuk yardımı</x:v>
      </x:c>
      <x:c r="E70" s="29" t="str">
        <x:v>https://www.gbla.org/</x:v>
      </x:c>
      <x:c r="F70" s="31" t="d">
        <x:v>2026-10-24T00:00:00.000Z</x:v>
      </x:c>
      <x:c r="G70" s="35" t="n">
        <x:v>1</x:v>
      </x:c>
    </x:row>
    <x:row r="71" ht="54" customHeight="1">
      <x:c r="A71" s="29" t="str">
        <x:v>bakersfield:action:ev-sogutma-1</x:v>
      </x:c>
      <x:c r="B71" s="29" t="str">
        <x:v>bakersfield</x:v>
      </x:c>
      <x:c r="C71" s="29" t="str">
        <x:v>bakersfield:ev-sogutma</x:v>
      </x:c>
      <x:c r="D71" s="29" t="str">
        <x:v>Onarım ve yaşanabilirlik</x:v>
      </x:c>
      <x:c r="E71" s="29" t="str">
        <x:v>https://www.dre.ca.gov/publications/ResourceGuidebook/gb09_dealingwith.html</x:v>
      </x:c>
      <x:c r="F71" s="31" t="d">
        <x:v>2026-10-24T00:00:00.000Z</x:v>
      </x:c>
      <x:c r="G71" s="35" t="n">
        <x:v>0</x:v>
      </x:c>
    </x:row>
    <x:row r="72" ht="54" customHeight="1">
      <x:c r="A72" s="29" t="str">
        <x:v>bakersfield:action:ev-sogutma-2</x:v>
      </x:c>
      <x:c r="B72" s="29" t="str">
        <x:v>bakersfield</x:v>
      </x:c>
      <x:c r="C72" s="29" t="str">
        <x:v>bakersfield:ev-sogutma</x:v>
      </x:c>
      <x:c r="D72" s="29" t="str">
        <x:v>Konut elektrik tarifeleri</x:v>
      </x:c>
      <x:c r="E72" s="29" t="str">
        <x:v>https://www.pge.com/en/account/rate-plans/find-your-best-rate-plan.html</x:v>
      </x:c>
      <x:c r="F72" s="31" t="d">
        <x:v>2026-10-24T00:00:00.000Z</x:v>
      </x:c>
      <x:c r="G72" s="35" t="n">
        <x:v>1</x:v>
      </x:c>
    </x:row>
    <x:row r="73" ht="54" customHeight="1">
      <x:c r="A73" s="29" t="str">
        <x:v>bakersfield:action:ev-sogutma-3</x:v>
      </x:c>
      <x:c r="B73" s="29" t="str">
        <x:v>bakersfield</x:v>
      </x:c>
      <x:c r="C73" s="29" t="str">
        <x:v>bakersfield:ev-sogutma</x:v>
      </x:c>
      <x:c r="D73" s="29" t="str">
        <x:v>AB 628: 2026 ocak ve buzdolabı koşulları</x:v>
      </x:c>
      <x:c r="E73" s="29" t="str">
        <x:v>https://leginfo.legislature.ca.gov/faces/billNavClient.xhtml?bill_id=202520260AB628</x:v>
      </x:c>
      <x:c r="F73" s="31" t="d">
        <x:v>2026-10-24T00:00:00.000Z</x:v>
      </x:c>
      <x:c r="G73" s="35" t="n">
        <x:v>2</x:v>
      </x:c>
    </x:row>
    <x:row r="74" ht="54" customHeight="1">
      <x:c r="A74" s="29" t="str">
        <x:v>bakersfield:action:ev-sayac-1</x:v>
      </x:c>
      <x:c r="B74" s="29" t="str">
        <x:v>bakersfield</x:v>
      </x:c>
      <x:c r="C74" s="29" t="str">
        <x:v>bakersfield:ev-sayac</x:v>
      </x:c>
      <x:c r="D74" s="29" t="str">
        <x:v>Kaliforniya kiracı rehberi</x:v>
      </x:c>
      <x:c r="E74" s="29" t="str">
        <x:v>https://www.dre.ca.gov/publications/ResourceGuidebook/2026_Landlord_Tenant_Guide.pdf</x:v>
      </x:c>
      <x:c r="F74" s="31" t="d">
        <x:v>2026-10-24T00:00:00.000Z</x:v>
      </x:c>
      <x:c r="G74" s="35" t="n">
        <x:v>0</x:v>
      </x:c>
    </x:row>
    <x:row r="75" ht="54" customHeight="1">
      <x:c r="A75" s="29" t="str">
        <x:v>bakersfield:action:ev-sayac-2</x:v>
      </x:c>
      <x:c r="B75" s="29" t="str">
        <x:v>bakersfield</x:v>
      </x:c>
      <x:c r="C75" s="29" t="str">
        <x:v>bakersfield:ev-sayac</x:v>
      </x:c>
      <x:c r="D75" s="29" t="str">
        <x:v>Su aboneliği başlatma ve kapatma</x:v>
      </x:c>
      <x:c r="E75" s="29" t="str">
        <x:v>https://www.calwater.com/start-stop/</x:v>
      </x:c>
      <x:c r="F75" s="31" t="d">
        <x:v>2026-10-24T00:00:00.000Z</x:v>
      </x:c>
      <x:c r="G75" s="35" t="n">
        <x:v>1</x:v>
      </x:c>
    </x:row>
    <x:row r="76" ht="54" customHeight="1">
      <x:c r="A76" s="29" t="str">
        <x:v>bakersfield:action:ev-sayac-3</x:v>
      </x:c>
      <x:c r="B76" s="29" t="str">
        <x:v>bakersfield</x:v>
      </x:c>
      <x:c r="C76" s="29" t="str">
        <x:v>bakersfield:ev-sayac</x:v>
      </x:c>
      <x:c r="D76" s="29" t="str">
        <x:v>Enerji aboneliği başlatma ve taşıma</x:v>
      </x:c>
      <x:c r="E76" s="29" t="str">
        <x:v>https://www.pge.com/en/account/service-requests/start-stop-transfer-service.html</x:v>
      </x:c>
      <x:c r="F76" s="31" t="d">
        <x:v>2026-10-24T00:00:00.000Z</x:v>
      </x:c>
      <x:c r="G76" s="35" t="n">
        <x:v>2</x:v>
      </x:c>
    </x:row>
    <x:row r="77" ht="54" customHeight="1">
      <x:c r="A77" s="29" t="str">
        <x:v>bakersfield:action:ev-paylasimi-1</x:v>
      </x:c>
      <x:c r="B77" s="29" t="str">
        <x:v>bakersfield</x:v>
      </x:c>
      <x:c r="C77" s="29" t="str">
        <x:v>bakersfield:ev-paylasimi</x:v>
      </x:c>
      <x:c r="D77" s="29" t="str">
        <x:v>Kaliforniya kiracı rehberi</x:v>
      </x:c>
      <x:c r="E77" s="29" t="str">
        <x:v>https://www.dre.ca.gov/publications/ResourceGuidebook/2026_Landlord_Tenant_Guide.pdf</x:v>
      </x:c>
      <x:c r="F77" s="31" t="d">
        <x:v>2026-10-24T00:00:00.000Z</x:v>
      </x:c>
      <x:c r="G77" s="35" t="n">
        <x:v>0</x:v>
      </x:c>
    </x:row>
    <x:row r="78" ht="54" customHeight="1">
      <x:c r="A78" s="29" t="str">
        <x:v>bakersfield:action:kiraci-sigorta-1</x:v>
      </x:c>
      <x:c r="B78" s="29" t="str">
        <x:v>bakersfield</x:v>
      </x:c>
      <x:c r="C78" s="29" t="str">
        <x:v>bakersfield:kiraci-sigorta</x:v>
      </x:c>
      <x:c r="D78" s="29" t="str">
        <x:v>Kiracı sigortası rehberi</x:v>
      </x:c>
      <x:c r="E78" s="29" t="str">
        <x:v>https://www.insurance.ca.gov/01-consumers/105-type/95-guides/03-res/res-ins-guide.cfm</x:v>
      </x:c>
      <x:c r="F78" s="31" t="d">
        <x:v>2026-10-24T00:00:00.000Z</x:v>
      </x:c>
      <x:c r="G78" s="35" t="n">
        <x:v>0</x:v>
      </x:c>
    </x:row>
    <x:row r="79" ht="54" customHeight="1">
      <x:c r="A79" s="29" t="str">
        <x:v>bakersfield:action:evcil-hayvan-kira-1</x:v>
      </x:c>
      <x:c r="B79" s="29" t="str">
        <x:v>bakersfield</x:v>
      </x:c>
      <x:c r="C79" s="29" t="str">
        <x:v>bakersfield:evcil-hayvan-kira</x:v>
      </x:c>
      <x:c r="D79" s="29" t="str">
        <x:v>Konut ayrımcılığı</x:v>
      </x:c>
      <x:c r="E79" s="29" t="str">
        <x:v>https://calcivilrights.ca.gov/housing/</x:v>
      </x:c>
      <x:c r="F79" s="31" t="d">
        <x:v>2026-10-24T00:00:00.000Z</x:v>
      </x:c>
      <x:c r="G79" s="35" t="n">
        <x:v>0</x:v>
      </x:c>
    </x:row>
    <x:row r="80" ht="54" customHeight="1">
      <x:c r="A80" s="29" t="str">
        <x:v>bakersfield:action:evcil-hayvan-kira-2</x:v>
      </x:c>
      <x:c r="B80" s="29" t="str">
        <x:v>bakersfield</x:v>
      </x:c>
      <x:c r="C80" s="29" t="str">
        <x:v>bakersfield:evcil-hayvan-kira</x:v>
      </x:c>
      <x:c r="D80" s="29" t="str">
        <x:v>Depozito sınırı ve küçük ev sahibi istisnası</x:v>
      </x:c>
      <x:c r="E80" s="29" t="str">
        <x:v>https://oag.ca.gov/system/files/media/Know-Your-Rights-Security-Deposits-English.pdf</x:v>
      </x:c>
      <x:c r="F80" s="31" t="d">
        <x:v>2026-10-24T00:00:00.000Z</x:v>
      </x:c>
      <x:c r="G80" s="35" t="n">
        <x:v>1</x:v>
      </x:c>
    </x:row>
    <x:row r="81" ht="54" customHeight="1">
      <x:c r="A81" s="29" t="str">
        <x:v>bakersfield:action:ev-sel-yangin-1</x:v>
      </x:c>
      <x:c r="B81" s="29" t="str">
        <x:v>bakersfield</x:v>
      </x:c>
      <x:c r="C81" s="29" t="str">
        <x:v>bakersfield:ev-sel-yangin</x:v>
      </x:c>
      <x:c r="D81" s="29" t="str">
        <x:v>Adrese göre taşkın haritası</x:v>
      </x:c>
      <x:c r="E81" s="29" t="str">
        <x:v>https://msc.fema.gov/portal/home</x:v>
      </x:c>
      <x:c r="F81" s="31" t="d">
        <x:v>2026-10-24T00:00:00.000Z</x:v>
      </x:c>
      <x:c r="G81" s="35" t="n">
        <x:v>0</x:v>
      </x:c>
    </x:row>
    <x:row r="82" ht="54" customHeight="1">
      <x:c r="A82" s="29" t="str">
        <x:v>bakersfield:action:ev-sel-yangin-2</x:v>
      </x:c>
      <x:c r="B82" s="29" t="str">
        <x:v>bakersfield</x:v>
      </x:c>
      <x:c r="C82" s="29" t="str">
        <x:v>bakersfield:ev-sel-yangin</x:v>
      </x:c>
      <x:c r="D82" s="29" t="str">
        <x:v>Yangın tehlike bölgeleri</x:v>
      </x:c>
      <x:c r="E82" s="29" t="str">
        <x:v>https://osfm.fire.ca.gov/what-we-do/community-wildfire-preparedness-and-mitigation/fire-hazard-severity-zones</x:v>
      </x:c>
      <x:c r="F82" s="31" t="d">
        <x:v>2026-10-24T00:00:00.000Z</x:v>
      </x:c>
      <x:c r="G82" s="35" t="n">
        <x:v>1</x:v>
      </x:c>
    </x:row>
    <x:row r="83" ht="54" customHeight="1">
      <x:c r="A83" s="29" t="str">
        <x:v>bakersfield:action:ev-sel-yangin-3</x:v>
      </x:c>
      <x:c r="B83" s="29" t="str">
        <x:v>bakersfield</x:v>
      </x:c>
      <x:c r="C83" s="29" t="str">
        <x:v>bakersfield:ev-sel-yangin</x:v>
      </x:c>
      <x:c r="D83" s="29" t="str">
        <x:v>ReadyKern acil bildirim kaydı</x:v>
      </x:c>
      <x:c r="E83" s="29" t="str">
        <x:v>https://kerncountyfire.org/education-safety/ready-kern/</x:v>
      </x:c>
      <x:c r="F83" s="31" t="d">
        <x:v>2026-10-24T00:00:00.000Z</x:v>
      </x:c>
      <x:c r="G83" s="35" t="n">
        <x:v>2</x:v>
      </x:c>
    </x:row>
    <x:row r="84" ht="54" customHeight="1">
      <x:c r="A84" s="29" t="str">
        <x:v>bakersfield:action:kira-artisi-1</x:v>
      </x:c>
      <x:c r="B84" s="29" t="str">
        <x:v>bakersfield</x:v>
      </x:c>
      <x:c r="C84" s="29" t="str">
        <x:v>bakersfield:kira-artisi</x:v>
      </x:c>
      <x:c r="D84" s="29" t="str">
        <x:v>Kiracı hakları</x:v>
      </x:c>
      <x:c r="E84" s="29" t="str">
        <x:v>https://oag.ca.gov/tenants</x:v>
      </x:c>
      <x:c r="F84" s="31" t="d">
        <x:v>2026-10-24T00:00:00.000Z</x:v>
      </x:c>
      <x:c r="G84" s="35" t="n">
        <x:v>0</x:v>
      </x:c>
    </x:row>
    <x:row r="85" ht="54" customHeight="1">
      <x:c r="A85" s="29" t="str">
        <x:v>bakersfield:action:kira-artisi-2</x:v>
      </x:c>
      <x:c r="B85" s="29" t="str">
        <x:v>bakersfield</x:v>
      </x:c>
      <x:c r="C85" s="29" t="str">
        <x:v>bakersfield:kira-artisi</x:v>
      </x:c>
      <x:c r="D85" s="29" t="str">
        <x:v>Kaliforniya kiracı rehberi</x:v>
      </x:c>
      <x:c r="E85" s="29" t="str">
        <x:v>https://www.dre.ca.gov/publications/ResourceGuidebook/2026_Landlord_Tenant_Guide.pdf</x:v>
      </x:c>
      <x:c r="F85" s="31" t="d">
        <x:v>2026-10-24T00:00:00.000Z</x:v>
      </x:c>
      <x:c r="G85" s="35" t="n">
        <x:v>1</x:v>
      </x:c>
    </x:row>
    <x:row r="86" ht="54" customHeight="1">
      <x:c r="A86" s="29" t="str">
        <x:v>bakersfield:action:ev-sahibi-girisi-1</x:v>
      </x:c>
      <x:c r="B86" s="29" t="str">
        <x:v>bakersfield</x:v>
      </x:c>
      <x:c r="C86" s="29" t="str">
        <x:v>bakersfield:ev-sahibi-girisi</x:v>
      </x:c>
      <x:c r="D86" s="29" t="str">
        <x:v>Kiralanan evde yaşam ve giriş kuralları</x:v>
      </x:c>
      <x:c r="E86" s="29" t="str">
        <x:v>https://www.dre.ca.gov/publications/ResourceGuidebook/gb08_living.html</x:v>
      </x:c>
      <x:c r="F86" s="31" t="d">
        <x:v>2026-10-24T00:00:00.000Z</x:v>
      </x:c>
      <x:c r="G86" s="35" t="n">
        <x:v>0</x:v>
      </x:c>
    </x:row>
    <x:row r="87" ht="54" customHeight="1">
      <x:c r="A87" s="29" t="str">
        <x:v>bakersfield:action:evden-cikis-1</x:v>
      </x:c>
      <x:c r="B87" s="29" t="str">
        <x:v>bakersfield</x:v>
      </x:c>
      <x:c r="C87" s="29" t="str">
        <x:v>bakersfield:evden-cikis</x:v>
      </x:c>
      <x:c r="D87" s="29" t="str">
        <x:v>Evden taşınma ve bildirim</x:v>
      </x:c>
      <x:c r="E87" s="29" t="str">
        <x:v>https://www.dre.ca.gov/publications/ResourceGuidebook/gb10_movingout.html</x:v>
      </x:c>
      <x:c r="F87" s="31" t="d">
        <x:v>2026-10-24T00:00:00.000Z</x:v>
      </x:c>
      <x:c r="G87" s="35" t="n">
        <x:v>0</x:v>
      </x:c>
    </x:row>
    <x:row r="88" ht="54" customHeight="1">
      <x:c r="A88" s="29" t="str">
        <x:v>bakersfield:action:depozito-iade-1</x:v>
      </x:c>
      <x:c r="B88" s="29" t="str">
        <x:v>bakersfield</x:v>
      </x:c>
      <x:c r="C88" s="29" t="str">
        <x:v>bakersfield:depozito-iade</x:v>
      </x:c>
      <x:c r="D88" s="29" t="str">
        <x:v>Kira depozitosu</x:v>
      </x:c>
      <x:c r="E88" s="29" t="str">
        <x:v>https://selfhelp.courts.ca.gov/guide-security-deposits-california</x:v>
      </x:c>
      <x:c r="F88" s="31" t="d">
        <x:v>2026-10-24T00:00:00.000Z</x:v>
      </x:c>
      <x:c r="G88" s="35" t="n">
        <x:v>0</x:v>
      </x:c>
    </x:row>
    <x:row r="89" ht="54" customHeight="1">
      <x:c r="A89" s="29" t="str">
        <x:v>bakersfield:action:tahliye-bildirimi-1</x:v>
      </x:c>
      <x:c r="B89" s="29" t="str">
        <x:v>bakersfield</x:v>
      </x:c>
      <x:c r="C89" s="29" t="str">
        <x:v>bakersfield:tahliye-bildirimi</x:v>
      </x:c>
      <x:c r="D89" s="29" t="str">
        <x:v>Tahliye süreçleri</x:v>
      </x:c>
      <x:c r="E89" s="29" t="str">
        <x:v>https://selfhelp.courts.ca.gov/eviction</x:v>
      </x:c>
      <x:c r="F89" s="31" t="d">
        <x:v>2026-10-24T00:00:00.000Z</x:v>
      </x:c>
      <x:c r="G89" s="35" t="n">
        <x:v>0</x:v>
      </x:c>
    </x:row>
    <x:row r="90" ht="54" customHeight="1">
      <x:c r="A90" s="29" t="str">
        <x:v>bakersfield:action:tahliye-bildirimi-2</x:v>
      </x:c>
      <x:c r="B90" s="29" t="str">
        <x:v>bakersfield</x:v>
      </x:c>
      <x:c r="C90" s="29" t="str">
        <x:v>bakersfield:tahliye-bildirimi</x:v>
      </x:c>
      <x:c r="D90" s="29" t="str">
        <x:v>Yerel hukuk yardımı</x:v>
      </x:c>
      <x:c r="E90" s="29" t="str">
        <x:v>https://www.gbla.org/</x:v>
      </x:c>
      <x:c r="F90" s="31" t="d">
        <x:v>2026-10-24T00:00:00.000Z</x:v>
      </x:c>
      <x:c r="G90" s="35" t="n">
        <x:v>1</x:v>
      </x:c>
    </x:row>
    <x:row r="91" ht="54" customHeight="1">
      <x:c r="A91" s="29" t="str">
        <x:v>bakersfield:action:tahliye-bildirimi-3</x:v>
      </x:c>
      <x:c r="B91" s="29" t="str">
        <x:v>bakersfield</x:v>
      </x:c>
      <x:c r="C91" s="29" t="str">
        <x:v>bakersfield:tahliye-bildirimi</x:v>
      </x:c>
      <x:c r="D91" s="29" t="str">
        <x:v>Kiracı hakları</x:v>
      </x:c>
      <x:c r="E91" s="29" t="str">
        <x:v>https://oag.ca.gov/tenants</x:v>
      </x:c>
      <x:c r="F91" s="31" t="d">
        <x:v>2026-10-24T00:00:00.000Z</x:v>
      </x:c>
      <x:c r="G91" s="35" t="n">
        <x:v>2</x:v>
      </x:c>
    </x:row>
    <x:row r="92" ht="54" customHeight="1">
      <x:c r="A92" s="29" t="str">
        <x:v>bakersfield:action:adil-konut-1</x:v>
      </x:c>
      <x:c r="B92" s="29" t="str">
        <x:v>bakersfield</x:v>
      </x:c>
      <x:c r="C92" s="29" t="str">
        <x:v>bakersfield:adil-konut</x:v>
      </x:c>
      <x:c r="D92" s="29" t="str">
        <x:v>Konut ayrımcılığı</x:v>
      </x:c>
      <x:c r="E92" s="29" t="str">
        <x:v>https://calcivilrights.ca.gov/housing/</x:v>
      </x:c>
      <x:c r="F92" s="31" t="d">
        <x:v>2026-10-24T00:00:00.000Z</x:v>
      </x:c>
      <x:c r="G92" s="35" t="n">
        <x:v>0</x:v>
      </x:c>
    </x:row>
    <x:row r="93" ht="54" customHeight="1">
      <x:c r="A93" s="29" t="str">
        <x:v>bakersfield:action:adil-konut-2</x:v>
      </x:c>
      <x:c r="B93" s="29" t="str">
        <x:v>bakersfield</x:v>
      </x:c>
      <x:c r="C93" s="29" t="str">
        <x:v>bakersfield:adil-konut</x:v>
      </x:c>
      <x:c r="D93" s="29" t="str">
        <x:v>Yerel hukuk yardımı</x:v>
      </x:c>
      <x:c r="E93" s="29" t="str">
        <x:v>https://www.gbla.org/</x:v>
      </x:c>
      <x:c r="F93" s="31" t="d">
        <x:v>2026-10-24T00:00:00.000Z</x:v>
      </x:c>
      <x:c r="G93" s="35" t="n">
        <x:v>1</x:v>
      </x:c>
    </x:row>
    <x:row r="94" ht="54" customHeight="1">
      <x:c r="A94" s="29" t="str">
        <x:v>bakersfield:action:abonelik-saglayici-1</x:v>
      </x:c>
      <x:c r="B94" s="29" t="str">
        <x:v>bakersfield</x:v>
      </x:c>
      <x:c r="C94" s="29" t="str">
        <x:v>bakersfield:abonelik-saglayici</x:v>
      </x:c>
      <x:c r="D94" s="29" t="str">
        <x:v>Belediye sınırları ve GIS haritaları</x:v>
      </x:c>
      <x:c r="E94" s="29" t="str">
        <x:v>https://www.bakersfieldcity.us/gis-mapping-portal</x:v>
      </x:c>
      <x:c r="F94" s="31" t="d">
        <x:v>2026-10-24T00:00:00.000Z</x:v>
      </x:c>
      <x:c r="G94" s="35" t="n">
        <x:v>0</x:v>
      </x:c>
    </x:row>
    <x:row r="95" ht="54" customHeight="1">
      <x:c r="A95" s="29" t="str">
        <x:v>bakersfield:action:abonelik-saglayici-2</x:v>
      </x:c>
      <x:c r="B95" s="29" t="str">
        <x:v>bakersfield</x:v>
      </x:c>
      <x:c r="C95" s="29" t="str">
        <x:v>bakersfield:abonelik-saglayici</x:v>
      </x:c>
      <x:c r="D95" s="29" t="str">
        <x:v>Enerji aboneliği başlatma ve taşıma</x:v>
      </x:c>
      <x:c r="E95" s="29" t="str">
        <x:v>https://www.pge.com/en/account/service-requests/start-stop-transfer-service.html</x:v>
      </x:c>
      <x:c r="F95" s="31" t="d">
        <x:v>2026-10-24T00:00:00.000Z</x:v>
      </x:c>
      <x:c r="G95" s="35" t="n">
        <x:v>1</x:v>
      </x:c>
    </x:row>
    <x:row r="96" ht="54" customHeight="1">
      <x:c r="A96" s="29" t="str">
        <x:v>bakersfield:action:abonelik-saglayici-3</x:v>
      </x:c>
      <x:c r="B96" s="29" t="str">
        <x:v>bakersfield</x:v>
      </x:c>
      <x:c r="C96" s="29" t="str">
        <x:v>bakersfield:abonelik-saglayici</x:v>
      </x:c>
      <x:c r="D96" s="29" t="str">
        <x:v>Bakersfield hizmet bölgesi</x:v>
      </x:c>
      <x:c r="E96" s="29" t="str">
        <x:v>https://www.calwater.com/district/bakersfield/</x:v>
      </x:c>
      <x:c r="F96" s="31" t="d">
        <x:v>2026-10-24T00:00:00.000Z</x:v>
      </x:c>
      <x:c r="G96" s="35" t="n">
        <x:v>2</x:v>
      </x:c>
    </x:row>
    <x:row r="97" ht="54" customHeight="1">
      <x:c r="A97" s="29" t="str">
        <x:v>bakersfield:action:elektrik-baslat-1</x:v>
      </x:c>
      <x:c r="B97" s="29" t="str">
        <x:v>bakersfield</x:v>
      </x:c>
      <x:c r="C97" s="29" t="str">
        <x:v>bakersfield:elektrik-baslat</x:v>
      </x:c>
      <x:c r="D97" s="29" t="str">
        <x:v>Enerji aboneliği başlatma ve taşıma</x:v>
      </x:c>
      <x:c r="E97" s="29" t="str">
        <x:v>https://www.pge.com/en/account/service-requests/start-stop-transfer-service.html</x:v>
      </x:c>
      <x:c r="F97" s="31" t="d">
        <x:v>2026-10-24T00:00:00.000Z</x:v>
      </x:c>
      <x:c r="G97" s="35" t="n">
        <x:v>0</x:v>
      </x:c>
    </x:row>
    <x:row r="98" ht="54" customHeight="1">
      <x:c r="A98" s="29" t="str">
        <x:v>bakersfield:action:enerji-tasima-1</x:v>
      </x:c>
      <x:c r="B98" s="29" t="str">
        <x:v>bakersfield</x:v>
      </x:c>
      <x:c r="C98" s="29" t="str">
        <x:v>bakersfield:enerji-tasima</x:v>
      </x:c>
      <x:c r="D98" s="29" t="str">
        <x:v>Enerji aboneliği başlatma ve taşıma</x:v>
      </x:c>
      <x:c r="E98" s="29" t="str">
        <x:v>https://www.pge.com/en/account/service-requests/start-stop-transfer-service.html</x:v>
      </x:c>
      <x:c r="F98" s="31" t="d">
        <x:v>2026-10-24T00:00:00.000Z</x:v>
      </x:c>
      <x:c r="G98" s="35" t="n">
        <x:v>0</x:v>
      </x:c>
    </x:row>
    <x:row r="99" ht="54" customHeight="1">
      <x:c r="A99" s="29" t="str">
        <x:v>bakersfield:action:elektrik-tarife-1</x:v>
      </x:c>
      <x:c r="B99" s="29" t="str">
        <x:v>bakersfield</x:v>
      </x:c>
      <x:c r="C99" s="29" t="str">
        <x:v>bakersfield:elektrik-tarife</x:v>
      </x:c>
      <x:c r="D99" s="29" t="str">
        <x:v>Konut elektrik tarifeleri</x:v>
      </x:c>
      <x:c r="E99" s="29" t="str">
        <x:v>https://www.pge.com/en/account/rate-plans/find-your-best-rate-plan.html</x:v>
      </x:c>
      <x:c r="F99" s="31" t="d">
        <x:v>2026-10-24T00:00:00.000Z</x:v>
      </x:c>
      <x:c r="G99" s="35" t="n">
        <x:v>0</x:v>
      </x:c>
    </x:row>
    <x:row r="100" ht="54" customHeight="1">
      <x:c r="A100" s="29" t="str">
        <x:v>bakersfield:action:yaz-elektrik-1</x:v>
      </x:c>
      <x:c r="B100" s="29" t="str">
        <x:v>bakersfield</x:v>
      </x:c>
      <x:c r="C100" s="29" t="str">
        <x:v>bakersfield:yaz-elektrik</x:v>
      </x:c>
      <x:c r="D100" s="29" t="str">
        <x:v>Konut elektrik tarifeleri</x:v>
      </x:c>
      <x:c r="E100" s="29" t="str">
        <x:v>https://www.pge.com/en/account/rate-plans/find-your-best-rate-plan.html</x:v>
      </x:c>
      <x:c r="F100" s="31" t="d">
        <x:v>2026-10-24T00:00:00.000Z</x:v>
      </x:c>
      <x:c r="G100" s="35" t="n">
        <x:v>0</x:v>
      </x:c>
    </x:row>
    <x:row r="101" ht="54" customHeight="1">
      <x:c r="A101" s="29" t="str">
        <x:v>bakersfield:action:yaz-elektrik-2</x:v>
      </x:c>
      <x:c r="B101" s="29" t="str">
        <x:v>bakersfield</x:v>
      </x:c>
      <x:c r="C101" s="29" t="str">
        <x:v>bakersfield:yaz-elektrik</x:v>
      </x:c>
      <x:c r="D101" s="29" t="str">
        <x:v>Bakersfield hava tahmini</x:v>
      </x:c>
      <x:c r="E101" s="29" t="str">
        <x:v>https://forecast.weather.gov/MapClick.php?lat=35.3733&amp;lon=-119.0187</x:v>
      </x:c>
      <x:c r="F101" s="31" t="d">
        <x:v>2026-10-24T00:00:00.000Z</x:v>
      </x:c>
      <x:c r="G101" s="35" t="n">
        <x:v>1</x:v>
      </x:c>
    </x:row>
    <x:row r="102" ht="54" customHeight="1">
      <x:c r="A102" s="29" t="str">
        <x:v>bakersfield:action:care-1</x:v>
      </x:c>
      <x:c r="B102" s="29" t="str">
        <x:v>bakersfield</x:v>
      </x:c>
      <x:c r="C102" s="29" t="str">
        <x:v>bakersfield:care</x:v>
      </x:c>
      <x:c r="D102" s="29" t="str">
        <x:v>CARE ve FERA indirimleri</x:v>
      </x:c>
      <x:c r="E102" s="29" t="str">
        <x:v>https://www.pge.com/en/account/billing-and-assistance/financial-assistance/california-alternate-rates-for-energy-program.html</x:v>
      </x:c>
      <x:c r="F102" s="31" t="d">
        <x:v>2026-10-24T00:00:00.000Z</x:v>
      </x:c>
      <x:c r="G102" s="35" t="n">
        <x:v>0</x:v>
      </x:c>
    </x:row>
    <x:row r="103" ht="54" customHeight="1">
      <x:c r="A103" s="29" t="str">
        <x:v>bakersfield:action:medical-baseline-1</x:v>
      </x:c>
      <x:c r="B103" s="29" t="str">
        <x:v>bakersfield</x:v>
      </x:c>
      <x:c r="C103" s="29" t="str">
        <x:v>bakersfield:medical-baseline</x:v>
      </x:c>
      <x:c r="D103" s="29" t="str">
        <x:v>Medical Baseline programı</x:v>
      </x:c>
      <x:c r="E103" s="29" t="str">
        <x:v>https://www.pge.com/en/account/billing-and-assistance/financial-assistance/medical-baseline-program.html</x:v>
      </x:c>
      <x:c r="F103" s="31" t="d">
        <x:v>2026-10-24T00:00:00.000Z</x:v>
      </x:c>
      <x:c r="G103" s="35" t="n">
        <x:v>0</x:v>
      </x:c>
    </x:row>
    <x:row r="104" ht="54" customHeight="1">
      <x:c r="A104" s="29" t="str">
        <x:v>bakersfield:action:medical-baseline-2</x:v>
      </x:c>
      <x:c r="B104" s="29" t="str">
        <x:v>bakersfield</x:v>
      </x:c>
      <x:c r="C104" s="29" t="str">
        <x:v>bakersfield:medical-baseline</x:v>
      </x:c>
      <x:c r="D104" s="29" t="str">
        <x:v>Elektrik kesintileri</x:v>
      </x:c>
      <x:c r="E104" s="29" t="str">
        <x:v>https://www.pge.com/en/outages-and-safety.html</x:v>
      </x:c>
      <x:c r="F104" s="31" t="d">
        <x:v>2026-10-24T00:00:00.000Z</x:v>
      </x:c>
      <x:c r="G104" s="35" t="n">
        <x:v>1</x:v>
      </x:c>
    </x:row>
    <x:row r="105" ht="54" customHeight="1">
      <x:c r="A105" s="29" t="str">
        <x:v>bakersfield:action:medical-baseline-3</x:v>
      </x:c>
      <x:c r="B105" s="29" t="str">
        <x:v>bakersfield</x:v>
      </x:c>
      <x:c r="C105" s="29" t="str">
        <x:v>bakersfield:medical-baseline</x:v>
      </x:c>
      <x:c r="D105" s="29" t="str">
        <x:v>Medical Baseline programının resmi açıklaması</x:v>
      </x:c>
      <x:c r="E105" s="29" t="str">
        <x:v>https://www.pge.com/assets/pge/transcripts/medical-baseline-intro.pdf</x:v>
      </x:c>
      <x:c r="F105" s="31" t="d">
        <x:v>2026-10-24T00:00:00.000Z</x:v>
      </x:c>
      <x:c r="G105" s="35" t="n">
        <x:v>2</x:v>
      </x:c>
    </x:row>
    <x:row r="106" ht="54" customHeight="1">
      <x:c r="A106" s="29" t="str">
        <x:v>bakersfield:action:enerji-kesintisi-1</x:v>
      </x:c>
      <x:c r="B106" s="29" t="str">
        <x:v>bakersfield</x:v>
      </x:c>
      <x:c r="C106" s="29" t="str">
        <x:v>bakersfield:enerji-kesintisi</x:v>
      </x:c>
      <x:c r="D106" s="29" t="str">
        <x:v>Elektrik kesintileri</x:v>
      </x:c>
      <x:c r="E106" s="29" t="str">
        <x:v>https://www.pge.com/en/outages-and-safety.html</x:v>
      </x:c>
      <x:c r="F106" s="31" t="d">
        <x:v>2026-10-24T00:00:00.000Z</x:v>
      </x:c>
      <x:c r="G106" s="35" t="n">
        <x:v>0</x:v>
      </x:c>
    </x:row>
    <x:row r="107" ht="54" customHeight="1">
      <x:c r="A107" s="29" t="str">
        <x:v>bakersfield:action:dogalgaz-1</x:v>
      </x:c>
      <x:c r="B107" s="29" t="str">
        <x:v>bakersfield</x:v>
      </x:c>
      <x:c r="C107" s="29" t="str">
        <x:v>bakersfield:dogalgaz</x:v>
      </x:c>
      <x:c r="D107" s="29" t="str">
        <x:v>Doğal gaz abonelik işlemleri</x:v>
      </x:c>
      <x:c r="E107" s="29" t="str">
        <x:v>https://www.socalgas.com/manage-your-account/start-stop-transfer-service</x:v>
      </x:c>
      <x:c r="F107" s="31" t="d">
        <x:v>2026-10-24T00:00:00.000Z</x:v>
      </x:c>
      <x:c r="G107" s="35" t="n">
        <x:v>0</x:v>
      </x:c>
    </x:row>
    <x:row r="108" ht="54" customHeight="1">
      <x:c r="A108" s="29" t="str">
        <x:v>bakersfield:action:dogalgaz-2</x:v>
      </x:c>
      <x:c r="B108" s="29" t="str">
        <x:v>bakersfield</x:v>
      </x:c>
      <x:c r="C108" s="29" t="str">
        <x:v>bakersfield:dogalgaz</x:v>
      </x:c>
      <x:c r="D108" s="29" t="str">
        <x:v>Enerji aboneliği başlatma ve taşıma</x:v>
      </x:c>
      <x:c r="E108" s="29" t="str">
        <x:v>https://www.pge.com/en/account/service-requests/start-stop-transfer-service.html</x:v>
      </x:c>
      <x:c r="F108" s="31" t="d">
        <x:v>2026-10-24T00:00:00.000Z</x:v>
      </x:c>
      <x:c r="G108" s="35" t="n">
        <x:v>1</x:v>
      </x:c>
    </x:row>
    <x:row r="109" ht="54" customHeight="1">
      <x:c r="A109" s="29" t="str">
        <x:v>bakersfield:action:su-baslat-1</x:v>
      </x:c>
      <x:c r="B109" s="29" t="str">
        <x:v>bakersfield</x:v>
      </x:c>
      <x:c r="C109" s="29" t="str">
        <x:v>bakersfield:su-baslat</x:v>
      </x:c>
      <x:c r="D109" s="29" t="str">
        <x:v>Bakersfield hizmet bölgesi</x:v>
      </x:c>
      <x:c r="E109" s="29" t="str">
        <x:v>https://www.calwater.com/district/bakersfield/</x:v>
      </x:c>
      <x:c r="F109" s="31" t="d">
        <x:v>2026-10-24T00:00:00.000Z</x:v>
      </x:c>
      <x:c r="G109" s="35" t="n">
        <x:v>0</x:v>
      </x:c>
    </x:row>
    <x:row r="110" ht="54" customHeight="1">
      <x:c r="A110" s="29" t="str">
        <x:v>bakersfield:action:su-baslat-2</x:v>
      </x:c>
      <x:c r="B110" s="29" t="str">
        <x:v>bakersfield</x:v>
      </x:c>
      <x:c r="C110" s="29" t="str">
        <x:v>bakersfield:su-baslat</x:v>
      </x:c>
      <x:c r="D110" s="29" t="str">
        <x:v>Su aboneliği başlatma ve kapatma</x:v>
      </x:c>
      <x:c r="E110" s="29" t="str">
        <x:v>https://www.calwater.com/start-stop/</x:v>
      </x:c>
      <x:c r="F110" s="31" t="d">
        <x:v>2026-10-24T00:00:00.000Z</x:v>
      </x:c>
      <x:c r="G110" s="35" t="n">
        <x:v>1</x:v>
      </x:c>
    </x:row>
    <x:row r="111" ht="54" customHeight="1">
      <x:c r="A111" s="29" t="str">
        <x:v>bakersfield:action:su-kanallari-1</x:v>
      </x:c>
      <x:c r="B111" s="29" t="str">
        <x:v>bakersfield</x:v>
      </x:c>
      <x:c r="C111" s="29" t="str">
        <x:v>bakersfield:su-kanallari</x:v>
      </x:c>
      <x:c r="D111" s="29" t="str">
        <x:v>Bakersfield hizmet bölgesi</x:v>
      </x:c>
      <x:c r="E111" s="29" t="str">
        <x:v>https://www.calwater.com/district/bakersfield/</x:v>
      </x:c>
      <x:c r="F111" s="31" t="d">
        <x:v>2026-10-24T00:00:00.000Z</x:v>
      </x:c>
      <x:c r="G111" s="35" t="n">
        <x:v>0</x:v>
      </x:c>
    </x:row>
    <x:row r="112" ht="54" customHeight="1">
      <x:c r="A112" s="29" t="str">
        <x:v>bakersfield:action:su-kacak-1</x:v>
      </x:c>
      <x:c r="B112" s="29" t="str">
        <x:v>bakersfield</x:v>
      </x:c>
      <x:c r="C112" s="29" t="str">
        <x:v>bakersfield:su-kacak</x:v>
      </x:c>
      <x:c r="D112" s="29" t="str">
        <x:v>Bakersfield hizmet bölgesi</x:v>
      </x:c>
      <x:c r="E112" s="29" t="str">
        <x:v>https://www.calwater.com/district/bakersfield/</x:v>
      </x:c>
      <x:c r="F112" s="31" t="d">
        <x:v>2026-10-24T00:00:00.000Z</x:v>
      </x:c>
      <x:c r="G112" s="35" t="n">
        <x:v>0</x:v>
      </x:c>
    </x:row>
    <x:row r="113" ht="54" customHeight="1">
      <x:c r="A113" s="29" t="str">
        <x:v>bakersfield:action:su-kacak-2</x:v>
      </x:c>
      <x:c r="B113" s="29" t="str">
        <x:v>bakersfield</x:v>
      </x:c>
      <x:c r="C113" s="29" t="str">
        <x:v>bakersfield:su-kacak</x:v>
      </x:c>
      <x:c r="D113" s="29" t="str">
        <x:v>Onarım ve yaşanabilirlik</x:v>
      </x:c>
      <x:c r="E113" s="29" t="str">
        <x:v>https://www.dre.ca.gov/publications/ResourceGuidebook/gb09_dealingwith.html</x:v>
      </x:c>
      <x:c r="F113" s="31" t="d">
        <x:v>2026-10-24T00:00:00.000Z</x:v>
      </x:c>
      <x:c r="G113" s="35" t="n">
        <x:v>1</x:v>
      </x:c>
    </x:row>
    <x:row r="114" ht="54" customHeight="1">
      <x:c r="A114" s="29" t="str">
        <x:v>bakersfield:action:su-destek-1</x:v>
      </x:c>
      <x:c r="B114" s="29" t="str">
        <x:v>bakersfield</x:v>
      </x:c>
      <x:c r="C114" s="29" t="str">
        <x:v>bakersfield:su-destek</x:v>
      </x:c>
      <x:c r="D114" s="29" t="str">
        <x:v>Müşteri destek programları</x:v>
      </x:c>
      <x:c r="E114" s="29" t="str">
        <x:v>https://www.calwater.com/customer-assistance/</x:v>
      </x:c>
      <x:c r="F114" s="31" t="d">
        <x:v>2026-10-24T00:00:00.000Z</x:v>
      </x:c>
      <x:c r="G114" s="35" t="n">
        <x:v>0</x:v>
      </x:c>
    </x:row>
    <x:row r="115" ht="54" customHeight="1">
      <x:c r="A115" s="29" t="str">
        <x:v>bakersfield:action:internet-adres-1</x:v>
      </x:c>
      <x:c r="B115" s="29" t="str">
        <x:v>bakersfield</x:v>
      </x:c>
      <x:c r="C115" s="29" t="str">
        <x:v>bakersfield:internet-adres</x:v>
      </x:c>
      <x:c r="D115" s="29" t="str">
        <x:v>Adrese göre geniş bant haritası</x:v>
      </x:c>
      <x:c r="E115" s="29" t="str">
        <x:v>https://broadbandmap.fcc.gov/home</x:v>
      </x:c>
      <x:c r="F115" s="31" t="d">
        <x:v>2026-10-24T00:00:00.000Z</x:v>
      </x:c>
      <x:c r="G115" s="35" t="n">
        <x:v>0</x:v>
      </x:c>
    </x:row>
    <x:row r="116" ht="54" customHeight="1">
      <x:c r="A116" s="29" t="str">
        <x:v>bakersfield:action:internet-adres-2</x:v>
      </x:c>
      <x:c r="B116" s="29" t="str">
        <x:v>bakersfield</x:v>
      </x:c>
      <x:c r="C116" s="29" t="str">
        <x:v>bakersfield:internet-adres</x:v>
      </x:c>
      <x:c r="D116" s="29" t="str">
        <x:v>Geniş bant tüketici etiketleri</x:v>
      </x:c>
      <x:c r="E116" s="29" t="str">
        <x:v>https://www.fcc.gov/broadbandlabels</x:v>
      </x:c>
      <x:c r="F116" s="31" t="d">
        <x:v>2026-10-24T00:00:00.000Z</x:v>
      </x:c>
      <x:c r="G116" s="35" t="n">
        <x:v>1</x:v>
      </x:c>
    </x:row>
    <x:row r="117" ht="54" customHeight="1">
      <x:c r="A117" s="29" t="str">
        <x:v>bakersfield:action:internet-etiket-1</x:v>
      </x:c>
      <x:c r="B117" s="29" t="str">
        <x:v>bakersfield</x:v>
      </x:c>
      <x:c r="C117" s="29" t="str">
        <x:v>bakersfield:internet-etiket</x:v>
      </x:c>
      <x:c r="D117" s="29" t="str">
        <x:v>Geniş bant tüketici etiketleri</x:v>
      </x:c>
      <x:c r="E117" s="29" t="str">
        <x:v>https://www.fcc.gov/broadbandlabels</x:v>
      </x:c>
      <x:c r="F117" s="31" t="d">
        <x:v>2026-10-24T00:00:00.000Z</x:v>
      </x:c>
      <x:c r="G117" s="35" t="n">
        <x:v>0</x:v>
      </x:c>
    </x:row>
    <x:row r="118" ht="54" customHeight="1">
      <x:c r="A118" s="29" t="str">
        <x:v>bakersfield:action:telefon-tasima-1</x:v>
      </x:c>
      <x:c r="B118" s="29" t="str">
        <x:v>bakersfield</x:v>
      </x:c>
      <x:c r="C118" s="29" t="str">
        <x:v>bakersfield:telefon-tasima</x:v>
      </x:c>
      <x:c r="D118" s="29" t="str">
        <x:v>Telefon numarası taşıma</x:v>
      </x:c>
      <x:c r="E118" s="29" t="str">
        <x:v>https://www.fcc.gov/consumers/guides/porting-keeping-your-phone-number-when-you-change-providers</x:v>
      </x:c>
      <x:c r="F118" s="31" t="d">
        <x:v>2026-10-24T00:00:00.000Z</x:v>
      </x:c>
      <x:c r="G118" s="35" t="n">
        <x:v>0</x:v>
      </x:c>
    </x:row>
    <x:row r="119" ht="54" customHeight="1">
      <x:c r="A119" s="29" t="str">
        <x:v>bakersfield:action:lifeline-1</x:v>
      </x:c>
      <x:c r="B119" s="29" t="str">
        <x:v>bakersfield</x:v>
      </x:c>
      <x:c r="C119" s="29" t="str">
        <x:v>bakersfield:lifeline</x:v>
      </x:c>
      <x:c r="D119" s="29" t="str">
        <x:v>California LifeLine</x:v>
      </x:c>
      <x:c r="E119" s="29" t="str">
        <x:v>https://www.cpuc.ca.gov/consumer-support/financial-assistance-savings-and-discounts/lifeline</x:v>
      </x:c>
      <x:c r="F119" s="31" t="d">
        <x:v>2026-10-24T00:00:00.000Z</x:v>
      </x:c>
      <x:c r="G119" s="35" t="n">
        <x:v>0</x:v>
      </x:c>
    </x:row>
    <x:row r="120" ht="54" customHeight="1">
      <x:c r="A120" s="29" t="str">
        <x:v>bakersfield:action:lifeline-2</x:v>
      </x:c>
      <x:c r="B120" s="29" t="str">
        <x:v>bakersfield</x:v>
      </x:c>
      <x:c r="C120" s="29" t="str">
        <x:v>bakersfield:lifeline</x:v>
      </x:c>
      <x:c r="D120" s="29" t="str">
        <x:v>LifeLine 2026–2027 gelir ve hane koşulları</x:v>
      </x:c>
      <x:c r="E120" s="29" t="str">
        <x:v>https://www.cpuc.ca.gov/lifeline</x:v>
      </x:c>
      <x:c r="F120" s="31" t="d">
        <x:v>2026-10-24T00:00:00.000Z</x:v>
      </x:c>
      <x:c r="G120" s="35" t="n">
        <x:v>1</x:v>
      </x:c>
    </x:row>
    <x:row r="121" ht="54" customHeight="1">
      <x:c r="A121" s="29" t="str">
        <x:v>bakersfield:action:otomatik-odeme-1</x:v>
      </x:c>
      <x:c r="B121" s="29" t="str">
        <x:v>bakersfield</x:v>
      </x:c>
      <x:c r="C121" s="29" t="str">
        <x:v>bakersfield:otomatik-odeme</x:v>
      </x:c>
      <x:c r="D121" s="29" t="str">
        <x:v>Enerji aboneliği başlatma ve taşıma</x:v>
      </x:c>
      <x:c r="E121" s="29" t="str">
        <x:v>https://www.pge.com/en/account/service-requests/start-stop-transfer-service.html</x:v>
      </x:c>
      <x:c r="F121" s="31" t="d">
        <x:v>2026-10-24T00:00:00.000Z</x:v>
      </x:c>
      <x:c r="G121" s="35" t="n">
        <x:v>0</x:v>
      </x:c>
    </x:row>
    <x:row r="122" ht="54" customHeight="1">
      <x:c r="A122" s="29" t="str">
        <x:v>bakersfield:action:otomatik-odeme-2</x:v>
      </x:c>
      <x:c r="B122" s="29" t="str">
        <x:v>bakersfield</x:v>
      </x:c>
      <x:c r="C122" s="29" t="str">
        <x:v>bakersfield:otomatik-odeme</x:v>
      </x:c>
      <x:c r="D122" s="29" t="str">
        <x:v>Su aboneliği başlatma ve kapatma</x:v>
      </x:c>
      <x:c r="E122" s="29" t="str">
        <x:v>https://www.calwater.com/start-stop/</x:v>
      </x:c>
      <x:c r="F122" s="31" t="d">
        <x:v>2026-10-24T00:00:00.000Z</x:v>
      </x:c>
      <x:c r="G122" s="35" t="n">
        <x:v>1</x:v>
      </x:c>
    </x:row>
    <x:row r="123" ht="54" customHeight="1">
      <x:c r="A123" s="29" t="str">
        <x:v>bakersfield:action:fatura-itirazi-1</x:v>
      </x:c>
      <x:c r="B123" s="29" t="str">
        <x:v>bakersfield</x:v>
      </x:c>
      <x:c r="C123" s="29" t="str">
        <x:v>bakersfield:fatura-itirazi</x:v>
      </x:c>
      <x:c r="D123" s="29" t="str">
        <x:v>Kamu hizmeti şikâyetleri</x:v>
      </x:c>
      <x:c r="E123" s="29" t="str">
        <x:v>https://www.cpuc.ca.gov/consumer-support/file-a-complaint</x:v>
      </x:c>
      <x:c r="F123" s="31" t="d">
        <x:v>2026-10-24T00:00:00.000Z</x:v>
      </x:c>
      <x:c r="G123" s="35" t="n">
        <x:v>0</x:v>
      </x:c>
    </x:row>
    <x:row r="124" ht="54" customHeight="1">
      <x:c r="A124" s="29" t="str">
        <x:v>bakersfield:action:zorunlu-internet-1</x:v>
      </x:c>
      <x:c r="B124" s="29" t="str">
        <x:v>bakersfield</x:v>
      </x:c>
      <x:c r="C124" s="29" t="str">
        <x:v>bakersfield:zorunlu-internet</x:v>
      </x:c>
      <x:c r="D124" s="29" t="str">
        <x:v>Kaliforniya kiracı rehberi</x:v>
      </x:c>
      <x:c r="E124" s="29" t="str">
        <x:v>https://www.dre.ca.gov/publications/ResourceGuidebook/2026_Landlord_Tenant_Guide.pdf</x:v>
      </x:c>
      <x:c r="F124" s="31" t="d">
        <x:v>2026-10-24T00:00:00.000Z</x:v>
      </x:c>
      <x:c r="G124" s="35" t="n">
        <x:v>0</x:v>
      </x:c>
    </x:row>
    <x:row r="125" ht="54" customHeight="1">
      <x:c r="A125" s="29" t="str">
        <x:v>bakersfield:action:zorunlu-internet-2</x:v>
      </x:c>
      <x:c r="B125" s="29" t="str">
        <x:v>bakersfield</x:v>
      </x:c>
      <x:c r="C125" s="29" t="str">
        <x:v>bakersfield:zorunlu-internet</x:v>
      </x:c>
      <x:c r="D125" s="29" t="str">
        <x:v>Civil Code 1942.8 internet aboneliğinden çıkma</x:v>
      </x:c>
      <x:c r="E125" s="29" t="str">
        <x:v>https://leginfo.legislature.ca.gov/faces/codes_displaySection.xhtml?sectionNum=1942.8.&amp;lawCode=CIV</x:v>
      </x:c>
      <x:c r="F125" s="31" t="d">
        <x:v>2026-10-24T00:00:00.000Z</x:v>
      </x:c>
      <x:c r="G125" s="35" t="n">
        <x:v>1</x:v>
      </x:c>
    </x:row>
    <x:row r="126" ht="54" customHeight="1">
      <x:c r="A126" s="29" t="str">
        <x:v>bakersfield:action:banka-hesabi-1</x:v>
      </x:c>
      <x:c r="B126" s="29" t="str">
        <x:v>bakersfield</x:v>
      </x:c>
      <x:c r="C126" s="29" t="str">
        <x:v>bakersfield:banka-hesabi</x:v>
      </x:c>
      <x:c r="D126" s="29" t="str">
        <x:v>Banka hesabı açma</x:v>
      </x:c>
      <x:c r="E126" s="29" t="str">
        <x:v>https://www.consumerfinance.gov/consumer-tools/bank-accounts/</x:v>
      </x:c>
      <x:c r="F126" s="31" t="d">
        <x:v>2026-10-24T00:00:00.000Z</x:v>
      </x:c>
      <x:c r="G126" s="35" t="n">
        <x:v>0</x:v>
      </x:c>
    </x:row>
    <x:row r="127" ht="54" customHeight="1">
      <x:c r="A127" s="29" t="str">
        <x:v>bakersfield:action:banka-kartlari-1</x:v>
      </x:c>
      <x:c r="B127" s="29" t="str">
        <x:v>bakersfield</x:v>
      </x:c>
      <x:c r="C127" s="29" t="str">
        <x:v>bakersfield:banka-kartlari</x:v>
      </x:c>
      <x:c r="D127" s="29" t="str">
        <x:v>Banka hesabı açma</x:v>
      </x:c>
      <x:c r="E127" s="29" t="str">
        <x:v>https://www.consumerfinance.gov/consumer-tools/bank-accounts/</x:v>
      </x:c>
      <x:c r="F127" s="31" t="d">
        <x:v>2026-10-24T00:00:00.000Z</x:v>
      </x:c>
      <x:c r="G127" s="35" t="n">
        <x:v>0</x:v>
      </x:c>
    </x:row>
    <x:row r="128" ht="54" customHeight="1">
      <x:c r="A128" s="29" t="str">
        <x:v>bakersfield:action:banka-kartlari-2</x:v>
      </x:c>
      <x:c r="B128" s="29" t="str">
        <x:v>bakersfield</x:v>
      </x:c>
      <x:c r="C128" s="29" t="str">
        <x:v>bakersfield:banka-kartlari</x:v>
      </x:c>
      <x:c r="D128" s="29" t="str">
        <x:v>Kredi raporları ve puanlar</x:v>
      </x:c>
      <x:c r="E128" s="29" t="str">
        <x:v>https://www.consumerfinance.gov/consumer-tools/credit-reports-and-scores/</x:v>
      </x:c>
      <x:c r="F128" s="31" t="d">
        <x:v>2026-10-24T00:00:00.000Z</x:v>
      </x:c>
      <x:c r="G128" s="35" t="n">
        <x:v>1</x:v>
      </x:c>
    </x:row>
    <x:row r="129" ht="54" customHeight="1">
      <x:c r="A129" s="29" t="str">
        <x:v>bakersfield:action:mevduat-sigortasi-1</x:v>
      </x:c>
      <x:c r="B129" s="29" t="str">
        <x:v>bakersfield</x:v>
      </x:c>
      <x:c r="C129" s="29" t="str">
        <x:v>bakersfield:mevduat-sigortasi</x:v>
      </x:c>
      <x:c r="D129" s="29" t="str">
        <x:v>Mevduat sigortası kapsamı</x:v>
      </x:c>
      <x:c r="E129" s="29" t="str">
        <x:v>https://www.fdic.gov/resources/deposit-insurance/understanding-deposit-insurance</x:v>
      </x:c>
      <x:c r="F129" s="31" t="d">
        <x:v>2026-10-24T00:00:00.000Z</x:v>
      </x:c>
      <x:c r="G129" s="35" t="n">
        <x:v>0</x:v>
      </x:c>
    </x:row>
    <x:row r="130" ht="54" customHeight="1">
      <x:c r="A130" s="29" t="str">
        <x:v>bakersfield:action:ilk-kredi-1</x:v>
      </x:c>
      <x:c r="B130" s="29" t="str">
        <x:v>bakersfield</x:v>
      </x:c>
      <x:c r="C130" s="29" t="str">
        <x:v>bakersfield:ilk-kredi</x:v>
      </x:c>
      <x:c r="D130" s="29" t="str">
        <x:v>Kredi raporları ve puanlar</x:v>
      </x:c>
      <x:c r="E130" s="29" t="str">
        <x:v>https://www.consumerfinance.gov/consumer-tools/credit-reports-and-scores/</x:v>
      </x:c>
      <x:c r="F130" s="31" t="d">
        <x:v>2026-10-24T00:00:00.000Z</x:v>
      </x:c>
      <x:c r="G130" s="35" t="n">
        <x:v>0</x:v>
      </x:c>
    </x:row>
    <x:row r="131" ht="54" customHeight="1">
      <x:c r="A131" s="29" t="str">
        <x:v>bakersfield:action:ilk-kredi-2</x:v>
      </x:c>
      <x:c r="B131" s="29" t="str">
        <x:v>bakersfield</x:v>
      </x:c>
      <x:c r="C131" s="29" t="str">
        <x:v>bakersfield:ilk-kredi</x:v>
      </x:c>
      <x:c r="D131" s="29" t="str">
        <x:v>Kredi kartı karşılaştırma: APR</x:v>
      </x:c>
      <x:c r="E131" s="29" t="str">
        <x:v>https://files.consumerfinance.gov/f/documents/cfpb_adult-fin-ed_how-to-find-the-best-credit-card.pdf</x:v>
      </x:c>
      <x:c r="F131" s="31" t="d">
        <x:v>2026-10-24T00:00:00.000Z</x:v>
      </x:c>
      <x:c r="G131" s="35" t="n">
        <x:v>1</x:v>
      </x:c>
    </x:row>
    <x:row r="132" ht="54" customHeight="1">
      <x:c r="A132" s="29" t="str">
        <x:v>bakersfield:action:kredi-raporu-1</x:v>
      </x:c>
      <x:c r="B132" s="29" t="str">
        <x:v>bakersfield</x:v>
      </x:c>
      <x:c r="C132" s="29" t="str">
        <x:v>bakersfield:kredi-raporu</x:v>
      </x:c>
      <x:c r="D132" s="29" t="str">
        <x:v>Checking your credit report</x:v>
      </x:c>
      <x:c r="E132" s="29" t="str">
        <x:v>https://consumer.gov/credit/checking-your-credit-report</x:v>
      </x:c>
      <x:c r="F132" s="31" t="d">
        <x:v>2026-10-24T00:00:00.000Z</x:v>
      </x:c>
      <x:c r="G132" s="35" t="n">
        <x:v>0</x:v>
      </x:c>
    </x:row>
    <x:row r="133" ht="54" customHeight="1">
      <x:c r="A133" s="29" t="str">
        <x:v>bakersfield:action:kredi-raporu-2</x:v>
      </x:c>
      <x:c r="B133" s="29" t="str">
        <x:v>bakersfield</x:v>
      </x:c>
      <x:c r="C133" s="29" t="str">
        <x:v>bakersfield:kredi-raporu</x:v>
      </x:c>
      <x:c r="D133" s="29" t="str">
        <x:v>Kredi raporları ve puanlar</x:v>
      </x:c>
      <x:c r="E133" s="29" t="str">
        <x:v>https://www.consumerfinance.gov/consumer-tools/credit-reports-and-scores/</x:v>
      </x:c>
      <x:c r="F133" s="31" t="d">
        <x:v>2026-10-24T00:00:00.000Z</x:v>
      </x:c>
      <x:c r="G133" s="35" t="n">
        <x:v>1</x:v>
      </x:c>
    </x:row>
    <x:row r="134" ht="54" customHeight="1">
      <x:c r="A134" s="29" t="str">
        <x:v>bakersfield:action:kredi-dondurma-1</x:v>
      </x:c>
      <x:c r="B134" s="29" t="str">
        <x:v>bakersfield</x:v>
      </x:c>
      <x:c r="C134" s="29" t="str">
        <x:v>bakersfield:kredi-dondurma</x:v>
      </x:c>
      <x:c r="D134" s="29" t="str">
        <x:v>Security freezes and timing</x:v>
      </x:c>
      <x:c r="E134" s="29" t="str">
        <x:v>https://www.consumerfinance.gov/ask-cfpb/what-is-a-credit-freeze-or-security-freeze-on-my-credit-report-en-1341/</x:v>
      </x:c>
      <x:c r="F134" s="31" t="d">
        <x:v>2026-10-24T00:00:00.000Z</x:v>
      </x:c>
      <x:c r="G134" s="35" t="n">
        <x:v>0</x:v>
      </x:c>
    </x:row>
    <x:row r="135" ht="54" customHeight="1">
      <x:c r="A135" s="29" t="str">
        <x:v>bakersfield:action:overdraft-1</x:v>
      </x:c>
      <x:c r="B135" s="29" t="str">
        <x:v>bakersfield</x:v>
      </x:c>
      <x:c r="C135" s="29" t="str">
        <x:v>bakersfield:overdraft</x:v>
      </x:c>
      <x:c r="D135" s="29" t="str">
        <x:v>Banka hesabı açma</x:v>
      </x:c>
      <x:c r="E135" s="29" t="str">
        <x:v>https://www.consumerfinance.gov/consumer-tools/bank-accounts/</x:v>
      </x:c>
      <x:c r="F135" s="31" t="d">
        <x:v>2026-10-24T00:00:00.000Z</x:v>
      </x:c>
      <x:c r="G135" s="35" t="n">
        <x:v>0</x:v>
      </x:c>
    </x:row>
    <x:row r="136" ht="54" customHeight="1">
      <x:c r="A136" s="29" t="str">
        <x:v>bakersfield:action:overdraft-2</x:v>
      </x:c>
      <x:c r="B136" s="29" t="str">
        <x:v>bakersfield</x:v>
      </x:c>
      <x:c r="C136" s="29" t="str">
        <x:v>bakersfield:overdraft</x:v>
      </x:c>
      <x:c r="D136" s="29" t="str">
        <x:v>Overdraft tanımı</x:v>
      </x:c>
      <x:c r="E136" s="29" t="str">
        <x:v>https://www.consumerfinance.gov/ask-cfpb/what-is-an-overdraft-en-1035/</x:v>
      </x:c>
      <x:c r="F136" s="31" t="d">
        <x:v>2026-10-24T00:00:00.000Z</x:v>
      </x:c>
      <x:c r="G136" s="35" t="n">
        <x:v>1</x:v>
      </x:c>
    </x:row>
    <x:row r="137" ht="54" customHeight="1">
      <x:c r="A137" s="29" t="str">
        <x:v>bakersfield:action:para-transferi-1</x:v>
      </x:c>
      <x:c r="B137" s="29" t="str">
        <x:v>bakersfield</x:v>
      </x:c>
      <x:c r="C137" s="29" t="str">
        <x:v>bakersfield:para-transferi</x:v>
      </x:c>
      <x:c r="D137" s="29" t="str">
        <x:v>Uluslararası para transferleri</x:v>
      </x:c>
      <x:c r="E137" s="29" t="str">
        <x:v>https://www.consumerfinance.gov/consumer-tools/sending-money/</x:v>
      </x:c>
      <x:c r="F137" s="31" t="d">
        <x:v>2026-10-24T00:00:00.000Z</x:v>
      </x:c>
      <x:c r="G137" s="35" t="n">
        <x:v>0</x:v>
      </x:c>
    </x:row>
    <x:row r="138" ht="54" customHeight="1">
      <x:c r="A138" s="29" t="str">
        <x:v>bakersfield:action:para-transferi-2</x:v>
      </x:c>
      <x:c r="B138" s="29" t="str">
        <x:v>bakersfield</x:v>
      </x:c>
      <x:c r="C138" s="29" t="str">
        <x:v>bakersfield:para-transferi</x:v>
      </x:c>
      <x:c r="D138" s="29" t="str">
        <x:v>Para transferi, iptal ve hata bildirim hakları</x:v>
      </x:c>
      <x:c r="E138" s="29" t="str">
        <x:v>https://www.consumerfinance.gov/ask-cfpb/what-is-a-remittance-transfer-and-what-are-my-rights-en-1161/</x:v>
      </x:c>
      <x:c r="F138" s="31" t="d">
        <x:v>2026-10-24T00:00:00.000Z</x:v>
      </x:c>
      <x:c r="G138" s="35" t="n">
        <x:v>1</x:v>
      </x:c>
    </x:row>
    <x:row r="139" ht="54" customHeight="1">
      <x:c r="A139" s="29" t="str">
        <x:v>bakersfield:action:vergi-mukimligi-1</x:v>
      </x:c>
      <x:c r="B139" s="29" t="str">
        <x:v>bakersfield</x:v>
      </x:c>
      <x:c r="C139" s="29" t="str">
        <x:v>bakersfield:vergi-mukimligi</x:v>
      </x:c>
      <x:c r="D139" s="29" t="str">
        <x:v>Vergi mukimliği</x:v>
      </x:c>
      <x:c r="E139" s="29" t="str">
        <x:v>https://www.irs.gov/individuals/international-taxpayers/determining-an-individuals-tax-residency-status</x:v>
      </x:c>
      <x:c r="F139" s="31" t="d">
        <x:v>2026-10-24T00:00:00.000Z</x:v>
      </x:c>
      <x:c r="G139" s="35" t="n">
        <x:v>0</x:v>
      </x:c>
    </x:row>
    <x:row r="140" ht="54" customHeight="1">
      <x:c r="A140" s="29" t="str">
        <x:v>bakersfield:action:vergi-mukimligi-2</x:v>
      </x:c>
      <x:c r="B140" s="29" t="str">
        <x:v>bakersfield</x:v>
      </x:c>
      <x:c r="C140" s="29" t="str">
        <x:v>bakersfield:vergi-mukimligi</x:v>
      </x:c>
      <x:c r="D140" s="29" t="str">
        <x:v>Yeni ve ayrılan Kaliforniya sakinleri</x:v>
      </x:c>
      <x:c r="E140" s="29" t="str">
        <x:v>https://www.ftb.ca.gov/file/personal/residency-status/part-year-and-nonresident.html</x:v>
      </x:c>
      <x:c r="F140" s="31" t="d">
        <x:v>2026-10-24T00:00:00.000Z</x:v>
      </x:c>
      <x:c r="G140" s="35" t="n">
        <x:v>1</x:v>
      </x:c>
    </x:row>
    <x:row r="141" ht="54" customHeight="1">
      <x:c r="A141" s="29" t="str">
        <x:v>bakersfield:action:federal-vergi-1</x:v>
      </x:c>
      <x:c r="B141" s="29" t="str">
        <x:v>bakersfield</x:v>
      </x:c>
      <x:c r="C141" s="29" t="str">
        <x:v>bakersfield:federal-vergi</x:v>
      </x:c>
      <x:c r="D141" s="29" t="str">
        <x:v>Vergi mukimliği</x:v>
      </x:c>
      <x:c r="E141" s="29" t="str">
        <x:v>https://www.irs.gov/individuals/international-taxpayers/determining-an-individuals-tax-residency-status</x:v>
      </x:c>
      <x:c r="F141" s="31" t="d">
        <x:v>2026-10-24T00:00:00.000Z</x:v>
      </x:c>
      <x:c r="G141" s="35" t="n">
        <x:v>0</x:v>
      </x:c>
    </x:row>
    <x:row r="142" ht="54" customHeight="1">
      <x:c r="A142" s="29" t="str">
        <x:v>bakersfield:action:federal-vergi-2</x:v>
      </x:c>
      <x:c r="B142" s="29" t="str">
        <x:v>bakersfield</x:v>
      </x:c>
      <x:c r="C142" s="29" t="str">
        <x:v>bakersfield:federal-vergi</x:v>
      </x:c>
      <x:c r="D142" s="29" t="str">
        <x:v>Serbest çalışanlar için vergi merkezi</x:v>
      </x:c>
      <x:c r="E142" s="29" t="str">
        <x:v>https://www.irs.gov/businesses/small-businesses-self-employed/self-employed-individuals-tax-center</x:v>
      </x:c>
      <x:c r="F142" s="31" t="d">
        <x:v>2026-10-24T00:00:00.000Z</x:v>
      </x:c>
      <x:c r="G142" s="35" t="n">
        <x:v>1</x:v>
      </x:c>
    </x:row>
    <x:row r="143" ht="54" customHeight="1">
      <x:c r="A143" s="29" t="str">
        <x:v>bakersfield:action:california-vergi-1</x:v>
      </x:c>
      <x:c r="B143" s="29" t="str">
        <x:v>bakersfield</x:v>
      </x:c>
      <x:c r="C143" s="29" t="str">
        <x:v>bakersfield:california-vergi</x:v>
      </x:c>
      <x:c r="D143" s="29" t="str">
        <x:v>Yeni ve ayrılan Kaliforniya sakinleri</x:v>
      </x:c>
      <x:c r="E143" s="29" t="str">
        <x:v>https://www.ftb.ca.gov/file/personal/residency-status/part-year-and-nonresident.html</x:v>
      </x:c>
      <x:c r="F143" s="31" t="d">
        <x:v>2026-10-24T00:00:00.000Z</x:v>
      </x:c>
      <x:c r="G143" s="35" t="n">
        <x:v>0</x:v>
      </x:c>
    </x:row>
    <x:row r="144" ht="54" customHeight="1">
      <x:c r="A144" s="29" t="str">
        <x:v>bakersfield:action:w4-stopaj-1</x:v>
      </x:c>
      <x:c r="B144" s="29" t="str">
        <x:v>bakersfield</x:v>
      </x:c>
      <x:c r="C144" s="29" t="str">
        <x:v>bakersfield:w4-stopaj</x:v>
      </x:c>
      <x:c r="D144" s="29" t="str">
        <x:v>W-4 ve ücret stopajı</x:v>
      </x:c>
      <x:c r="E144" s="29" t="str">
        <x:v>https://www.irs.gov/forms-pubs/about-form-w-4</x:v>
      </x:c>
      <x:c r="F144" s="31" t="d">
        <x:v>2026-10-24T00:00:00.000Z</x:v>
      </x:c>
      <x:c r="G144" s="35" t="n">
        <x:v>0</x:v>
      </x:c>
    </x:row>
    <x:row r="145" ht="54" customHeight="1">
      <x:c r="A145" s="29" t="str">
        <x:v>bakersfield:action:serbest-calisma-vergi-1</x:v>
      </x:c>
      <x:c r="B145" s="29" t="str">
        <x:v>bakersfield</x:v>
      </x:c>
      <x:c r="C145" s="29" t="str">
        <x:v>bakersfield:serbest-calisma-vergi</x:v>
      </x:c>
      <x:c r="D145" s="29" t="str">
        <x:v>Serbest çalışanlar için vergi merkezi</x:v>
      </x:c>
      <x:c r="E145" s="29" t="str">
        <x:v>https://www.irs.gov/businesses/small-businesses-self-employed/self-employed-individuals-tax-center</x:v>
      </x:c>
      <x:c r="F145" s="31" t="d">
        <x:v>2026-10-24T00:00:00.000Z</x:v>
      </x:c>
      <x:c r="G145" s="35" t="n">
        <x:v>0</x:v>
      </x:c>
    </x:row>
    <x:row r="146" ht="54" customHeight="1">
      <x:c r="A146" s="29" t="str">
        <x:v>bakersfield:action:serbest-calisma-vergi-2</x:v>
      </x:c>
      <x:c r="B146" s="29" t="str">
        <x:v>bakersfield</x:v>
      </x:c>
      <x:c r="C146" s="29" t="str">
        <x:v>bakersfield:serbest-calisma-vergi</x:v>
      </x:c>
      <x:c r="D146" s="29" t="str">
        <x:v>ABD'de çalışma yetkisi</x:v>
      </x:c>
      <x:c r="E146" s="29" t="str">
        <x:v>https://www.uscis.gov/working-in-the-united-states</x:v>
      </x:c>
      <x:c r="F146" s="31" t="d">
        <x:v>2026-10-24T00:00:00.000Z</x:v>
      </x:c>
      <x:c r="G146" s="35" t="n">
        <x:v>1</x:v>
      </x:c>
    </x:row>
    <x:row r="147" ht="54" customHeight="1">
      <x:c r="A147" s="29" t="str">
        <x:v>bakersfield:action:yabanci-hesap-1</x:v>
      </x:c>
      <x:c r="B147" s="29" t="str">
        <x:v>bakersfield</x:v>
      </x:c>
      <x:c r="C147" s="29" t="str">
        <x:v>bakersfield:yabanci-hesap</x:v>
      </x:c>
      <x:c r="D147" s="29" t="str">
        <x:v>Yurtdışı gelir ve hesap bildirimleri</x:v>
      </x:c>
      <x:c r="E147" s="29" t="str">
        <x:v>https://www.irs.gov/individuals/international-taxpayers/us-citizens-and-resident-aliens-abroad</x:v>
      </x:c>
      <x:c r="F147" s="31" t="d">
        <x:v>2026-10-24T00:00:00.000Z</x:v>
      </x:c>
      <x:c r="G147" s="35" t="n">
        <x:v>0</x:v>
      </x:c>
    </x:row>
    <x:row r="148" ht="54" customHeight="1">
      <x:c r="A148" s="29" t="str">
        <x:v>bakersfield:action:yabanci-hesap-2</x:v>
      </x:c>
      <x:c r="B148" s="29" t="str">
        <x:v>bakersfield</x:v>
      </x:c>
      <x:c r="C148" s="29" t="str">
        <x:v>bakersfield:yabanci-hesap</x:v>
      </x:c>
      <x:c r="D148" s="29" t="str">
        <x:v>Vergi mukimliği</x:v>
      </x:c>
      <x:c r="E148" s="29" t="str">
        <x:v>https://www.irs.gov/individuals/international-taxpayers/determining-an-individuals-tax-residency-status</x:v>
      </x:c>
      <x:c r="F148" s="31" t="d">
        <x:v>2026-10-24T00:00:00.000Z</x:v>
      </x:c>
      <x:c r="G148" s="35" t="n">
        <x:v>1</x:v>
      </x:c>
    </x:row>
    <x:row r="149" ht="54" customHeight="1">
      <x:c r="A149" s="29" t="str">
        <x:v>bakersfield:action:yabanci-hesap-3</x:v>
      </x:c>
      <x:c r="B149" s="29" t="str">
        <x:v>bakersfield</x:v>
      </x:c>
      <x:c r="C149" s="29" t="str">
        <x:v>bakersfield:yabanci-hesap</x:v>
      </x:c>
      <x:c r="D149" s="29" t="str">
        <x:v>FBAR kapsamı ve bildirim takvimi</x:v>
      </x:c>
      <x:c r="E149" s="29" t="str">
        <x:v>https://www.irs.gov/businesses/small-businesses-self-employed/report-of-foreign-bank-and-financial-accounts-fbar</x:v>
      </x:c>
      <x:c r="F149" s="31" t="d">
        <x:v>2026-10-24T00:00:00.000Z</x:v>
      </x:c>
      <x:c r="G149" s="35" t="n">
        <x:v>2</x:v>
      </x:c>
    </x:row>
    <x:row r="150" ht="54" customHeight="1">
      <x:c r="A150" s="29" t="str">
        <x:v>bakersfield:action:vergi-anlasmasi-1</x:v>
      </x:c>
      <x:c r="B150" s="29" t="str">
        <x:v>bakersfield</x:v>
      </x:c>
      <x:c r="C150" s="29" t="str">
        <x:v>bakersfield:vergi-anlasmasi</x:v>
      </x:c>
      <x:c r="D150" s="29" t="str">
        <x:v>Türkiye vergi anlaşması belgeleri</x:v>
      </x:c>
      <x:c r="E150" s="29" t="str">
        <x:v>https://www.irs.gov/businesses/international-businesses/turkey-tax-treaty-documents</x:v>
      </x:c>
      <x:c r="F150" s="31" t="d">
        <x:v>2026-10-24T00:00:00.000Z</x:v>
      </x:c>
      <x:c r="G150" s="35" t="n">
        <x:v>0</x:v>
      </x:c>
    </x:row>
    <x:row r="151" ht="54" customHeight="1">
      <x:c r="A151" s="29" t="str">
        <x:v>bakersfield:action:vergi-anlasmasi-2</x:v>
      </x:c>
      <x:c r="B151" s="29" t="str">
        <x:v>bakersfield</x:v>
      </x:c>
      <x:c r="C151" s="29" t="str">
        <x:v>bakersfield:vergi-anlasmasi</x:v>
      </x:c>
      <x:c r="D151" s="29" t="str">
        <x:v>Vergi mukimliği</x:v>
      </x:c>
      <x:c r="E151" s="29" t="str">
        <x:v>https://www.irs.gov/individuals/international-taxpayers/determining-an-individuals-tax-residency-status</x:v>
      </x:c>
      <x:c r="F151" s="31" t="d">
        <x:v>2026-10-24T00:00:00.000Z</x:v>
      </x:c>
      <x:c r="G151" s="35" t="n">
        <x:v>1</x:v>
      </x:c>
    </x:row>
    <x:row r="152" ht="54" customHeight="1">
      <x:c r="A152" s="29" t="str">
        <x:v>bakersfield:action:satis-vergisi-1</x:v>
      </x:c>
      <x:c r="B152" s="29" t="str">
        <x:v>bakersfield</x:v>
      </x:c>
      <x:c r="C152" s="29" t="str">
        <x:v>bakersfield:satis-vergisi</x:v>
      </x:c>
      <x:c r="D152" s="29" t="str">
        <x:v>Adres bazında satış vergisi</x:v>
      </x:c>
      <x:c r="E152" s="29" t="str">
        <x:v>https://www.cdtfa.ca.gov/taxes-and-fees/sales-use-tax-rates.htm</x:v>
      </x:c>
      <x:c r="F152" s="31" t="d">
        <x:v>2026-10-24T00:00:00.000Z</x:v>
      </x:c>
      <x:c r="G152" s="35" t="n">
        <x:v>0</x:v>
      </x:c>
    </x:row>
    <x:row r="153" ht="54" customHeight="1">
      <x:c r="A153" s="29" t="str">
        <x:v>bakersfield:action:ilk-ay-butcesi-1</x:v>
      </x:c>
      <x:c r="B153" s="29" t="str">
        <x:v>bakersfield</x:v>
      </x:c>
      <x:c r="C153" s="29" t="str">
        <x:v>bakersfield:ilk-ay-butcesi</x:v>
      </x:c>
      <x:c r="D153" s="29" t="str">
        <x:v>Konut arama ve başvuru</x:v>
      </x:c>
      <x:c r="E153" s="29" t="str">
        <x:v>https://www.dre.ca.gov/publications/ResourceGuidebook/gb05_lookingfor.html</x:v>
      </x:c>
      <x:c r="F153" s="31" t="d">
        <x:v>2026-10-24T00:00:00.000Z</x:v>
      </x:c>
      <x:c r="G153" s="35" t="n">
        <x:v>0</x:v>
      </x:c>
    </x:row>
    <x:row r="154" ht="54" customHeight="1">
      <x:c r="A154" s="29" t="str">
        <x:v>bakersfield:action:ilk-ay-butcesi-2</x:v>
      </x:c>
      <x:c r="B154" s="29" t="str">
        <x:v>bakersfield</x:v>
      </x:c>
      <x:c r="C154" s="29" t="str">
        <x:v>bakersfield:ilk-ay-butcesi</x:v>
      </x:c>
      <x:c r="D154" s="29" t="str">
        <x:v>Kira depozitosu</x:v>
      </x:c>
      <x:c r="E154" s="29" t="str">
        <x:v>https://selfhelp.courts.ca.gov/guide-security-deposits-california</x:v>
      </x:c>
      <x:c r="F154" s="31" t="d">
        <x:v>2026-10-24T00:00:00.000Z</x:v>
      </x:c>
      <x:c r="G154" s="35" t="n">
        <x:v>1</x:v>
      </x:c>
    </x:row>
    <x:row r="155" ht="54" customHeight="1">
      <x:c r="A155" s="29" t="str">
        <x:v>bakersfield:action:ilk-ay-butcesi-3</x:v>
      </x:c>
      <x:c r="B155" s="29" t="str">
        <x:v>bakersfield</x:v>
      </x:c>
      <x:c r="C155" s="29" t="str">
        <x:v>bakersfield:ilk-ay-butcesi</x:v>
      </x:c>
      <x:c r="D155" s="29" t="str">
        <x:v>Enerji aboneliği başlatma ve taşıma</x:v>
      </x:c>
      <x:c r="E155" s="29" t="str">
        <x:v>https://www.pge.com/en/account/service-requests/start-stop-transfer-service.html</x:v>
      </x:c>
      <x:c r="F155" s="31" t="d">
        <x:v>2026-10-24T00:00:00.000Z</x:v>
      </x:c>
      <x:c r="G155" s="35" t="n">
        <x:v>2</x:v>
      </x:c>
    </x:row>
    <x:row r="156" ht="54" customHeight="1">
      <x:c r="A156" s="29" t="str">
        <x:v>bakersfield:action:aylik-butce-1</x:v>
      </x:c>
      <x:c r="B156" s="29" t="str">
        <x:v>bakersfield</x:v>
      </x:c>
      <x:c r="C156" s="29" t="str">
        <x:v>bakersfield:aylik-butce</x:v>
      </x:c>
      <x:c r="D156" s="29" t="str">
        <x:v>Banka hesabı açma</x:v>
      </x:c>
      <x:c r="E156" s="29" t="str">
        <x:v>https://www.consumerfinance.gov/consumer-tools/bank-accounts/</x:v>
      </x:c>
      <x:c r="F156" s="31" t="d">
        <x:v>2026-10-24T00:00:00.000Z</x:v>
      </x:c>
      <x:c r="G156" s="35" t="n">
        <x:v>0</x:v>
      </x:c>
    </x:row>
    <x:row r="157" ht="54" customHeight="1">
      <x:c r="A157" s="29" t="str">
        <x:v>bakersfield:action:aylik-butce-2</x:v>
      </x:c>
      <x:c r="B157" s="29" t="str">
        <x:v>bakersfield</x:v>
      </x:c>
      <x:c r="C157" s="29" t="str">
        <x:v>bakersfield:aylik-butce</x:v>
      </x:c>
      <x:c r="D157" s="29" t="str">
        <x:v>Araç sigortası koşulları</x:v>
      </x:c>
      <x:c r="E157" s="29" t="str">
        <x:v>https://www.dmv.ca.gov/portal/vehicle-registration/insurance-requirements/</x:v>
      </x:c>
      <x:c r="F157" s="31" t="d">
        <x:v>2026-10-24T00:00:00.000Z</x:v>
      </x:c>
      <x:c r="G157" s="35" t="n">
        <x:v>1</x:v>
      </x:c>
    </x:row>
    <x:row r="158" ht="54" customHeight="1">
      <x:c r="A158" s="29" t="str">
        <x:v>bakersfield:action:aylik-butce-3</x:v>
      </x:c>
      <x:c r="B158" s="29" t="str">
        <x:v>bakersfield</x:v>
      </x:c>
      <x:c r="C158" s="29" t="str">
        <x:v>bakersfield:aylik-butce</x:v>
      </x:c>
      <x:c r="D158" s="29" t="str">
        <x:v>Konut elektrik tarifeleri</x:v>
      </x:c>
      <x:c r="E158" s="29" t="str">
        <x:v>https://www.pge.com/en/account/rate-plans/find-your-best-rate-plan.html</x:v>
      </x:c>
      <x:c r="F158" s="31" t="d">
        <x:v>2026-10-24T00:00:00.000Z</x:v>
      </x:c>
      <x:c r="G158" s="35" t="n">
        <x:v>2</x:v>
      </x:c>
    </x:row>
    <x:row r="159" ht="54" customHeight="1">
      <x:c r="A159" s="29" t="str">
        <x:v>bakersfield:action:calfresh-basvuru-1</x:v>
      </x:c>
      <x:c r="B159" s="29" t="str">
        <x:v>bakersfield</x:v>
      </x:c>
      <x:c r="C159" s="29" t="str">
        <x:v>bakersfield:calfresh-basvuru</x:v>
      </x:c>
      <x:c r="D159" s="29" t="str">
        <x:v>CalFresh ve 2026 değişiklikleri</x:v>
      </x:c>
      <x:c r="E159" s="29" t="str">
        <x:v>https://www.kcdhs.org/services/apply-for-benefits/calfresh</x:v>
      </x:c>
      <x:c r="F159" s="31" t="d">
        <x:v>2026-10-24T00:00:00.000Z</x:v>
      </x:c>
      <x:c r="G159" s="35" t="n">
        <x:v>0</x:v>
      </x:c>
    </x:row>
    <x:row r="160" ht="54" customHeight="1">
      <x:c r="A160" s="29" t="str">
        <x:v>bakersfield:action:calfresh-basvuru-2</x:v>
      </x:c>
      <x:c r="B160" s="29" t="str">
        <x:v>bakersfield</x:v>
      </x:c>
      <x:c r="C160" s="29" t="str">
        <x:v>bakersfield:calfresh-basvuru</x:v>
      </x:c>
      <x:c r="D160" s="29" t="str">
        <x:v>CalFresh başvuru formu ve başvurmayan hane üyeleri</x:v>
      </x:c>
      <x:c r="E160" s="29" t="str">
        <x:v>https://www.cdss.ca.gov/cdssweb/entres/forms/English/CF285.pdf</x:v>
      </x:c>
      <x:c r="F160" s="31" t="d">
        <x:v>2026-10-24T00:00:00.000Z</x:v>
      </x:c>
      <x:c r="G160" s="35" t="n">
        <x:v>1</x:v>
      </x:c>
    </x:row>
    <x:row r="161" ht="54" customHeight="1">
      <x:c r="A161" s="29" t="str">
        <x:v>bakersfield:action:calfresh-basvuru-3</x:v>
      </x:c>
      <x:c r="B161" s="29" t="str">
        <x:v>bakersfield</x:v>
      </x:c>
      <x:c r="C161" s="29" t="str">
        <x:v>bakersfield:calfresh-basvuru</x:v>
      </x:c>
      <x:c r="D161" s="29" t="str">
        <x:v>2026 CalFresh vatandaş olmayanların uygunluğu</x:v>
      </x:c>
      <x:c r="E161" s="29" t="str">
        <x:v>https://www.kcdhs.org/home/showpublisheddocument/23282/639077027017770000</x:v>
      </x:c>
      <x:c r="F161" s="31" t="d">
        <x:v>2026-10-24T00:00:00.000Z</x:v>
      </x:c>
      <x:c r="G161" s="35" t="n">
        <x:v>2</x:v>
      </x:c>
    </x:row>
    <x:row r="162" ht="54" customHeight="1">
      <x:c r="A162" s="29" t="str">
        <x:v>bakersfield:action:sahipsiz-varlik-1</x:v>
      </x:c>
      <x:c r="B162" s="29" t="str">
        <x:v>bakersfield</x:v>
      </x:c>
      <x:c r="C162" s="29" t="str">
        <x:v>bakersfield:sahipsiz-varlik</x:v>
      </x:c>
      <x:c r="D162" s="29" t="str">
        <x:v>Sahipsiz varlık arama</x:v>
      </x:c>
      <x:c r="E162" s="29" t="str">
        <x:v>https://www.sco.ca.gov/upd_msg.html</x:v>
      </x:c>
      <x:c r="F162" s="31" t="d">
        <x:v>2026-10-24T00:00:00.000Z</x:v>
      </x:c>
      <x:c r="G162" s="35" t="n">
        <x:v>0</x:v>
      </x:c>
    </x:row>
    <x:row r="163" ht="54" customHeight="1">
      <x:c r="A163" s="29" t="str">
        <x:v>bakersfield:action:saglik-plani-1</x:v>
      </x:c>
      <x:c r="B163" s="29" t="str">
        <x:v>bakersfield</x:v>
      </x:c>
      <x:c r="C163" s="29" t="str">
        <x:v>bakersfield:saglik-plani</x:v>
      </x:c>
      <x:c r="D163" s="29" t="str">
        <x:v>Sağlık sigortası planları</x:v>
      </x:c>
      <x:c r="E163" s="29" t="str">
        <x:v>https://www.coveredca.com/</x:v>
      </x:c>
      <x:c r="F163" s="31" t="d">
        <x:v>2026-10-24T00:00:00.000Z</x:v>
      </x:c>
      <x:c r="G163" s="35" t="n">
        <x:v>0</x:v>
      </x:c>
    </x:row>
    <x:row r="164" ht="54" customHeight="1">
      <x:c r="A164" s="29" t="str">
        <x:v>bakersfield:action:saglik-plani-2</x:v>
      </x:c>
      <x:c r="B164" s="29" t="str">
        <x:v>bakersfield</x:v>
      </x:c>
      <x:c r="C164" s="29" t="str">
        <x:v>bakersfield:saglik-plani</x:v>
      </x:c>
      <x:c r="D164" s="29" t="str">
        <x:v>Medi-Cal başvurusu</x:v>
      </x:c>
      <x:c r="E164" s="29" t="str">
        <x:v>https://www.kcdhs.org/services/apply-for-benefits/medi-cal</x:v>
      </x:c>
      <x:c r="F164" s="31" t="d">
        <x:v>2026-10-24T00:00:00.000Z</x:v>
      </x:c>
      <x:c r="G164" s="35" t="n">
        <x:v>1</x:v>
      </x:c>
    </x:row>
    <x:row r="165" ht="54" customHeight="1">
      <x:c r="A165" s="29" t="str">
        <x:v>bakersfield:action:covered-kayit-1</x:v>
      </x:c>
      <x:c r="B165" s="29" t="str">
        <x:v>bakersfield</x:v>
      </x:c>
      <x:c r="C165" s="29" t="str">
        <x:v>bakersfield:covered-kayit</x:v>
      </x:c>
      <x:c r="D165" s="29" t="str">
        <x:v>Özel kayıt dönemi</x:v>
      </x:c>
      <x:c r="E165" s="29" t="str">
        <x:v>https://www.coveredca.com/special-enrollment/</x:v>
      </x:c>
      <x:c r="F165" s="31" t="d">
        <x:v>2026-10-24T00:00:00.000Z</x:v>
      </x:c>
      <x:c r="G165" s="35" t="n">
        <x:v>0</x:v>
      </x:c>
    </x:row>
    <x:row r="166" ht="54" customHeight="1">
      <x:c r="A166" s="29" t="str">
        <x:v>bakersfield:action:medi-cal-2026-1</x:v>
      </x:c>
      <x:c r="B166" s="29" t="str">
        <x:v>bakersfield</x:v>
      </x:c>
      <x:c r="C166" s="29" t="str">
        <x:v>bakersfield:medi-cal-2026</x:v>
      </x:c>
      <x:c r="D166" s="29" t="str">
        <x:v>Medi-Cal değişiklikleri</x:v>
      </x:c>
      <x:c r="E166" s="29" t="str">
        <x:v>https://www.dhcs.ca.gov/medi-cal/updates/medi-cal-changes/</x:v>
      </x:c>
      <x:c r="F166" s="31" t="d">
        <x:v>2026-10-24T00:00:00.000Z</x:v>
      </x:c>
      <x:c r="G166" s="35" t="n">
        <x:v>0</x:v>
      </x:c>
    </x:row>
    <x:row r="167" ht="54" customHeight="1">
      <x:c r="A167" s="29" t="str">
        <x:v>bakersfield:action:medi-cal-2026-2</x:v>
      </x:c>
      <x:c r="B167" s="29" t="str">
        <x:v>bakersfield</x:v>
      </x:c>
      <x:c r="C167" s="29" t="str">
        <x:v>bakersfield:medi-cal-2026</x:v>
      </x:c>
      <x:c r="D167" s="29" t="str">
        <x:v>Medi-Cal başvurusu</x:v>
      </x:c>
      <x:c r="E167" s="29" t="str">
        <x:v>https://www.kcdhs.org/services/apply-for-benefits/medi-cal</x:v>
      </x:c>
      <x:c r="F167" s="31" t="d">
        <x:v>2026-10-24T00:00:00.000Z</x:v>
      </x:c>
      <x:c r="G167" s="35" t="n">
        <x:v>1</x:v>
      </x:c>
    </x:row>
    <x:row r="168" ht="54" customHeight="1">
      <x:c r="A168" s="29" t="str">
        <x:v>bakersfield:action:medi-cal-2026-3</x:v>
      </x:c>
      <x:c r="B168" s="29" t="str">
        <x:v>bakersfield</x:v>
      </x:c>
      <x:c r="C168" s="29" t="str">
        <x:v>bakersfield:medi-cal-2026</x:v>
      </x:c>
      <x:c r="D168" s="29" t="str">
        <x:v>Göçmenlik statüsü ve Medi-Cal takvimi</x:v>
      </x:c>
      <x:c r="E168" s="29" t="str">
        <x:v>https://www.dhcs.ca.gov/immigration-status-and-changes-to-medi-cal-eligibility/</x:v>
      </x:c>
      <x:c r="F168" s="31" t="d">
        <x:v>2026-10-24T00:00:00.000Z</x:v>
      </x:c>
      <x:c r="G168" s="35" t="n">
        <x:v>2</x:v>
      </x:c>
    </x:row>
    <x:row r="169" ht="54" customHeight="1">
      <x:c r="A169" s="29" t="str">
        <x:v>bakersfield:action:medi-cal-yenileme-1</x:v>
      </x:c>
      <x:c r="B169" s="29" t="str">
        <x:v>bakersfield</x:v>
      </x:c>
      <x:c r="C169" s="29" t="str">
        <x:v>bakersfield:medi-cal-yenileme</x:v>
      </x:c>
      <x:c r="D169" s="29" t="str">
        <x:v>Medi-Cal değişiklikleri</x:v>
      </x:c>
      <x:c r="E169" s="29" t="str">
        <x:v>https://www.dhcs.ca.gov/medi-cal/updates/medi-cal-changes/</x:v>
      </x:c>
      <x:c r="F169" s="31" t="d">
        <x:v>2026-10-24T00:00:00.000Z</x:v>
      </x:c>
      <x:c r="G169" s="35" t="n">
        <x:v>0</x:v>
      </x:c>
    </x:row>
    <x:row r="170" ht="54" customHeight="1">
      <x:c r="A170" s="29" t="str">
        <x:v>bakersfield:action:medi-cal-yenileme-2</x:v>
      </x:c>
      <x:c r="B170" s="29" t="str">
        <x:v>bakersfield</x:v>
      </x:c>
      <x:c r="C170" s="29" t="str">
        <x:v>bakersfield:medi-cal-yenileme</x:v>
      </x:c>
      <x:c r="D170" s="29" t="str">
        <x:v>Medi-Cal başvurusu</x:v>
      </x:c>
      <x:c r="E170" s="29" t="str">
        <x:v>https://www.kcdhs.org/services/apply-for-benefits/medi-cal</x:v>
      </x:c>
      <x:c r="F170" s="31" t="d">
        <x:v>2026-10-24T00:00:00.000Z</x:v>
      </x:c>
      <x:c r="G170" s="35" t="n">
        <x:v>1</x:v>
      </x:c>
    </x:row>
    <x:row r="171" ht="54" customHeight="1">
      <x:c r="A171" s="29" t="str">
        <x:v>bakersfield:action:medi-cal-yenileme-3</x:v>
      </x:c>
      <x:c r="B171" s="29" t="str">
        <x:v>bakersfield</x:v>
      </x:c>
      <x:c r="C171" s="29" t="str">
        <x:v>bakersfield:medi-cal-yenileme</x:v>
      </x:c>
      <x:c r="D171" s="29" t="str">
        <x:v>BenefitsCal başvuru portalı</x:v>
      </x:c>
      <x:c r="E171" s="29" t="str">
        <x:v>https://benefitscal.com/</x:v>
      </x:c>
      <x:c r="F171" s="31" t="d">
        <x:v>2026-10-24T00:00:00.000Z</x:v>
      </x:c>
      <x:c r="G171" s="35" t="n">
        <x:v>2</x:v>
      </x:c>
    </x:row>
    <x:row r="172" ht="54" customHeight="1">
      <x:c r="A172" s="29" t="str">
        <x:v>bakersfield:action:medi-cal-sonraki-degisim-1</x:v>
      </x:c>
      <x:c r="B172" s="29" t="str">
        <x:v>bakersfield</x:v>
      </x:c>
      <x:c r="C172" s="29" t="str">
        <x:v>bakersfield:medi-cal-sonraki-degisim</x:v>
      </x:c>
      <x:c r="D172" s="29" t="str">
        <x:v>2027 Fee-for-Service geçişi</x:v>
      </x:c>
      <x:c r="E172" s="29" t="str">
        <x:v>https://www.dhcs.ca.gov/medi-cal/updates/fee-for-service-transition/member-letter/</x:v>
      </x:c>
      <x:c r="F172" s="31" t="d">
        <x:v>2026-10-24T00:00:00.000Z</x:v>
      </x:c>
      <x:c r="G172" s="35" t="n">
        <x:v>0</x:v>
      </x:c>
    </x:row>
    <x:row r="173" ht="54" customHeight="1">
      <x:c r="A173" s="29" t="str">
        <x:v>bakersfield:action:plan-maliyeti-1</x:v>
      </x:c>
      <x:c r="B173" s="29" t="str">
        <x:v>bakersfield</x:v>
      </x:c>
      <x:c r="C173" s="29" t="str">
        <x:v>bakersfield:plan-maliyeti</x:v>
      </x:c>
      <x:c r="D173" s="29" t="str">
        <x:v>Sağlık planı maliyetleri</x:v>
      </x:c>
      <x:c r="E173" s="29" t="str">
        <x:v>https://www.coveredca.com/coverage-basics/coverage-levels</x:v>
      </x:c>
      <x:c r="F173" s="31" t="d">
        <x:v>2026-10-24T00:00:00.000Z</x:v>
      </x:c>
      <x:c r="G173" s="35" t="n">
        <x:v>0</x:v>
      </x:c>
    </x:row>
    <x:row r="174" ht="54" customHeight="1">
      <x:c r="A174" s="29" t="str">
        <x:v>bakersfield:action:hekim-agi-1</x:v>
      </x:c>
      <x:c r="B174" s="29" t="str">
        <x:v>bakersfield</x:v>
      </x:c>
      <x:c r="C174" s="29" t="str">
        <x:v>bakersfield:hekim-agi</x:v>
      </x:c>
      <x:c r="D174" s="29" t="str">
        <x:v>Sağlık hizmeti sağlayıcı ağı</x:v>
      </x:c>
      <x:c r="E174" s="29" t="str">
        <x:v>https://www.insurance.ca.gov/01-consumers/110-health/10-basics/pna.cfm</x:v>
      </x:c>
      <x:c r="F174" s="31" t="d">
        <x:v>2026-10-24T00:00:00.000Z</x:v>
      </x:c>
      <x:c r="G174" s="35" t="n">
        <x:v>0</x:v>
      </x:c>
    </x:row>
    <x:row r="175" ht="54" customHeight="1">
      <x:c r="A175" s="29" t="str">
        <x:v>bakersfield:action:birinci-basamak-1</x:v>
      </x:c>
      <x:c r="B175" s="29" t="str">
        <x:v>bakersfield</x:v>
      </x:c>
      <x:c r="C175" s="29" t="str">
        <x:v>bakersfield:birinci-basamak</x:v>
      </x:c>
      <x:c r="D175" s="29" t="str">
        <x:v>Sağlık hizmeti sağlayıcı ağı</x:v>
      </x:c>
      <x:c r="E175" s="29" t="str">
        <x:v>https://www.insurance.ca.gov/01-consumers/110-health/10-basics/pna.cfm</x:v>
      </x:c>
      <x:c r="F175" s="31" t="d">
        <x:v>2026-10-24T00:00:00.000Z</x:v>
      </x:c>
      <x:c r="G175" s="35" t="n">
        <x:v>0</x:v>
      </x:c>
    </x:row>
    <x:row r="176" ht="54" customHeight="1">
      <x:c r="A176" s="29" t="str">
        <x:v>bakersfield:action:birinci-basamak-2</x:v>
      </x:c>
      <x:c r="B176" s="29" t="str">
        <x:v>bakersfield</x:v>
      </x:c>
      <x:c r="C176" s="29" t="str">
        <x:v>bakersfield:birinci-basamak</x:v>
      </x:c>
      <x:c r="D176" s="29" t="str">
        <x:v>Klinikler ve hizmetler</x:v>
      </x:c>
      <x:c r="E176" s="29" t="str">
        <x:v>https://www.clinicasierravista.org/</x:v>
      </x:c>
      <x:c r="F176" s="31" t="d">
        <x:v>2026-10-24T00:00:00.000Z</x:v>
      </x:c>
      <x:c r="G176" s="35" t="n">
        <x:v>1</x:v>
      </x:c>
    </x:row>
    <x:row r="177" ht="54" customHeight="1">
      <x:c r="A177" s="29" t="str">
        <x:v>bakersfield:action:acil-bakim-1</x:v>
      </x:c>
      <x:c r="B177" s="29" t="str">
        <x:v>bakersfield</x:v>
      </x:c>
      <x:c r="C177" s="29" t="str">
        <x:v>bakersfield:acil-bakim</x:v>
      </x:c>
      <x:c r="D177" s="29" t="str">
        <x:v>911 acil çağrısı</x:v>
      </x:c>
      <x:c r="E177" s="29" t="str">
        <x:v>https://www.911.gov/calling-911/</x:v>
      </x:c>
      <x:c r="F177" s="31" t="d">
        <x:v>2026-10-24T00:00:00.000Z</x:v>
      </x:c>
      <x:c r="G177" s="35" t="n">
        <x:v>0</x:v>
      </x:c>
    </x:row>
    <x:row r="178" ht="54" customHeight="1">
      <x:c r="A178" s="29" t="str">
        <x:v>bakersfield:action:klinik-erisim-1</x:v>
      </x:c>
      <x:c r="B178" s="29" t="str">
        <x:v>bakersfield</x:v>
      </x:c>
      <x:c r="C178" s="29" t="str">
        <x:v>bakersfield:klinik-erisim</x:v>
      </x:c>
      <x:c r="D178" s="29" t="str">
        <x:v>Klinikler ve hizmetler</x:v>
      </x:c>
      <x:c r="E178" s="29" t="str">
        <x:v>https://www.clinicasierravista.org/</x:v>
      </x:c>
      <x:c r="F178" s="31" t="d">
        <x:v>2026-10-24T00:00:00.000Z</x:v>
      </x:c>
      <x:c r="G178" s="35" t="n">
        <x:v>0</x:v>
      </x:c>
    </x:row>
    <x:row r="179" ht="54" customHeight="1">
      <x:c r="A179" s="29" t="str">
        <x:v>bakersfield:action:klinik-erisim-2</x:v>
      </x:c>
      <x:c r="B179" s="29" t="str">
        <x:v>bakersfield</x:v>
      </x:c>
      <x:c r="C179" s="29" t="str">
        <x:v>bakersfield:klinik-erisim</x:v>
      </x:c>
      <x:c r="D179" s="29" t="str">
        <x:v>Sigorta ve indirimli ücret programı</x:v>
      </x:c>
      <x:c r="E179" s="29" t="str">
        <x:v>https://clinicasierravista.org/program/health-insurance-assistance/sliding-fee-scale/</x:v>
      </x:c>
      <x:c r="F179" s="31" t="d">
        <x:v>2026-10-24T00:00:00.000Z</x:v>
      </x:c>
      <x:c r="G179" s="35" t="n">
        <x:v>1</x:v>
      </x:c>
    </x:row>
    <x:row r="180" ht="54" customHeight="1">
      <x:c r="A180" s="29" t="str">
        <x:v>bakersfield:action:sigorta-karti-1</x:v>
      </x:c>
      <x:c r="B180" s="29" t="str">
        <x:v>bakersfield</x:v>
      </x:c>
      <x:c r="C180" s="29" t="str">
        <x:v>bakersfield:sigorta-karti</x:v>
      </x:c>
      <x:c r="D180" s="29" t="str">
        <x:v>Sağlık sigortası planları</x:v>
      </x:c>
      <x:c r="E180" s="29" t="str">
        <x:v>https://www.coveredca.com/</x:v>
      </x:c>
      <x:c r="F180" s="31" t="d">
        <x:v>2026-10-24T00:00:00.000Z</x:v>
      </x:c>
      <x:c r="G180" s="35" t="n">
        <x:v>0</x:v>
      </x:c>
    </x:row>
    <x:row r="181" ht="54" customHeight="1">
      <x:c r="A181" s="29" t="str">
        <x:v>bakersfield:action:sigorta-karti-2</x:v>
      </x:c>
      <x:c r="B181" s="29" t="str">
        <x:v>bakersfield</x:v>
      </x:c>
      <x:c r="C181" s="29" t="str">
        <x:v>bakersfield:sigorta-karti</x:v>
      </x:c>
      <x:c r="D181" s="29" t="str">
        <x:v>Üye hizmetleri</x:v>
      </x:c>
      <x:c r="E181" s="29" t="str">
        <x:v>https://www.kernfamilyhealthcare.com/members/</x:v>
      </x:c>
      <x:c r="F181" s="31" t="d">
        <x:v>2026-10-24T00:00:00.000Z</x:v>
      </x:c>
      <x:c r="G181" s="35" t="n">
        <x:v>1</x:v>
      </x:c>
    </x:row>
    <x:row r="182" ht="54" customHeight="1">
      <x:c r="A182" s="29" t="str">
        <x:v>bakersfield:action:ilac-devami-1</x:v>
      </x:c>
      <x:c r="B182" s="29" t="str">
        <x:v>bakersfield</x:v>
      </x:c>
      <x:c r="C182" s="29" t="str">
        <x:v>bakersfield:ilac-devami</x:v>
      </x:c>
      <x:c r="D182" s="29" t="str">
        <x:v>Eczane ve ruhsat arama</x:v>
      </x:c>
      <x:c r="E182" s="29" t="str">
        <x:v>https://www.pharmacy.ca.gov/about/verify_lic.shtml</x:v>
      </x:c>
      <x:c r="F182" s="31" t="d">
        <x:v>2026-10-24T00:00:00.000Z</x:v>
      </x:c>
      <x:c r="G182" s="35" t="n">
        <x:v>0</x:v>
      </x:c>
    </x:row>
    <x:row r="183" ht="54" customHeight="1">
      <x:c r="A183" s="29" t="str">
        <x:v>bakersfield:action:ilac-devami-2</x:v>
      </x:c>
      <x:c r="B183" s="29" t="str">
        <x:v>bakersfield</x:v>
      </x:c>
      <x:c r="C183" s="29" t="str">
        <x:v>bakersfield:ilac-devami</x:v>
      </x:c>
      <x:c r="D183" s="29" t="str">
        <x:v>Kişisel ilaç getirme</x:v>
      </x:c>
      <x:c r="E183" s="29" t="str">
        <x:v>https://www.fda.gov/industry/import-basics/personal-importation</x:v>
      </x:c>
      <x:c r="F183" s="31" t="d">
        <x:v>2026-10-24T00:00:00.000Z</x:v>
      </x:c>
      <x:c r="G183" s="35" t="n">
        <x:v>1</x:v>
      </x:c>
    </x:row>
    <x:row r="184" ht="54" customHeight="1">
      <x:c r="A184" s="29" t="str">
        <x:v>bakersfield:action:eczane-secimi-1</x:v>
      </x:c>
      <x:c r="B184" s="29" t="str">
        <x:v>bakersfield</x:v>
      </x:c>
      <x:c r="C184" s="29" t="str">
        <x:v>bakersfield:eczane-secimi</x:v>
      </x:c>
      <x:c r="D184" s="29" t="str">
        <x:v>Eczane ve ruhsat arama</x:v>
      </x:c>
      <x:c r="E184" s="29" t="str">
        <x:v>https://www.pharmacy.ca.gov/about/verify_lic.shtml</x:v>
      </x:c>
      <x:c r="F184" s="31" t="d">
        <x:v>2026-10-24T00:00:00.000Z</x:v>
      </x:c>
      <x:c r="G184" s="35" t="n">
        <x:v>0</x:v>
      </x:c>
    </x:row>
    <x:row r="185" ht="54" customHeight="1">
      <x:c r="A185" s="29" t="str">
        <x:v>bakersfield:action:eczane-secimi-2</x:v>
      </x:c>
      <x:c r="B185" s="29" t="str">
        <x:v>bakersfield</x:v>
      </x:c>
      <x:c r="C185" s="29" t="str">
        <x:v>bakersfield:eczane-secimi</x:v>
      </x:c>
      <x:c r="D185" s="29" t="str">
        <x:v>Sağlık hizmeti sağlayıcı ağı</x:v>
      </x:c>
      <x:c r="E185" s="29" t="str">
        <x:v>https://www.insurance.ca.gov/01-consumers/110-health/10-basics/pna.cfm</x:v>
      </x:c>
      <x:c r="F185" s="31" t="d">
        <x:v>2026-10-24T00:00:00.000Z</x:v>
      </x:c>
      <x:c r="G185" s="35" t="n">
        <x:v>1</x:v>
      </x:c>
    </x:row>
    <x:row r="186" ht="54" customHeight="1">
      <x:c r="A186" s="29" t="str">
        <x:v>bakersfield:action:yetiskin-asi-1</x:v>
      </x:c>
      <x:c r="B186" s="29" t="str">
        <x:v>bakersfield</x:v>
      </x:c>
      <x:c r="C186" s="29" t="str">
        <x:v>bakersfield:yetiskin-asi</x:v>
      </x:c>
      <x:c r="D186" s="29" t="str">
        <x:v>Yetişkin aşılarını etkileyen koşullar</x:v>
      </x:c>
      <x:c r="E186" s="29" t="str">
        <x:v>https://www.cdc.gov/vaccines-adults/recommended-vaccines/index.html</x:v>
      </x:c>
      <x:c r="F186" s="31" t="d">
        <x:v>2026-10-24T00:00:00.000Z</x:v>
      </x:c>
      <x:c r="G186" s="35" t="n">
        <x:v>0</x:v>
      </x:c>
    </x:row>
    <x:row r="187" ht="54" customHeight="1">
      <x:c r="A187" s="29" t="str">
        <x:v>bakersfield:action:cocuk-saglik-1</x:v>
      </x:c>
      <x:c r="B187" s="29" t="str">
        <x:v>bakersfield</x:v>
      </x:c>
      <x:c r="C187" s="29" t="str">
        <x:v>bakersfield:cocuk-saglik</x:v>
      </x:c>
      <x:c r="D187" s="29" t="str">
        <x:v>Medi-Cal değişiklikleri</x:v>
      </x:c>
      <x:c r="E187" s="29" t="str">
        <x:v>https://www.dhcs.ca.gov/medi-cal/updates/medi-cal-changes/</x:v>
      </x:c>
      <x:c r="F187" s="31" t="d">
        <x:v>2026-10-24T00:00:00.000Z</x:v>
      </x:c>
      <x:c r="G187" s="35" t="n">
        <x:v>0</x:v>
      </x:c>
    </x:row>
    <x:row r="188" ht="54" customHeight="1">
      <x:c r="A188" s="29" t="str">
        <x:v>bakersfield:action:cocuk-saglik-2</x:v>
      </x:c>
      <x:c r="B188" s="29" t="str">
        <x:v>bakersfield</x:v>
      </x:c>
      <x:c r="C188" s="29" t="str">
        <x:v>bakersfield:cocuk-saglik</x:v>
      </x:c>
      <x:c r="D188" s="29" t="str">
        <x:v>Yeni öğrenci kayıt işlemleri</x:v>
      </x:c>
      <x:c r="E188" s="29" t="str">
        <x:v>https://www.bcsd.com/enrollment/new-student-enrollment</x:v>
      </x:c>
      <x:c r="F188" s="31" t="d">
        <x:v>2026-10-24T00:00:00.000Z</x:v>
      </x:c>
      <x:c r="G188" s="35" t="n">
        <x:v>1</x:v>
      </x:c>
    </x:row>
    <x:row r="189" ht="54" customHeight="1">
      <x:c r="A189" s="29" t="str">
        <x:v>bakersfield:action:cocuk-saglik-3</x:v>
      </x:c>
      <x:c r="B189" s="29" t="str">
        <x:v>bakersfield</x:v>
      </x:c>
      <x:c r="C189" s="29" t="str">
        <x:v>bakersfield:cocuk-saglik</x:v>
      </x:c>
      <x:c r="D189" s="29" t="str">
        <x:v>Okul aşı koşulları</x:v>
      </x:c>
      <x:c r="E189" s="29" t="str">
        <x:v>https://www.cdph.ca.gov/Programs/CID/DCDC/Pages/Immunization/School/shotsforschool.aspx</x:v>
      </x:c>
      <x:c r="F189" s="31" t="d">
        <x:v>2026-10-24T00:00:00.000Z</x:v>
      </x:c>
      <x:c r="G189" s="35" t="n">
        <x:v>2</x:v>
      </x:c>
    </x:row>
    <x:row r="190" ht="54" customHeight="1">
      <x:c r="A190" s="29" t="str">
        <x:v>bakersfield:action:dis-sagligi-1</x:v>
      </x:c>
      <x:c r="B190" s="29" t="str">
        <x:v>bakersfield</x:v>
      </x:c>
      <x:c r="C190" s="29" t="str">
        <x:v>bakersfield:dis-sagligi</x:v>
      </x:c>
      <x:c r="D190" s="29" t="str">
        <x:v>Medi-Cal dental hizmetleri</x:v>
      </x:c>
      <x:c r="E190" s="29" t="str">
        <x:v>https://www.dhcs.ca.gov/services/Pages/MediCalDental.aspx</x:v>
      </x:c>
      <x:c r="F190" s="31" t="d">
        <x:v>2026-10-24T00:00:00.000Z</x:v>
      </x:c>
      <x:c r="G190" s="35" t="n">
        <x:v>0</x:v>
      </x:c>
    </x:row>
    <x:row r="191" ht="54" customHeight="1">
      <x:c r="A191" s="29" t="str">
        <x:v>bakersfield:action:dis-sagligi-2</x:v>
      </x:c>
      <x:c r="B191" s="29" t="str">
        <x:v>bakersfield</x:v>
      </x:c>
      <x:c r="C191" s="29" t="str">
        <x:v>bakersfield:dis-sagligi</x:v>
      </x:c>
      <x:c r="D191" s="29" t="str">
        <x:v>Sağlık sigortası planları</x:v>
      </x:c>
      <x:c r="E191" s="29" t="str">
        <x:v>https://www.coveredca.com/</x:v>
      </x:c>
      <x:c r="F191" s="31" t="d">
        <x:v>2026-10-24T00:00:00.000Z</x:v>
      </x:c>
      <x:c r="G191" s="35" t="n">
        <x:v>1</x:v>
      </x:c>
    </x:row>
    <x:row r="192" ht="54" customHeight="1">
      <x:c r="A192" s="29" t="str">
        <x:v>bakersfield:action:dis-sagligi-3</x:v>
      </x:c>
      <x:c r="B192" s="29" t="str">
        <x:v>bakersfield</x:v>
      </x:c>
      <x:c r="C192" s="29" t="str">
        <x:v>bakersfield:dis-sagligi</x:v>
      </x:c>
      <x:c r="D192" s="29" t="str">
        <x:v>Güncel Medi-Cal diş kapsamı değişiklikleri</x:v>
      </x:c>
      <x:c r="E192" s="29" t="str">
        <x:v>https://www.dental.dhcs.ca.gov/Providers/Medi_Cal_Dental/BenefitChanges</x:v>
      </x:c>
      <x:c r="F192" s="31" t="d">
        <x:v>2026-10-24T00:00:00.000Z</x:v>
      </x:c>
      <x:c r="G192" s="35" t="n">
        <x:v>2</x:v>
      </x:c>
    </x:row>
    <x:row r="193" ht="54" customHeight="1">
      <x:c r="A193" s="29" t="str">
        <x:v>bakersfield:action:saglik-faturasi-1</x:v>
      </x:c>
      <x:c r="B193" s="29" t="str">
        <x:v>bakersfield</x:v>
      </x:c>
      <x:c r="C193" s="29" t="str">
        <x:v>bakersfield:saglik-faturasi</x:v>
      </x:c>
      <x:c r="D193" s="29" t="str">
        <x:v>Sağlık faturası yardımı ve hasta hakları</x:v>
      </x:c>
      <x:c r="E193" s="29" t="str">
        <x:v>https://www.cms.gov/medical-bill-rights/help</x:v>
      </x:c>
      <x:c r="F193" s="31" t="d">
        <x:v>2026-10-24T00:00:00.000Z</x:v>
      </x:c>
      <x:c r="G193" s="35" t="n">
        <x:v>0</x:v>
      </x:c>
    </x:row>
    <x:row r="194" ht="54" customHeight="1">
      <x:c r="A194" s="29" t="str">
        <x:v>bakersfield:action:saglik-faturasi-2</x:v>
      </x:c>
      <x:c r="B194" s="29" t="str">
        <x:v>bakersfield</x:v>
      </x:c>
      <x:c r="C194" s="29" t="str">
        <x:v>bakersfield:saglik-faturasi</x:v>
      </x:c>
      <x:c r="D194" s="29" t="str">
        <x:v>Hasta şikâyeti ve yardım merkezi</x:v>
      </x:c>
      <x:c r="E194" s="29" t="str">
        <x:v>https://www.dmhc.ca.gov/FileaComplaint.aspx</x:v>
      </x:c>
      <x:c r="F194" s="31" t="d">
        <x:v>2026-10-24T00:00:00.000Z</x:v>
      </x:c>
      <x:c r="G194" s="35" t="n">
        <x:v>1</x:v>
      </x:c>
    </x:row>
    <x:row r="195" ht="54" customHeight="1">
      <x:c r="A195" s="29" t="str">
        <x:v>bakersfield:action:saglik-faturasi-3</x:v>
      </x:c>
      <x:c r="B195" s="29" t="str">
        <x:v>bakersfield</x:v>
      </x:c>
      <x:c r="C195" s="29" t="str">
        <x:v>bakersfield:saglik-faturasi</x:v>
      </x:c>
      <x:c r="D195" s="29" t="str">
        <x:v>Explanation of Benefits açıklaması</x:v>
      </x:c>
      <x:c r="E195" s="29" t="str">
        <x:v>https://www.cms.gov/initiatives/your-patient-rights/medical-bill-rights/get-help/guides-resources/read-explanation-benefits</x:v>
      </x:c>
      <x:c r="F195" s="31" t="d">
        <x:v>2026-10-24T00:00:00.000Z</x:v>
      </x:c>
      <x:c r="G195" s="35" t="n">
        <x:v>2</x:v>
      </x:c>
    </x:row>
    <x:row r="196" ht="54" customHeight="1">
      <x:c r="A196" s="29" t="str">
        <x:v>bakersfield:action:saglik-itirazi-1</x:v>
      </x:c>
      <x:c r="B196" s="29" t="str">
        <x:v>bakersfield</x:v>
      </x:c>
      <x:c r="C196" s="29" t="str">
        <x:v>bakersfield:saglik-itirazi</x:v>
      </x:c>
      <x:c r="D196" s="29" t="str">
        <x:v>Hasta şikâyeti ve yardım merkezi</x:v>
      </x:c>
      <x:c r="E196" s="29" t="str">
        <x:v>https://www.dmhc.ca.gov/FileaComplaint.aspx</x:v>
      </x:c>
      <x:c r="F196" s="31" t="d">
        <x:v>2026-10-24T00:00:00.000Z</x:v>
      </x:c>
      <x:c r="G196" s="35" t="n">
        <x:v>0</x:v>
      </x:c>
    </x:row>
    <x:row r="197" ht="54" customHeight="1">
      <x:c r="A197" s="29" t="str">
        <x:v>bakersfield:action:saglik-itirazi-2</x:v>
      </x:c>
      <x:c r="B197" s="29" t="str">
        <x:v>bakersfield</x:v>
      </x:c>
      <x:c r="C197" s="29" t="str">
        <x:v>bakersfield:saglik-itirazi</x:v>
      </x:c>
      <x:c r="D197" s="29" t="str">
        <x:v>IMR application and complaint instructions</x:v>
      </x:c>
      <x:c r="E197" s="29" t="str">
        <x:v>https://www.dmhc.ca.gov/Portals/0/Docs/HC/AccessibleIMRFormEnglish.pdf</x:v>
      </x:c>
      <x:c r="F197" s="31" t="d">
        <x:v>2026-10-24T00:00:00.000Z</x:v>
      </x:c>
      <x:c r="G197" s="35" t="n">
        <x:v>1</x:v>
      </x:c>
    </x:row>
    <x:row r="198" ht="54" customHeight="1">
      <x:c r="A198" s="29" t="str">
        <x:v>bakersfield:action:saglik-itirazi-3</x:v>
      </x:c>
      <x:c r="B198" s="29" t="str">
        <x:v>bakersfield</x:v>
      </x:c>
      <x:c r="C198" s="29" t="str">
        <x:v>bakersfield:saglik-itirazi</x:v>
      </x:c>
      <x:c r="D198" s="29" t="str">
        <x:v>Independent Medical Review – FAQ</x:v>
      </x:c>
      <x:c r="E198" s="29" t="str">
        <x:v>https://www.dmhc.ca.gov/FileaComplaint/FrequentlyAskedQuestions.aspx</x:v>
      </x:c>
      <x:c r="F198" s="31" t="d">
        <x:v>2026-10-24T00:00:00.000Z</x:v>
      </x:c>
      <x:c r="G198" s="35" t="n">
        <x:v>2</x:v>
      </x:c>
    </x:row>
    <x:row r="199" ht="54" customHeight="1">
      <x:c r="A199" s="29" t="str">
        <x:v>bakersfield:action:valley-fever-1</x:v>
      </x:c>
      <x:c r="B199" s="29" t="str">
        <x:v>bakersfield</x:v>
      </x:c>
      <x:c r="C199" s="29" t="str">
        <x:v>bakersfield:valley-fever</x:v>
      </x:c>
      <x:c r="D199" s="29" t="str">
        <x:v>Valley Fever bilgisi</x:v>
      </x:c>
      <x:c r="E199" s="29" t="str">
        <x:v>https://www.cdph.ca.gov/Programs/CID/DCDC/Pages/ValleyFeverBasics.aspx</x:v>
      </x:c>
      <x:c r="F199" s="31" t="d">
        <x:v>2026-10-24T00:00:00.000Z</x:v>
      </x:c>
      <x:c r="G199" s="35" t="n">
        <x:v>0</x:v>
      </x:c>
    </x:row>
    <x:row r="200" ht="54" customHeight="1">
      <x:c r="A200" s="29" t="str">
        <x:v>bakersfield:action:hava-kalitesi-1</x:v>
      </x:c>
      <x:c r="B200" s="29" t="str">
        <x:v>bakersfield</x:v>
      </x:c>
      <x:c r="C200" s="29" t="str">
        <x:v>bakersfield:hava-kalitesi</x:v>
      </x:c>
      <x:c r="D200" s="29" t="str">
        <x:v>Hava kalitesi endeksi</x:v>
      </x:c>
      <x:c r="E200" s="29" t="str">
        <x:v>https://www.airnow.gov/aqi/aqi-basics/</x:v>
      </x:c>
      <x:c r="F200" s="31" t="d">
        <x:v>2026-10-24T00:00:00.000Z</x:v>
      </x:c>
      <x:c r="G200" s="35" t="n">
        <x:v>0</x:v>
      </x:c>
    </x:row>
    <x:row r="201" ht="54" customHeight="1">
      <x:c r="A201" s="29" t="str">
        <x:v>bakersfield:action:hava-kalitesi-2</x:v>
      </x:c>
      <x:c r="B201" s="29" t="str">
        <x:v>bakersfield</x:v>
      </x:c>
      <x:c r="C201" s="29" t="str">
        <x:v>bakersfield:hava-kalitesi</x:v>
      </x:c>
      <x:c r="D201" s="29" t="str">
        <x:v>Sıcak ve sağlık</x:v>
      </x:c>
      <x:c r="E201" s="29" t="str">
        <x:v>https://www.cdc.gov/heat-health/about/index.html</x:v>
      </x:c>
      <x:c r="F201" s="31" t="d">
        <x:v>2026-10-24T00:00:00.000Z</x:v>
      </x:c>
      <x:c r="G201" s="35" t="n">
        <x:v>1</x:v>
      </x:c>
    </x:row>
    <x:row r="202" ht="54" customHeight="1">
      <x:c r="A202" s="29" t="str">
        <x:v>bakersfield:action:calisma-yetkisi-1</x:v>
      </x:c>
      <x:c r="B202" s="29" t="str">
        <x:v>bakersfield</x:v>
      </x:c>
      <x:c r="C202" s="29" t="str">
        <x:v>bakersfield:calisma-yetkisi</x:v>
      </x:c>
      <x:c r="D202" s="29" t="str">
        <x:v>ABD'de çalışma yetkisi</x:v>
      </x:c>
      <x:c r="E202" s="29" t="str">
        <x:v>https://www.uscis.gov/working-in-the-united-states</x:v>
      </x:c>
      <x:c r="F202" s="31" t="d">
        <x:v>2026-10-24T00:00:00.000Z</x:v>
      </x:c>
      <x:c r="G202" s="35" t="n">
        <x:v>0</x:v>
      </x:c>
    </x:row>
    <x:row r="203" ht="54" customHeight="1">
      <x:c r="A203" s="29" t="str">
        <x:v>bakersfield:action:is-arama-1</x:v>
      </x:c>
      <x:c r="B203" s="29" t="str">
        <x:v>bakersfield</x:v>
      </x:c>
      <x:c r="C203" s="29" t="str">
        <x:v>bakersfield:is-arama</x:v>
      </x:c>
      <x:c r="D203" s="29" t="str">
        <x:v>İş arama ve eğitim</x:v>
      </x:c>
      <x:c r="E203" s="29" t="str">
        <x:v>https://www.etronline.com/</x:v>
      </x:c>
      <x:c r="F203" s="31" t="d">
        <x:v>2026-10-24T00:00:00.000Z</x:v>
      </x:c>
      <x:c r="G203" s="35" t="n">
        <x:v>0</x:v>
      </x:c>
    </x:row>
    <x:row r="204" ht="54" customHeight="1">
      <x:c r="A204" s="29" t="str">
        <x:v>bakersfield:action:is-arama-2</x:v>
      </x:c>
      <x:c r="B204" s="29" t="str">
        <x:v>bakersfield</x:v>
      </x:c>
      <x:c r="C204" s="29" t="str">
        <x:v>bakersfield:is-arama</x:v>
      </x:c>
      <x:c r="D204" s="29" t="str">
        <x:v>CalJOBS</x:v>
      </x:c>
      <x:c r="E204" s="29" t="str">
        <x:v>https://www.caljobs.ca.gov/</x:v>
      </x:c>
      <x:c r="F204" s="31" t="d">
        <x:v>2026-10-24T00:00:00.000Z</x:v>
      </x:c>
      <x:c r="G204" s="35" t="n">
        <x:v>1</x:v>
      </x:c>
    </x:row>
    <x:row r="205" ht="54" customHeight="1">
      <x:c r="A205" s="29" t="str">
        <x:v>bakersfield:action:ozgecmis-1</x:v>
      </x:c>
      <x:c r="B205" s="29" t="str">
        <x:v>bakersfield</x:v>
      </x:c>
      <x:c r="C205" s="29" t="str">
        <x:v>bakersfield:ozgecmis</x:v>
      </x:c>
      <x:c r="D205" s="29" t="str">
        <x:v>İş arama ve eğitim</x:v>
      </x:c>
      <x:c r="E205" s="29" t="str">
        <x:v>https://www.etronline.com/</x:v>
      </x:c>
      <x:c r="F205" s="31" t="d">
        <x:v>2026-10-24T00:00:00.000Z</x:v>
      </x:c>
      <x:c r="G205" s="35" t="n">
        <x:v>0</x:v>
      </x:c>
    </x:row>
    <x:row r="206" ht="54" customHeight="1">
      <x:c r="A206" s="29" t="str">
        <x:v>bakersfield:action:ozgecmis-2</x:v>
      </x:c>
      <x:c r="B206" s="29" t="str">
        <x:v>bakersfield</x:v>
      </x:c>
      <x:c r="C206" s="29" t="str">
        <x:v>bakersfield:ozgecmis</x:v>
      </x:c>
      <x:c r="D206" s="29" t="str">
        <x:v>CalJOBS</x:v>
      </x:c>
      <x:c r="E206" s="29" t="str">
        <x:v>https://www.caljobs.ca.gov/</x:v>
      </x:c>
      <x:c r="F206" s="31" t="d">
        <x:v>2026-10-24T00:00:00.000Z</x:v>
      </x:c>
      <x:c r="G206" s="35" t="n">
        <x:v>1</x:v>
      </x:c>
    </x:row>
    <x:row r="207" ht="54" customHeight="1">
      <x:c r="A207" s="29" t="str">
        <x:v>bakersfield:action:is-teklifi-1</x:v>
      </x:c>
      <x:c r="B207" s="29" t="str">
        <x:v>bakersfield</x:v>
      </x:c>
      <x:c r="C207" s="29" t="str">
        <x:v>bakersfield:is-teklifi</x:v>
      </x:c>
      <x:c r="D207" s="29" t="str">
        <x:v>Bağımsız yüklenici sınıflandırması</x:v>
      </x:c>
      <x:c r="E207" s="29" t="str">
        <x:v>https://www.dir.ca.gov/dlse/faq_independentcontractor.htm</x:v>
      </x:c>
      <x:c r="F207" s="31" t="d">
        <x:v>2026-10-24T00:00:00.000Z</x:v>
      </x:c>
      <x:c r="G207" s="35" t="n">
        <x:v>0</x:v>
      </x:c>
    </x:row>
    <x:row r="208" ht="54" customHeight="1">
      <x:c r="A208" s="29" t="str">
        <x:v>bakersfield:action:is-teklifi-2</x:v>
      </x:c>
      <x:c r="B208" s="29" t="str">
        <x:v>bakersfield</x:v>
      </x:c>
      <x:c r="C208" s="29" t="str">
        <x:v>bakersfield:is-teklifi</x:v>
      </x:c>
      <x:c r="D208" s="29" t="str">
        <x:v>Asgari ücret</x:v>
      </x:c>
      <x:c r="E208" s="29" t="str">
        <x:v>https://www.dir.ca.gov/dlse/minimum_wage.htm</x:v>
      </x:c>
      <x:c r="F208" s="31" t="d">
        <x:v>2026-10-24T00:00:00.000Z</x:v>
      </x:c>
      <x:c r="G208" s="35" t="n">
        <x:v>1</x:v>
      </x:c>
    </x:row>
    <x:row r="209" ht="54" customHeight="1">
      <x:c r="A209" s="29" t="str">
        <x:v>bakersfield:action:asgari-ucret-1</x:v>
      </x:c>
      <x:c r="B209" s="29" t="str">
        <x:v>bakersfield</x:v>
      </x:c>
      <x:c r="C209" s="29" t="str">
        <x:v>bakersfield:asgari-ucret</x:v>
      </x:c>
      <x:c r="D209" s="29" t="str">
        <x:v>Asgari ücret</x:v>
      </x:c>
      <x:c r="E209" s="29" t="str">
        <x:v>https://www.dir.ca.gov/dlse/minimum_wage.htm</x:v>
      </x:c>
      <x:c r="F209" s="31" t="d">
        <x:v>2026-10-24T00:00:00.000Z</x:v>
      </x:c>
      <x:c r="G209" s="35" t="n">
        <x:v>0</x:v>
      </x:c>
    </x:row>
    <x:row r="210" ht="54" customHeight="1">
      <x:c r="A210" s="29" t="str">
        <x:v>bakersfield:action:fazla-mesai-1</x:v>
      </x:c>
      <x:c r="B210" s="29" t="str">
        <x:v>bakersfield</x:v>
      </x:c>
      <x:c r="C210" s="29" t="str">
        <x:v>bakersfield:fazla-mesai</x:v>
      </x:c>
      <x:c r="D210" s="29" t="str">
        <x:v>Fazla çalışma</x:v>
      </x:c>
      <x:c r="E210" s="29" t="str">
        <x:v>https://www.dir.ca.gov/dlse/FAQ_Overtime.htm</x:v>
      </x:c>
      <x:c r="F210" s="31" t="d">
        <x:v>2026-10-24T00:00:00.000Z</x:v>
      </x:c>
      <x:c r="G210" s="35" t="n">
        <x:v>0</x:v>
      </x:c>
    </x:row>
    <x:row r="211" ht="54" customHeight="1">
      <x:c r="A211" s="29" t="str">
        <x:v>bakersfield:action:yemek-molasi-1</x:v>
      </x:c>
      <x:c r="B211" s="29" t="str">
        <x:v>bakersfield</x:v>
      </x:c>
      <x:c r="C211" s="29" t="str">
        <x:v>bakersfield:yemek-molasi</x:v>
      </x:c>
      <x:c r="D211" s="29" t="str">
        <x:v>Yemek araları</x:v>
      </x:c>
      <x:c r="E211" s="29" t="str">
        <x:v>https://www.dir.ca.gov/dlse/FAQ_MealPeriods.htm</x:v>
      </x:c>
      <x:c r="F211" s="31" t="d">
        <x:v>2026-10-24T00:00:00.000Z</x:v>
      </x:c>
      <x:c r="G211" s="35" t="n">
        <x:v>0</x:v>
      </x:c>
    </x:row>
    <x:row r="212" ht="54" customHeight="1">
      <x:c r="A212" s="29" t="str">
        <x:v>bakersfield:action:dinlenme-molasi-1</x:v>
      </x:c>
      <x:c r="B212" s="29" t="str">
        <x:v>bakersfield</x:v>
      </x:c>
      <x:c r="C212" s="29" t="str">
        <x:v>bakersfield:dinlenme-molasi</x:v>
      </x:c>
      <x:c r="D212" s="29" t="str">
        <x:v>Dinlenme araları</x:v>
      </x:c>
      <x:c r="E212" s="29" t="str">
        <x:v>https://www.dir.ca.gov/dlse/FAQ_RestPeriods.htm</x:v>
      </x:c>
      <x:c r="F212" s="31" t="d">
        <x:v>2026-10-24T00:00:00.000Z</x:v>
      </x:c>
      <x:c r="G212" s="35" t="n">
        <x:v>0</x:v>
      </x:c>
    </x:row>
    <x:row r="213" ht="54" customHeight="1">
      <x:c r="A213" s="29" t="str">
        <x:v>bakersfield:action:hastalik-izni-1</x:v>
      </x:c>
      <x:c r="B213" s="29" t="str">
        <x:v>bakersfield</x:v>
      </x:c>
      <x:c r="C213" s="29" t="str">
        <x:v>bakersfield:hastalik-izni</x:v>
      </x:c>
      <x:c r="D213" s="29" t="str">
        <x:v>Ücretli hastalık izni</x:v>
      </x:c>
      <x:c r="E213" s="29" t="str">
        <x:v>https://www.dir.ca.gov/dlse/paid_sick_leave.htm</x:v>
      </x:c>
      <x:c r="F213" s="31" t="d">
        <x:v>2026-10-24T00:00:00.000Z</x:v>
      </x:c>
      <x:c r="G213" s="35" t="n">
        <x:v>0</x:v>
      </x:c>
    </x:row>
    <x:row r="214" ht="54" customHeight="1">
      <x:c r="A214" s="29" t="str">
        <x:v>bakersfield:action:bordro-1</x:v>
      </x:c>
      <x:c r="B214" s="29" t="str">
        <x:v>bakersfield</x:v>
      </x:c>
      <x:c r="C214" s="29" t="str">
        <x:v>bakersfield:bordro</x:v>
      </x:c>
      <x:c r="D214" s="29" t="str">
        <x:v>Ücret ve son ödeme</x:v>
      </x:c>
      <x:c r="E214" s="29" t="str">
        <x:v>https://www.dir.ca.gov/dlse/FAQ_Paydays.htm</x:v>
      </x:c>
      <x:c r="F214" s="31" t="d">
        <x:v>2026-10-24T00:00:00.000Z</x:v>
      </x:c>
      <x:c r="G214" s="35" t="n">
        <x:v>0</x:v>
      </x:c>
    </x:row>
    <x:row r="215" ht="54" customHeight="1">
      <x:c r="A215" s="29" t="str">
        <x:v>bakersfield:action:bordro-2</x:v>
      </x:c>
      <x:c r="B215" s="29" t="str">
        <x:v>bakersfield</x:v>
      </x:c>
      <x:c r="C215" s="29" t="str">
        <x:v>bakersfield:bordro</x:v>
      </x:c>
      <x:c r="D215" s="29" t="str">
        <x:v>W-4 ve ücret stopajı</x:v>
      </x:c>
      <x:c r="E215" s="29" t="str">
        <x:v>https://www.irs.gov/forms-pubs/about-form-w-4</x:v>
      </x:c>
      <x:c r="F215" s="31" t="d">
        <x:v>2026-10-24T00:00:00.000Z</x:v>
      </x:c>
      <x:c r="G215" s="35" t="n">
        <x:v>1</x:v>
      </x:c>
    </x:row>
    <x:row r="216" ht="54" customHeight="1">
      <x:c r="A216" s="29" t="str">
        <x:v>bakersfield:action:son-maas-1</x:v>
      </x:c>
      <x:c r="B216" s="29" t="str">
        <x:v>bakersfield</x:v>
      </x:c>
      <x:c r="C216" s="29" t="str">
        <x:v>bakersfield:son-maas</x:v>
      </x:c>
      <x:c r="D216" s="29" t="str">
        <x:v>Ücret ve son ödeme</x:v>
      </x:c>
      <x:c r="E216" s="29" t="str">
        <x:v>https://www.dir.ca.gov/dlse/FAQ_Paydays.htm</x:v>
      </x:c>
      <x:c r="F216" s="31" t="d">
        <x:v>2026-10-24T00:00:00.000Z</x:v>
      </x:c>
      <x:c r="G216" s="35" t="n">
        <x:v>0</x:v>
      </x:c>
    </x:row>
    <x:row r="217" ht="54" customHeight="1">
      <x:c r="A217" s="29" t="str">
        <x:v>bakersfield:action:ucret-alacagi-1</x:v>
      </x:c>
      <x:c r="B217" s="29" t="str">
        <x:v>bakersfield</x:v>
      </x:c>
      <x:c r="C217" s="29" t="str">
        <x:v>bakersfield:ucret-alacagi</x:v>
      </x:c>
      <x:c r="D217" s="29" t="str">
        <x:v>Ücret alacağı başvurusu</x:v>
      </x:c>
      <x:c r="E217" s="29" t="str">
        <x:v>https://www.dir.ca.gov/dlse/HowToFileWageClaim.htm</x:v>
      </x:c>
      <x:c r="F217" s="31" t="d">
        <x:v>2026-10-24T00:00:00.000Z</x:v>
      </x:c>
      <x:c r="G217" s="35" t="n">
        <x:v>0</x:v>
      </x:c>
    </x:row>
    <x:row r="218" ht="54" customHeight="1">
      <x:c r="A218" s="29" t="str">
        <x:v>bakersfield:action:calisan-yuklenici-1</x:v>
      </x:c>
      <x:c r="B218" s="29" t="str">
        <x:v>bakersfield</x:v>
      </x:c>
      <x:c r="C218" s="29" t="str">
        <x:v>bakersfield:calisan-yuklenici</x:v>
      </x:c>
      <x:c r="D218" s="29" t="str">
        <x:v>Bağımsız yüklenici sınıflandırması</x:v>
      </x:c>
      <x:c r="E218" s="29" t="str">
        <x:v>https://www.dir.ca.gov/dlse/faq_independentcontractor.htm</x:v>
      </x:c>
      <x:c r="F218" s="31" t="d">
        <x:v>2026-10-24T00:00:00.000Z</x:v>
      </x:c>
      <x:c r="G218" s="35" t="n">
        <x:v>0</x:v>
      </x:c>
    </x:row>
    <x:row r="219" ht="54" customHeight="1">
      <x:c r="A219" s="29" t="str">
        <x:v>bakersfield:action:issizlik-sigortasi-1</x:v>
      </x:c>
      <x:c r="B219" s="29" t="str">
        <x:v>bakersfield</x:v>
      </x:c>
      <x:c r="C219" s="29" t="str">
        <x:v>bakersfield:issizlik-sigortasi</x:v>
      </x:c>
      <x:c r="D219" s="29" t="str">
        <x:v>İşsizlik sigortası</x:v>
      </x:c>
      <x:c r="E219" s="29" t="str">
        <x:v>https://edd.ca.gov/en/unemployment/</x:v>
      </x:c>
      <x:c r="F219" s="31" t="d">
        <x:v>2026-10-24T00:00:00.000Z</x:v>
      </x:c>
      <x:c r="G219" s="35" t="n">
        <x:v>0</x:v>
      </x:c>
    </x:row>
    <x:row r="220" ht="54" customHeight="1">
      <x:c r="A220" s="29" t="str">
        <x:v>bakersfield:action:sdi-1</x:v>
      </x:c>
      <x:c r="B220" s="29" t="str">
        <x:v>bakersfield</x:v>
      </x:c>
      <x:c r="C220" s="29" t="str">
        <x:v>bakersfield:sdi</x:v>
      </x:c>
      <x:c r="D220" s="29" t="str">
        <x:v>State Disability Insurance</x:v>
      </x:c>
      <x:c r="E220" s="29" t="str">
        <x:v>https://edd.ca.gov/en/disability/</x:v>
      </x:c>
      <x:c r="F220" s="31" t="d">
        <x:v>2026-10-24T00:00:00.000Z</x:v>
      </x:c>
      <x:c r="G220" s="35" t="n">
        <x:v>0</x:v>
      </x:c>
    </x:row>
    <x:row r="221" ht="54" customHeight="1">
      <x:c r="A221" s="29" t="str">
        <x:v>bakersfield:action:paid-family-leave-1</x:v>
      </x:c>
      <x:c r="B221" s="29" t="str">
        <x:v>bakersfield</x:v>
      </x:c>
      <x:c r="C221" s="29" t="str">
        <x:v>bakersfield:paid-family-leave</x:v>
      </x:c>
      <x:c r="D221" s="29" t="str">
        <x:v>Ücretli aile izni</x:v>
      </x:c>
      <x:c r="E221" s="29" t="str">
        <x:v>https://edd.ca.gov/en/disability/paid-family-leave/</x:v>
      </x:c>
      <x:c r="F221" s="31" t="d">
        <x:v>2026-10-24T00:00:00.000Z</x:v>
      </x:c>
      <x:c r="G221" s="35" t="n">
        <x:v>0</x:v>
      </x:c>
    </x:row>
    <x:row r="222" ht="54" customHeight="1">
      <x:c r="A222" s="29" t="str">
        <x:v>bakersfield:action:is-kazasi-1</x:v>
      </x:c>
      <x:c r="B222" s="29" t="str">
        <x:v>bakersfield</x:v>
      </x:c>
      <x:c r="C222" s="29" t="str">
        <x:v>bakersfield:is-kazasi</x:v>
      </x:c>
      <x:c r="D222" s="29" t="str">
        <x:v>İş kazası hakları</x:v>
      </x:c>
      <x:c r="E222" s="29" t="str">
        <x:v>https://www.dir.ca.gov/dwc/InjuredWorker.htm</x:v>
      </x:c>
      <x:c r="F222" s="31" t="d">
        <x:v>2026-10-24T00:00:00.000Z</x:v>
      </x:c>
      <x:c r="G222" s="35" t="n">
        <x:v>0</x:v>
      </x:c>
    </x:row>
    <x:row r="223" ht="54" customHeight="1">
      <x:c r="A223" s="29" t="str">
        <x:v>bakersfield:action:iste-sicak-1</x:v>
      </x:c>
      <x:c r="B223" s="29" t="str">
        <x:v>bakersfield</x:v>
      </x:c>
      <x:c r="C223" s="29" t="str">
        <x:v>bakersfield:iste-sicak</x:v>
      </x:c>
      <x:c r="D223" s="29" t="str">
        <x:v>Sıcak ortamda çalışma</x:v>
      </x:c>
      <x:c r="E223" s="29" t="str">
        <x:v>https://www.dir.ca.gov/dosh/heatillnessinfo.html</x:v>
      </x:c>
      <x:c r="F223" s="31" t="d">
        <x:v>2026-10-24T00:00:00.000Z</x:v>
      </x:c>
      <x:c r="G223" s="35" t="n">
        <x:v>0</x:v>
      </x:c>
    </x:row>
    <x:row r="224" ht="54" customHeight="1">
      <x:c r="A224" s="29" t="str">
        <x:v>bakersfield:action:meslek-ruhsati-1</x:v>
      </x:c>
      <x:c r="B224" s="29" t="str">
        <x:v>bakersfield</x:v>
      </x:c>
      <x:c r="C224" s="29" t="str">
        <x:v>bakersfield:meslek-ruhsati</x:v>
      </x:c>
      <x:c r="D224" s="29" t="str">
        <x:v>Mesleki ruhsat arama</x:v>
      </x:c>
      <x:c r="E224" s="29" t="str">
        <x:v>https://search.dca.ca.gov/</x:v>
      </x:c>
      <x:c r="F224" s="31" t="d">
        <x:v>2026-10-24T00:00:00.000Z</x:v>
      </x:c>
      <x:c r="G224" s="35" t="n">
        <x:v>0</x:v>
      </x:c>
    </x:row>
    <x:row r="225" ht="54" customHeight="1">
      <x:c r="A225" s="29" t="str">
        <x:v>bakersfield:action:meslek-ruhsati-2</x:v>
      </x:c>
      <x:c r="B225" s="29" t="str">
        <x:v>bakersfield</x:v>
      </x:c>
      <x:c r="C225" s="29" t="str">
        <x:v>bakersfield:meslek-ruhsati</x:v>
      </x:c>
      <x:c r="D225" s="29" t="str">
        <x:v>ABD'de çalışma yetkisi</x:v>
      </x:c>
      <x:c r="E225" s="29" t="str">
        <x:v>https://www.uscis.gov/working-in-the-united-states</x:v>
      </x:c>
      <x:c r="F225" s="31" t="d">
        <x:v>2026-10-24T00:00:00.000Z</x:v>
      </x:c>
      <x:c r="G225" s="35" t="n">
        <x:v>1</x:v>
      </x:c>
    </x:row>
    <x:row r="226" ht="54" customHeight="1">
      <x:c r="A226" s="29" t="str">
        <x:v>bakersfield:action:is-ayrimciligi-1</x:v>
      </x:c>
      <x:c r="B226" s="29" t="str">
        <x:v>bakersfield</x:v>
      </x:c>
      <x:c r="C226" s="29" t="str">
        <x:v>bakersfield:is-ayrimciligi</x:v>
      </x:c>
      <x:c r="D226" s="29" t="str">
        <x:v>İstihdamda ayrımcılık</x:v>
      </x:c>
      <x:c r="E226" s="29" t="str">
        <x:v>https://calcivilrights.ca.gov/employment/</x:v>
      </x:c>
      <x:c r="F226" s="31" t="d">
        <x:v>2026-10-24T00:00:00.000Z</x:v>
      </x:c>
      <x:c r="G226" s="35" t="n">
        <x:v>0</x:v>
      </x:c>
    </x:row>
    <x:row r="227" ht="54" customHeight="1">
      <x:c r="A227" s="29" t="str">
        <x:v>bakersfield:action:okul-bolgesi-1</x:v>
      </x:c>
      <x:c r="B227" s="29" t="str">
        <x:v>bakersfield</x:v>
      </x:c>
      <x:c r="C227" s="29" t="str">
        <x:v>bakersfield:okul-bolgesi</x:v>
      </x:c>
      <x:c r="D227" s="29" t="str">
        <x:v>Okul bölgeleri</x:v>
      </x:c>
      <x:c r="E227" s="29" t="str">
        <x:v>https://kern.org/</x:v>
      </x:c>
      <x:c r="F227" s="31" t="d">
        <x:v>2026-10-24T00:00:00.000Z</x:v>
      </x:c>
      <x:c r="G227" s="35" t="n">
        <x:v>0</x:v>
      </x:c>
    </x:row>
    <x:row r="228" ht="54" customHeight="1">
      <x:c r="A228" s="29" t="str">
        <x:v>bakersfield:action:okul-bolgesi-2</x:v>
      </x:c>
      <x:c r="B228" s="29" t="str">
        <x:v>bakersfield</x:v>
      </x:c>
      <x:c r="C228" s="29" t="str">
        <x:v>bakersfield:okul-bolgesi</x:v>
      </x:c>
      <x:c r="D228" s="29" t="str">
        <x:v>Lise bölgesi</x:v>
      </x:c>
      <x:c r="E228" s="29" t="str">
        <x:v>https://www.kernhigh.org/</x:v>
      </x:c>
      <x:c r="F228" s="31" t="d">
        <x:v>2026-10-24T00:00:00.000Z</x:v>
      </x:c>
      <x:c r="G228" s="35" t="n">
        <x:v>1</x:v>
      </x:c>
    </x:row>
    <x:row r="229" ht="54" customHeight="1">
      <x:c r="A229" s="29" t="str">
        <x:v>bakersfield:action:okul-kayit-1</x:v>
      </x:c>
      <x:c r="B229" s="29" t="str">
        <x:v>bakersfield</x:v>
      </x:c>
      <x:c r="C229" s="29" t="str">
        <x:v>bakersfield:okul-kayit</x:v>
      </x:c>
      <x:c r="D229" s="29" t="str">
        <x:v>Yeni öğrenci kayıt işlemleri</x:v>
      </x:c>
      <x:c r="E229" s="29" t="str">
        <x:v>https://www.bcsd.com/enrollment/new-student-enrollment</x:v>
      </x:c>
      <x:c r="F229" s="31" t="d">
        <x:v>2026-10-24T00:00:00.000Z</x:v>
      </x:c>
      <x:c r="G229" s="35" t="n">
        <x:v>0</x:v>
      </x:c>
    </x:row>
    <x:row r="230" ht="54" customHeight="1">
      <x:c r="A230" s="29" t="str">
        <x:v>bakersfield:action:tk-yasi-1</x:v>
      </x:c>
      <x:c r="B230" s="29" t="str">
        <x:v>bakersfield</x:v>
      </x:c>
      <x:c r="C230" s="29" t="str">
        <x:v>bakersfield:tk-yasi</x:v>
      </x:c>
      <x:c r="D230" s="29" t="str">
        <x:v>Kindergarten ve TK yaş koşulları</x:v>
      </x:c>
      <x:c r="E230" s="29" t="str">
        <x:v>https://www.cde.ca.gov/ci/gs/em/kinderfaq.asp</x:v>
      </x:c>
      <x:c r="F230" s="31" t="d">
        <x:v>2026-10-24T00:00:00.000Z</x:v>
      </x:c>
      <x:c r="G230" s="35" t="n">
        <x:v>0</x:v>
      </x:c>
    </x:row>
    <x:row r="231" ht="54" customHeight="1">
      <x:c r="A231" s="29" t="str">
        <x:v>bakersfield:action:tk-yasi-2</x:v>
      </x:c>
      <x:c r="B231" s="29" t="str">
        <x:v>bakersfield</x:v>
      </x:c>
      <x:c r="C231" s="29" t="str">
        <x:v>bakersfield:tk-yasi</x:v>
      </x:c>
      <x:c r="D231" s="29" t="str">
        <x:v>TK yaş ve kayıt koşulları</x:v>
      </x:c>
      <x:c r="E231" s="29" t="str">
        <x:v>https://www.cde.ca.gov/FG/it/tkfiscalfaq.asp</x:v>
      </x:c>
      <x:c r="F231" s="31" t="d">
        <x:v>2026-10-24T00:00:00.000Z</x:v>
      </x:c>
      <x:c r="G231" s="35" t="n">
        <x:v>1</x:v>
      </x:c>
    </x:row>
    <x:row r="232" ht="54" customHeight="1">
      <x:c r="A232" s="29" t="str">
        <x:v>bakersfield:action:kindergarten-1</x:v>
      </x:c>
      <x:c r="B232" s="29" t="str">
        <x:v>bakersfield</x:v>
      </x:c>
      <x:c r="C232" s="29" t="str">
        <x:v>bakersfield:kindergarten</x:v>
      </x:c>
      <x:c r="D232" s="29" t="str">
        <x:v>Yeni öğrenci kayıt işlemleri</x:v>
      </x:c>
      <x:c r="E232" s="29" t="str">
        <x:v>https://www.bcsd.com/enrollment/new-student-enrollment</x:v>
      </x:c>
      <x:c r="F232" s="31" t="d">
        <x:v>2026-10-24T00:00:00.000Z</x:v>
      </x:c>
      <x:c r="G232" s="35" t="n">
        <x:v>0</x:v>
      </x:c>
    </x:row>
    <x:row r="233" ht="54" customHeight="1">
      <x:c r="A233" s="29" t="str">
        <x:v>bakersfield:action:okul-asisi-1</x:v>
      </x:c>
      <x:c r="B233" s="29" t="str">
        <x:v>bakersfield</x:v>
      </x:c>
      <x:c r="C233" s="29" t="str">
        <x:v>bakersfield:okul-asisi</x:v>
      </x:c>
      <x:c r="D233" s="29" t="str">
        <x:v>Yeni öğrenci kayıt işlemleri</x:v>
      </x:c>
      <x:c r="E233" s="29" t="str">
        <x:v>https://www.bcsd.com/enrollment/new-student-enrollment</x:v>
      </x:c>
      <x:c r="F233" s="31" t="d">
        <x:v>2026-10-24T00:00:00.000Z</x:v>
      </x:c>
      <x:c r="G233" s="35" t="n">
        <x:v>0</x:v>
      </x:c>
    </x:row>
    <x:row r="234" ht="54" customHeight="1">
      <x:c r="A234" s="29" t="str">
        <x:v>bakersfield:action:okul-asisi-2</x:v>
      </x:c>
      <x:c r="B234" s="29" t="str">
        <x:v>bakersfield</x:v>
      </x:c>
      <x:c r="C234" s="29" t="str">
        <x:v>bakersfield:okul-asisi</x:v>
      </x:c>
      <x:c r="D234" s="29" t="str">
        <x:v>Okula giriş aşıları</x:v>
      </x:c>
      <x:c r="E234" s="29" t="str">
        <x:v>https://www.cdph.ca.gov/Programs/CID/DCDC/Pages/Immunization/School/shotsforschool.aspx</x:v>
      </x:c>
      <x:c r="F234" s="31" t="d">
        <x:v>2026-10-24T00:00:00.000Z</x:v>
      </x:c>
      <x:c r="G234" s="35" t="n">
        <x:v>1</x:v>
      </x:c>
    </x:row>
    <x:row r="235" ht="54" customHeight="1">
      <x:c r="A235" s="29" t="str">
        <x:v>bakersfield:action:okul-dil-1</x:v>
      </x:c>
      <x:c r="B235" s="29" t="str">
        <x:v>bakersfield</x:v>
      </x:c>
      <x:c r="C235" s="29" t="str">
        <x:v>bakersfield:okul-dil</x:v>
      </x:c>
      <x:c r="D235" s="29" t="str">
        <x:v>Çokdilli eğitim</x:v>
      </x:c>
      <x:c r="E235" s="29" t="str">
        <x:v>https://www.bcsd.com/departments/multilingual-education-programs/department-home</x:v>
      </x:c>
      <x:c r="F235" s="31" t="d">
        <x:v>2026-10-24T00:00:00.000Z</x:v>
      </x:c>
      <x:c r="G235" s="35" t="n">
        <x:v>0</x:v>
      </x:c>
    </x:row>
    <x:row r="236" ht="54" customHeight="1">
      <x:c r="A236" s="29" t="str">
        <x:v>bakersfield:action:okul-transfer-1</x:v>
      </x:c>
      <x:c r="B236" s="29" t="str">
        <x:v>bakersfield</x:v>
      </x:c>
      <x:c r="C236" s="29" t="str">
        <x:v>bakersfield:okul-transfer</x:v>
      </x:c>
      <x:c r="D236" s="29" t="str">
        <x:v>Okul transferleri</x:v>
      </x:c>
      <x:c r="E236" s="29" t="str">
        <x:v>https://www.bcsd.com/enrollment/transfer-requests</x:v>
      </x:c>
      <x:c r="F236" s="31" t="d">
        <x:v>2026-10-24T00:00:00.000Z</x:v>
      </x:c>
      <x:c r="G236" s="35" t="n">
        <x:v>0</x:v>
      </x:c>
    </x:row>
    <x:row r="237" ht="54" customHeight="1">
      <x:c r="A237" s="29" t="str">
        <x:v>bakersfield:action:okul-takvim-1</x:v>
      </x:c>
      <x:c r="B237" s="29" t="str">
        <x:v>bakersfield</x:v>
      </x:c>
      <x:c r="C237" s="29" t="str">
        <x:v>bakersfield:okul-takvim</x:v>
      </x:c>
      <x:c r="D237" s="29" t="str">
        <x:v>Okul takvimi</x:v>
      </x:c>
      <x:c r="E237" s="29" t="str">
        <x:v>https://www.bcsd.com/schools1/calendar</x:v>
      </x:c>
      <x:c r="F237" s="31" t="d">
        <x:v>2026-10-24T00:00:00.000Z</x:v>
      </x:c>
      <x:c r="G237" s="35" t="n">
        <x:v>0</x:v>
      </x:c>
    </x:row>
    <x:row r="238" ht="54" customHeight="1">
      <x:c r="A238" s="29" t="str">
        <x:v>bakersfield:action:okul-takvim-2</x:v>
      </x:c>
      <x:c r="B238" s="29" t="str">
        <x:v>bakersfield</x:v>
      </x:c>
      <x:c r="C238" s="29" t="str">
        <x:v>bakersfield:okul-takvim</x:v>
      </x:c>
      <x:c r="D238" s="29" t="str">
        <x:v>Okul zil saatleri</x:v>
      </x:c>
      <x:c r="E238" s="29" t="str">
        <x:v>https://www.bcsd.com/schools1/bell-schedule</x:v>
      </x:c>
      <x:c r="F238" s="31" t="d">
        <x:v>2026-10-24T00:00:00.000Z</x:v>
      </x:c>
      <x:c r="G238" s="35" t="n">
        <x:v>1</x:v>
      </x:c>
    </x:row>
    <x:row r="239" ht="54" customHeight="1">
      <x:c r="A239" s="29" t="str">
        <x:v>bakersfield:action:okul-sonrasi-1</x:v>
      </x:c>
      <x:c r="B239" s="29" t="str">
        <x:v>bakersfield</x:v>
      </x:c>
      <x:c r="C239" s="29" t="str">
        <x:v>bakersfield:okul-sonrasi</x:v>
      </x:c>
      <x:c r="D239" s="29" t="str">
        <x:v>Okul sonrası eğitim</x:v>
      </x:c>
      <x:c r="E239" s="29" t="str">
        <x:v>https://www.bcsd.com/enrollment/extended-learning-program</x:v>
      </x:c>
      <x:c r="F239" s="31" t="d">
        <x:v>2026-10-24T00:00:00.000Z</x:v>
      </x:c>
      <x:c r="G239" s="35" t="n">
        <x:v>0</x:v>
      </x:c>
    </x:row>
    <x:row r="240" ht="54" customHeight="1">
      <x:c r="A240" s="29" t="str">
        <x:v>bakersfield:action:ozel-egitim-1</x:v>
      </x:c>
      <x:c r="B240" s="29" t="str">
        <x:v>bakersfield</x:v>
      </x:c>
      <x:c r="C240" s="29" t="str">
        <x:v>bakersfield:ozel-egitim</x:v>
      </x:c>
      <x:c r="D240" s="29" t="str">
        <x:v>Özel eğitim</x:v>
      </x:c>
      <x:c r="E240" s="29" t="str">
        <x:v>https://www.cde.ca.gov/sp/se/</x:v>
      </x:c>
      <x:c r="F240" s="31" t="d">
        <x:v>2026-10-24T00:00:00.000Z</x:v>
      </x:c>
      <x:c r="G240" s="35" t="n">
        <x:v>0</x:v>
      </x:c>
    </x:row>
    <x:row r="241" ht="54" customHeight="1">
      <x:c r="A241" s="29" t="str">
        <x:v>bakersfield:action:ozel-egitim-2</x:v>
      </x:c>
      <x:c r="B241" s="29" t="str">
        <x:v>bakersfield</x:v>
      </x:c>
      <x:c r="C241" s="29" t="str">
        <x:v>bakersfield:ozel-egitim</x:v>
      </x:c>
      <x:c r="D241" s="29" t="str">
        <x:v>Özel eğitim</x:v>
      </x:c>
      <x:c r="E241" s="29" t="str">
        <x:v>https://www.bcsd.com/departments/special-education/department-home</x:v>
      </x:c>
      <x:c r="F241" s="31" t="d">
        <x:v>2026-10-24T00:00:00.000Z</x:v>
      </x:c>
      <x:c r="G241" s="35" t="n">
        <x:v>1</x:v>
      </x:c>
    </x:row>
    <x:row r="242" ht="54" customHeight="1">
      <x:c r="A242" s="29" t="str">
        <x:v>bakersfield:action:veli-iletisimi-1</x:v>
      </x:c>
      <x:c r="B242" s="29" t="str">
        <x:v>bakersfield</x:v>
      </x:c>
      <x:c r="C242" s="29" t="str">
        <x:v>bakersfield:veli-iletisimi</x:v>
      </x:c>
      <x:c r="D242" s="29" t="str">
        <x:v>Aile ve toplum katılımı</x:v>
      </x:c>
      <x:c r="E242" s="29" t="str">
        <x:v>https://www.bcsd.com/departments/family-and-community-engagement-face/department-home</x:v>
      </x:c>
      <x:c r="F242" s="31" t="d">
        <x:v>2026-10-24T00:00:00.000Z</x:v>
      </x:c>
      <x:c r="G242" s="35" t="n">
        <x:v>0</x:v>
      </x:c>
    </x:row>
    <x:row r="243" ht="54" customHeight="1">
      <x:c r="A243" s="29" t="str">
        <x:v>bakersfield:action:lise-gecis-1</x:v>
      </x:c>
      <x:c r="B243" s="29" t="str">
        <x:v>bakersfield</x:v>
      </x:c>
      <x:c r="C243" s="29" t="str">
        <x:v>bakersfield:lise-gecis</x:v>
      </x:c>
      <x:c r="D243" s="29" t="str">
        <x:v>Lise bölgesi</x:v>
      </x:c>
      <x:c r="E243" s="29" t="str">
        <x:v>https://www.kernhigh.org/</x:v>
      </x:c>
      <x:c r="F243" s="31" t="d">
        <x:v>2026-10-24T00:00:00.000Z</x:v>
      </x:c>
      <x:c r="G243" s="35" t="n">
        <x:v>0</x:v>
      </x:c>
    </x:row>
    <x:row r="244" ht="54" customHeight="1">
      <x:c r="A244" s="29" t="str">
        <x:v>bakersfield:action:bakim-bulma-1</x:v>
      </x:c>
      <x:c r="B244" s="29" t="str">
        <x:v>bakersfield</x:v>
      </x:c>
      <x:c r="C244" s="29" t="str">
        <x:v>bakersfield:bakim-bulma</x:v>
      </x:c>
      <x:c r="D244" s="29" t="str">
        <x:v>Community Connection for Child Care</x:v>
      </x:c>
      <x:c r="E244" s="29" t="str">
        <x:v>https://kern.org/community-connection-child-care/</x:v>
      </x:c>
      <x:c r="F244" s="31" t="d">
        <x:v>2026-10-24T00:00:00.000Z</x:v>
      </x:c>
      <x:c r="G244" s="35" t="n">
        <x:v>0</x:v>
      </x:c>
    </x:row>
    <x:row r="245" ht="54" customHeight="1">
      <x:c r="A245" s="29" t="str">
        <x:v>bakersfield:action:bakim-lisans-1</x:v>
      </x:c>
      <x:c r="B245" s="29" t="str">
        <x:v>bakersfield</x:v>
      </x:c>
      <x:c r="C245" s="29" t="str">
        <x:v>bakersfield:bakim-lisans</x:v>
      </x:c>
      <x:c r="D245" s="29" t="str">
        <x:v>Lisanslı çocuk bakımı arama</x:v>
      </x:c>
      <x:c r="E245" s="29" t="str">
        <x:v>https://www.ccld.dss.ca.gov/carefacilitysearch/</x:v>
      </x:c>
      <x:c r="F245" s="31" t="d">
        <x:v>2026-10-24T00:00:00.000Z</x:v>
      </x:c>
      <x:c r="G245" s="35" t="n">
        <x:v>0</x:v>
      </x:c>
    </x:row>
    <x:row r="246" ht="54" customHeight="1">
      <x:c r="A246" s="29" t="str">
        <x:v>bakersfield:action:bakim-sozlesme-1</x:v>
      </x:c>
      <x:c r="B246" s="29" t="str">
        <x:v>bakersfield</x:v>
      </x:c>
      <x:c r="C246" s="29" t="str">
        <x:v>bakersfield:bakim-sozlesme</x:v>
      </x:c>
      <x:c r="D246" s="29" t="str">
        <x:v>Community Connection for Child Care</x:v>
      </x:c>
      <x:c r="E246" s="29" t="str">
        <x:v>https://kern.org/community-connection-child-care/</x:v>
      </x:c>
      <x:c r="F246" s="31" t="d">
        <x:v>2026-10-24T00:00:00.000Z</x:v>
      </x:c>
      <x:c r="G246" s="35" t="n">
        <x:v>0</x:v>
      </x:c>
    </x:row>
    <x:row r="247" ht="54" customHeight="1">
      <x:c r="A247" s="29" t="str">
        <x:v>bakersfield:action:college-baslangic-1</x:v>
      </x:c>
      <x:c r="B247" s="29" t="str">
        <x:v>bakersfield</x:v>
      </x:c>
      <x:c r="C247" s="29" t="str">
        <x:v>bakersfield:college-baslangic</x:v>
      </x:c>
      <x:c r="D247" s="29" t="str">
        <x:v>Başvuru ve programlar</x:v>
      </x:c>
      <x:c r="E247" s="29" t="str">
        <x:v>https://www.bakersfieldcollege.edu/</x:v>
      </x:c>
      <x:c r="F247" s="31" t="d">
        <x:v>2026-10-24T00:00:00.000Z</x:v>
      </x:c>
      <x:c r="G247" s="35" t="n">
        <x:v>0</x:v>
      </x:c>
    </x:row>
    <x:row r="248" ht="54" customHeight="1">
      <x:c r="A248" s="29" t="str">
        <x:v>bakersfield:action:csub-uluslararasi-1</x:v>
      </x:c>
      <x:c r="B248" s="29" t="str">
        <x:v>bakersfield</x:v>
      </x:c>
      <x:c r="C248" s="29" t="str">
        <x:v>bakersfield:csub-uluslararasi</x:v>
      </x:c>
      <x:c r="D248" s="29" t="str">
        <x:v>Uluslararası öğrenciler</x:v>
      </x:c>
      <x:c r="E248" s="29" t="str">
        <x:v>https://www.csub.edu/isp/</x:v>
      </x:c>
      <x:c r="F248" s="31" t="d">
        <x:v>2026-10-24T00:00:00.000Z</x:v>
      </x:c>
      <x:c r="G248" s="35" t="n">
        <x:v>0</x:v>
      </x:c>
    </x:row>
    <x:row r="249" ht="54" customHeight="1">
      <x:c r="A249" s="29" t="str">
        <x:v>bakersfield:action:csub-uluslararasi-2</x:v>
      </x:c>
      <x:c r="B249" s="29" t="str">
        <x:v>bakersfield</x:v>
      </x:c>
      <x:c r="C249" s="29" t="str">
        <x:v>bakersfield:csub-uluslararasi</x:v>
      </x:c>
      <x:c r="D249" s="29" t="str">
        <x:v>Vize geçerliliği ve kalış süresi</x:v>
      </x:c>
      <x:c r="E249" s="29" t="str">
        <x:v>https://travel.state.gov/content/travel/en/us-visas/visa-information-resources/visa-expiration-date.html</x:v>
      </x:c>
      <x:c r="F249" s="31" t="d">
        <x:v>2026-10-24T00:00:00.000Z</x:v>
      </x:c>
      <x:c r="G249" s="35" t="n">
        <x:v>1</x:v>
      </x:c>
    </x:row>
    <x:row r="250" ht="54" customHeight="1">
      <x:c r="A250" s="29" t="str">
        <x:v>bakersfield:action:yetiskin-egitim-1</x:v>
      </x:c>
      <x:c r="B250" s="29" t="str">
        <x:v>bakersfield</x:v>
      </x:c>
      <x:c r="C250" s="29" t="str">
        <x:v>bakersfield:yetiskin-egitim</x:v>
      </x:c>
      <x:c r="D250" s="29" t="str">
        <x:v>Yetişkin eğitimi</x:v>
      </x:c>
      <x:c r="E250" s="29" t="str">
        <x:v>https://bas.kernhigh.org/</x:v>
      </x:c>
      <x:c r="F250" s="31" t="d">
        <x:v>2026-10-24T00:00:00.000Z</x:v>
      </x:c>
      <x:c r="G250" s="35" t="n">
        <x:v>0</x:v>
      </x:c>
    </x:row>
    <x:row r="251" ht="54" customHeight="1">
      <x:c r="A251" s="29" t="str">
        <x:v>bakersfield:action:kutuphane-cocuk-1</x:v>
      </x:c>
      <x:c r="B251" s="29" t="str">
        <x:v>bakersfield</x:v>
      </x:c>
      <x:c r="C251" s="29" t="str">
        <x:v>bakersfield:kutuphane-cocuk</x:v>
      </x:c>
      <x:c r="D251" s="29" t="str">
        <x:v>Etkinlik takvimi</x:v>
      </x:c>
      <x:c r="E251" s="29" t="str">
        <x:v>https://kerncountylibrary.org/events/</x:v>
      </x:c>
      <x:c r="F251" s="31" t="d">
        <x:v>2026-10-24T00:00:00.000Z</x:v>
      </x:c>
      <x:c r="G251" s="35" t="n">
        <x:v>0</x:v>
      </x:c>
    </x:row>
    <x:row r="252" ht="54" customHeight="1">
      <x:c r="A252" s="29" t="str">
        <x:v>bakersfield:action:kutuphane-cocuk-2</x:v>
      </x:c>
      <x:c r="B252" s="29" t="str">
        <x:v>bakersfield</x:v>
      </x:c>
      <x:c r="C252" s="29" t="str">
        <x:v>bakersfield:kutuphane-cocuk</x:v>
      </x:c>
      <x:c r="D252" s="29" t="str">
        <x:v>Kütüphane kartı</x:v>
      </x:c>
      <x:c r="E252" s="29" t="str">
        <x:v>https://kerncountylibrary.org/get-a-library-card/</x:v>
      </x:c>
      <x:c r="F252" s="31" t="d">
        <x:v>2026-10-24T00:00:00.000Z</x:v>
      </x:c>
      <x:c r="G252" s="35" t="n">
        <x:v>1</x:v>
      </x:c>
    </x:row>
    <x:row r="253" ht="54" customHeight="1">
      <x:c r="A253" s="29" t="str">
        <x:v>bakersfield:action:aile-acil-plan-1</x:v>
      </x:c>
      <x:c r="B253" s="29" t="str">
        <x:v>bakersfield</x:v>
      </x:c>
      <x:c r="C253" s="29" t="str">
        <x:v>bakersfield:aile-acil-plan</x:v>
      </x:c>
      <x:c r="D253" s="29" t="str">
        <x:v>ReadyKern acil bildirim kaydı</x:v>
      </x:c>
      <x:c r="E253" s="29" t="str">
        <x:v>https://kerncountyfire.org/education-safety/ready-kern/</x:v>
      </x:c>
      <x:c r="F253" s="31" t="d">
        <x:v>2026-10-24T00:00:00.000Z</x:v>
      </x:c>
      <x:c r="G253" s="35" t="n">
        <x:v>0</x:v>
      </x:c>
    </x:row>
    <x:row r="254" ht="54" customHeight="1">
      <x:c r="A254" s="29" t="str">
        <x:v>bakersfield:action:aile-acil-plan-2</x:v>
      </x:c>
      <x:c r="B254" s="29" t="str">
        <x:v>bakersfield</x:v>
      </x:c>
      <x:c r="C254" s="29" t="str">
        <x:v>bakersfield:aile-acil-plan</x:v>
      </x:c>
      <x:c r="D254" s="29" t="str">
        <x:v>Yeni öğrenci kayıt işlemleri</x:v>
      </x:c>
      <x:c r="E254" s="29" t="str">
        <x:v>https://www.bcsd.com/enrollment/new-student-enrollment</x:v>
      </x:c>
      <x:c r="F254" s="31" t="d">
        <x:v>2026-10-24T00:00:00.000Z</x:v>
      </x:c>
      <x:c r="G254" s="35" t="n">
        <x:v>1</x:v>
      </x:c>
    </x:row>
    <x:row r="255" ht="54" customHeight="1">
      <x:c r="A255" s="29" t="str">
        <x:v>bakersfield:action:get-baslangic-1</x:v>
      </x:c>
      <x:c r="B255" s="29" t="str">
        <x:v>bakersfield</x:v>
      </x:c>
      <x:c r="C255" s="29" t="str">
        <x:v>bakersfield:get-baslangic</x:v>
      </x:c>
      <x:c r="D255" s="29" t="str">
        <x:v>GET hatlar ve biletler</x:v>
      </x:c>
      <x:c r="E255" s="29" t="str">
        <x:v>https://www.getbus.org/</x:v>
      </x:c>
      <x:c r="F255" s="31" t="d">
        <x:v>2026-10-24T00:00:00.000Z</x:v>
      </x:c>
      <x:c r="G255" s="35" t="n">
        <x:v>0</x:v>
      </x:c>
    </x:row>
    <x:row r="256" ht="54" customHeight="1">
      <x:c r="A256" s="29" t="str">
        <x:v>bakersfield:action:get-bilet-1</x:v>
      </x:c>
      <x:c r="B256" s="29" t="str">
        <x:v>bakersfield</x:v>
      </x:c>
      <x:c r="C256" s="29" t="str">
        <x:v>bakersfield:get-bilet</x:v>
      </x:c>
      <x:c r="D256" s="29" t="str">
        <x:v>GET bilet ücretleri</x:v>
      </x:c>
      <x:c r="E256" s="29" t="str">
        <x:v>https://tokentransit.com/agency/goldenempiretransit</x:v>
      </x:c>
      <x:c r="F256" s="31" t="d">
        <x:v>2026-10-24T00:00:00.000Z</x:v>
      </x:c>
      <x:c r="G256" s="35" t="n">
        <x:v>0</x:v>
      </x:c>
    </x:row>
    <x:row r="257" ht="54" customHeight="1">
      <x:c r="A257" s="29" t="str">
        <x:v>bakersfield:action:get-indirim-1</x:v>
      </x:c>
      <x:c r="B257" s="29" t="str">
        <x:v>bakersfield</x:v>
      </x:c>
      <x:c r="C257" s="29" t="str">
        <x:v>bakersfield:get-indirim</x:v>
      </x:c>
      <x:c r="D257" s="29" t="str">
        <x:v>GET hatlar ve biletler</x:v>
      </x:c>
      <x:c r="E257" s="29" t="str">
        <x:v>https://www.getbus.org/</x:v>
      </x:c>
      <x:c r="F257" s="31" t="d">
        <x:v>2026-10-24T00:00:00.000Z</x:v>
      </x:c>
      <x:c r="G257" s="35" t="n">
        <x:v>0</x:v>
      </x:c>
    </x:row>
    <x:row r="258" ht="54" customHeight="1">
      <x:c r="A258" s="29" t="str">
        <x:v>bakersfield:action:get-indirim-2</x:v>
      </x:c>
      <x:c r="B258" s="29" t="str">
        <x:v>bakersfield</x:v>
      </x:c>
      <x:c r="C258" s="29" t="str">
        <x:v>bakersfield:get-indirim</x:v>
      </x:c>
      <x:c r="D258" s="29" t="str">
        <x:v>GET bilet ücretleri</x:v>
      </x:c>
      <x:c r="E258" s="29" t="str">
        <x:v>https://tokentransit.com/agency/goldenempiretransit</x:v>
      </x:c>
      <x:c r="F258" s="31" t="d">
        <x:v>2026-10-24T00:00:00.000Z</x:v>
      </x:c>
      <x:c r="G258" s="35" t="n">
        <x:v>1</x:v>
      </x:c>
    </x:row>
    <x:row r="259" ht="54" customHeight="1">
      <x:c r="A259" s="29" t="str">
        <x:v>bakersfield:action:get-erisim-1</x:v>
      </x:c>
      <x:c r="B259" s="29" t="str">
        <x:v>bakersfield</x:v>
      </x:c>
      <x:c r="C259" s="29" t="str">
        <x:v>bakersfield:get-erisim</x:v>
      </x:c>
      <x:c r="D259" s="29" t="str">
        <x:v>GET hatlar ve biletler</x:v>
      </x:c>
      <x:c r="E259" s="29" t="str">
        <x:v>https://www.getbus.org/</x:v>
      </x:c>
      <x:c r="F259" s="31" t="d">
        <x:v>2026-10-24T00:00:00.000Z</x:v>
      </x:c>
      <x:c r="G259" s="35" t="n">
        <x:v>0</x:v>
      </x:c>
    </x:row>
    <x:row r="260" ht="54" customHeight="1">
      <x:c r="A260" s="29" t="str">
        <x:v>bakersfield:action:get-erisim-2</x:v>
      </x:c>
      <x:c r="B260" s="29" t="str">
        <x:v>bakersfield</x:v>
      </x:c>
      <x:c r="C260" s="29" t="str">
        <x:v>bakersfield:get-erisim</x:v>
      </x:c>
      <x:c r="D260" s="29" t="str">
        <x:v>GET bilet ücretleri</x:v>
      </x:c>
      <x:c r="E260" s="29" t="str">
        <x:v>https://tokentransit.com/agency/goldenempiretransit</x:v>
      </x:c>
      <x:c r="F260" s="31" t="d">
        <x:v>2026-10-24T00:00:00.000Z</x:v>
      </x:c>
      <x:c r="G260" s="35" t="n">
        <x:v>1</x:v>
      </x:c>
    </x:row>
    <x:row r="261" ht="54" customHeight="1">
      <x:c r="A261" s="29" t="str">
        <x:v>bakersfield:action:kern-bolge-1</x:v>
      </x:c>
      <x:c r="B261" s="29" t="str">
        <x:v>bakersfield</x:v>
      </x:c>
      <x:c r="C261" s="29" t="str">
        <x:v>bakersfield:kern-bolge</x:v>
      </x:c>
      <x:c r="D261" s="29" t="str">
        <x:v>İlçe hatları</x:v>
      </x:c>
      <x:c r="E261" s="29" t="str">
        <x:v>https://kerntransit.org/routes-and-schedules/</x:v>
      </x:c>
      <x:c r="F261" s="31" t="d">
        <x:v>2026-10-24T00:00:00.000Z</x:v>
      </x:c>
      <x:c r="G261" s="35" t="n">
        <x:v>0</x:v>
      </x:c>
    </x:row>
    <x:row r="262" ht="54" customHeight="1">
      <x:c r="A262" s="29" t="str">
        <x:v>bakersfield:action:kern-ucret-1</x:v>
      </x:c>
      <x:c r="B262" s="29" t="str">
        <x:v>bakersfield</x:v>
      </x:c>
      <x:c r="C262" s="29" t="str">
        <x:v>bakersfield:kern-ucret</x:v>
      </x:c>
      <x:c r="D262" s="29" t="str">
        <x:v>Bölgesel otobüs ücretleri</x:v>
      </x:c>
      <x:c r="E262" s="29" t="str">
        <x:v>https://kerntransit.org/fares/</x:v>
      </x:c>
      <x:c r="F262" s="31" t="d">
        <x:v>2026-10-24T00:00:00.000Z</x:v>
      </x:c>
      <x:c r="G262" s="35" t="n">
        <x:v>0</x:v>
      </x:c>
    </x:row>
    <x:row r="263" ht="54" customHeight="1">
      <x:c r="A263" s="29" t="str">
        <x:v>bakersfield:action:bakersfield-tren-1</x:v>
      </x:c>
      <x:c r="B263" s="29" t="str">
        <x:v>bakersfield</x:v>
      </x:c>
      <x:c r="C263" s="29" t="str">
        <x:v>bakersfield:bakersfield-tren</x:v>
      </x:c>
      <x:c r="D263" s="29" t="str">
        <x:v>Bakersfield tren ve bağlantı otobüsleri</x:v>
      </x:c>
      <x:c r="E263" s="29" t="str">
        <x:v>https://www.amtrak.com/goldrunner</x:v>
      </x:c>
      <x:c r="F263" s="31" t="d">
        <x:v>2026-10-24T00:00:00.000Z</x:v>
      </x:c>
      <x:c r="G263" s="35" t="n">
        <x:v>0</x:v>
      </x:c>
    </x:row>
    <x:row r="264" ht="54" customHeight="1">
      <x:c r="A264" s="29" t="str">
        <x:v>bakersfield:action:bakersfield-tren-2</x:v>
      </x:c>
      <x:c r="B264" s="29" t="str">
        <x:v>bakersfield</x:v>
      </x:c>
      <x:c r="C264" s="29" t="str">
        <x:v>bakersfield:bakersfield-tren</x:v>
      </x:c>
      <x:c r="D264" s="29" t="str">
        <x:v>San Joaquins hizmetinin Gold Runner olarak yeniden adlandırılması</x:v>
      </x:c>
      <x:c r="E264" s="29" t="str">
        <x:v>https://media.amtrak.com/2025/11/amtrak-san-joaquins-becomes-gold-runner-marking-a-new-era-for-california-passenger-rail/</x:v>
      </x:c>
      <x:c r="F264" s="31" t="d">
        <x:v>2026-10-24T00:00:00.000Z</x:v>
      </x:c>
      <x:c r="G264" s="35" t="n">
        <x:v>1</x:v>
      </x:c>
    </x:row>
    <x:row r="265" ht="54" customHeight="1">
      <x:c r="A265" s="29" t="str">
        <x:v>bakersfield:action:meadows-field-1</x:v>
      </x:c>
      <x:c r="B265" s="29" t="str">
        <x:v>bakersfield</x:v>
      </x:c>
      <x:c r="C265" s="29" t="str">
        <x:v>bakersfield:meadows-field</x:v>
      </x:c>
      <x:c r="D265" s="29" t="str">
        <x:v>Havalimanı bilgileri</x:v>
      </x:c>
      <x:c r="E265" s="29" t="str">
        <x:v>https://www.meadowsfield.com/</x:v>
      </x:c>
      <x:c r="F265" s="31" t="d">
        <x:v>2026-10-24T00:00:00.000Z</x:v>
      </x:c>
      <x:c r="G265" s="35" t="n">
        <x:v>0</x:v>
      </x:c>
    </x:row>
    <x:row r="266" ht="54" customHeight="1">
      <x:c r="A266" s="29" t="str">
        <x:v>bakersfield:action:downtown-park-1</x:v>
      </x:c>
      <x:c r="B266" s="29" t="str">
        <x:v>bakersfield</x:v>
      </x:c>
      <x:c r="C266" s="29" t="str">
        <x:v>bakersfield:downtown-park</x:v>
      </x:c>
      <x:c r="D266" s="29" t="str">
        <x:v>Downtown otopark haritası</x:v>
      </x:c>
      <x:c r="E266" s="29" t="str">
        <x:v>https://www.bakersfieldcity.us/downtown-parking</x:v>
      </x:c>
      <x:c r="F266" s="31" t="d">
        <x:v>2026-10-24T00:00:00.000Z</x:v>
      </x:c>
      <x:c r="G266" s="35" t="n">
        <x:v>0</x:v>
      </x:c>
    </x:row>
    <x:row r="267" ht="54" customHeight="1">
      <x:c r="A267" s="29" t="str">
        <x:v>bakersfield:action:ehliyet-basvuru-1</x:v>
      </x:c>
      <x:c r="B267" s="29" t="str">
        <x:v>bakersfield</x:v>
      </x:c>
      <x:c r="C267" s="29" t="str">
        <x:v>bakersfield:ehliyet-basvuru</x:v>
      </x:c>
      <x:c r="D267" s="29" t="str">
        <x:v>Kaliforniya'ya yeni taşınanlar</x:v>
      </x:c>
      <x:c r="E267" s="29" t="str">
        <x:v>https://www.dmv.ca.gov/portal/driver-education-and-safety/special-interest-driver-guides/new-to-california/</x:v>
      </x:c>
      <x:c r="F267" s="31" t="d">
        <x:v>2026-10-24T00:00:00.000Z</x:v>
      </x:c>
      <x:c r="G267" s="35" t="n">
        <x:v>0</x:v>
      </x:c>
    </x:row>
    <x:row r="268" ht="54" customHeight="1">
      <x:c r="A268" s="29" t="str">
        <x:v>bakersfield:action:ehliyet-basvuru-2</x:v>
      </x:c>
      <x:c r="B268" s="29" t="str">
        <x:v>bakersfield</x:v>
      </x:c>
      <x:c r="C268" s="29" t="str">
        <x:v>bakersfield:ehliyet-basvuru</x:v>
      </x:c>
      <x:c r="D268" s="29" t="str">
        <x:v>Sürücü belgesi başvurusu</x:v>
      </x:c>
      <x:c r="E268" s="29" t="str">
        <x:v>https://www.dmv.ca.gov/portal/driver-licenses-identification-cards/driver-licenses-dl/</x:v>
      </x:c>
      <x:c r="F268" s="31" t="d">
        <x:v>2026-10-24T00:00:00.000Z</x:v>
      </x:c>
      <x:c r="G268" s="35" t="n">
        <x:v>1</x:v>
      </x:c>
    </x:row>
    <x:row r="269" ht="54" customHeight="1">
      <x:c r="A269" s="29" t="str">
        <x:v>bakersfield:action:ehliyet-basvuru-3</x:v>
      </x:c>
      <x:c r="B269" s="29" t="str">
        <x:v>bakersfield</x:v>
      </x:c>
      <x:c r="C269" s="29" t="str">
        <x:v>bakersfield:ehliyet-basvuru</x:v>
      </x:c>
      <x:c r="D269" s="29" t="str">
        <x:v>Sürücü belgesi ve kimlik ücretleri</x:v>
      </x:c>
      <x:c r="E269" s="29" t="str">
        <x:v>https://www.dmv.ca.gov/portal/driver-licenses-identification-cards/licensing-fees/</x:v>
      </x:c>
      <x:c r="F269" s="31" t="d">
        <x:v>2026-10-24T00:00:00.000Z</x:v>
      </x:c>
      <x:c r="G269" s="35" t="n">
        <x:v>2</x:v>
      </x:c>
    </x:row>
    <x:row r="270" ht="54" customHeight="1">
      <x:c r="A270" s="29" t="str">
        <x:v>bakersfield:action:ehliyet-sinav-1</x:v>
      </x:c>
      <x:c r="B270" s="29" t="str">
        <x:v>bakersfield</x:v>
      </x:c>
      <x:c r="C270" s="29" t="str">
        <x:v>bakersfield:ehliyet-sinav</x:v>
      </x:c>
      <x:c r="D270" s="29" t="str">
        <x:v>Sürücü belgesi başvurusu</x:v>
      </x:c>
      <x:c r="E270" s="29" t="str">
        <x:v>https://www.dmv.ca.gov/portal/driver-licenses-identification-cards/driver-licenses-dl/</x:v>
      </x:c>
      <x:c r="F270" s="31" t="d">
        <x:v>2026-10-24T00:00:00.000Z</x:v>
      </x:c>
      <x:c r="G270" s="35" t="n">
        <x:v>0</x:v>
      </x:c>
    </x:row>
    <x:row r="271" ht="54" customHeight="1">
      <x:c r="A271" s="29" t="str">
        <x:v>bakersfield:action:ehliyet-sinav-2</x:v>
      </x:c>
      <x:c r="B271" s="29" t="str">
        <x:v>bakersfield</x:v>
      </x:c>
      <x:c r="C271" s="29" t="str">
        <x:v>bakersfield:ehliyet-sinav</x:v>
      </x:c>
      <x:c r="D271" s="29" t="str">
        <x:v>Driver Handbook</x:v>
      </x:c>
      <x:c r="E271" s="29" t="str">
        <x:v>https://www.dmv.ca.gov/portal/handbook/california-driver-handbook/</x:v>
      </x:c>
      <x:c r="F271" s="31" t="d">
        <x:v>2026-10-24T00:00:00.000Z</x:v>
      </x:c>
      <x:c r="G271" s="35" t="n">
        <x:v>1</x:v>
      </x:c>
    </x:row>
    <x:row r="272" ht="54" customHeight="1">
      <x:c r="A272" s="29" t="str">
        <x:v>bakersfield:action:ehliyet-sinav-3</x:v>
      </x:c>
      <x:c r="B272" s="29" t="str">
        <x:v>bakersfield</x:v>
      </x:c>
      <x:c r="C272" s="29" t="str">
        <x:v>bakersfield:ehliyet-sinav</x:v>
      </x:c>
      <x:c r="D272" s="29" t="str">
        <x:v>Sürücü belgesi ve kimlik ücretleri</x:v>
      </x:c>
      <x:c r="E272" s="29" t="str">
        <x:v>https://www.dmv.ca.gov/portal/driver-licenses-identification-cards/licensing-fees/</x:v>
      </x:c>
      <x:c r="F272" s="31" t="d">
        <x:v>2026-10-24T00:00:00.000Z</x:v>
      </x:c>
      <x:c r="G272" s="35" t="n">
        <x:v>2</x:v>
      </x:c>
    </x:row>
    <x:row r="273" ht="54" customHeight="1">
      <x:c r="A273" s="29" t="str">
        <x:v>bakersfield:action:arac-tescil-1</x:v>
      </x:c>
      <x:c r="B273" s="29" t="str">
        <x:v>bakersfield</x:v>
      </x:c>
      <x:c r="C273" s="29" t="str">
        <x:v>bakersfield:arac-tescil</x:v>
      </x:c>
      <x:c r="D273" s="29" t="str">
        <x:v>Kaliforniya'ya yeni taşınanlar</x:v>
      </x:c>
      <x:c r="E273" s="29" t="str">
        <x:v>https://www.dmv.ca.gov/portal/driver-education-and-safety/special-interest-driver-guides/new-to-california/</x:v>
      </x:c>
      <x:c r="F273" s="31" t="d">
        <x:v>2026-10-24T00:00:00.000Z</x:v>
      </x:c>
      <x:c r="G273" s="35" t="n">
        <x:v>0</x:v>
      </x:c>
    </x:row>
    <x:row r="274" ht="54" customHeight="1">
      <x:c r="A274" s="29" t="str">
        <x:v>bakersfield:action:arac-tescil-2</x:v>
      </x:c>
      <x:c r="B274" s="29" t="str">
        <x:v>bakersfield</x:v>
      </x:c>
      <x:c r="C274" s="29" t="str">
        <x:v>bakersfield:arac-tescil</x:v>
      </x:c>
      <x:c r="D274" s="29" t="str">
        <x:v>Araç tescili</x:v>
      </x:c>
      <x:c r="E274" s="29" t="str">
        <x:v>https://www.dmv.ca.gov/portal/vehicle-registration/new-registration/</x:v>
      </x:c>
      <x:c r="F274" s="31" t="d">
        <x:v>2026-10-24T00:00:00.000Z</x:v>
      </x:c>
      <x:c r="G274" s="35" t="n">
        <x:v>1</x:v>
      </x:c>
    </x:row>
    <x:row r="275" ht="54" customHeight="1">
      <x:c r="A275" s="29" t="str">
        <x:v>bakersfield:action:arac-sigorta-1</x:v>
      </x:c>
      <x:c r="B275" s="29" t="str">
        <x:v>bakersfield</x:v>
      </x:c>
      <x:c r="C275" s="29" t="str">
        <x:v>bakersfield:arac-sigorta</x:v>
      </x:c>
      <x:c r="D275" s="29" t="str">
        <x:v>Araç sigortası koşulları</x:v>
      </x:c>
      <x:c r="E275" s="29" t="str">
        <x:v>https://www.dmv.ca.gov/portal/vehicle-registration/insurance-requirements/</x:v>
      </x:c>
      <x:c r="F275" s="31" t="d">
        <x:v>2026-10-24T00:00:00.000Z</x:v>
      </x:c>
      <x:c r="G275" s="35" t="n">
        <x:v>0</x:v>
      </x:c>
    </x:row>
    <x:row r="276" ht="54" customHeight="1">
      <x:c r="A276" s="29" t="str">
        <x:v>bakersfield:action:ikinci-el-arac-1</x:v>
      </x:c>
      <x:c r="B276" s="29" t="str">
        <x:v>bakersfield</x:v>
      </x:c>
      <x:c r="C276" s="29" t="str">
        <x:v>bakersfield:ikinci-el-arac</x:v>
      </x:c>
      <x:c r="D276" s="29" t="str">
        <x:v>Araç alım ve satımı</x:v>
      </x:c>
      <x:c r="E276" s="29" t="str">
        <x:v>https://www.dmv.ca.gov/portal/vehicle-registration/new-registration/registering-a-vehicle-purchased-from-a-private-party/</x:v>
      </x:c>
      <x:c r="F276" s="31" t="d">
        <x:v>2026-10-24T00:00:00.000Z</x:v>
      </x:c>
      <x:c r="G276" s="35" t="n">
        <x:v>0</x:v>
      </x:c>
    </x:row>
    <x:row r="277" ht="54" customHeight="1">
      <x:c r="A277" s="29" t="str">
        <x:v>bakersfield:action:smog-1</x:v>
      </x:c>
      <x:c r="B277" s="29" t="str">
        <x:v>bakersfield</x:v>
      </x:c>
      <x:c r="C277" s="29" t="str">
        <x:v>bakersfield:smog</x:v>
      </x:c>
      <x:c r="D277" s="29" t="str">
        <x:v>Smog Check</x:v>
      </x:c>
      <x:c r="E277" s="29" t="str">
        <x:v>https://www.bar.ca.gov/consumer/smog-check-program</x:v>
      </x:c>
      <x:c r="F277" s="31" t="d">
        <x:v>2026-10-24T00:00:00.000Z</x:v>
      </x:c>
      <x:c r="G277" s="35" t="n">
        <x:v>0</x:v>
      </x:c>
    </x:row>
    <x:row r="278" ht="54" customHeight="1">
      <x:c r="A278" s="29" t="str">
        <x:v>bakersfield:action:cocuk-koltugu-1</x:v>
      </x:c>
      <x:c r="B278" s="29" t="str">
        <x:v>bakersfield</x:v>
      </x:c>
      <x:c r="C278" s="29" t="str">
        <x:v>bakersfield:cocuk-koltugu</x:v>
      </x:c>
      <x:c r="D278" s="29" t="str">
        <x:v>Çocuk yolcu güvenliği</x:v>
      </x:c>
      <x:c r="E278" s="29" t="str">
        <x:v>https://www.ots.ca.gov/child-passenger-safety/</x:v>
      </x:c>
      <x:c r="F278" s="31" t="d">
        <x:v>2026-10-24T00:00:00.000Z</x:v>
      </x:c>
      <x:c r="G278" s="35" t="n">
        <x:v>0</x:v>
      </x:c>
    </x:row>
    <x:row r="279" ht="54" customHeight="1">
      <x:c r="A279" s="29" t="str">
        <x:v>bakersfield:action:bisiklet-duzeni-1</x:v>
      </x:c>
      <x:c r="B279" s="29" t="str">
        <x:v>bakersfield</x:v>
      </x:c>
      <x:c r="C279" s="29" t="str">
        <x:v>bakersfield:bisiklet-duzeni</x:v>
      </x:c>
      <x:c r="D279" s="29" t="str">
        <x:v>Rekreasyon ve park hizmetleri</x:v>
      </x:c>
      <x:c r="E279" s="29" t="str">
        <x:v>https://www.bakersfieldcity.us/recreation-parks</x:v>
      </x:c>
      <x:c r="F279" s="31" t="d">
        <x:v>2026-10-24T00:00:00.000Z</x:v>
      </x:c>
      <x:c r="G279" s="35" t="n">
        <x:v>0</x:v>
      </x:c>
    </x:row>
    <x:row r="280" ht="54" customHeight="1">
      <x:c r="A280" s="29" t="str">
        <x:v>bakersfield:action:bisiklet-duzeni-2</x:v>
      </x:c>
      <x:c r="B280" s="29" t="str">
        <x:v>bakersfield</x:v>
      </x:c>
      <x:c r="C280" s="29" t="str">
        <x:v>bakersfield:bisiklet-duzeni</x:v>
      </x:c>
      <x:c r="D280" s="29" t="str">
        <x:v>Bisiklet güvenliği</x:v>
      </x:c>
      <x:c r="E280" s="29" t="str">
        <x:v>https://www.dmv.ca.gov/portal/driver-education-and-safety/special-interest-driver-guides/bicyclists-pedestrians/</x:v>
      </x:c>
      <x:c r="F280" s="31" t="d">
        <x:v>2026-10-24T00:00:00.000Z</x:v>
      </x:c>
      <x:c r="G280" s="35" t="n">
        <x:v>1</x:v>
      </x:c>
    </x:row>
    <x:row r="281" ht="54" customHeight="1">
      <x:c r="A281" s="29" t="str">
        <x:v>bakersfield:action:yaya-sicak-1</x:v>
      </x:c>
      <x:c r="B281" s="29" t="str">
        <x:v>bakersfield</x:v>
      </x:c>
      <x:c r="C281" s="29" t="str">
        <x:v>bakersfield:yaya-sicak</x:v>
      </x:c>
      <x:c r="D281" s="29" t="str">
        <x:v>Bakersfield hava tahmini</x:v>
      </x:c>
      <x:c r="E281" s="29" t="str">
        <x:v>https://forecast.weather.gov/MapClick.php?lat=35.3733&amp;lon=-119.0187</x:v>
      </x:c>
      <x:c r="F281" s="31" t="d">
        <x:v>2026-10-24T00:00:00.000Z</x:v>
      </x:c>
      <x:c r="G281" s="35" t="n">
        <x:v>0</x:v>
      </x:c>
    </x:row>
    <x:row r="282" ht="54" customHeight="1">
      <x:c r="A282" s="29" t="str">
        <x:v>bakersfield:action:yaya-sicak-2</x:v>
      </x:c>
      <x:c r="B282" s="29" t="str">
        <x:v>bakersfield</x:v>
      </x:c>
      <x:c r="C282" s="29" t="str">
        <x:v>bakersfield:yaya-sicak</x:v>
      </x:c>
      <x:c r="D282" s="29" t="str">
        <x:v>Hava kalitesi endeksi</x:v>
      </x:c>
      <x:c r="E282" s="29" t="str">
        <x:v>https://www.airnow.gov/aqi/aqi-basics/</x:v>
      </x:c>
      <x:c r="F282" s="31" t="d">
        <x:v>2026-10-24T00:00:00.000Z</x:v>
      </x:c>
      <x:c r="G282" s="35" t="n">
        <x:v>1</x:v>
      </x:c>
    </x:row>
    <x:row r="283" ht="54" customHeight="1">
      <x:c r="A283" s="29" t="str">
        <x:v>bakersfield:action:dag-yollari-1</x:v>
      </x:c>
      <x:c r="B283" s="29" t="str">
        <x:v>bakersfield</x:v>
      </x:c>
      <x:c r="C283" s="29" t="str">
        <x:v>bakersfield:dag-yollari</x:v>
      </x:c>
      <x:c r="D283" s="29" t="str">
        <x:v>QuickMap yol durumu</x:v>
      </x:c>
      <x:c r="E283" s="29" t="str">
        <x:v>https://quickmap.dot.ca.gov/</x:v>
      </x:c>
      <x:c r="F283" s="31" t="d">
        <x:v>2026-10-24T00:00:00.000Z</x:v>
      </x:c>
      <x:c r="G283" s="35" t="n">
        <x:v>0</x:v>
      </x:c>
    </x:row>
    <x:row r="284" ht="54" customHeight="1">
      <x:c r="A284" s="29" t="str">
        <x:v>bakersfield:action:dag-yollari-2</x:v>
      </x:c>
      <x:c r="B284" s="29" t="str">
        <x:v>bakersfield</x:v>
      </x:c>
      <x:c r="C284" s="29" t="str">
        <x:v>bakersfield:dag-yollari</x:v>
      </x:c>
      <x:c r="D284" s="29" t="str">
        <x:v>Bakersfield hava tahmini</x:v>
      </x:c>
      <x:c r="E284" s="29" t="str">
        <x:v>https://forecast.weather.gov/MapClick.php?lat=35.3733&amp;lon=-119.0187</x:v>
      </x:c>
      <x:c r="F284" s="31" t="d">
        <x:v>2026-10-24T00:00:00.000Z</x:v>
      </x:c>
      <x:c r="G284" s="35" t="n">
        <x:v>1</x:v>
      </x:c>
    </x:row>
    <x:row r="285" ht="54" customHeight="1">
      <x:c r="A285" s="29" t="str">
        <x:v>bakersfield:action:ulasim-butcesi-1</x:v>
      </x:c>
      <x:c r="B285" s="29" t="str">
        <x:v>bakersfield</x:v>
      </x:c>
      <x:c r="C285" s="29" t="str">
        <x:v>bakersfield:ulasim-butcesi</x:v>
      </x:c>
      <x:c r="D285" s="29" t="str">
        <x:v>GET bilet ücretleri</x:v>
      </x:c>
      <x:c r="E285" s="29" t="str">
        <x:v>https://tokentransit.com/agency/goldenempiretransit</x:v>
      </x:c>
      <x:c r="F285" s="31" t="d">
        <x:v>2026-10-24T00:00:00.000Z</x:v>
      </x:c>
      <x:c r="G285" s="35" t="n">
        <x:v>0</x:v>
      </x:c>
    </x:row>
    <x:row r="286" ht="54" customHeight="1">
      <x:c r="A286" s="29" t="str">
        <x:v>bakersfield:action:ulasim-butcesi-2</x:v>
      </x:c>
      <x:c r="B286" s="29" t="str">
        <x:v>bakersfield</x:v>
      </x:c>
      <x:c r="C286" s="29" t="str">
        <x:v>bakersfield:ulasim-butcesi</x:v>
      </x:c>
      <x:c r="D286" s="29" t="str">
        <x:v>Araç tescili</x:v>
      </x:c>
      <x:c r="E286" s="29" t="str">
        <x:v>https://www.dmv.ca.gov/portal/vehicle-registration/new-registration/</x:v>
      </x:c>
      <x:c r="F286" s="31" t="d">
        <x:v>2026-10-24T00:00:00.000Z</x:v>
      </x:c>
      <x:c r="G286" s="35" t="n">
        <x:v>1</x:v>
      </x:c>
    </x:row>
    <x:row r="287" ht="54" customHeight="1">
      <x:c r="A287" s="29" t="str">
        <x:v>bakersfield:action:ulasim-butcesi-3</x:v>
      </x:c>
      <x:c r="B287" s="29" t="str">
        <x:v>bakersfield</x:v>
      </x:c>
      <x:c r="C287" s="29" t="str">
        <x:v>bakersfield:ulasim-butcesi</x:v>
      </x:c>
      <x:c r="D287" s="29" t="str">
        <x:v>Araç sigortası koşulları</x:v>
      </x:c>
      <x:c r="E287" s="29" t="str">
        <x:v>https://www.dmv.ca.gov/portal/vehicle-registration/insurance-requirements/</x:v>
      </x:c>
      <x:c r="F287" s="31" t="d">
        <x:v>2026-10-24T00:00:00.000Z</x:v>
      </x:c>
      <x:c r="G287" s="35" t="n">
        <x:v>2</x:v>
      </x:c>
    </x:row>
    <x:row r="288" ht="54" customHeight="1">
      <x:c r="A288" s="29" t="str">
        <x:v>bakersfield:action:sivrisinek-bildirim-1</x:v>
      </x:c>
      <x:c r="B288" s="29" t="str">
        <x:v>bakersfield</x:v>
      </x:c>
      <x:c r="C288" s="29" t="str">
        <x:v>bakersfield:sivrisinek-bildirim</x:v>
      </x:c>
      <x:c r="D288" s="29" t="str">
        <x:v>Sivrisinek ve yeşil havuz bildirimi</x:v>
      </x:c>
      <x:c r="E288" s="29" t="str">
        <x:v>https://www.kernmosquito.com/contact-us</x:v>
      </x:c>
      <x:c r="F288" s="31" t="d">
        <x:v>2026-10-24T00:00:00.000Z</x:v>
      </x:c>
      <x:c r="G288" s="35" t="n">
        <x:v>0</x:v>
      </x:c>
    </x:row>
    <x:row r="289" ht="54" customHeight="1">
      <x:c r="A289" s="29" t="str">
        <x:v>bakersfield:action:cop-takvimi-1</x:v>
      </x:c>
      <x:c r="B289" s="29" t="str">
        <x:v>bakersfield</x:v>
      </x:c>
      <x:c r="C289" s="29" t="str">
        <x:v>bakersfield:cop-takvimi</x:v>
      </x:c>
      <x:c r="D289" s="29" t="str">
        <x:v>Atık ve geri dönüşüm</x:v>
      </x:c>
      <x:c r="E289" s="29" t="str">
        <x:v>https://www.kernpublicworks.com/services/solid-waste</x:v>
      </x:c>
      <x:c r="F289" s="31" t="d">
        <x:v>2026-10-24T00:00:00.000Z</x:v>
      </x:c>
      <x:c r="G289" s="35" t="n">
        <x:v>0</x:v>
      </x:c>
    </x:row>
    <x:row r="290" ht="54" customHeight="1">
      <x:c r="A290" s="29" t="str">
        <x:v>bakersfield:action:cop-takvimi-2</x:v>
      </x:c>
      <x:c r="B290" s="29" t="str">
        <x:v>bakersfield</x:v>
      </x:c>
      <x:c r="C290" s="29" t="str">
        <x:v>bakersfield:cop-takvimi</x:v>
      </x:c>
      <x:c r="D290" s="29" t="str">
        <x:v>Katı atık hizmetleri</x:v>
      </x:c>
      <x:c r="E290" s="29" t="str">
        <x:v>https://www.bakersfieldcity.us/garbage-recycling?contentId=413bf2fe-064a-40e6-bc86-5f3faabae99a&amp;itemDetail=3</x:v>
      </x:c>
      <x:c r="F290" s="31" t="d">
        <x:v>2026-10-24T00:00:00.000Z</x:v>
      </x:c>
      <x:c r="G290" s="35" t="n">
        <x:v>1</x:v>
      </x:c>
    </x:row>
    <x:row r="291" ht="54" customHeight="1">
      <x:c r="A291" s="29" t="str">
        <x:v>bakersfield:action:organik-atik-1</x:v>
      </x:c>
      <x:c r="B291" s="29" t="str">
        <x:v>bakersfield</x:v>
      </x:c>
      <x:c r="C291" s="29" t="str">
        <x:v>bakersfield:organik-atik</x:v>
      </x:c>
      <x:c r="D291" s="29" t="str">
        <x:v>Atık ve geri dönüşüm</x:v>
      </x:c>
      <x:c r="E291" s="29" t="str">
        <x:v>https://www.kernpublicworks.com/services/solid-waste</x:v>
      </x:c>
      <x:c r="F291" s="31" t="d">
        <x:v>2026-10-24T00:00:00.000Z</x:v>
      </x:c>
      <x:c r="G291" s="35" t="n">
        <x:v>0</x:v>
      </x:c>
    </x:row>
    <x:row r="292" ht="54" customHeight="1">
      <x:c r="A292" s="29" t="str">
        <x:v>bakersfield:action:organik-atik-2</x:v>
      </x:c>
      <x:c r="B292" s="29" t="str">
        <x:v>bakersfield</x:v>
      </x:c>
      <x:c r="C292" s="29" t="str">
        <x:v>bakersfield:organik-atik</x:v>
      </x:c>
      <x:c r="D292" s="29" t="str">
        <x:v>Katı atık hizmetleri</x:v>
      </x:c>
      <x:c r="E292" s="29" t="str">
        <x:v>https://www.bakersfieldcity.us/garbage-recycling?contentId=413bf2fe-064a-40e6-bc86-5f3faabae99a&amp;itemDetail=3</x:v>
      </x:c>
      <x:c r="F292" s="31" t="d">
        <x:v>2026-10-24T00:00:00.000Z</x:v>
      </x:c>
      <x:c r="G292" s="35" t="n">
        <x:v>1</x:v>
      </x:c>
    </x:row>
    <x:row r="293" ht="54" customHeight="1">
      <x:c r="A293" s="29" t="str">
        <x:v>bakersfield:action:buyuk-atik-1</x:v>
      </x:c>
      <x:c r="B293" s="29" t="str">
        <x:v>bakersfield</x:v>
      </x:c>
      <x:c r="C293" s="29" t="str">
        <x:v>bakersfield:buyuk-atik</x:v>
      </x:c>
      <x:c r="D293" s="29" t="str">
        <x:v>Atık ve geri dönüşüm</x:v>
      </x:c>
      <x:c r="E293" s="29" t="str">
        <x:v>https://www.kernpublicworks.com/services/solid-waste</x:v>
      </x:c>
      <x:c r="F293" s="31" t="d">
        <x:v>2026-10-24T00:00:00.000Z</x:v>
      </x:c>
      <x:c r="G293" s="35" t="n">
        <x:v>0</x:v>
      </x:c>
    </x:row>
    <x:row r="294" ht="54" customHeight="1">
      <x:c r="A294" s="29" t="str">
        <x:v>bakersfield:action:buyuk-atik-2</x:v>
      </x:c>
      <x:c r="B294" s="29" t="str">
        <x:v>bakersfield</x:v>
      </x:c>
      <x:c r="C294" s="29" t="str">
        <x:v>bakersfield:buyuk-atik</x:v>
      </x:c>
      <x:c r="D294" s="29" t="str">
        <x:v>Katı atık hizmetleri</x:v>
      </x:c>
      <x:c r="E294" s="29" t="str">
        <x:v>https://www.bakersfieldcity.us/garbage-recycling?contentId=413bf2fe-064a-40e6-bc86-5f3faabae99a&amp;itemDetail=3</x:v>
      </x:c>
      <x:c r="F294" s="31" t="d">
        <x:v>2026-10-24T00:00:00.000Z</x:v>
      </x:c>
      <x:c r="G294" s="35" t="n">
        <x:v>1</x:v>
      </x:c>
    </x:row>
    <x:row r="295" ht="54" customHeight="1">
      <x:c r="A295" s="29" t="str">
        <x:v>bakersfield:action:tehlikeli-atik-1</x:v>
      </x:c>
      <x:c r="B295" s="29" t="str">
        <x:v>bakersfield</x:v>
      </x:c>
      <x:c r="C295" s="29" t="str">
        <x:v>bakersfield:tehlikeli-atik</x:v>
      </x:c>
      <x:c r="D295" s="29" t="str">
        <x:v>Evsel tehlikeli atık</x:v>
      </x:c>
      <x:c r="E295" s="29" t="str">
        <x:v>https://www.kernpublicworks.com/services/solid-waste/hazardous-waste</x:v>
      </x:c>
      <x:c r="F295" s="31" t="d">
        <x:v>2026-10-24T00:00:00.000Z</x:v>
      </x:c>
      <x:c r="G295" s="35" t="n">
        <x:v>0</x:v>
      </x:c>
    </x:row>
    <x:row r="296" ht="54" customHeight="1">
      <x:c r="A296" s="29" t="str">
        <x:v>bakersfield:action:kutuphane-karti-1</x:v>
      </x:c>
      <x:c r="B296" s="29" t="str">
        <x:v>bakersfield</x:v>
      </x:c>
      <x:c r="C296" s="29" t="str">
        <x:v>bakersfield:kutuphane-karti</x:v>
      </x:c>
      <x:c r="D296" s="29" t="str">
        <x:v>Kütüphane kartı</x:v>
      </x:c>
      <x:c r="E296" s="29" t="str">
        <x:v>https://kerncountylibrary.org/get-a-library-card/</x:v>
      </x:c>
      <x:c r="F296" s="31" t="d">
        <x:v>2026-10-24T00:00:00.000Z</x:v>
      </x:c>
      <x:c r="G296" s="35" t="n">
        <x:v>0</x:v>
      </x:c>
    </x:row>
    <x:row r="297" ht="54" customHeight="1">
      <x:c r="A297" s="29" t="str">
        <x:v>bakersfield:action:kutuphane-dijital-1</x:v>
      </x:c>
      <x:c r="B297" s="29" t="str">
        <x:v>bakersfield</x:v>
      </x:c>
      <x:c r="C297" s="29" t="str">
        <x:v>bakersfield:kutuphane-dijital</x:v>
      </x:c>
      <x:c r="D297" s="29" t="str">
        <x:v>Dijital kitaplar</x:v>
      </x:c>
      <x:c r="E297" s="29" t="str">
        <x:v>https://kerncountylibrary.org/elibrary/</x:v>
      </x:c>
      <x:c r="F297" s="31" t="d">
        <x:v>2026-10-24T00:00:00.000Z</x:v>
      </x:c>
      <x:c r="G297" s="35" t="n">
        <x:v>0</x:v>
      </x:c>
    </x:row>
    <x:row r="298" ht="54" customHeight="1">
      <x:c r="A298" s="29" t="str">
        <x:v>bakersfield:action:park-hizmeti-1</x:v>
      </x:c>
      <x:c r="B298" s="29" t="str">
        <x:v>bakersfield</x:v>
      </x:c>
      <x:c r="C298" s="29" t="str">
        <x:v>bakersfield:park-hizmeti</x:v>
      </x:c>
      <x:c r="D298" s="29" t="str">
        <x:v>Rekreasyon ve park hizmetleri</x:v>
      </x:c>
      <x:c r="E298" s="29" t="str">
        <x:v>https://www.bakersfieldcity.us/recreation-parks</x:v>
      </x:c>
      <x:c r="F298" s="31" t="d">
        <x:v>2026-10-24T00:00:00.000Z</x:v>
      </x:c>
      <x:c r="G298" s="35" t="n">
        <x:v>0</x:v>
      </x:c>
    </x:row>
    <x:row r="299" ht="54" customHeight="1">
      <x:c r="A299" s="29" t="str">
        <x:v>bakersfield:action:park-hizmeti-2</x:v>
      </x:c>
      <x:c r="B299" s="29" t="str">
        <x:v>bakersfield</x:v>
      </x:c>
      <x:c r="C299" s="29" t="str">
        <x:v>bakersfield:park-hizmeti</x:v>
      </x:c>
      <x:c r="D299" s="29" t="str">
        <x:v>Parklar ve rezervasyonlar</x:v>
      </x:c>
      <x:c r="E299" s="29" t="str">
        <x:v>https://www.kerncounty.com/government/parks</x:v>
      </x:c>
      <x:c r="F299" s="31" t="d">
        <x:v>2026-10-24T00:00:00.000Z</x:v>
      </x:c>
      <x:c r="G299" s="35" t="n">
        <x:v>1</x:v>
      </x:c>
    </x:row>
    <x:row r="300" ht="54" customHeight="1">
      <x:c r="A300" s="29" t="str">
        <x:v>bakersfield:action:park-hizmeti-3</x:v>
      </x:c>
      <x:c r="B300" s="29" t="str">
        <x:v>bakersfield</x:v>
      </x:c>
      <x:c r="C300" s="29" t="str">
        <x:v>bakersfield:park-hizmeti</x:v>
      </x:c>
      <x:c r="D300" s="29" t="str">
        <x:v>Bölge parkları ve programlar</x:v>
      </x:c>
      <x:c r="E300" s="29" t="str">
        <x:v>https://www.norfun.org/</x:v>
      </x:c>
      <x:c r="F300" s="31" t="d">
        <x:v>2026-10-24T00:00:00.000Z</x:v>
      </x:c>
      <x:c r="G300" s="35" t="n">
        <x:v>2</x:v>
      </x:c>
    </x:row>
    <x:row r="301" ht="54" customHeight="1">
      <x:c r="A301" s="29" t="str">
        <x:v>bakersfield:action:spor-programi-1</x:v>
      </x:c>
      <x:c r="B301" s="29" t="str">
        <x:v>bakersfield</x:v>
      </x:c>
      <x:c r="C301" s="29" t="str">
        <x:v>bakersfield:spor-programi</x:v>
      </x:c>
      <x:c r="D301" s="29" t="str">
        <x:v>Rekreasyon ve park hizmetleri</x:v>
      </x:c>
      <x:c r="E301" s="29" t="str">
        <x:v>https://www.bakersfieldcity.us/recreation-parks</x:v>
      </x:c>
      <x:c r="F301" s="31" t="d">
        <x:v>2026-10-24T00:00:00.000Z</x:v>
      </x:c>
      <x:c r="G301" s="35" t="n">
        <x:v>0</x:v>
      </x:c>
    </x:row>
    <x:row r="302" ht="54" customHeight="1">
      <x:c r="A302" s="29" t="str">
        <x:v>bakersfield:action:spor-programi-2</x:v>
      </x:c>
      <x:c r="B302" s="29" t="str">
        <x:v>bakersfield</x:v>
      </x:c>
      <x:c r="C302" s="29" t="str">
        <x:v>bakersfield:spor-programi</x:v>
      </x:c>
      <x:c r="D302" s="29" t="str">
        <x:v>Bölge parkları ve programlar</x:v>
      </x:c>
      <x:c r="E302" s="29" t="str">
        <x:v>https://www.norfun.org/</x:v>
      </x:c>
      <x:c r="F302" s="31" t="d">
        <x:v>2026-10-24T00:00:00.000Z</x:v>
      </x:c>
      <x:c r="G302" s="35" t="n">
        <x:v>1</x:v>
      </x:c>
    </x:row>
    <x:row r="303" ht="54" customHeight="1">
      <x:c r="A303" s="29" t="str">
        <x:v>bakersfield:action:evcil-kayit-1</x:v>
      </x:c>
      <x:c r="B303" s="29" t="str">
        <x:v>bakersfield</x:v>
      </x:c>
      <x:c r="C303" s="29" t="str">
        <x:v>bakersfield:evcil-kayit</x:v>
      </x:c>
      <x:c r="D303" s="29" t="str">
        <x:v>Evcil hayvan ve ruhsat hizmetleri</x:v>
      </x:c>
      <x:c r="E303" s="29" t="str">
        <x:v>https://www.kerncountyanimalservices.org/</x:v>
      </x:c>
      <x:c r="F303" s="31" t="d">
        <x:v>2026-10-24T00:00:00.000Z</x:v>
      </x:c>
      <x:c r="G303" s="35" t="n">
        <x:v>0</x:v>
      </x:c>
    </x:row>
    <x:row r="304" ht="54" customHeight="1">
      <x:c r="A304" s="29" t="str">
        <x:v>bakersfield:action:evcil-kayit-2</x:v>
      </x:c>
      <x:c r="B304" s="29" t="str">
        <x:v>bakersfield</x:v>
      </x:c>
      <x:c r="C304" s="29" t="str">
        <x:v>bakersfield:evcil-kayit</x:v>
      </x:c>
      <x:c r="D304" s="29" t="str">
        <x:v>Yetki alanları ve şehir hayvan hizmetleri iletişimi</x:v>
      </x:c>
      <x:c r="E304" s="29" t="str">
        <x:v>https://www.kerncountyanimalservices.org/about-kcas/contact-info-locations/</x:v>
      </x:c>
      <x:c r="F304" s="31" t="d">
        <x:v>2026-10-24T00:00:00.000Z</x:v>
      </x:c>
      <x:c r="G304" s="35" t="n">
        <x:v>1</x:v>
      </x:c>
    </x:row>
    <x:row r="305" ht="54" customHeight="1">
      <x:c r="A305" s="29" t="str">
        <x:v>bakersfield:action:hayvan-kayip-1</x:v>
      </x:c>
      <x:c r="B305" s="29" t="str">
        <x:v>bakersfield</x:v>
      </x:c>
      <x:c r="C305" s="29" t="str">
        <x:v>bakersfield:hayvan-kayip</x:v>
      </x:c>
      <x:c r="D305" s="29" t="str">
        <x:v>Evcil hayvan ve ruhsat hizmetleri</x:v>
      </x:c>
      <x:c r="E305" s="29" t="str">
        <x:v>https://www.kerncountyanimalservices.org/</x:v>
      </x:c>
      <x:c r="F305" s="31" t="d">
        <x:v>2026-10-24T00:00:00.000Z</x:v>
      </x:c>
      <x:c r="G305" s="35" t="n">
        <x:v>0</x:v>
      </x:c>
    </x:row>
    <x:row r="306" ht="54" customHeight="1">
      <x:c r="A306" s="29" t="str">
        <x:v>bakersfield:action:hayvan-kayip-2</x:v>
      </x:c>
      <x:c r="B306" s="29" t="str">
        <x:v>bakersfield</x:v>
      </x:c>
      <x:c r="C306" s="29" t="str">
        <x:v>bakersfield:hayvan-kayip</x:v>
      </x:c>
      <x:c r="D306" s="29" t="str">
        <x:v>Yetki alanları ve şehir hayvan hizmetleri iletişimi</x:v>
      </x:c>
      <x:c r="E306" s="29" t="str">
        <x:v>https://www.kerncountyanimalservices.org/about-kcas/contact-info-locations/</x:v>
      </x:c>
      <x:c r="F306" s="31" t="d">
        <x:v>2026-10-24T00:00:00.000Z</x:v>
      </x:c>
      <x:c r="G306" s="35" t="n">
        <x:v>1</x:v>
      </x:c>
    </x:row>
    <x:row r="307" ht="54" customHeight="1">
      <x:c r="A307" s="29" t="str">
        <x:v>bakersfield:action:market-fiyat-1</x:v>
      </x:c>
      <x:c r="B307" s="29" t="str">
        <x:v>bakersfield</x:v>
      </x:c>
      <x:c r="C307" s="29" t="str">
        <x:v>bakersfield:market-fiyat</x:v>
      </x:c>
      <x:c r="D307" s="29" t="str">
        <x:v>Tüketici başvuruları</x:v>
      </x:c>
      <x:c r="E307" s="29" t="str">
        <x:v>https://www.dca.ca.gov/consumers/complaints/index.shtml</x:v>
      </x:c>
      <x:c r="F307" s="31" t="d">
        <x:v>2026-10-24T00:00:00.000Z</x:v>
      </x:c>
      <x:c r="G307" s="35" t="n">
        <x:v>0</x:v>
      </x:c>
    </x:row>
    <x:row r="308" ht="54" customHeight="1">
      <x:c r="A308" s="29" t="str">
        <x:v>bakersfield:action:olcu-birim-1</x:v>
      </x:c>
      <x:c r="B308" s="29" t="str">
        <x:v>bakersfield</x:v>
      </x:c>
      <x:c r="C308" s="29" t="str">
        <x:v>bakersfield:olcu-birim</x:v>
      </x:c>
      <x:c r="D308" s="29" t="str">
        <x:v>SI birim kılavuzu</x:v>
      </x:c>
      <x:c r="E308" s="29" t="str">
        <x:v>https://www.nist.gov/pml/special-publication-811</x:v>
      </x:c>
      <x:c r="F308" s="31" t="d">
        <x:v>2026-10-24T00:00:00.000Z</x:v>
      </x:c>
      <x:c r="G308" s="35" t="n">
        <x:v>0</x:v>
      </x:c>
    </x:row>
    <x:row r="309" ht="54" customHeight="1">
      <x:c r="A309" s="29" t="str">
        <x:v>bakersfield:action:bahsis-hesap-1</x:v>
      </x:c>
      <x:c r="B309" s="29" t="str">
        <x:v>bakersfield</x:v>
      </x:c>
      <x:c r="C309" s="29" t="str">
        <x:v>bakersfield:bahsis-hesap</x:v>
      </x:c>
      <x:c r="D309" s="29" t="str">
        <x:v>Tüketici başvuruları</x:v>
      </x:c>
      <x:c r="E309" s="29" t="str">
        <x:v>https://www.dca.ca.gov/consumers/complaints/index.shtml</x:v>
      </x:c>
      <x:c r="F309" s="31" t="d">
        <x:v>2026-10-24T00:00:00.000Z</x:v>
      </x:c>
      <x:c r="G309" s="35" t="n">
        <x:v>0</x:v>
      </x:c>
    </x:row>
    <x:row r="310" ht="54" customHeight="1">
      <x:c r="A310" s="29" t="str">
        <x:v>bakersfield:action:bahsis-hesap-2</x:v>
      </x:c>
      <x:c r="B310" s="29" t="str">
        <x:v>bakersfield</x:v>
      </x:c>
      <x:c r="C310" s="29" t="str">
        <x:v>bakersfield:bahsis-hesap</x:v>
      </x:c>
      <x:c r="D310" s="29" t="str">
        <x:v>Gizli ücretler ve fiyat açıklaması</x:v>
      </x:c>
      <x:c r="E310" s="29" t="str">
        <x:v>https://oag.ca.gov/hiddenfees</x:v>
      </x:c>
      <x:c r="F310" s="31" t="d">
        <x:v>2026-10-24T00:00:00.000Z</x:v>
      </x:c>
      <x:c r="G310" s="35" t="n">
        <x:v>1</x:v>
      </x:c>
    </x:row>
    <x:row r="311" ht="54" customHeight="1">
      <x:c r="A311" s="29" t="str">
        <x:v>bakersfield:action:paket-teslim-1</x:v>
      </x:c>
      <x:c r="B311" s="29" t="str">
        <x:v>bakersfield</x:v>
      </x:c>
      <x:c r="C311" s="29" t="str">
        <x:v>bakersfield:paket-teslim</x:v>
      </x:c>
      <x:c r="D311" s="29" t="str">
        <x:v>Taşınma ve posta yönlendirme</x:v>
      </x:c>
      <x:c r="E311" s="29" t="str">
        <x:v>https://www.usps.com/manage/forward.htm</x:v>
      </x:c>
      <x:c r="F311" s="31" t="d">
        <x:v>2026-10-24T00:00:00.000Z</x:v>
      </x:c>
      <x:c r="G311" s="35" t="n">
        <x:v>0</x:v>
      </x:c>
    </x:row>
    <x:row r="312" ht="54" customHeight="1">
      <x:c r="A312" s="29" t="str">
        <x:v>bakersfield:action:readykern-kayit-1</x:v>
      </x:c>
      <x:c r="B312" s="29" t="str">
        <x:v>bakersfield</x:v>
      </x:c>
      <x:c r="C312" s="29" t="str">
        <x:v>bakersfield:readykern-kayit</x:v>
      </x:c>
      <x:c r="D312" s="29" t="str">
        <x:v>ReadyKern acil bildirim kaydı</x:v>
      </x:c>
      <x:c r="E312" s="29" t="str">
        <x:v>https://kerncountyfire.org/education-safety/ready-kern/</x:v>
      </x:c>
      <x:c r="F312" s="31" t="d">
        <x:v>2026-10-24T00:00:00.000Z</x:v>
      </x:c>
      <x:c r="G312" s="35" t="n">
        <x:v>0</x:v>
      </x:c>
    </x:row>
    <x:row r="313" ht="54" customHeight="1">
      <x:c r="A313" s="29" t="str">
        <x:v>bakersfield:action:tahliye-bolgesi-1</x:v>
      </x:c>
      <x:c r="B313" s="29" t="str">
        <x:v>bakersfield</x:v>
      </x:c>
      <x:c r="C313" s="29" t="str">
        <x:v>bakersfield:tahliye-bolgesi</x:v>
      </x:c>
      <x:c r="D313" s="29" t="str">
        <x:v>Tahliye bölgeleri ve Genasys Protect</x:v>
      </x:c>
      <x:c r="E313" s="29" t="str">
        <x:v>https://kerncountyfire.org/15143/a-new-evacuation-management-tool-activated-in-kern-county/</x:v>
      </x:c>
      <x:c r="F313" s="31" t="d">
        <x:v>2026-10-24T00:00:00.000Z</x:v>
      </x:c>
      <x:c r="G313" s="35" t="n">
        <x:v>0</x:v>
      </x:c>
    </x:row>
    <x:row r="314" ht="54" customHeight="1">
      <x:c r="A314" s="29" t="str">
        <x:v>bakersfield:action:deprem-erken-uyari-1</x:v>
      </x:c>
      <x:c r="B314" s="29" t="str">
        <x:v>bakersfield</x:v>
      </x:c>
      <x:c r="C314" s="29" t="str">
        <x:v>bakersfield:deprem-erken-uyari</x:v>
      </x:c>
      <x:c r="D314" s="29" t="str">
        <x:v>Deprem erken uyarı kanalları</x:v>
      </x:c>
      <x:c r="E314" s="29" t="str">
        <x:v>https://www.earthquake.ca.gov/get-alerts/</x:v>
      </x:c>
      <x:c r="F314" s="31" t="d">
        <x:v>2026-10-24T00:00:00.000Z</x:v>
      </x:c>
      <x:c r="G314" s="35" t="n">
        <x:v>0</x:v>
      </x:c>
    </x:row>
    <x:row r="315" ht="54" customHeight="1">
      <x:c r="A315" s="29" t="str">
        <x:v>bakersfield:action:belediye-talebi-1</x:v>
      </x:c>
      <x:c r="B315" s="29" t="str">
        <x:v>bakersfield</x:v>
      </x:c>
      <x:c r="C315" s="29" t="str">
        <x:v>bakersfield:belediye-talebi</x:v>
      </x:c>
      <x:c r="D315" s="29" t="str">
        <x:v>Belediye ve şehir hizmetleri</x:v>
      </x:c>
      <x:c r="E315" s="29" t="str">
        <x:v>https://www.bakersfieldcity.us/</x:v>
      </x:c>
      <x:c r="F315" s="31" t="d">
        <x:v>2026-10-24T00:00:00.000Z</x:v>
      </x:c>
      <x:c r="G315" s="35" t="n">
        <x:v>0</x:v>
      </x:c>
    </x:row>
    <x:row r="316" ht="54" customHeight="1">
      <x:c r="A316" s="29" t="str">
        <x:v>bakersfield:action:belediye-talebi-2</x:v>
      </x:c>
      <x:c r="B316" s="29" t="str">
        <x:v>bakersfield</x:v>
      </x:c>
      <x:c r="C316" s="29" t="str">
        <x:v>bakersfield:belediye-talebi</x:v>
      </x:c>
      <x:c r="D316" s="29" t="str">
        <x:v>County hizmetleri</x:v>
      </x:c>
      <x:c r="E316" s="29" t="str">
        <x:v>https://www.kerncounty.com/</x:v>
      </x:c>
      <x:c r="F316" s="31" t="d">
        <x:v>2026-10-24T00:00:00.000Z</x:v>
      </x:c>
      <x:c r="G316" s="35" t="n">
        <x:v>1</x:v>
      </x:c>
    </x:row>
    <x:row r="317" ht="54" customHeight="1">
      <x:c r="A317" s="29" t="str">
        <x:v>bakersfield:action:kutuphane-cikti-1</x:v>
      </x:c>
      <x:c r="B317" s="29" t="str">
        <x:v>bakersfield</x:v>
      </x:c>
      <x:c r="C317" s="29" t="str">
        <x:v>bakersfield:kutuphane-cikti</x:v>
      </x:c>
      <x:c r="D317" s="29" t="str">
        <x:v>Kablosuz çıktı alma</x:v>
      </x:c>
      <x:c r="E317" s="29" t="str">
        <x:v>https://kerncountylibrary.org/wireless-printing/</x:v>
      </x:c>
      <x:c r="F317" s="31" t="d">
        <x:v>2026-10-24T00:00:00.000Z</x:v>
      </x:c>
      <x:c r="G317" s="35" t="n">
        <x:v>0</x:v>
      </x:c>
    </x:row>
    <x:row r="318" ht="54" customHeight="1">
      <x:c r="A318" s="29" t="str">
        <x:v>bakersfield:action:hak-belge-1</x:v>
      </x:c>
      <x:c r="B318" s="29" t="str">
        <x:v>bakersfield</x:v>
      </x:c>
      <x:c r="C318" s="29" t="str">
        <x:v>bakersfield:hak-belge</x:v>
      </x:c>
      <x:c r="D318" s="29" t="str">
        <x:v>Mahkemeler ve kişisel yardım</x:v>
      </x:c>
      <x:c r="E318" s="29" t="str">
        <x:v>https://www.kern.courts.ca.gov/</x:v>
      </x:c>
      <x:c r="F318" s="31" t="d">
        <x:v>2026-10-24T00:00:00.000Z</x:v>
      </x:c>
      <x:c r="G318" s="35" t="n">
        <x:v>0</x:v>
      </x:c>
    </x:row>
    <x:row r="319" ht="54" customHeight="1">
      <x:c r="A319" s="29" t="str">
        <x:v>bakersfield:action:hak-belge-2</x:v>
      </x:c>
      <x:c r="B319" s="29" t="str">
        <x:v>bakersfield</x:v>
      </x:c>
      <x:c r="C319" s="29" t="str">
        <x:v>bakersfield:hak-belge</x:v>
      </x:c>
      <x:c r="D319" s="29" t="str">
        <x:v>Tüketici başvuruları</x:v>
      </x:c>
      <x:c r="E319" s="29" t="str">
        <x:v>https://www.dca.ca.gov/consumers/complaints/index.shtml</x:v>
      </x:c>
      <x:c r="F319" s="31" t="d">
        <x:v>2026-10-24T00:00:00.000Z</x:v>
      </x:c>
      <x:c r="G319" s="35" t="n">
        <x:v>1</x:v>
      </x:c>
    </x:row>
    <x:row r="320" ht="54" customHeight="1">
      <x:c r="A320" s="29" t="str">
        <x:v>bakersfield:action:mahkeme-yardim-1</x:v>
      </x:c>
      <x:c r="B320" s="29" t="str">
        <x:v>bakersfield</x:v>
      </x:c>
      <x:c r="C320" s="29" t="str">
        <x:v>bakersfield:mahkeme-yardim</x:v>
      </x:c>
      <x:c r="D320" s="29" t="str">
        <x:v>Self-help hizmetleri</x:v>
      </x:c>
      <x:c r="E320" s="29" t="str">
        <x:v>https://www.kern.courts.ca.gov/self-help</x:v>
      </x:c>
      <x:c r="F320" s="31" t="d">
        <x:v>2026-10-24T00:00:00.000Z</x:v>
      </x:c>
      <x:c r="G320" s="35" t="n">
        <x:v>0</x:v>
      </x:c>
    </x:row>
    <x:row r="321" ht="54" customHeight="1">
      <x:c r="A321" s="29" t="str">
        <x:v>bakersfield:action:small-claims-1</x:v>
      </x:c>
      <x:c r="B321" s="29" t="str">
        <x:v>bakersfield</x:v>
      </x:c>
      <x:c r="C321" s="29" t="str">
        <x:v>bakersfield:small-claims</x:v>
      </x:c>
      <x:c r="D321" s="29" t="str">
        <x:v>Küçük talepler mahkemesi</x:v>
      </x:c>
      <x:c r="E321" s="29" t="str">
        <x:v>https://selfhelp.courts.ca.gov/small-claims</x:v>
      </x:c>
      <x:c r="F321" s="31" t="d">
        <x:v>2026-10-24T00:00:00.000Z</x:v>
      </x:c>
      <x:c r="G321" s="35" t="n">
        <x:v>0</x:v>
      </x:c>
    </x:row>
    <x:row r="322" ht="54" customHeight="1">
      <x:c r="A322" s="29" t="str">
        <x:v>bakersfield:action:tebligat-1</x:v>
      </x:c>
      <x:c r="B322" s="29" t="str">
        <x:v>bakersfield</x:v>
      </x:c>
      <x:c r="C322" s="29" t="str">
        <x:v>bakersfield:tebligat</x:v>
      </x:c>
      <x:c r="D322" s="29" t="str">
        <x:v>Self-help hizmetleri</x:v>
      </x:c>
      <x:c r="E322" s="29" t="str">
        <x:v>https://www.kern.courts.ca.gov/self-help</x:v>
      </x:c>
      <x:c r="F322" s="31" t="d">
        <x:v>2026-10-24T00:00:00.000Z</x:v>
      </x:c>
      <x:c r="G322" s="35" t="n">
        <x:v>0</x:v>
      </x:c>
    </x:row>
    <x:row r="323" ht="54" customHeight="1">
      <x:c r="A323" s="29" t="str">
        <x:v>bakersfield:action:kiraci-yardim-1</x:v>
      </x:c>
      <x:c r="B323" s="29" t="str">
        <x:v>bakersfield</x:v>
      </x:c>
      <x:c r="C323" s="29" t="str">
        <x:v>bakersfield:kiraci-yardim</x:v>
      </x:c>
      <x:c r="D323" s="29" t="str">
        <x:v>Kiracı hakları</x:v>
      </x:c>
      <x:c r="E323" s="29" t="str">
        <x:v>https://oag.ca.gov/tenants</x:v>
      </x:c>
      <x:c r="F323" s="31" t="d">
        <x:v>2026-10-24T00:00:00.000Z</x:v>
      </x:c>
      <x:c r="G323" s="35" t="n">
        <x:v>0</x:v>
      </x:c>
    </x:row>
    <x:row r="324" ht="54" customHeight="1">
      <x:c r="A324" s="29" t="str">
        <x:v>bakersfield:action:kiraci-yardim-2</x:v>
      </x:c>
      <x:c r="B324" s="29" t="str">
        <x:v>bakersfield</x:v>
      </x:c>
      <x:c r="C324" s="29" t="str">
        <x:v>bakersfield:kiraci-yardim</x:v>
      </x:c>
      <x:c r="D324" s="29" t="str">
        <x:v>Self-help hizmetleri</x:v>
      </x:c>
      <x:c r="E324" s="29" t="str">
        <x:v>https://www.kern.courts.ca.gov/self-help</x:v>
      </x:c>
      <x:c r="F324" s="31" t="d">
        <x:v>2026-10-24T00:00:00.000Z</x:v>
      </x:c>
      <x:c r="G324" s="35" t="n">
        <x:v>1</x:v>
      </x:c>
    </x:row>
    <x:row r="325" ht="54" customHeight="1">
      <x:c r="A325" s="29" t="str">
        <x:v>bakersfield:action:konut-ayrimcilik-1</x:v>
      </x:c>
      <x:c r="B325" s="29" t="str">
        <x:v>bakersfield</x:v>
      </x:c>
      <x:c r="C325" s="29" t="str">
        <x:v>bakersfield:konut-ayrimcilik</x:v>
      </x:c>
      <x:c r="D325" s="29" t="str">
        <x:v>Konut ayrımcılığı</x:v>
      </x:c>
      <x:c r="E325" s="29" t="str">
        <x:v>https://calcivilrights.ca.gov/housing/</x:v>
      </x:c>
      <x:c r="F325" s="31" t="d">
        <x:v>2026-10-24T00:00:00.000Z</x:v>
      </x:c>
      <x:c r="G325" s="35" t="n">
        <x:v>0</x:v>
      </x:c>
    </x:row>
    <x:row r="326" ht="54" customHeight="1">
      <x:c r="A326" s="29" t="str">
        <x:v>bakersfield:action:konut-ayrimcilik-2</x:v>
      </x:c>
      <x:c r="B326" s="29" t="str">
        <x:v>bakersfield</x:v>
      </x:c>
      <x:c r="C326" s="29" t="str">
        <x:v>bakersfield:konut-ayrimcilik</x:v>
      </x:c>
      <x:c r="D326" s="29" t="str">
        <x:v>Şikâyet süreci</x:v>
      </x:c>
      <x:c r="E326" s="29" t="str">
        <x:v>https://calcivilrights.ca.gov/complaintprocess/</x:v>
      </x:c>
      <x:c r="F326" s="31" t="d">
        <x:v>2026-10-24T00:00:00.000Z</x:v>
      </x:c>
      <x:c r="G326" s="35" t="n">
        <x:v>1</x:v>
      </x:c>
    </x:row>
    <x:row r="327" ht="54" customHeight="1">
      <x:c r="A327" s="29" t="str">
        <x:v>bakersfield:action:engelli-duzenleme-1</x:v>
      </x:c>
      <x:c r="B327" s="29" t="str">
        <x:v>bakersfield</x:v>
      </x:c>
      <x:c r="C327" s="29" t="str">
        <x:v>bakersfield:engelli-duzenleme</x:v>
      </x:c>
      <x:c r="D327" s="29" t="str">
        <x:v>Engellilik hakları</x:v>
      </x:c>
      <x:c r="E327" s="29" t="str">
        <x:v>https://www.ada.gov/topics/intro-to-ada/</x:v>
      </x:c>
      <x:c r="F327" s="31" t="d">
        <x:v>2026-10-24T00:00:00.000Z</x:v>
      </x:c>
      <x:c r="G327" s="35" t="n">
        <x:v>0</x:v>
      </x:c>
    </x:row>
    <x:row r="328" ht="54" customHeight="1">
      <x:c r="A328" s="29" t="str">
        <x:v>bakersfield:action:engelli-duzenleme-2</x:v>
      </x:c>
      <x:c r="B328" s="29" t="str">
        <x:v>bakersfield</x:v>
      </x:c>
      <x:c r="C328" s="29" t="str">
        <x:v>bakersfield:engelli-duzenleme</x:v>
      </x:c>
      <x:c r="D328" s="29" t="str">
        <x:v>İstihdamda ayrımcılık</x:v>
      </x:c>
      <x:c r="E328" s="29" t="str">
        <x:v>https://calcivilrights.ca.gov/employment/</x:v>
      </x:c>
      <x:c r="F328" s="31" t="d">
        <x:v>2026-10-24T00:00:00.000Z</x:v>
      </x:c>
      <x:c r="G328" s="35" t="n">
        <x:v>1</x:v>
      </x:c>
    </x:row>
    <x:row r="329" ht="54" customHeight="1">
      <x:c r="A329" s="29" t="str">
        <x:v>bakersfield:action:engelli-duzenleme-3</x:v>
      </x:c>
      <x:c r="B329" s="29" t="str">
        <x:v>bakersfield</x:v>
      </x:c>
      <x:c r="C329" s="29" t="str">
        <x:v>bakersfield:engelli-duzenleme</x:v>
      </x:c>
      <x:c r="D329" s="29" t="str">
        <x:v>Konut ayrımcılığı</x:v>
      </x:c>
      <x:c r="E329" s="29" t="str">
        <x:v>https://calcivilrights.ca.gov/housing/</x:v>
      </x:c>
      <x:c r="F329" s="31" t="d">
        <x:v>2026-10-24T00:00:00.000Z</x:v>
      </x:c>
      <x:c r="G329" s="35" t="n">
        <x:v>2</x:v>
      </x:c>
    </x:row>
    <x:row r="330" ht="54" customHeight="1">
      <x:c r="A330" s="29" t="str">
        <x:v>bakersfield:action:avukat-dogrula-1</x:v>
      </x:c>
      <x:c r="B330" s="29" t="str">
        <x:v>bakersfield</x:v>
      </x:c>
      <x:c r="C330" s="29" t="str">
        <x:v>bakersfield:avukat-dogrula</x:v>
      </x:c>
      <x:c r="D330" s="29" t="str">
        <x:v>Avukat arama</x:v>
      </x:c>
      <x:c r="E330" s="29" t="str">
        <x:v>https://apps.calbar.ca.gov/attorney/LicenseeSearch/QuickSearch</x:v>
      </x:c>
      <x:c r="F330" s="31" t="d">
        <x:v>2026-10-24T00:00:00.000Z</x:v>
      </x:c>
      <x:c r="G330" s="35" t="n">
        <x:v>0</x:v>
      </x:c>
    </x:row>
    <x:row r="331" ht="54" customHeight="1">
      <x:c r="A331" s="29" t="str">
        <x:v>bakersfield:action:avukat-dogrula-2</x:v>
      </x:c>
      <x:c r="B331" s="29" t="str">
        <x:v>bakersfield</x:v>
      </x:c>
      <x:c r="C331" s="29" t="str">
        <x:v>bakersfield:avukat-dogrula</x:v>
      </x:c>
      <x:c r="D331" s="29" t="str">
        <x:v>Yetkili göçmenlik temsilcileri</x:v>
      </x:c>
      <x:c r="E331" s="29" t="str">
        <x:v>https://www.justice.gov/eoir/Recognition-and-Accreditation-Program-icor</x:v>
      </x:c>
      <x:c r="F331" s="31" t="d">
        <x:v>2026-10-24T00:00:00.000Z</x:v>
      </x:c>
      <x:c r="G331" s="35" t="n">
        <x:v>1</x:v>
      </x:c>
    </x:row>
    <x:row r="332" ht="54" customHeight="1">
      <x:c r="A332" s="29" t="str">
        <x:v>bakersfield:action:notario-1</x:v>
      </x:c>
      <x:c r="B332" s="29" t="str">
        <x:v>bakersfield</x:v>
      </x:c>
      <x:c r="C332" s="29" t="str">
        <x:v>bakersfield:notario</x:v>
      </x:c>
      <x:c r="D332" s="29" t="str">
        <x:v>Avoid Immigration Scams – official brochure</x:v>
      </x:c>
      <x:c r="E332" s="29" t="str">
        <x:v>https://www.uscis.gov/sites/default/files/document/brochures/UPIL_Brochure_English.pdf</x:v>
      </x:c>
      <x:c r="F332" s="31" t="d">
        <x:v>2026-10-24T00:00:00.000Z</x:v>
      </x:c>
      <x:c r="G332" s="35" t="n">
        <x:v>0</x:v>
      </x:c>
    </x:row>
    <x:row r="333" ht="54" customHeight="1">
      <x:c r="A333" s="29" t="str">
        <x:v>bakersfield:action:notario-2</x:v>
      </x:c>
      <x:c r="B333" s="29" t="str">
        <x:v>bakersfield</x:v>
      </x:c>
      <x:c r="C333" s="29" t="str">
        <x:v>bakersfield:notario</x:v>
      </x:c>
      <x:c r="D333" s="29" t="str">
        <x:v>Yetkili göçmenlik temsilcileri</x:v>
      </x:c>
      <x:c r="E333" s="29" t="str">
        <x:v>https://www.justice.gov/eoir/Recognition-and-Accreditation-Program-icor</x:v>
      </x:c>
      <x:c r="F333" s="31" t="d">
        <x:v>2026-10-24T00:00:00.000Z</x:v>
      </x:c>
      <x:c r="G333" s="35" t="n">
        <x:v>1</x:v>
      </x:c>
    </x:row>
    <x:row r="334" ht="54" customHeight="1">
      <x:c r="A334" s="29" t="str">
        <x:v>bakersfield:action:tuketici-basvuru-1</x:v>
      </x:c>
      <x:c r="B334" s="29" t="str">
        <x:v>bakersfield</x:v>
      </x:c>
      <x:c r="C334" s="29" t="str">
        <x:v>bakersfield:tuketici-basvuru</x:v>
      </x:c>
      <x:c r="D334" s="29" t="str">
        <x:v>Tüketici başvuruları</x:v>
      </x:c>
      <x:c r="E334" s="29" t="str">
        <x:v>https://www.dca.ca.gov/consumers/complaints/index.shtml</x:v>
      </x:c>
      <x:c r="F334" s="31" t="d">
        <x:v>2026-10-24T00:00:00.000Z</x:v>
      </x:c>
      <x:c r="G334" s="35" t="n">
        <x:v>0</x:v>
      </x:c>
    </x:row>
    <x:row r="335" ht="54" customHeight="1">
      <x:c r="A335" s="29" t="str">
        <x:v>bakersfield:action:gizli-ucret-1</x:v>
      </x:c>
      <x:c r="B335" s="29" t="str">
        <x:v>bakersfield</x:v>
      </x:c>
      <x:c r="C335" s="29" t="str">
        <x:v>bakersfield:gizli-ucret</x:v>
      </x:c>
      <x:c r="D335" s="29" t="str">
        <x:v>Gizli ücretler ve fiyat açıklaması</x:v>
      </x:c>
      <x:c r="E335" s="29" t="str">
        <x:v>https://oag.ca.gov/hiddenfees</x:v>
      </x:c>
      <x:c r="F335" s="31" t="d">
        <x:v>2026-10-24T00:00:00.000Z</x:v>
      </x:c>
      <x:c r="G335" s="35" t="n">
        <x:v>0</x:v>
      </x:c>
    </x:row>
    <x:row r="336" ht="54" customHeight="1">
      <x:c r="A336" s="29" t="str">
        <x:v>bakersfield:action:kredi-itiraz-1</x:v>
      </x:c>
      <x:c r="B336" s="29" t="str">
        <x:v>bakersfield</x:v>
      </x:c>
      <x:c r="C336" s="29" t="str">
        <x:v>bakersfield:kredi-itiraz</x:v>
      </x:c>
      <x:c r="D336" s="29" t="str">
        <x:v>Kredi raporu hatasına itiraz</x:v>
      </x:c>
      <x:c r="E336" s="29" t="str">
        <x:v>https://www.consumerfinance.gov/ask-cfpb/how-do-i-dispute-an-error-on-my-credit-report-en-314/</x:v>
      </x:c>
      <x:c r="F336" s="31" t="d">
        <x:v>2026-10-24T00:00:00.000Z</x:v>
      </x:c>
      <x:c r="G336" s="35" t="n">
        <x:v>0</x:v>
      </x:c>
    </x:row>
    <x:row r="337" ht="54" customHeight="1">
      <x:c r="A337" s="29" t="str">
        <x:v>bakersfield:action:kredi-itiraz-2</x:v>
      </x:c>
      <x:c r="B337" s="29" t="str">
        <x:v>bakersfield</x:v>
      </x:c>
      <x:c r="C337" s="29" t="str">
        <x:v>bakersfield:kredi-itiraz</x:v>
      </x:c>
      <x:c r="D337" s="29" t="str">
        <x:v>Kimlik hırsızlığı bildirimi</x:v>
      </x:c>
      <x:c r="E337" s="29" t="str">
        <x:v>https://www.identitytheft.gov/</x:v>
      </x:c>
      <x:c r="F337" s="31" t="d">
        <x:v>2026-10-24T00:00:00.000Z</x:v>
      </x:c>
      <x:c r="G337" s="35" t="n">
        <x:v>1</x:v>
      </x:c>
    </x:row>
    <x:row r="338" ht="54" customHeight="1">
      <x:c r="A338" s="29" t="str">
        <x:v>bakersfield:action:kimlik-hirsizligi-1</x:v>
      </x:c>
      <x:c r="B338" s="29" t="str">
        <x:v>bakersfield</x:v>
      </x:c>
      <x:c r="C338" s="29" t="str">
        <x:v>bakersfield:kimlik-hirsizligi</x:v>
      </x:c>
      <x:c r="D338" s="29" t="str">
        <x:v>Kimlik hırsızlığı bildirimi</x:v>
      </x:c>
      <x:c r="E338" s="29" t="str">
        <x:v>https://www.identitytheft.gov/</x:v>
      </x:c>
      <x:c r="F338" s="31" t="d">
        <x:v>2026-10-24T00:00:00.000Z</x:v>
      </x:c>
      <x:c r="G338" s="35" t="n">
        <x:v>0</x:v>
      </x:c>
    </x:row>
    <x:row r="339" ht="54" customHeight="1">
      <x:c r="A339" s="29" t="str">
        <x:v>bakersfield:action:kimlik-hirsizligi-2</x:v>
      </x:c>
      <x:c r="B339" s="29" t="str">
        <x:v>bakersfield</x:v>
      </x:c>
      <x:c r="C339" s="29" t="str">
        <x:v>bakersfield:kimlik-hirsizligi</x:v>
      </x:c>
      <x:c r="D339" s="29" t="str">
        <x:v>Security freezes and timing</x:v>
      </x:c>
      <x:c r="E339" s="29" t="str">
        <x:v>https://www.consumerfinance.gov/ask-cfpb/what-is-a-credit-freeze-or-security-freeze-on-my-credit-report-en-1341/</x:v>
      </x:c>
      <x:c r="F339" s="31" t="d">
        <x:v>2026-10-24T00:00:00.000Z</x:v>
      </x:c>
      <x:c r="G339" s="35" t="n">
        <x:v>1</x:v>
      </x:c>
    </x:row>
    <x:row r="340" ht="54" customHeight="1">
      <x:c r="A340" s="29" t="str">
        <x:v>bakersfield:action:kart-itirazi-1</x:v>
      </x:c>
      <x:c r="B340" s="29" t="str">
        <x:v>bakersfield</x:v>
      </x:c>
      <x:c r="C340" s="29" t="str">
        <x:v>bakersfield:kart-itirazi</x:v>
      </x:c>
      <x:c r="D340" s="29" t="str">
        <x:v>Kredi kartı işlem itirazı</x:v>
      </x:c>
      <x:c r="E340" s="29" t="str">
        <x:v>https://www.consumerfinance.gov/ask-cfpb/how-do-i-dispute-a-charge-on-my-credit-card-bill-en-61/</x:v>
      </x:c>
      <x:c r="F340" s="31" t="d">
        <x:v>2026-10-24T00:00:00.000Z</x:v>
      </x:c>
      <x:c r="G340" s="35" t="n">
        <x:v>0</x:v>
      </x:c>
    </x:row>
    <x:row r="341" ht="54" customHeight="1">
      <x:c r="A341" s="29" t="str">
        <x:v>bakersfield:action:kart-itirazi-2</x:v>
      </x:c>
      <x:c r="B341" s="29" t="str">
        <x:v>bakersfield</x:v>
      </x:c>
      <x:c r="C341" s="29" t="str">
        <x:v>bakersfield:kart-itirazi</x:v>
      </x:c>
      <x:c r="D341" s="29" t="str">
        <x:v>Kart verisi çalındığında hesap takibi</x:v>
      </x:c>
      <x:c r="E341" s="29" t="str">
        <x:v>https://www.consumerfinance.gov/consumer-tools/bank-accounts/watch-accounts-closely-when-card-data-is-hacked/</x:v>
      </x:c>
      <x:c r="F341" s="31" t="d">
        <x:v>2026-10-24T00:00:00.000Z</x:v>
      </x:c>
      <x:c r="G341" s="35" t="n">
        <x:v>1</x:v>
      </x:c>
    </x:row>
    <x:row r="342" ht="54" customHeight="1">
      <x:c r="A342" s="29" t="str">
        <x:v>bakersfield:action:borc-tahsili-1</x:v>
      </x:c>
      <x:c r="B342" s="29" t="str">
        <x:v>bakersfield</x:v>
      </x:c>
      <x:c r="C342" s="29" t="str">
        <x:v>bakersfield:borc-tahsili</x:v>
      </x:c>
      <x:c r="D342" s="29" t="str">
        <x:v>Borç tahsil işlemleri</x:v>
      </x:c>
      <x:c r="E342" s="29" t="str">
        <x:v>https://www.consumerfinance.gov/consumer-tools/debt-collection/</x:v>
      </x:c>
      <x:c r="F342" s="31" t="d">
        <x:v>2026-10-24T00:00:00.000Z</x:v>
      </x:c>
      <x:c r="G342" s="35" t="n">
        <x:v>0</x:v>
      </x:c>
    </x:row>
    <x:row r="343" ht="54" customHeight="1">
      <x:c r="A343" s="29" t="str">
        <x:v>bakersfield:action:otomatik-yenileme-1</x:v>
      </x:c>
      <x:c r="B343" s="29" t="str">
        <x:v>bakersfield</x:v>
      </x:c>
      <x:c r="C343" s="29" t="str">
        <x:v>bakersfield:otomatik-yenileme</x:v>
      </x:c>
      <x:c r="D343" s="29" t="str">
        <x:v>California Automatic Renewal Law - tüketici hakları</x:v>
      </x:c>
      <x:c r="E343" s="29" t="str">
        <x:v>https://www.oag.ca.gov/news/press-releases/attorney-general-bonta-issues-consumer-alert-california%E2%80%99s-automatic-renewal-law</x:v>
      </x:c>
      <x:c r="F343" s="31" t="d">
        <x:v>2026-10-24T00:00:00.000Z</x:v>
      </x:c>
      <x:c r="G343" s="35" t="n">
        <x:v>0</x:v>
      </x:c>
    </x:row>
    <x:row r="344" ht="54" customHeight="1">
      <x:c r="A344" s="29" t="str">
        <x:v>bakersfield:action:tamir-teklif-1</x:v>
      </x:c>
      <x:c r="B344" s="29" t="str">
        <x:v>bakersfield</x:v>
      </x:c>
      <x:c r="C344" s="29" t="str">
        <x:v>bakersfield:tamir-teklif</x:v>
      </x:c>
      <x:c r="D344" s="29" t="str">
        <x:v>Otomobil onarımı tüketici rehberi</x:v>
      </x:c>
      <x:c r="E344" s="29" t="str">
        <x:v>https://www.bar.ca.gov/consumer/auto-repair-basics</x:v>
      </x:c>
      <x:c r="F344" s="31" t="d">
        <x:v>2026-10-24T00:00:00.000Z</x:v>
      </x:c>
      <x:c r="G344" s="35" t="n">
        <x:v>0</x:v>
      </x:c>
    </x:row>
    <x:row r="345" ht="54" customHeight="1">
      <x:c r="A345" s="29" t="str">
        <x:v>bakersfield:action:mahremiyet-1</x:v>
      </x:c>
      <x:c r="B345" s="29" t="str">
        <x:v>bakersfield</x:v>
      </x:c>
      <x:c r="C345" s="29" t="str">
        <x:v>bakersfield:mahremiyet</x:v>
      </x:c>
      <x:c r="D345" s="29" t="str">
        <x:v>Tüketici gizlilik hakları</x:v>
      </x:c>
      <x:c r="E345" s="29" t="str">
        <x:v>https://cppa.ca.gov/faq.html</x:v>
      </x:c>
      <x:c r="F345" s="31" t="d">
        <x:v>2026-10-24T00:00:00.000Z</x:v>
      </x:c>
      <x:c r="G345" s="35" t="n">
        <x:v>0</x:v>
      </x:c>
    </x:row>
    <x:row r="346" ht="54" customHeight="1">
      <x:c r="A346" s="29" t="str">
        <x:v>bakersfield:action:dil-destegi-1</x:v>
      </x:c>
      <x:c r="B346" s="29" t="str">
        <x:v>bakersfield</x:v>
      </x:c>
      <x:c r="C346" s="29" t="str">
        <x:v>bakersfield:dil-destegi</x:v>
      </x:c>
      <x:c r="D346" s="29" t="str">
        <x:v>Mahkeme tercümanları</x:v>
      </x:c>
      <x:c r="E346" s="29" t="str">
        <x:v>https://www.kern.courts.ca.gov/divisions/interpreter-services</x:v>
      </x:c>
      <x:c r="F346" s="31" t="d">
        <x:v>2026-10-24T00:00:00.000Z</x:v>
      </x:c>
      <x:c r="G346" s="35" t="n">
        <x:v>0</x:v>
      </x:c>
    </x:row>
    <x:row r="347" ht="54" customHeight="1">
      <x:c r="A347" s="29" t="str">
        <x:v>bakersfield:action:hukuk-yardimi-1</x:v>
      </x:c>
      <x:c r="B347" s="29" t="str">
        <x:v>bakersfield</x:v>
      </x:c>
      <x:c r="C347" s="29" t="str">
        <x:v>bakersfield:hukuk-yardimi</x:v>
      </x:c>
      <x:c r="D347" s="29" t="str">
        <x:v>Yerel hukuk yardımı</x:v>
      </x:c>
      <x:c r="E347" s="29" t="str">
        <x:v>https://www.gbla.org/</x:v>
      </x:c>
      <x:c r="F347" s="31" t="d">
        <x:v>2026-10-24T00:00:00.000Z</x:v>
      </x:c>
      <x:c r="G347" s="35" t="n">
        <x:v>0</x:v>
      </x:c>
    </x:row>
    <x:row r="348" ht="54" customHeight="1">
      <x:c r="A348" s="29" t="str">
        <x:v>bakersfield:action:la-konsolosluk-1</x:v>
      </x:c>
      <x:c r="B348" s="29" t="str">
        <x:v>bakersfield</x:v>
      </x:c>
      <x:c r="C348" s="29" t="str">
        <x:v>bakersfield:la-konsolosluk</x:v>
      </x:c>
      <x:c r="D348" s="29" t="str">
        <x:v>Konsolosluk iletişimi</x:v>
      </x:c>
      <x:c r="E348" s="29" t="str">
        <x:v>https://losangeles-bk.mfa.gov.tr/Mission/Contact</x:v>
      </x:c>
      <x:c r="F348" s="31" t="d">
        <x:v>2026-10-24T00:00:00.000Z</x:v>
      </x:c>
      <x:c r="G348" s="35" t="n">
        <x:v>0</x:v>
      </x:c>
    </x:row>
    <x:row r="349" ht="54" customHeight="1">
      <x:c r="A349" s="29" t="str">
        <x:v>bakersfield:action:konsolosluk-randevu-1</x:v>
      </x:c>
      <x:c r="B349" s="29" t="str">
        <x:v>bakersfield</x:v>
      </x:c>
      <x:c r="C349" s="29" t="str">
        <x:v>bakersfield:konsolosluk-randevu</x:v>
      </x:c>
      <x:c r="D349" s="29" t="str">
        <x:v>Konsolosluk işlemleri ve randevu</x:v>
      </x:c>
      <x:c r="E349" s="29" t="str">
        <x:v>https://www.konsolosluk.gov.tr/</x:v>
      </x:c>
      <x:c r="F349" s="31" t="d">
        <x:v>2026-10-24T00:00:00.000Z</x:v>
      </x:c>
      <x:c r="G349" s="35" t="n">
        <x:v>0</x:v>
      </x:c>
    </x:row>
    <x:row r="350" ht="54" customHeight="1">
      <x:c r="A350" s="29" t="str">
        <x:v>bakersfield:action:pasaport-yenile-1</x:v>
      </x:c>
      <x:c r="B350" s="29" t="str">
        <x:v>bakersfield</x:v>
      </x:c>
      <x:c r="C350" s="29" t="str">
        <x:v>bakersfield:pasaport-yenile</x:v>
      </x:c>
      <x:c r="D350" s="29" t="str">
        <x:v>Pasaport işlemleri</x:v>
      </x:c>
      <x:c r="E350" s="29" t="str">
        <x:v>https://www.konsolosluk.gov.tr/Procedure/ShowProcedure/4</x:v>
      </x:c>
      <x:c r="F350" s="31" t="d">
        <x:v>2026-10-24T00:00:00.000Z</x:v>
      </x:c>
      <x:c r="G350" s="35" t="n">
        <x:v>0</x:v>
      </x:c>
    </x:row>
    <x:row r="351" ht="54" customHeight="1">
      <x:c r="A351" s="29" t="str">
        <x:v>bakersfield:action:pasaport-kayip-1</x:v>
      </x:c>
      <x:c r="B351" s="29" t="str">
        <x:v>bakersfield</x:v>
      </x:c>
      <x:c r="C351" s="29" t="str">
        <x:v>bakersfield:pasaport-kayip</x:v>
      </x:c>
      <x:c r="D351" s="29" t="str">
        <x:v>Pasaport işlemleri</x:v>
      </x:c>
      <x:c r="E351" s="29" t="str">
        <x:v>https://www.konsolosluk.gov.tr/Procedure/ShowProcedure/4</x:v>
      </x:c>
      <x:c r="F351" s="31" t="d">
        <x:v>2026-10-24T00:00:00.000Z</x:v>
      </x:c>
      <x:c r="G351" s="35" t="n">
        <x:v>0</x:v>
      </x:c>
    </x:row>
    <x:row r="352" ht="54" customHeight="1">
      <x:c r="A352" s="29" t="str">
        <x:v>bakersfield:action:pasaport-kayip-2</x:v>
      </x:c>
      <x:c r="B352" s="29" t="str">
        <x:v>bakersfield</x:v>
      </x:c>
      <x:c r="C352" s="29" t="str">
        <x:v>bakersfield:pasaport-kayip</x:v>
      </x:c>
      <x:c r="D352" s="29" t="str">
        <x:v>Kayıp ve çalınmış pasaport/vize</x:v>
      </x:c>
      <x:c r="E352" s="29" t="str">
        <x:v>https://travel.state.gov/content/travel/en/us-visas/visa-information-resources/lost-stolen-visas.html</x:v>
      </x:c>
      <x:c r="F352" s="31" t="d">
        <x:v>2026-10-24T00:00:00.000Z</x:v>
      </x:c>
      <x:c r="G352" s="35" t="n">
        <x:v>1</x:v>
      </x:c>
    </x:row>
    <x:row r="353" ht="54" customHeight="1">
      <x:c r="A353" s="29" t="str">
        <x:v>bakersfield:action:yurtdisi-adres-1</x:v>
      </x:c>
      <x:c r="B353" s="29" t="str">
        <x:v>bakersfield</x:v>
      </x:c>
      <x:c r="C353" s="29" t="str">
        <x:v>bakersfield:yurtdisi-adres</x:v>
      </x:c>
      <x:c r="D353" s="29" t="str">
        <x:v>Nüfus ve adres işlemleri</x:v>
      </x:c>
      <x:c r="E353" s="29" t="str">
        <x:v>https://www.konsolosluk.gov.tr/Procedure/ShowProcedure/2</x:v>
      </x:c>
      <x:c r="F353" s="31" t="d">
        <x:v>2026-10-24T00:00:00.000Z</x:v>
      </x:c>
      <x:c r="G353" s="35" t="n">
        <x:v>0</x:v>
      </x:c>
    </x:row>
    <x:row r="354" ht="54" customHeight="1">
      <x:c r="A354" s="29" t="str">
        <x:v>bakersfield:action:edevlet-erisim-1</x:v>
      </x:c>
      <x:c r="B354" s="29" t="str">
        <x:v>bakersfield</x:v>
      </x:c>
      <x:c r="C354" s="29" t="str">
        <x:v>bakersfield:edevlet-erisim</x:v>
      </x:c>
      <x:c r="D354" s="29" t="str">
        <x:v>e-Devlet şifre işlemleri</x:v>
      </x:c>
      <x:c r="E354" s="29" t="str">
        <x:v>https://www.konsolosluk.gov.tr/Procedure/ShowProcedure/15</x:v>
      </x:c>
      <x:c r="F354" s="31" t="d">
        <x:v>2026-10-24T00:00:00.000Z</x:v>
      </x:c>
      <x:c r="G354" s="35" t="n">
        <x:v>0</x:v>
      </x:c>
    </x:row>
    <x:row r="355" ht="54" customHeight="1">
      <x:c r="A355" s="29" t="str">
        <x:v>bakersfield:action:edevlet-erisim-2</x:v>
      </x:c>
      <x:c r="B355" s="29" t="str">
        <x:v>bakersfield</x:v>
      </x:c>
      <x:c r="C355" s="29" t="str">
        <x:v>bakersfield:edevlet-erisim</x:v>
      </x:c>
      <x:c r="D355" s="29" t="str">
        <x:v>Giriş ve hesap erişimi</x:v>
      </x:c>
      <x:c r="E355" s="29" t="str">
        <x:v>https://www.turkiye.gov.tr/</x:v>
      </x:c>
      <x:c r="F355" s="31" t="d">
        <x:v>2026-10-24T00:00:00.000Z</x:v>
      </x:c>
      <x:c r="G355" s="35" t="n">
        <x:v>1</x:v>
      </x:c>
    </x:row>
    <x:row r="356" ht="54" customHeight="1">
      <x:c r="A356" s="29" t="str">
        <x:v>bakersfield:action:vekaletname-1</x:v>
      </x:c>
      <x:c r="B356" s="29" t="str">
        <x:v>bakersfield</x:v>
      </x:c>
      <x:c r="C356" s="29" t="str">
        <x:v>bakersfield:vekaletname</x:v>
      </x:c>
      <x:c r="D356" s="29" t="str">
        <x:v>Noterlik işlemleri</x:v>
      </x:c>
      <x:c r="E356" s="29" t="str">
        <x:v>https://www.konsolosluk.gov.tr/Procedure/ShowProcedure/6</x:v>
      </x:c>
      <x:c r="F356" s="31" t="d">
        <x:v>2026-10-24T00:00:00.000Z</x:v>
      </x:c>
      <x:c r="G356" s="35" t="n">
        <x:v>0</x:v>
      </x:c>
    </x:row>
    <x:row r="357" ht="54" customHeight="1">
      <x:c r="A357" s="29" t="str">
        <x:v>bakersfield:action:evlilik-kayit-1</x:v>
      </x:c>
      <x:c r="B357" s="29" t="str">
        <x:v>bakersfield</x:v>
      </x:c>
      <x:c r="C357" s="29" t="str">
        <x:v>bakersfield:evlilik-kayit</x:v>
      </x:c>
      <x:c r="D357" s="29" t="str">
        <x:v>Evlilik işlemleri</x:v>
      </x:c>
      <x:c r="E357" s="29" t="str">
        <x:v>https://www.konsolosluk.gov.tr/Procedure/ShowProcedure/3</x:v>
      </x:c>
      <x:c r="F357" s="31" t="d">
        <x:v>2026-10-24T00:00:00.000Z</x:v>
      </x:c>
      <x:c r="G357" s="35" t="n">
        <x:v>0</x:v>
      </x:c>
    </x:row>
    <x:row r="358" ht="54" customHeight="1">
      <x:c r="A358" s="29" t="str">
        <x:v>bakersfield:action:dogum-kayit-1</x:v>
      </x:c>
      <x:c r="B358" s="29" t="str">
        <x:v>bakersfield</x:v>
      </x:c>
      <x:c r="C358" s="29" t="str">
        <x:v>bakersfield:dogum-kayit</x:v>
      </x:c>
      <x:c r="D358" s="29" t="str">
        <x:v>Doğum tescili</x:v>
      </x:c>
      <x:c r="E358" s="29" t="str">
        <x:v>https://www.konsolosluk.gov.tr/Procedure/ShowProcedure/1</x:v>
      </x:c>
      <x:c r="F358" s="31" t="d">
        <x:v>2026-10-24T00:00:00.000Z</x:v>
      </x:c>
      <x:c r="G358" s="35" t="n">
        <x:v>0</x:v>
      </x:c>
    </x:row>
    <x:row r="359" ht="54" customHeight="1">
      <x:c r="A359" s="29" t="str">
        <x:v>bakersfield:action:askerlik-islem-1</x:v>
      </x:c>
      <x:c r="B359" s="29" t="str">
        <x:v>bakersfield</x:v>
      </x:c>
      <x:c r="C359" s="29" t="str">
        <x:v>bakersfield:askerlik-islem</x:v>
      </x:c>
      <x:c r="D359" s="29" t="str">
        <x:v>Askerlik işlemleri</x:v>
      </x:c>
      <x:c r="E359" s="29" t="str">
        <x:v>https://www.konsolosluk.gov.tr/Procedure/ShowProcedure/5</x:v>
      </x:c>
      <x:c r="F359" s="31" t="d">
        <x:v>2026-10-24T00:00:00.000Z</x:v>
      </x:c>
      <x:c r="G359" s="35" t="n">
        <x:v>0</x:v>
      </x:c>
    </x:row>
    <x:row r="360" ht="54" customHeight="1">
      <x:c r="A360" s="29" t="str">
        <x:v>bakersfield:action:tr-calisma-belgesi-1</x:v>
      </x:c>
      <x:c r="B360" s="29" t="str">
        <x:v>bakersfield</x:v>
      </x:c>
      <x:c r="C360" s="29" t="str">
        <x:v>bakersfield:tr-calisma-belgesi</x:v>
      </x:c>
      <x:c r="D360" s="29" t="str">
        <x:v>Çalışma ve sosyal güvenlik belgeleri</x:v>
      </x:c>
      <x:c r="E360" s="29" t="str">
        <x:v>https://www.konsolosluk.gov.tr/Procedure/ShowProcedure/17</x:v>
      </x:c>
      <x:c r="F360" s="31" t="d">
        <x:v>2026-10-24T00:00:00.000Z</x:v>
      </x:c>
      <x:c r="G360" s="35" t="n">
        <x:v>0</x:v>
      </x:c>
    </x:row>
    <x:row r="361" ht="54" customHeight="1">
      <x:c r="A361" s="29" t="str">
        <x:v>bakersfield:action:tr-calisma-belgesi-2</x:v>
      </x:c>
      <x:c r="B361" s="29" t="str">
        <x:v>bakersfield</x:v>
      </x:c>
      <x:c r="C361" s="29" t="str">
        <x:v>bakersfield:tr-calisma-belgesi</x:v>
      </x:c>
      <x:c r="D361" s="29" t="str">
        <x:v>Yurt dışı işlemleri</x:v>
      </x:c>
      <x:c r="E361" s="29" t="str">
        <x:v>https://sgk.gov.tr/Download/DownloadFile?d=de85036d-ef64-49f1-834c-916a79f1a923&amp;f=660d9c6f-e417-49b5-8a5a-6e13e7cfc897.pdf</x:v>
      </x:c>
      <x:c r="F361" s="31" t="d">
        <x:v>2026-10-24T00:00:00.000Z</x:v>
      </x:c>
      <x:c r="G361" s="35" t="n">
        <x:v>1</x:v>
      </x:c>
    </x:row>
    <x:row r="362" ht="54" customHeight="1">
      <x:c r="A362" s="29" t="str">
        <x:v>bakersfield:action:apostil-tr-1</x:v>
      </x:c>
      <x:c r="B362" s="29" t="str">
        <x:v>bakersfield</x:v>
      </x:c>
      <x:c r="C362" s="29" t="str">
        <x:v>bakersfield:apostil-tr</x:v>
      </x:c>
      <x:c r="D362" s="29" t="str">
        <x:v>Apostil işlemleri</x:v>
      </x:c>
      <x:c r="E362" s="29" t="str">
        <x:v>https://www.sos.ca.gov/notary/request-apostille</x:v>
      </x:c>
      <x:c r="F362" s="31" t="d">
        <x:v>2026-10-24T00:00:00.000Z</x:v>
      </x:c>
      <x:c r="G362" s="35" t="n">
        <x:v>0</x:v>
      </x:c>
    </x:row>
    <x:row r="363" ht="54" customHeight="1">
      <x:c r="A363" s="29" t="str">
        <x:v>bakersfield:action:apostil-tr-2</x:v>
      </x:c>
      <x:c r="B363" s="29" t="str">
        <x:v>bakersfield</x:v>
      </x:c>
      <x:c r="C363" s="29" t="str">
        <x:v>bakersfield:apostil-tr</x:v>
      </x:c>
      <x:c r="D363" s="29" t="str">
        <x:v>Noterlik işlemleri</x:v>
      </x:c>
      <x:c r="E363" s="29" t="str">
        <x:v>https://www.konsolosluk.gov.tr/Procedure/ShowProcedure/6</x:v>
      </x:c>
      <x:c r="F363" s="31" t="d">
        <x:v>2026-10-24T00:00:00.000Z</x:v>
      </x:c>
      <x:c r="G363" s="35" t="n">
        <x:v>1</x:v>
      </x:c>
    </x:row>
    <x:row r="364" ht="54" customHeight="1">
      <x:c r="A364" s="29" t="str">
        <x:v>bakersfield:action:apostil-tr-3</x:v>
      </x:c>
      <x:c r="B364" s="29" t="str">
        <x:v>bakersfield</x:v>
      </x:c>
      <x:c r="C364" s="29" t="str">
        <x:v>bakersfield:apostil-tr</x:v>
      </x:c>
      <x:c r="D364" s="29" t="str">
        <x:v>Apostil başvuru formu ve ücretleri</x:v>
      </x:c>
      <x:c r="E364" s="29" t="str">
        <x:v>https://notary.cdn.sos.ca.gov/forms/apostille-request-sac.pdf</x:v>
      </x:c>
      <x:c r="F364" s="31" t="d">
        <x:v>2026-10-24T00:00:00.000Z</x:v>
      </x:c>
      <x:c r="G364" s="35" t="n">
        <x:v>2</x:v>
      </x:c>
    </x:row>
    <x:row r="365" ht="54" customHeight="1">
      <x:c r="A365" s="29" t="str">
        <x:v>bakersfield:action:tr-banka-1</x:v>
      </x:c>
      <x:c r="B365" s="29" t="str">
        <x:v>bakersfield</x:v>
      </x:c>
      <x:c r="C365" s="29" t="str">
        <x:v>bakersfield:tr-banka</x:v>
      </x:c>
      <x:c r="D365" s="29" t="str">
        <x:v>Vergi mukimliği</x:v>
      </x:c>
      <x:c r="E365" s="29" t="str">
        <x:v>https://www.irs.gov/individuals/international-taxpayers/determining-an-individuals-tax-residency-status</x:v>
      </x:c>
      <x:c r="F365" s="31" t="d">
        <x:v>2026-10-24T00:00:00.000Z</x:v>
      </x:c>
      <x:c r="G365" s="35" t="n">
        <x:v>0</x:v>
      </x:c>
    </x:row>
    <x:row r="366" ht="54" customHeight="1">
      <x:c r="A366" s="29" t="str">
        <x:v>bakersfield:action:tr-banka-2</x:v>
      </x:c>
      <x:c r="B366" s="29" t="str">
        <x:v>bakersfield</x:v>
      </x:c>
      <x:c r="C366" s="29" t="str">
        <x:v>bakersfield:tr-banka</x:v>
      </x:c>
      <x:c r="D366" s="29" t="str">
        <x:v>Yurtdışı gelir ve hesap bildirimleri</x:v>
      </x:c>
      <x:c r="E366" s="29" t="str">
        <x:v>https://www.irs.gov/individuals/international-taxpayers/us-citizens-and-resident-aliens-abroad</x:v>
      </x:c>
      <x:c r="F366" s="31" t="d">
        <x:v>2026-10-24T00:00:00.000Z</x:v>
      </x:c>
      <x:c r="G366" s="35" t="n">
        <x:v>1</x:v>
      </x:c>
    </x:row>
    <x:row r="367" ht="54" customHeight="1">
      <x:c r="A367" s="29" t="str">
        <x:v>bakersfield:action:tr-transfer-1</x:v>
      </x:c>
      <x:c r="B367" s="29" t="str">
        <x:v>bakersfield</x:v>
      </x:c>
      <x:c r="C367" s="29" t="str">
        <x:v>bakersfield:tr-transfer</x:v>
      </x:c>
      <x:c r="D367" s="29" t="str">
        <x:v>Uluslararası para transferleri</x:v>
      </x:c>
      <x:c r="E367" s="29" t="str">
        <x:v>https://www.consumerfinance.gov/consumer-tools/sending-money/</x:v>
      </x:c>
      <x:c r="F367" s="31" t="d">
        <x:v>2026-10-24T00:00:00.000Z</x:v>
      </x:c>
      <x:c r="G367" s="35" t="n">
        <x:v>0</x:v>
      </x:c>
    </x:row>
    <x:row r="368" ht="54" customHeight="1">
      <x:c r="A368" s="29" t="str">
        <x:v>bakersfield:action:tr-transfer-2</x:v>
      </x:c>
      <x:c r="B368" s="29" t="str">
        <x:v>bakersfield</x:v>
      </x:c>
      <x:c r="C368" s="29" t="str">
        <x:v>bakersfield:tr-transfer</x:v>
      </x:c>
      <x:c r="D368" s="29" t="str">
        <x:v>Para transferi, iptal ve hata bildirim hakları</x:v>
      </x:c>
      <x:c r="E368" s="29" t="str">
        <x:v>https://www.consumerfinance.gov/ask-cfpb/what-is-a-remittance-transfer-and-what-are-my-rights-en-1161/</x:v>
      </x:c>
      <x:c r="F368" s="31" t="d">
        <x:v>2026-10-24T00:00:00.000Z</x:v>
      </x:c>
      <x:c r="G368" s="35" t="n">
        <x:v>1</x:v>
      </x:c>
    </x:row>
    <x:row r="369" ht="54" customHeight="1">
      <x:c r="A369" s="29" t="str">
        <x:v>bakersfield:action:donus-belgeleri-1</x:v>
      </x:c>
      <x:c r="B369" s="29" t="str">
        <x:v>bakersfield</x:v>
      </x:c>
      <x:c r="C369" s="29" t="str">
        <x:v>bakersfield:donus-belgeleri</x:v>
      </x:c>
      <x:c r="D369" s="29" t="str">
        <x:v>Vize geçerliliği ve kalış süresi</x:v>
      </x:c>
      <x:c r="E369" s="29" t="str">
        <x:v>https://travel.state.gov/content/travel/en/us-visas/visa-information-resources/visa-expiration-date.html</x:v>
      </x:c>
      <x:c r="F369" s="31" t="d">
        <x:v>2026-10-24T00:00:00.000Z</x:v>
      </x:c>
      <x:c r="G369" s="35" t="n">
        <x:v>0</x:v>
      </x:c>
    </x:row>
    <x:row r="370" ht="54" customHeight="1">
      <x:c r="A370" s="29" t="str">
        <x:v>bakersfield:action:donus-belgeleri-2</x:v>
      </x:c>
      <x:c r="B370" s="29" t="str">
        <x:v>bakersfield</x:v>
      </x:c>
      <x:c r="C370" s="29" t="str">
        <x:v>bakersfield:donus-belgeleri</x:v>
      </x:c>
      <x:c r="D370" s="29" t="str">
        <x:v>Seyahat belgeleri</x:v>
      </x:c>
      <x:c r="E370" s="29" t="str">
        <x:v>https://www.uscis.gov/green-card/green-card-processes-and-procedures/travel-documents</x:v>
      </x:c>
      <x:c r="F370" s="31" t="d">
        <x:v>2026-10-24T00:00:00.000Z</x:v>
      </x:c>
      <x:c r="G370" s="35" t="n">
        <x:v>1</x:v>
      </x:c>
    </x:row>
    <x:row r="371" ht="54" customHeight="1">
      <x:c r="A371" s="29" t="str">
        <x:v>bakersfield:action:gumruk-gida-1</x:v>
      </x:c>
      <x:c r="B371" s="29" t="str">
        <x:v>bakersfield</x:v>
      </x:c>
      <x:c r="C371" s="29" t="str">
        <x:v>bakersfield:gumruk-gida</x:v>
      </x:c>
      <x:c r="D371" s="29" t="str">
        <x:v>Gıda ve tarım ürünleriyle giriş</x:v>
      </x:c>
      <x:c r="E371" s="29" t="str">
        <x:v>https://www.cbp.gov/travel/clearing-cbp/bringing-agricultural-products-united-states</x:v>
      </x:c>
      <x:c r="F371" s="31" t="d">
        <x:v>2026-10-24T00:00:00.000Z</x:v>
      </x:c>
      <x:c r="G371" s="35" t="n">
        <x:v>0</x:v>
      </x:c>
    </x:row>
    <x:row r="372" ht="54" customHeight="1">
      <x:c r="A372" s="29" t="str">
        <x:v>bakersfield:action:ilac-giris-1</x:v>
      </x:c>
      <x:c r="B372" s="29" t="str">
        <x:v>bakersfield</x:v>
      </x:c>
      <x:c r="C372" s="29" t="str">
        <x:v>bakersfield:ilac-giris</x:v>
      </x:c>
      <x:c r="D372" s="29" t="str">
        <x:v>Kişisel ilaç getirme</x:v>
      </x:c>
      <x:c r="E372" s="29" t="str">
        <x:v>https://www.fda.gov/industry/import-basics/personal-importation</x:v>
      </x:c>
      <x:c r="F372" s="31" t="d">
        <x:v>2026-10-24T00:00:00.000Z</x:v>
      </x:c>
      <x:c r="G372" s="35" t="n">
        <x:v>0</x:v>
      </x:c>
    </x:row>
    <x:row r="373" ht="54" customHeight="1">
      <x:c r="A373" s="29" t="str">
        <x:v>bakersfield:action:kopek-seyahat-1</x:v>
      </x:c>
      <x:c r="B373" s="29" t="str">
        <x:v>bakersfield</x:v>
      </x:c>
      <x:c r="C373" s="29" t="str">
        <x:v>bakersfield:kopek-seyahat</x:v>
      </x:c>
      <x:c r="D373" s="29" t="str">
        <x:v>Köpekle ABD'ye giriş</x:v>
      </x:c>
      <x:c r="E373" s="29" t="str">
        <x:v>https://www.cdc.gov/importation/dogs/index.html</x:v>
      </x:c>
      <x:c r="F373" s="31" t="d">
        <x:v>2026-10-24T00:00:00.000Z</x:v>
      </x:c>
      <x:c r="G373" s="35" t="n">
        <x:v>0</x:v>
      </x:c>
    </x:row>
    <x:row r="374" ht="54" customHeight="1">
      <x:c r="A374" s="29" t="str">
        <x:v>bakersfield:action:saat-farki-1</x:v>
      </x:c>
      <x:c r="B374" s="29" t="str">
        <x:v>bakersfield</x:v>
      </x:c>
      <x:c r="C374" s="29" t="str">
        <x:v>bakersfield:saat-farki</x:v>
      </x:c>
      <x:c r="D374" s="29" t="str">
        <x:v>Daylight saving time</x:v>
      </x:c>
      <x:c r="E374" s="29" t="str">
        <x:v>https://www.nist.gov/pml/time-and-frequency-division/popular-links/daylight-saving-time-dst</x:v>
      </x:c>
      <x:c r="F374" s="31" t="d">
        <x:v>2026-10-24T00:00:00.000Z</x:v>
      </x:c>
      <x:c r="G374" s="35" t="n">
        <x:v>0</x:v>
      </x:c>
    </x:row>
    <x:row r="375" ht="54" customHeight="1">
      <x:c r="A375" s="29" t="str">
        <x:v>bakersfield:action:saat-farki-2</x:v>
      </x:c>
      <x:c r="B375" s="29" t="str">
        <x:v>bakersfield</x:v>
      </x:c>
      <x:c r="C375" s="29" t="str">
        <x:v>bakersfield:saat-farki</x:v>
      </x:c>
      <x:c r="D375" s="29" t="str">
        <x:v>Saat uygulaması hakkında sık sorulan sorular</x:v>
      </x:c>
      <x:c r="E375" s="29" t="str">
        <x:v>https://www.enerji.gov.tr/sikca-sorulan-sorular</x:v>
      </x:c>
      <x:c r="F375" s="31" t="d">
        <x:v>2026-10-24T00:00:00.000Z</x:v>
      </x:c>
      <x:c r="G375" s="35" t="n">
        <x:v>1</x:v>
      </x:c>
    </x:row>
    <x:row r="376" ht="54" customHeight="1">
      <x:c r="A376" s="29" t="str">
        <x:v>bakersfield:action:konsolosluk-acil-1</x:v>
      </x:c>
      <x:c r="B376" s="29" t="str">
        <x:v>bakersfield</x:v>
      </x:c>
      <x:c r="C376" s="29" t="str">
        <x:v>bakersfield:konsolosluk-acil</x:v>
      </x:c>
      <x:c r="D376" s="29" t="str">
        <x:v>Konsolosluk iletişimi</x:v>
      </x:c>
      <x:c r="E376" s="29" t="str">
        <x:v>https://losangeles-bk.mfa.gov.tr/Mission/Contact</x:v>
      </x:c>
      <x:c r="F376" s="31" t="d">
        <x:v>2026-10-24T00:00:00.000Z</x:v>
      </x:c>
      <x:c r="G376" s="35" t="n">
        <x:v>0</x:v>
      </x:c>
    </x:row>
    <x:row r="377" ht="54" customHeight="1">
      <x:c r="A377" s="29" t="str">
        <x:v>bakersfield:action:konsolosluk-acil-2</x:v>
      </x:c>
      <x:c r="B377" s="29" t="str">
        <x:v>bakersfield</x:v>
      </x:c>
      <x:c r="C377" s="29" t="str">
        <x:v>bakersfield:konsolosluk-acil</x:v>
      </x:c>
      <x:c r="D377" s="29" t="str">
        <x:v>911 acil çağrısı</x:v>
      </x:c>
      <x:c r="E377" s="29" t="str">
        <x:v>https://www.911.gov/calling-911/</x:v>
      </x:c>
      <x:c r="F377" s="31" t="d">
        <x:v>2026-10-24T00:00:00.000Z</x:v>
      </x:c>
      <x:c r="G377" s="35" t="n">
        <x:v>1</x:v>
      </x:c>
    </x:row>
    <x:row r="378" ht="54" customHeight="1">
      <x:c r="A378" s="29" t="str">
        <x:v>bakersfield:action:sehir-ilk-gezi-1</x:v>
      </x:c>
      <x:c r="B378" s="29" t="str">
        <x:v>bakersfield</x:v>
      </x:c>
      <x:c r="C378" s="29" t="str">
        <x:v>bakersfield:sehir-ilk-gezi</x:v>
      </x:c>
      <x:c r="D378" s="29" t="str">
        <x:v>Şehirde keşif noktaları</x:v>
      </x:c>
      <x:c r="E378" s="29" t="str">
        <x:v>https://www.visitbakersfield.com/things-to-do/</x:v>
      </x:c>
      <x:c r="F378" s="31" t="d">
        <x:v>2026-10-24T00:00:00.000Z</x:v>
      </x:c>
      <x:c r="G378" s="35" t="n">
        <x:v>0</x:v>
      </x:c>
    </x:row>
    <x:row r="379" ht="54" customHeight="1">
      <x:c r="A379" s="29" t="str">
        <x:v>bakersfield:action:sehir-ilk-gezi-2</x:v>
      </x:c>
      <x:c r="B379" s="29" t="str">
        <x:v>bakersfield</x:v>
      </x:c>
      <x:c r="C379" s="29" t="str">
        <x:v>bakersfield:sehir-ilk-gezi</x:v>
      </x:c>
      <x:c r="D379" s="29" t="str">
        <x:v>Bakersfield hava tahmini</x:v>
      </x:c>
      <x:c r="E379" s="29" t="str">
        <x:v>https://forecast.weather.gov/MapClick.php?lat=35.3733&amp;lon=-119.0187</x:v>
      </x:c>
      <x:c r="F379" s="31" t="d">
        <x:v>2026-10-24T00:00:00.000Z</x:v>
      </x:c>
      <x:c r="G379" s="35" t="n">
        <x:v>1</x:v>
      </x:c>
    </x:row>
    <x:row r="380" ht="54" customHeight="1">
      <x:c r="A380" s="29" t="str">
        <x:v>bakersfield:action:fox-program-1</x:v>
      </x:c>
      <x:c r="B380" s="29" t="str">
        <x:v>bakersfield</x:v>
      </x:c>
      <x:c r="C380" s="29" t="str">
        <x:v>bakersfield:fox-program</x:v>
      </x:c>
      <x:c r="D380" s="29" t="str">
        <x:v>Güncel gösteri ve bilet programı</x:v>
      </x:c>
      <x:c r="E380" s="29" t="str">
        <x:v>https://www.bakersfieldlive.com/</x:v>
      </x:c>
      <x:c r="F380" s="31" t="d">
        <x:v>2026-10-24T00:00:00.000Z</x:v>
      </x:c>
      <x:c r="G380" s="35" t="n">
        <x:v>0</x:v>
      </x:c>
    </x:row>
    <x:row r="381" ht="54" customHeight="1">
      <x:c r="A381" s="29" t="str">
        <x:v>bakersfield:action:kent-muzesi-1</x:v>
      </x:c>
      <x:c r="B381" s="29" t="str">
        <x:v>bakersfield</x:v>
      </x:c>
      <x:c r="C381" s="29" t="str">
        <x:v>bakersfield:kent-muzesi</x:v>
      </x:c>
      <x:c r="D381" s="29" t="str">
        <x:v>Ziyaret ve sergiler</x:v>
      </x:c>
      <x:c r="E381" s="29" t="str">
        <x:v>https://kerncountymuseum.org/</x:v>
      </x:c>
      <x:c r="F381" s="31" t="d">
        <x:v>2026-10-24T00:00:00.000Z</x:v>
      </x:c>
      <x:c r="G381" s="35" t="n">
        <x:v>0</x:v>
      </x:c>
    </x:row>
    <x:row r="382" ht="54" customHeight="1">
      <x:c r="A382" s="29" t="str">
        <x:v>bakersfield:action:sanat-program-1</x:v>
      </x:c>
      <x:c r="B382" s="29" t="str">
        <x:v>bakersfield</x:v>
      </x:c>
      <x:c r="C382" s="29" t="str">
        <x:v>bakersfield:sanat-program</x:v>
      </x:c>
      <x:c r="D382" s="29" t="str">
        <x:v>Ziyaret saatleri ve giriş tarifesi</x:v>
      </x:c>
      <x:c r="E382" s="29" t="str">
        <x:v>https://www.bmoa.org/hours-admission</x:v>
      </x:c>
      <x:c r="F382" s="31" t="d">
        <x:v>2026-10-24T00:00:00.000Z</x:v>
      </x:c>
      <x:c r="G382" s="35" t="n">
        <x:v>0</x:v>
      </x:c>
    </x:row>
    <x:row r="383" ht="54" customHeight="1">
      <x:c r="A383" s="29" t="str">
        <x:v>bakersfield:action:condors-mac-1</x:v>
      </x:c>
      <x:c r="B383" s="29" t="str">
        <x:v>bakersfield</x:v>
      </x:c>
      <x:c r="C383" s="29" t="str">
        <x:v>bakersfield:condors-mac</x:v>
      </x:c>
      <x:c r="D383" s="29" t="str">
        <x:v>Resmî takım ve bilet bilgisi</x:v>
      </x:c>
      <x:c r="E383" s="29" t="str">
        <x:v>https://www.bakersfieldcondors.com/</x:v>
      </x:c>
      <x:c r="F383" s="31" t="d">
        <x:v>2026-10-24T00:00:00.000Z</x:v>
      </x:c>
      <x:c r="G383" s="35" t="n">
        <x:v>0</x:v>
      </x:c>
    </x:row>
    <x:row r="384" ht="54" customHeight="1">
      <x:c r="A384" s="29" t="str">
        <x:v>bakersfield:action:kampus-etkinlik-1</x:v>
      </x:c>
      <x:c r="B384" s="29" t="str">
        <x:v>bakersfield</x:v>
      </x:c>
      <x:c r="C384" s="29" t="str">
        <x:v>bakersfield:kampus-etkinlik</x:v>
      </x:c>
      <x:c r="D384" s="29" t="str">
        <x:v>Etkinlik takvimi</x:v>
      </x:c>
      <x:c r="E384" s="29" t="str">
        <x:v>https://events.csub.edu/calendar</x:v>
      </x:c>
      <x:c r="F384" s="31" t="d">
        <x:v>2026-10-24T00:00:00.000Z</x:v>
      </x:c>
      <x:c r="G384" s="35" t="n">
        <x:v>0</x:v>
      </x:c>
    </x:row>
    <x:row r="385" ht="54" customHeight="1">
      <x:c r="A385" s="29" t="str">
        <x:v>bakersfield:action:kutuphane-topluluk-1</x:v>
      </x:c>
      <x:c r="B385" s="29" t="str">
        <x:v>bakersfield</x:v>
      </x:c>
      <x:c r="C385" s="29" t="str">
        <x:v>bakersfield:kutuphane-topluluk</x:v>
      </x:c>
      <x:c r="D385" s="29" t="str">
        <x:v>Etkinlik takvimi</x:v>
      </x:c>
      <x:c r="E385" s="29" t="str">
        <x:v>https://kerncountylibrary.org/events/</x:v>
      </x:c>
      <x:c r="F385" s="31" t="d">
        <x:v>2026-10-24T00:00:00.000Z</x:v>
      </x:c>
      <x:c r="G385" s="35" t="n">
        <x:v>0</x:v>
      </x:c>
    </x:row>
    <x:row r="386" ht="54" customHeight="1">
      <x:c r="A386" s="29" t="str">
        <x:v>bakersfield:action:gonulluluk-1</x:v>
      </x:c>
      <x:c r="B386" s="29" t="str">
        <x:v>bakersfield</x:v>
      </x:c>
      <x:c r="C386" s="29" t="str">
        <x:v>bakersfield:gonulluluk</x:v>
      </x:c>
      <x:c r="D386" s="29" t="str">
        <x:v>Gönüllülük</x:v>
      </x:c>
      <x:c r="E386" s="29" t="str">
        <x:v>https://kerncountylibrary.org/volunteering/</x:v>
      </x:c>
      <x:c r="F386" s="31" t="d">
        <x:v>2026-10-24T00:00:00.000Z</x:v>
      </x:c>
      <x:c r="G386" s="35" t="n">
        <x:v>0</x:v>
      </x:c>
    </x:row>
    <x:row r="387" ht="54" customHeight="1">
      <x:c r="A387" s="29" t="str">
        <x:v>bakersfield:action:bask-kulturu-1</x:v>
      </x:c>
      <x:c r="B387" s="29" t="str">
        <x:v>bakersfield</x:v>
      </x:c>
      <x:c r="C387" s="29" t="str">
        <x:v>bakersfield:bask-kulturu</x:v>
      </x:c>
      <x:c r="D387" s="29" t="str">
        <x:v>Bask kültürü</x:v>
      </x:c>
      <x:c r="E387" s="29" t="str">
        <x:v>https://www.visitbakersfield.com/restaurants/bakersfield-basque/</x:v>
      </x:c>
      <x:c r="F387" s="31" t="d">
        <x:v>2026-10-24T00:00:00.000Z</x:v>
      </x:c>
      <x:c r="G387" s="35" t="n">
        <x:v>0</x:v>
      </x:c>
    </x:row>
    <x:row r="388" ht="54" customHeight="1">
      <x:c r="A388" s="29" t="str">
        <x:v>bakersfield:action:country-tarih-1</x:v>
      </x:c>
      <x:c r="B388" s="29" t="str">
        <x:v>bakersfield</x:v>
      </x:c>
      <x:c r="C388" s="29" t="str">
        <x:v>bakersfield:country-tarih</x:v>
      </x:c>
      <x:c r="D388" s="29" t="str">
        <x:v>Bakersfield gezi rehberi</x:v>
      </x:c>
      <x:c r="E388" s="29" t="str">
        <x:v>https://www.visitcalifornia.com/places-to-visit/bakersfield/</x:v>
      </x:c>
      <x:c r="F388" s="31" t="d">
        <x:v>2026-10-24T00:00:00.000Z</x:v>
      </x:c>
      <x:c r="G388" s="35" t="n">
        <x:v>0</x:v>
      </x:c>
    </x:row>
    <x:row r="389" ht="54" customHeight="1">
      <x:c r="A389" s="29" t="str">
        <x:v>bakersfield:action:country-tarih-2</x:v>
      </x:c>
      <x:c r="B389" s="29" t="str">
        <x:v>bakersfield</x:v>
      </x:c>
      <x:c r="C389" s="29" t="str">
        <x:v>bakersfield:country-tarih</x:v>
      </x:c>
      <x:c r="D389" s="29" t="str">
        <x:v>Kapanış duyurusu</x:v>
      </x:c>
      <x:c r="E389" s="29" t="str">
        <x:v>https://www.buckowens.com/</x:v>
      </x:c>
      <x:c r="F389" s="31" t="d">
        <x:v>2026-10-24T00:00:00.000Z</x:v>
      </x:c>
      <x:c r="G389" s="35" t="n">
        <x:v>1</x:v>
      </x:c>
    </x:row>
    <x:row r="390" ht="54" customHeight="1">
      <x:c r="A390" s="29" t="str">
        <x:v>bakersfield:action:park-sosyal-1</x:v>
      </x:c>
      <x:c r="B390" s="29" t="str">
        <x:v>bakersfield</x:v>
      </x:c>
      <x:c r="C390" s="29" t="str">
        <x:v>bakersfield:park-sosyal</x:v>
      </x:c>
      <x:c r="D390" s="29" t="str">
        <x:v>Rekreasyon ve park hizmetleri</x:v>
      </x:c>
      <x:c r="E390" s="29" t="str">
        <x:v>https://www.bakersfieldcity.us/recreation-parks</x:v>
      </x:c>
      <x:c r="F390" s="31" t="d">
        <x:v>2026-10-24T00:00:00.000Z</x:v>
      </x:c>
      <x:c r="G390" s="35" t="n">
        <x:v>0</x:v>
      </x:c>
    </x:row>
    <x:row r="391" ht="54" customHeight="1">
      <x:c r="A391" s="29" t="str">
        <x:v>bakersfield:action:park-sosyal-2</x:v>
      </x:c>
      <x:c r="B391" s="29" t="str">
        <x:v>bakersfield</x:v>
      </x:c>
      <x:c r="C391" s="29" t="str">
        <x:v>bakersfield:park-sosyal</x:v>
      </x:c>
      <x:c r="D391" s="29" t="str">
        <x:v>Parklar ve rezervasyonlar</x:v>
      </x:c>
      <x:c r="E391" s="29" t="str">
        <x:v>https://www.kerncounty.com/government/parks</x:v>
      </x:c>
      <x:c r="F391" s="31" t="d">
        <x:v>2026-10-24T00:00:00.000Z</x:v>
      </x:c>
      <x:c r="G391" s="35" t="n">
        <x:v>1</x:v>
      </x:c>
    </x:row>
    <x:row r="392" ht="54" customHeight="1">
      <x:c r="A392" s="29" t="str">
        <x:v>bakersfield:action:north-rec-1</x:v>
      </x:c>
      <x:c r="B392" s="29" t="str">
        <x:v>bakersfield</x:v>
      </x:c>
      <x:c r="C392" s="29" t="str">
        <x:v>bakersfield:north-rec</x:v>
      </x:c>
      <x:c r="D392" s="29" t="str">
        <x:v>Bölge parkları ve programlar</x:v>
      </x:c>
      <x:c r="E392" s="29" t="str">
        <x:v>https://www.norfun.org/</x:v>
      </x:c>
      <x:c r="F392" s="31" t="d">
        <x:v>2026-10-24T00:00:00.000Z</x:v>
      </x:c>
      <x:c r="G392" s="35" t="n">
        <x:v>0</x:v>
      </x:c>
    </x:row>
    <x:row r="393" ht="54" customHeight="1">
      <x:c r="A393" s="29" t="str">
        <x:v>bakersfield:action:cocukla-kultur-1</x:v>
      </x:c>
      <x:c r="B393" s="29" t="str">
        <x:v>bakersfield</x:v>
      </x:c>
      <x:c r="C393" s="29" t="str">
        <x:v>bakersfield:cocukla-kultur</x:v>
      </x:c>
      <x:c r="D393" s="29" t="str">
        <x:v>Ziyaret ve sergiler</x:v>
      </x:c>
      <x:c r="E393" s="29" t="str">
        <x:v>https://kerncountymuseum.org/</x:v>
      </x:c>
      <x:c r="F393" s="31" t="d">
        <x:v>2026-10-24T00:00:00.000Z</x:v>
      </x:c>
      <x:c r="G393" s="35" t="n">
        <x:v>0</x:v>
      </x:c>
    </x:row>
    <x:row r="394" ht="54" customHeight="1">
      <x:c r="A394" s="29" t="str">
        <x:v>bakersfield:action:cocukla-kultur-2</x:v>
      </x:c>
      <x:c r="B394" s="29" t="str">
        <x:v>bakersfield</x:v>
      </x:c>
      <x:c r="C394" s="29" t="str">
        <x:v>bakersfield:cocukla-kultur</x:v>
      </x:c>
      <x:c r="D394" s="29" t="str">
        <x:v>Ziyaret saatleri ve giriş tarifesi</x:v>
      </x:c>
      <x:c r="E394" s="29" t="str">
        <x:v>https://www.bmoa.org/hours-admission</x:v>
      </x:c>
      <x:c r="F394" s="31" t="d">
        <x:v>2026-10-24T00:00:00.000Z</x:v>
      </x:c>
      <x:c r="G394" s="35" t="n">
        <x:v>1</x:v>
      </x:c>
    </x:row>
    <x:row r="395" ht="54" customHeight="1">
      <x:c r="A395" s="29" t="str">
        <x:v>bakersfield:action:cocukla-kultur-3</x:v>
      </x:c>
      <x:c r="B395" s="29" t="str">
        <x:v>bakersfield</x:v>
      </x:c>
      <x:c r="C395" s="29" t="str">
        <x:v>bakersfield:cocukla-kultur</x:v>
      </x:c>
      <x:c r="D395" s="29" t="str">
        <x:v>Etkinlik takvimi</x:v>
      </x:c>
      <x:c r="E395" s="29" t="str">
        <x:v>https://kerncountylibrary.org/events/</x:v>
      </x:c>
      <x:c r="F395" s="31" t="d">
        <x:v>2026-10-24T00:00:00.000Z</x:v>
      </x:c>
      <x:c r="G395" s="35" t="n">
        <x:v>2</x:v>
      </x:c>
    </x:row>
    <x:row r="396" ht="54" customHeight="1">
      <x:c r="A396" s="29" t="str">
        <x:v>bakersfield:action:ucretsiz-etkinlik-1</x:v>
      </x:c>
      <x:c r="B396" s="29" t="str">
        <x:v>bakersfield</x:v>
      </x:c>
      <x:c r="C396" s="29" t="str">
        <x:v>bakersfield:ucretsiz-etkinlik</x:v>
      </x:c>
      <x:c r="D396" s="29" t="str">
        <x:v>Etkinlik takvimi</x:v>
      </x:c>
      <x:c r="E396" s="29" t="str">
        <x:v>https://kerncountylibrary.org/events/</x:v>
      </x:c>
      <x:c r="F396" s="31" t="d">
        <x:v>2026-10-24T00:00:00.000Z</x:v>
      </x:c>
      <x:c r="G396" s="35" t="n">
        <x:v>0</x:v>
      </x:c>
    </x:row>
    <x:row r="397" ht="54" customHeight="1">
      <x:c r="A397" s="29" t="str">
        <x:v>bakersfield:action:ucretsiz-etkinlik-2</x:v>
      </x:c>
      <x:c r="B397" s="29" t="str">
        <x:v>bakersfield</x:v>
      </x:c>
      <x:c r="C397" s="29" t="str">
        <x:v>bakersfield:ucretsiz-etkinlik</x:v>
      </x:c>
      <x:c r="D397" s="29" t="str">
        <x:v>Rekreasyon ve park hizmetleri</x:v>
      </x:c>
      <x:c r="E397" s="29" t="str">
        <x:v>https://www.bakersfieldcity.us/recreation-parks</x:v>
      </x:c>
      <x:c r="F397" s="31" t="d">
        <x:v>2026-10-24T00:00:00.000Z</x:v>
      </x:c>
      <x:c r="G397" s="35" t="n">
        <x:v>1</x:v>
      </x:c>
    </x:row>
    <x:row r="398" ht="54" customHeight="1">
      <x:c r="A398" s="29" t="str">
        <x:v>bakersfield:action:haftasonu-bolge-1</x:v>
      </x:c>
      <x:c r="B398" s="29" t="str">
        <x:v>bakersfield</x:v>
      </x:c>
      <x:c r="C398" s="29" t="str">
        <x:v>bakersfield:haftasonu-bolge</x:v>
      </x:c>
      <x:c r="D398" s="29" t="str">
        <x:v>İlçe hatları</x:v>
      </x:c>
      <x:c r="E398" s="29" t="str">
        <x:v>https://kerntransit.org/routes-and-schedules/</x:v>
      </x:c>
      <x:c r="F398" s="31" t="d">
        <x:v>2026-10-24T00:00:00.000Z</x:v>
      </x:c>
      <x:c r="G398" s="35" t="n">
        <x:v>0</x:v>
      </x:c>
    </x:row>
    <x:row r="399" ht="54" customHeight="1">
      <x:c r="A399" s="29" t="str">
        <x:v>bakersfield:action:haftasonu-bolge-2</x:v>
      </x:c>
      <x:c r="B399" s="29" t="str">
        <x:v>bakersfield</x:v>
      </x:c>
      <x:c r="C399" s="29" t="str">
        <x:v>bakersfield:haftasonu-bolge</x:v>
      </x:c>
      <x:c r="D399" s="29" t="str">
        <x:v>QuickMap yol durumu</x:v>
      </x:c>
      <x:c r="E399" s="29" t="str">
        <x:v>https://quickmap.dot.ca.gov/</x:v>
      </x:c>
      <x:c r="F399" s="31" t="d">
        <x:v>2026-10-24T00:00:00.000Z</x:v>
      </x:c>
      <x:c r="G399" s="35" t="n">
        <x:v>1</x:v>
      </x:c>
    </x:row>
    <x:row r="400" ht="54" customHeight="1">
      <x:c r="A400" s="29" t="str">
        <x:v>bakersfield:action:haftasonu-bolge-3</x:v>
      </x:c>
      <x:c r="B400" s="29" t="str">
        <x:v>bakersfield</x:v>
      </x:c>
      <x:c r="C400" s="29" t="str">
        <x:v>bakersfield:haftasonu-bolge</x:v>
      </x:c>
      <x:c r="D400" s="29" t="str">
        <x:v>Parklar ve rezervasyonlar</x:v>
      </x:c>
      <x:c r="E400" s="29" t="str">
        <x:v>https://www.kerncounty.com/government/parks</x:v>
      </x:c>
      <x:c r="F400" s="31" t="d">
        <x:v>2026-10-24T00:00:00.000Z</x:v>
      </x:c>
      <x:c r="G400" s="35" t="n">
        <x:v>2</x:v>
      </x:c>
    </x:row>
    <x:row r="401" ht="54" customHeight="1">
      <x:c r="A401" s="29" t="str">
        <x:v>bakersfield:action:dogada-izin-1</x:v>
      </x:c>
      <x:c r="B401" s="29" t="str">
        <x:v>bakersfield</x:v>
      </x:c>
      <x:c r="C401" s="29" t="str">
        <x:v>bakersfield:dogada-izin</x:v>
      </x:c>
      <x:c r="D401" s="29" t="str">
        <x:v>Parklar ve rezervasyonlar</x:v>
      </x:c>
      <x:c r="E401" s="29" t="str">
        <x:v>https://www.kerncounty.com/government/parks</x:v>
      </x:c>
      <x:c r="F401" s="31" t="d">
        <x:v>2026-10-24T00:00:00.000Z</x:v>
      </x:c>
      <x:c r="G401" s="35" t="n">
        <x:v>0</x:v>
      </x:c>
    </x:row>
    <x:row r="402" ht="54" customHeight="1">
      <x:c r="A402" s="29" t="str">
        <x:v>bakersfield:action:dogada-izin-2</x:v>
      </x:c>
      <x:c r="B402" s="29" t="str">
        <x:v>bakersfield</x:v>
      </x:c>
      <x:c r="C402" s="29" t="str">
        <x:v>bakersfield:dogada-izin</x:v>
      </x:c>
      <x:c r="D402" s="29" t="str">
        <x:v>Bakersfield Field Office</x:v>
      </x:c>
      <x:c r="E402" s="29" t="str">
        <x:v>https://www.blm.gov/office/bakersfield-field-office</x:v>
      </x:c>
      <x:c r="F402" s="31" t="d">
        <x:v>2026-10-24T00:00:00.000Z</x:v>
      </x:c>
      <x:c r="G402" s="35" t="n">
        <x:v>1</x:v>
      </x:c>
    </x:row>
    <x:row r="403" ht="54" customHeight="1">
      <x:c r="A403" s="29" t="str">
        <x:v>bakersfield:action:dogada-izin-3</x:v>
      </x:c>
      <x:c r="B403" s="29" t="str">
        <x:v>bakersfield</x:v>
      </x:c>
      <x:c r="C403" s="29" t="str">
        <x:v>bakersfield:dogada-izin</x:v>
      </x:c>
      <x:c r="D403" s="29" t="str">
        <x:v>Sequoia National Forest</x:v>
      </x:c>
      <x:c r="E403" s="29" t="str">
        <x:v>https://www.fs.usda.gov/r05/sequoia</x:v>
      </x:c>
      <x:c r="F403" s="31" t="d">
        <x:v>2026-10-24T00:00:00.000Z</x:v>
      </x:c>
      <x:c r="G403" s="35" t="n">
        <x:v>2</x:v>
      </x:c>
    </x:row>
    <x:row r="404" ht="54" customHeight="1">
      <x:c r="A404" s="29" t="str">
        <x:v>bakersfield:action:etkinlik-bileti-1</x:v>
      </x:c>
      <x:c r="B404" s="29" t="str">
        <x:v>bakersfield</x:v>
      </x:c>
      <x:c r="C404" s="29" t="str">
        <x:v>bakersfield:etkinlik-bileti</x:v>
      </x:c>
      <x:c r="D404" s="29" t="str">
        <x:v>Güncel gösteri ve bilet programı</x:v>
      </x:c>
      <x:c r="E404" s="29" t="str">
        <x:v>https://www.bakersfieldlive.com/</x:v>
      </x:c>
      <x:c r="F404" s="31" t="d">
        <x:v>2026-10-24T00:00:00.000Z</x:v>
      </x:c>
      <x:c r="G404" s="35" t="n">
        <x:v>0</x:v>
      </x:c>
    </x:row>
    <x:row r="405" ht="54" customHeight="1">
      <x:c r="A405" s="29" t="str">
        <x:v>bakersfield:action:etkinlik-bileti-2</x:v>
      </x:c>
      <x:c r="B405" s="29" t="str">
        <x:v>bakersfield</x:v>
      </x:c>
      <x:c r="C405" s="29" t="str">
        <x:v>bakersfield:etkinlik-bileti</x:v>
      </x:c>
      <x:c r="D405" s="29" t="str">
        <x:v>Resmî takım ve bilet bilgisi</x:v>
      </x:c>
      <x:c r="E405" s="29" t="str">
        <x:v>https://www.bakersfieldcondors.com/</x:v>
      </x:c>
      <x:c r="F405" s="31" t="d">
        <x:v>2026-10-24T00:00:00.000Z</x:v>
      </x:c>
      <x:c r="G405" s="35" t="n">
        <x:v>1</x:v>
      </x:c>
    </x:row>
    <x:row r="406" ht="54" customHeight="1">
      <x:c r="A406" s="29" t="str">
        <x:v>bakersfield:action:etkinlik-bileti-3</x:v>
      </x:c>
      <x:c r="B406" s="29" t="str">
        <x:v>bakersfield</x:v>
      </x:c>
      <x:c r="C406" s="29" t="str">
        <x:v>bakersfield:etkinlik-bileti</x:v>
      </x:c>
      <x:c r="D406" s="29" t="str">
        <x:v>Tüketici başvuruları</x:v>
      </x:c>
      <x:c r="E406" s="29" t="str">
        <x:v>https://www.dca.ca.gov/consumers/complaints/index.shtml</x:v>
      </x:c>
      <x:c r="F406" s="31" t="d">
        <x:v>2026-10-24T00:00:00.000Z</x:v>
      </x:c>
      <x:c r="G406" s="35" t="n">
        <x:v>2</x:v>
      </x:c>
    </x:row>
    <x:row r="407" ht="54" customHeight="1">
      <x:c r="A407" s="29" t="str">
        <x:v>bakersfield:action:topluluk-bul-1</x:v>
      </x:c>
      <x:c r="B407" s="29" t="str">
        <x:v>bakersfield</x:v>
      </x:c>
      <x:c r="C407" s="29" t="str">
        <x:v>bakersfield:topluluk-bul</x:v>
      </x:c>
      <x:c r="D407" s="29" t="str">
        <x:v>Etkinlik takvimi</x:v>
      </x:c>
      <x:c r="E407" s="29" t="str">
        <x:v>https://kerncountylibrary.org/events/</x:v>
      </x:c>
      <x:c r="F407" s="31" t="d">
        <x:v>2026-10-24T00:00:00.000Z</x:v>
      </x:c>
      <x:c r="G407" s="35" t="n">
        <x:v>0</x:v>
      </x:c>
    </x:row>
    <x:row r="408" ht="54" customHeight="1">
      <x:c r="A408" s="29" t="str">
        <x:v>bakersfield:action:topluluk-bul-2</x:v>
      </x:c>
      <x:c r="B408" s="29" t="str">
        <x:v>bakersfield</x:v>
      </x:c>
      <x:c r="C408" s="29" t="str">
        <x:v>bakersfield:topluluk-bul</x:v>
      </x:c>
      <x:c r="D408" s="29" t="str">
        <x:v>Konsolosluk iletişimi</x:v>
      </x:c>
      <x:c r="E408" s="29" t="str">
        <x:v>https://losangeles-bk.mfa.gov.tr/Mission/Contact</x:v>
      </x:c>
      <x:c r="F408" s="31" t="d">
        <x:v>2026-10-24T00:00:00.000Z</x:v>
      </x:c>
      <x:c r="G408" s="35" t="n">
        <x:v>1</x:v>
      </x:c>
    </x:row>
    <x:row r="409" ht="54" customHeight="1">
      <x:c r="A409" s="29" t="str">
        <x:v>bakersfield:action:erisimli-gezi-1</x:v>
      </x:c>
      <x:c r="B409" s="29" t="str">
        <x:v>bakersfield</x:v>
      </x:c>
      <x:c r="C409" s="29" t="str">
        <x:v>bakersfield:erisimli-gezi</x:v>
      </x:c>
      <x:c r="D409" s="29" t="str">
        <x:v>Engellilik hakları</x:v>
      </x:c>
      <x:c r="E409" s="29" t="str">
        <x:v>https://www.ada.gov/topics/intro-to-ada/</x:v>
      </x:c>
      <x:c r="F409" s="31" t="d">
        <x:v>2026-10-24T00:00:00.000Z</x:v>
      </x:c>
      <x:c r="G409" s="35" t="n">
        <x:v>0</x:v>
      </x:c>
    </x:row>
    <x:row r="410" ht="54" customHeight="1">
      <x:c r="A410" s="29" t="str">
        <x:v>bakersfield:action:erisimli-gezi-2</x:v>
      </x:c>
      <x:c r="B410" s="29" t="str">
        <x:v>bakersfield</x:v>
      </x:c>
      <x:c r="C410" s="29" t="str">
        <x:v>bakersfield:erisimli-gezi</x:v>
      </x:c>
      <x:c r="D410" s="29" t="str">
        <x:v>Şehirde keşif noktaları</x:v>
      </x:c>
      <x:c r="E410" s="29" t="str">
        <x:v>https://www.visitbakersfield.com/things-to-do/</x:v>
      </x:c>
      <x:c r="F410" s="31" t="d">
        <x:v>2026-10-24T00:00:00.000Z</x:v>
      </x:c>
      <x:c r="G410" s="35" t="n">
        <x:v>1</x:v>
      </x:c>
    </x:row>
    <x:row r="411" ht="54" customHeight="1">
      <x:c r="A411" s="29" t="str">
        <x:v>bakersfield:action:sosyal-takvim-1</x:v>
      </x:c>
      <x:c r="B411" s="29" t="str">
        <x:v>bakersfield</x:v>
      </x:c>
      <x:c r="C411" s="29" t="str">
        <x:v>bakersfield:sosyal-takvim</x:v>
      </x:c>
      <x:c r="D411" s="29" t="str">
        <x:v>Etkinlik takvimi</x:v>
      </x:c>
      <x:c r="E411" s="29" t="str">
        <x:v>https://kerncountylibrary.org/events/</x:v>
      </x:c>
      <x:c r="F411" s="31" t="d">
        <x:v>2026-10-24T00:00:00.000Z</x:v>
      </x:c>
      <x:c r="G411" s="35" t="n">
        <x:v>0</x:v>
      </x:c>
    </x:row>
    <x:row r="412" ht="54" customHeight="1">
      <x:c r="A412" s="29" t="str">
        <x:v>bakersfield:action:sosyal-takvim-2</x:v>
      </x:c>
      <x:c r="B412" s="29" t="str">
        <x:v>bakersfield</x:v>
      </x:c>
      <x:c r="C412" s="29" t="str">
        <x:v>bakersfield:sosyal-takvim</x:v>
      </x:c>
      <x:c r="D412" s="29" t="str">
        <x:v>Rekreasyon ve park hizmetleri</x:v>
      </x:c>
      <x:c r="E412" s="29" t="str">
        <x:v>https://www.bakersfieldcity.us/recreation-parks</x:v>
      </x:c>
      <x:c r="F412" s="31" t="d">
        <x:v>2026-10-24T00:00:00.000Z</x:v>
      </x:c>
      <x:c r="G412" s="35" t="n">
        <x:v>1</x:v>
      </x:c>
    </x:row>
    <x:row r="413" ht="54" customHeight="1">
      <x:c r="A413" s="29" t="str">
        <x:v>bakersfield:action:sosyal-takvim-3</x:v>
      </x:c>
      <x:c r="B413" s="29" t="str">
        <x:v>bakersfield</x:v>
      </x:c>
      <x:c r="C413" s="29" t="str">
        <x:v>bakersfield:sosyal-takvim</x:v>
      </x:c>
      <x:c r="D413" s="29" t="str">
        <x:v>Şehirde keşif noktaları</x:v>
      </x:c>
      <x:c r="E413" s="29" t="str">
        <x:v>https://www.visitbakersfield.com/things-to-do/</x:v>
      </x:c>
      <x:c r="F413" s="31" t="d">
        <x:v>2026-10-24T00:00:00.000Z</x:v>
      </x:c>
      <x:c r="G413" s="35" t="n">
        <x:v>2</x:v>
      </x:c>
    </x:row>
    <x:row r="414" ht="54" customHeight="1">
      <x:c r="A414" s="29" t="str">
        <x:v>bakersfield:action:yer-local-bakersfield-kern-county-museum-1</x:v>
      </x:c>
      <x:c r="B414" s="29" t="str">
        <x:v>bakersfield</x:v>
      </x:c>
      <x:c r="C414" s="29" t="str">
        <x:v>bakersfield:yer-local-bakersfield-kern-county-museum</x:v>
      </x:c>
      <x:c r="D414" s="29" t="str">
        <x:v>Mekân ve ziyaret bilgisi</x:v>
      </x:c>
      <x:c r="E414" s="29" t="str">
        <x:v>https://kerncountymuseum.org/</x:v>
      </x:c>
      <x:c r="F414" s="31" t="d">
        <x:v>2026-10-24T00:00:00.000Z</x:v>
      </x:c>
      <x:c r="G414" s="35" t="n">
        <x:v>0</x:v>
      </x:c>
    </x:row>
    <x:row r="415" ht="54" customHeight="1">
      <x:c r="A415" s="29" t="str">
        <x:v>bakersfield:action:yer-local-bakersfield-bakersfield-museum-art-1</x:v>
      </x:c>
      <x:c r="B415" s="29" t="str">
        <x:v>bakersfield</x:v>
      </x:c>
      <x:c r="C415" s="29" t="str">
        <x:v>bakersfield:yer-local-bakersfield-bakersfield-museum-art</x:v>
      </x:c>
      <x:c r="D415" s="29" t="str">
        <x:v>Mekân ve ziyaret bilgisi</x:v>
      </x:c>
      <x:c r="E415" s="29" t="str">
        <x:v>https://www.bmoa.org/hours-admission</x:v>
      </x:c>
      <x:c r="F415" s="31" t="d">
        <x:v>2026-10-24T00:00:00.000Z</x:v>
      </x:c>
      <x:c r="G415" s="35" t="n">
        <x:v>0</x:v>
      </x:c>
    </x:row>
    <x:row r="416" ht="54" customHeight="1">
      <x:c r="A416" s="29" t="str">
        <x:v>bakersfield:action:yer-local-bakersfield-hardt-field-1</x:v>
      </x:c>
      <x:c r="B416" s="29" t="str">
        <x:v>bakersfield</x:v>
      </x:c>
      <x:c r="C416" s="29" t="str">
        <x:v>bakersfield:yer-local-bakersfield-hardt-field</x:v>
      </x:c>
      <x:c r="D416" s="29" t="str">
        <x:v>Mekân ve ziyaret bilgisi</x:v>
      </x:c>
      <x:c r="E416" s="29" t="str">
        <x:v>https://gorunners.com/sports/2026/7/1/gameday-central.aspx</x:v>
      </x:c>
      <x:c r="F416" s="31" t="d">
        <x:v>2026-10-24T00:00:00.000Z</x:v>
      </x:c>
      <x:c r="G416" s="35" t="n">
        <x:v>0</x:v>
      </x:c>
    </x:row>
    <x:row r="417" ht="54" customHeight="1">
      <x:c r="A417" s="29" t="str">
        <x:v>bakersfield:action:yer-local-bakersfield-calm-1</x:v>
      </x:c>
      <x:c r="B417" s="29" t="str">
        <x:v>bakersfield</x:v>
      </x:c>
      <x:c r="C417" s="29" t="str">
        <x:v>bakersfield:yer-local-bakersfield-calm</x:v>
      </x:c>
      <x:c r="D417" s="29" t="str">
        <x:v>Mekân ve ziyaret bilgisi</x:v>
      </x:c>
      <x:c r="E417" s="29" t="str">
        <x:v>https://calmzoo.org/</x:v>
      </x:c>
      <x:c r="F417" s="31" t="d">
        <x:v>2026-10-24T00:00:00.000Z</x:v>
      </x:c>
      <x:c r="G417" s="35" t="n">
        <x:v>0</x:v>
      </x:c>
    </x:row>
    <x:row r="418" ht="54" customHeight="1">
      <x:c r="A418" s="29" t="str">
        <x:v>bakersfield:action:yer-local-bakersfield-fox-theater-1</x:v>
      </x:c>
      <x:c r="B418" s="29" t="str">
        <x:v>bakersfield</x:v>
      </x:c>
      <x:c r="C418" s="29" t="str">
        <x:v>bakersfield:yer-local-bakersfield-fox-theater</x:v>
      </x:c>
      <x:c r="D418" s="29" t="str">
        <x:v>Mekân ve ziyaret bilgisi</x:v>
      </x:c>
      <x:c r="E418" s="29" t="str">
        <x:v>https://www.bakersfieldlive.com/</x:v>
      </x:c>
      <x:c r="F418" s="31" t="d">
        <x:v>2026-10-24T00:00:00.000Z</x:v>
      </x:c>
      <x:c r="G418" s="35" t="n">
        <x:v>0</x:v>
      </x:c>
    </x:row>
    <x:row r="419" ht="54" customHeight="1">
      <x:c r="A419" s="29" t="str">
        <x:v>bakersfield:action:yer-local-bakersfield-nile-theater-1</x:v>
      </x:c>
      <x:c r="B419" s="29" t="str">
        <x:v>bakersfield</x:v>
      </x:c>
      <x:c r="C419" s="29" t="str">
        <x:v>bakersfield:yer-local-bakersfield-nile-theater</x:v>
      </x:c>
      <x:c r="D419" s="29" t="str">
        <x:v>Mekân ve ziyaret bilgisi</x:v>
      </x:c>
      <x:c r="E419" s="29" t="str">
        <x:v>https://www.bakersfieldlive.com/</x:v>
      </x:c>
      <x:c r="F419" s="31" t="d">
        <x:v>2026-10-24T00:00:00.000Z</x:v>
      </x:c>
      <x:c r="G419" s="35" t="n">
        <x:v>0</x:v>
      </x:c>
    </x:row>
    <x:row r="420" ht="54" customHeight="1">
      <x:c r="A420" s="29" t="str">
        <x:v>bakersfield:action:yer-local-bakersfield-dignity-theater-1</x:v>
      </x:c>
      <x:c r="B420" s="29" t="str">
        <x:v>bakersfield</x:v>
      </x:c>
      <x:c r="C420" s="29" t="str">
        <x:v>bakersfield:yer-local-bakersfield-dignity-theater</x:v>
      </x:c>
      <x:c r="D420" s="29" t="str">
        <x:v>Mekân ve ziyaret bilgisi</x:v>
      </x:c>
      <x:c r="E420" s="29" t="str">
        <x:v>https://www.dignityhealtharena.com/venue-info/seat-map/</x:v>
      </x:c>
      <x:c r="F420" s="31" t="d">
        <x:v>2026-10-24T00:00:00.000Z</x:v>
      </x:c>
      <x:c r="G420" s="35" t="n">
        <x:v>0</x:v>
      </x:c>
    </x:row>
    <x:row r="421" ht="54" customHeight="1">
      <x:c r="A421" s="29" t="str">
        <x:v>bakersfield:action:yer-local-bakersfield-meadows-terminal-1</x:v>
      </x:c>
      <x:c r="B421" s="29" t="str">
        <x:v>bakersfield</x:v>
      </x:c>
      <x:c r="C421" s="29" t="str">
        <x:v>bakersfield:yer-local-bakersfield-meadows-terminal</x:v>
      </x:c>
      <x:c r="D421" s="29" t="str">
        <x:v>Mekân ve ziyaret bilgisi</x:v>
      </x:c>
      <x:c r="E421" s="29" t="str">
        <x:v>https://www.meadowsfield.com/</x:v>
      </x:c>
      <x:c r="F421" s="31" t="d">
        <x:v>2026-10-24T00:00:00.000Z</x:v>
      </x:c>
      <x:c r="G421" s="35" t="n">
        <x:v>0</x:v>
      </x:c>
    </x:row>
    <x:row r="422" ht="54" customHeight="1">
      <x:c r="A422" s="29" t="str">
        <x:v>bakersfield:action:yer-local-bakersfield-blackwells-corner-1</x:v>
      </x:c>
      <x:c r="B422" s="29" t="str">
        <x:v>bakersfield</x:v>
      </x:c>
      <x:c r="C422" s="29" t="str">
        <x:v>bakersfield:yer-local-bakersfield-blackwells-corner</x:v>
      </x:c>
      <x:c r="D422" s="29" t="str">
        <x:v>Mekân ve ziyaret bilgisi</x:v>
      </x:c>
      <x:c r="E422" s="29" t="str">
        <x:v>https://blackwells-corner.com/</x:v>
      </x:c>
      <x:c r="F422" s="31" t="d">
        <x:v>2026-10-24T00:00:00.000Z</x:v>
      </x:c>
      <x:c r="G422" s="35" t="n">
        <x:v>0</x:v>
      </x:c>
    </x:row>
    <x:row r="423" ht="54" customHeight="1">
      <x:c r="A423" s="29" t="str">
        <x:v>bakersfield:action:yer-local-bakersfield-buttonwillow-library-1</x:v>
      </x:c>
      <x:c r="B423" s="29" t="str">
        <x:v>bakersfield</x:v>
      </x:c>
      <x:c r="C423" s="29" t="str">
        <x:v>bakersfield:yer-local-bakersfield-buttonwillow-library</x:v>
      </x:c>
      <x:c r="D423" s="29" t="str">
        <x:v>Mekân ve ziyaret bilgisi</x:v>
      </x:c>
      <x:c r="E423" s="29" t="str">
        <x:v>https://kerncountylibrary.org/locations/</x:v>
      </x:c>
      <x:c r="F423" s="31" t="d">
        <x:v>2026-10-24T00:00:00.000Z</x:v>
      </x:c>
      <x:c r="G423" s="35" t="n">
        <x:v>0</x:v>
      </x:c>
    </x:row>
    <x:row r="424" ht="54" customHeight="1">
      <x:c r="A424" s="29" t="str">
        <x:v>bakersfield:action:yer-local-bakersfield-frazier-library-1</x:v>
      </x:c>
      <x:c r="B424" s="29" t="str">
        <x:v>bakersfield</x:v>
      </x:c>
      <x:c r="C424" s="29" t="str">
        <x:v>bakersfield:yer-local-bakersfield-frazier-library</x:v>
      </x:c>
      <x:c r="D424" s="29" t="str">
        <x:v>Mekân ve ziyaret bilgisi</x:v>
      </x:c>
      <x:c r="E424" s="29" t="str">
        <x:v>https://kerncountylibrary.org/locations/</x:v>
      </x:c>
      <x:c r="F424" s="31" t="d">
        <x:v>2026-10-24T00:00:00.000Z</x:v>
      </x:c>
      <x:c r="G424" s="35" t="n">
        <x:v>0</x:v>
      </x:c>
    </x:row>
    <x:row r="425" ht="54" customHeight="1">
      <x:c r="A425" s="29" t="str">
        <x:v>bakersfield:action:yer-local-bakersfield-allensworth-1</x:v>
      </x:c>
      <x:c r="B425" s="29" t="str">
        <x:v>bakersfield</x:v>
      </x:c>
      <x:c r="C425" s="29" t="str">
        <x:v>bakersfield:yer-local-bakersfield-allensworth</x:v>
      </x:c>
      <x:c r="D425" s="29" t="str">
        <x:v>Mekân ve ziyaret bilgisi</x:v>
      </x:c>
      <x:c r="E425" s="29" t="str">
        <x:v>https://www.parks.ca.gov/?page_id=583</x:v>
      </x:c>
      <x:c r="F425" s="31" t="d">
        <x:v>2026-10-24T00:00:00.000Z</x:v>
      </x:c>
      <x:c r="G425" s="35" t="n">
        <x:v>0</x:v>
      </x:c>
    </x:row>
    <x:row r="426" ht="54" customHeight="1">
      <x:c r="A426" s="29" t="str">
        <x:v>bakersfield:action:yer-local-bakersfield-pixley-refuge-1</x:v>
      </x:c>
      <x:c r="B426" s="29" t="str">
        <x:v>bakersfield</x:v>
      </x:c>
      <x:c r="C426" s="29" t="str">
        <x:v>bakersfield:yer-local-bakersfield-pixley-refuge</x:v>
      </x:c>
      <x:c r="D426" s="29" t="str">
        <x:v>Mekân ve ziyaret bilgisi</x:v>
      </x:c>
      <x:c r="E426" s="29" t="str">
        <x:v>https://www.fws.gov/refuge/pixley/visit-us</x:v>
      </x:c>
      <x:c r="F426" s="31" t="d">
        <x:v>2026-10-24T00:00:00.000Z</x:v>
      </x:c>
      <x:c r="G426" s="35" t="n">
        <x:v>0</x:v>
      </x:c>
    </x:row>
    <x:row r="427" ht="54" customHeight="1">
      <x:c r="A427" s="29" t="str">
        <x:v>bakersfield:action:yer-local-bakersfield-success-lake-1</x:v>
      </x:c>
      <x:c r="B427" s="29" t="str">
        <x:v>bakersfield</x:v>
      </x:c>
      <x:c r="C427" s="29" t="str">
        <x:v>bakersfield:yer-local-bakersfield-success-lake</x:v>
      </x:c>
      <x:c r="D427" s="29" t="str">
        <x:v>Mekân ve ziyaret bilgisi</x:v>
      </x:c>
      <x:c r="E427" s="29" t="str">
        <x:v>https://www.spk.usace.army.mil/Missions/Recreation/Success-Lake/</x:v>
      </x:c>
      <x:c r="F427" s="31" t="d">
        <x:v>2026-10-24T00:00:00.000Z</x:v>
      </x:c>
      <x:c r="G427" s="35" t="n">
        <x:v>0</x:v>
      </x:c>
    </x:row>
    <x:row r="428" ht="54" customHeight="1">
      <x:c r="A428" s="29" t="str">
        <x:v>bakersfield:action:yer-local-bakersfield-boron-aerospace-1</x:v>
      </x:c>
      <x:c r="B428" s="29" t="str">
        <x:v>bakersfield</x:v>
      </x:c>
      <x:c r="C428" s="29" t="str">
        <x:v>bakersfield:yer-local-bakersfield-boron-aerospace</x:v>
      </x:c>
      <x:c r="D428" s="29" t="str">
        <x:v>Mekân ve ziyaret bilgisi</x:v>
      </x:c>
      <x:c r="E428" s="29" t="str">
        <x:v>https://boronaerospacemuseum.org/home/visit/</x:v>
      </x:c>
      <x:c r="F428" s="31" t="d">
        <x:v>2026-10-24T00:00:00.000Z</x:v>
      </x:c>
      <x:c r="G428" s="35" t="n">
        <x:v>0</x:v>
      </x:c>
    </x:row>
    <x:row r="429" ht="54" customHeight="1">
      <x:c r="A429" s="29" t="str">
        <x:v>bakersfield:action:yer-local-bakersfield-mojave-legacy-1</x:v>
      </x:c>
      <x:c r="B429" s="29" t="str">
        <x:v>bakersfield</x:v>
      </x:c>
      <x:c r="C429" s="29" t="str">
        <x:v>bakersfield:yer-local-bakersfield-mojave-legacy</x:v>
      </x:c>
      <x:c r="D429" s="29" t="str">
        <x:v>Mekân ve ziyaret bilgisi</x:v>
      </x:c>
      <x:c r="E429" s="29" t="str">
        <x:v>https://www.mojaveairport.com/about-us/page/frequently-asked-questions</x:v>
      </x:c>
      <x:c r="F429" s="31" t="d">
        <x:v>2026-10-24T00:00:00.000Z</x:v>
      </x:c>
      <x:c r="G429" s="35" t="n">
        <x:v>0</x:v>
      </x:c>
    </x:row>
    <x:row r="430" ht="54" customHeight="1">
      <x:c r="A430" s="29" t="str">
        <x:v>bakersfield:action:yer-local-bakersfield-california-city-park-1</x:v>
      </x:c>
      <x:c r="B430" s="29" t="str">
        <x:v>bakersfield</x:v>
      </x:c>
      <x:c r="C430" s="29" t="str">
        <x:v>bakersfield:yer-local-bakersfield-california-city-park</x:v>
      </x:c>
      <x:c r="D430" s="29" t="str">
        <x:v>Mekân ve ziyaret bilgisi</x:v>
      </x:c>
      <x:c r="E430" s="29" t="str">
        <x:v>https://www.californiacity-ca.gov/CC/community/parks-recmain</x:v>
      </x:c>
      <x:c r="F430" s="31" t="d">
        <x:v>2026-10-24T00:00:00.000Z</x:v>
      </x:c>
      <x:c r="G430" s="35" t="n">
        <x:v>0</x:v>
      </x:c>
    </x:row>
    <x:row r="431" ht="54" customHeight="1">
      <x:c r="A431" s="29" t="str">
        <x:v>bakersfield:action:yer-local-bakersfield-dignity-arena-1</x:v>
      </x:c>
      <x:c r="B431" s="29" t="str">
        <x:v>bakersfield</x:v>
      </x:c>
      <x:c r="C431" s="29" t="str">
        <x:v>bakersfield:yer-local-bakersfield-dignity-arena</x:v>
      </x:c>
      <x:c r="D431" s="29" t="str">
        <x:v>Mekân ve ziyaret bilgisi</x:v>
      </x:c>
      <x:c r="E431" s="29" t="str">
        <x:v>https://www.dignityhealtharena.com/</x:v>
      </x:c>
      <x:c r="F431" s="31" t="d">
        <x:v>2026-10-24T00:00:00.000Z</x:v>
      </x:c>
      <x:c r="G431" s="35" t="n">
        <x:v>0</x:v>
      </x:c>
    </x:row>
    <x:row r="432" ht="54" customHeight="1">
      <x:c r="A432" s="29" t="str">
        <x:v>bakersfield:action:yer-local-bakersfield-riverwalk-amphitheatre-1</x:v>
      </x:c>
      <x:c r="B432" s="29" t="str">
        <x:v>bakersfield</x:v>
      </x:c>
      <x:c r="C432" s="29" t="str">
        <x:v>bakersfield:yer-local-bakersfield-riverwalk-amphitheatre</x:v>
      </x:c>
      <x:c r="D432" s="29" t="str">
        <x:v>Mekân ve ziyaret bilgisi</x:v>
      </x:c>
      <x:c r="E432" s="29" t="str">
        <x:v>https://dignityhealthamphitheatre.dignityhealtharena.com/</x:v>
      </x:c>
      <x:c r="F432" s="31" t="d">
        <x:v>2026-10-24T00:00:00.000Z</x:v>
      </x:c>
      <x:c r="G432" s="35" t="n">
        <x:v>0</x:v>
      </x:c>
    </x:row>
    <x:row r="433" ht="54" customHeight="1">
      <x:c r="A433" s="29" t="str">
        <x:v>bakersfield:action:yer-local-bakersfield-mcmurtrey-1</x:v>
      </x:c>
      <x:c r="B433" s="29" t="str">
        <x:v>bakersfield</x:v>
      </x:c>
      <x:c r="C433" s="29" t="str">
        <x:v>bakersfield:yer-local-bakersfield-mcmurtrey</x:v>
      </x:c>
      <x:c r="D433" s="29" t="str">
        <x:v>Mekân ve ziyaret bilgisi</x:v>
      </x:c>
      <x:c r="E433" s="29" t="str">
        <x:v>https://www.bakersfieldcity.us/recreation-parks</x:v>
      </x:c>
      <x:c r="F433" s="31" t="d">
        <x:v>2026-10-24T00:00:00.000Z</x:v>
      </x:c>
      <x:c r="G433" s="35" t="n">
        <x:v>0</x:v>
      </x:c>
    </x:row>
    <x:row r="434" ht="54" customHeight="1">
      <x:c r="A434" s="29" t="str">
        <x:v>bakersfield:action:yer-local-bakersfield-randsburg-main-street-1</x:v>
      </x:c>
      <x:c r="B434" s="29" t="str">
        <x:v>bakersfield</x:v>
      </x:c>
      <x:c r="C434" s="29" t="str">
        <x:v>bakersfield:yer-local-bakersfield-randsburg-main-street</x:v>
      </x:c>
      <x:c r="D434" s="29" t="str">
        <x:v>Mekân ve ziyaret bilgisi</x:v>
      </x:c>
      <x:c r="E434" s="29" t="str">
        <x:v>https://www.jawbone.org/rand-mining-district/</x:v>
      </x:c>
      <x:c r="F434" s="31" t="d">
        <x:v>2026-10-24T00:00:00.000Z</x:v>
      </x:c>
      <x:c r="G434" s="35" t="n">
        <x:v>0</x:v>
      </x:c>
    </x:row>
    <x:row r="435" ht="54" customHeight="1">
      <x:c r="A435" s="29" t="str">
        <x:v>bakersfield:action:yer-local-bakersfield-kern-fairgrounds-1</x:v>
      </x:c>
      <x:c r="B435" s="29" t="str">
        <x:v>bakersfield</x:v>
      </x:c>
      <x:c r="C435" s="29" t="str">
        <x:v>bakersfield:yer-local-bakersfield-kern-fairgrounds</x:v>
      </x:c>
      <x:c r="D435" s="29" t="str">
        <x:v>Mekân ve ziyaret bilgisi</x:v>
      </x:c>
      <x:c r="E435" s="29" t="str">
        <x:v>https://www.kerncountyfair.com/events</x:v>
      </x:c>
      <x:c r="F435" s="31" t="d">
        <x:v>2026-10-24T00:00:00.000Z</x:v>
      </x:c>
      <x:c r="G435" s="35" t="n">
        <x:v>0</x:v>
      </x:c>
    </x:row>
    <x:row r="436" ht="54" customHeight="1">
      <x:c r="A436" s="29" t="str">
        <x:v>bakersfield:action:yer-local-bakersfield-maricopa-jail-1</x:v>
      </x:c>
      <x:c r="B436" s="29" t="str">
        <x:v>bakersfield</x:v>
      </x:c>
      <x:c r="C436" s="29" t="str">
        <x:v>bakersfield:yer-local-bakersfield-maricopa-jail</x:v>
      </x:c>
      <x:c r="D436" s="29" t="str">
        <x:v>Mekân ve ziyaret bilgisi</x:v>
      </x:c>
      <x:c r="E436" s="29" t="str">
        <x:v>https://www.hmdb.org/m.asp?m=54788</x:v>
      </x:c>
      <x:c r="F436" s="31" t="d">
        <x:v>2026-10-24T00:00:00.000Z</x:v>
      </x:c>
      <x:c r="G436" s="35" t="n">
        <x:v>0</x:v>
      </x:c>
    </x:row>
    <x:row r="437" ht="54" customHeight="1">
      <x:c r="A437" s="29" t="str">
        <x:v>bakersfield:action:yer-local-bakersfield-wasco-auditorium-1</x:v>
      </x:c>
      <x:c r="B437" s="29" t="str">
        <x:v>bakersfield</x:v>
      </x:c>
      <x:c r="C437" s="29" t="str">
        <x:v>bakersfield:yer-local-bakersfield-wasco-auditorium</x:v>
      </x:c>
      <x:c r="D437" s="29" t="str">
        <x:v>Mekân ve ziyaret bilgisi</x:v>
      </x:c>
      <x:c r="E437" s="29" t="str">
        <x:v>https://www.cityofwasco.org/DocumentCenter/View/260/Final-Environmental-Impact-Report-2040-General-Plan-PDF</x:v>
      </x:c>
      <x:c r="F437" s="31" t="d">
        <x:v>2026-10-24T00:00:00.000Z</x:v>
      </x:c>
      <x:c r="G437" s="35" t="n">
        <x:v>0</x:v>
      </x:c>
    </x:row>
    <x:row r="438" ht="54" customHeight="1">
      <x:c r="A438" s="29" t="str">
        <x:v>bakersfield:action:yer-local-bakersfield-padre-hotel-1</x:v>
      </x:c>
      <x:c r="B438" s="29" t="str">
        <x:v>bakersfield</x:v>
      </x:c>
      <x:c r="C438" s="29" t="str">
        <x:v>bakersfield:yer-local-bakersfield-padre-hotel</x:v>
      </x:c>
      <x:c r="D438" s="29" t="str">
        <x:v>Mekân ve ziyaret bilgisi</x:v>
      </x:c>
      <x:c r="E438" s="29" t="str">
        <x:v>https://www.thepadrehotel.com/</x:v>
      </x:c>
      <x:c r="F438" s="31" t="d">
        <x:v>2026-10-24T00:00:00.000Z</x:v>
      </x:c>
      <x:c r="G438" s="35" t="n">
        <x:v>0</x:v>
      </x:c>
    </x:row>
    <x:row r="439" ht="54" customHeight="1">
      <x:c r="A439" s="29" t="str">
        <x:v>bakersfield:action:yer-local-bakersfield-24th-cafe-1</x:v>
      </x:c>
      <x:c r="B439" s="29" t="str">
        <x:v>bakersfield</x:v>
      </x:c>
      <x:c r="C439" s="29" t="str">
        <x:v>bakersfield:yer-local-bakersfield-24th-cafe</x:v>
      </x:c>
      <x:c r="D439" s="29" t="str">
        <x:v>Mekân ve ziyaret bilgisi</x:v>
      </x:c>
      <x:c r="E439" s="29" t="str">
        <x:v>https://www.24thstreetcafe.com/</x:v>
      </x:c>
      <x:c r="F439" s="31" t="d">
        <x:v>2026-10-24T00:00:00.000Z</x:v>
      </x:c>
      <x:c r="G439" s="35" t="n">
        <x:v>0</x:v>
      </x:c>
    </x:row>
    <x:row r="440" ht="54" customHeight="1">
      <x:c r="A440" s="29" t="str">
        <x:v>bakersfield:action:yer-local-bakersfield-mount-pinos-1</x:v>
      </x:c>
      <x:c r="B440" s="29" t="str">
        <x:v>bakersfield</x:v>
      </x:c>
      <x:c r="C440" s="29" t="str">
        <x:v>bakersfield:yer-local-bakersfield-mount-pinos</x:v>
      </x:c>
      <x:c r="D440" s="29" t="str">
        <x:v>Mekân ve ziyaret bilgisi</x:v>
      </x:c>
      <x:c r="E440" s="29" t="str">
        <x:v>https://www.recreation.gov/camping/campgrounds/273875</x:v>
      </x:c>
      <x:c r="F440" s="31" t="d">
        <x:v>2026-10-24T00:00:00.000Z</x:v>
      </x:c>
      <x:c r="G440" s="35" t="n">
        <x:v>0</x:v>
      </x:c>
    </x:row>
    <x:row r="441" ht="54" customHeight="1">
      <x:c r="A441" s="29" t="str">
        <x:v>bakersfield:action:yer-local-bakersfield-tomo-kahni-1</x:v>
      </x:c>
      <x:c r="B441" s="29" t="str">
        <x:v>bakersfield</x:v>
      </x:c>
      <x:c r="C441" s="29" t="str">
        <x:v>bakersfield:yer-local-bakersfield-tomo-kahni</x:v>
      </x:c>
      <x:c r="D441" s="29" t="str">
        <x:v>Mekân ve ziyaret bilgisi</x:v>
      </x:c>
      <x:c r="E441" s="29" t="str">
        <x:v>https://parks.ca.gov/?page_id=24580</x:v>
      </x:c>
      <x:c r="F441" s="31" t="d">
        <x:v>2026-10-24T00:00:00.000Z</x:v>
      </x:c>
      <x:c r="G441" s="35" t="n">
        <x:v>0</x:v>
      </x:c>
    </x:row>
    <x:row r="442" ht="54" customHeight="1">
      <x:c r="A442" s="29" t="str">
        <x:v>bakersfield:action:yer-local-bakersfield-cafe-smitten-1</x:v>
      </x:c>
      <x:c r="B442" s="29" t="str">
        <x:v>bakersfield</x:v>
      </x:c>
      <x:c r="C442" s="29" t="str">
        <x:v>bakersfield:yer-local-bakersfield-cafe-smitten</x:v>
      </x:c>
      <x:c r="D442" s="29" t="str">
        <x:v>Mekân ve ziyaret bilgisi</x:v>
      </x:c>
      <x:c r="E442" s="29" t="str">
        <x:v>https://www.cafesmitten.com/</x:v>
      </x:c>
      <x:c r="F442" s="31" t="d">
        <x:v>2026-10-24T00:00:00.000Z</x:v>
      </x:c>
      <x:c r="G442" s="35" t="n">
        <x:v>0</x:v>
      </x:c>
    </x:row>
    <x:row r="443" ht="54" customHeight="1">
      <x:c r="A443" s="29" t="str">
        <x:v>bakersfield:action:yer-local-bakersfield-dagnys-1</x:v>
      </x:c>
      <x:c r="B443" s="29" t="str">
        <x:v>bakersfield</x:v>
      </x:c>
      <x:c r="C443" s="29" t="str">
        <x:v>bakersfield:yer-local-bakersfield-dagnys</x:v>
      </x:c>
      <x:c r="D443" s="29" t="str">
        <x:v>Mekân ve ziyaret bilgisi</x:v>
      </x:c>
      <x:c r="E443" s="29" t="str">
        <x:v>https://www.dagnyscoffee.com/</x:v>
      </x:c>
      <x:c r="F443" s="31" t="d">
        <x:v>2026-10-24T00:00:00.000Z</x:v>
      </x:c>
      <x:c r="G443" s="35" t="n">
        <x:v>0</x:v>
      </x:c>
    </x:row>
    <x:row r="444" ht="54" customHeight="1">
      <x:c r="A444" s="29" t="str">
        <x:v>bakersfield:action:yer-local-bakersfield-trail-giants-1</x:v>
      </x:c>
      <x:c r="B444" s="29" t="str">
        <x:v>bakersfield</x:v>
      </x:c>
      <x:c r="C444" s="29" t="str">
        <x:v>bakersfield:yer-local-bakersfield-trail-giants</x:v>
      </x:c>
      <x:c r="D444" s="29" t="str">
        <x:v>Mekân ve ziyaret bilgisi</x:v>
      </x:c>
      <x:c r="E444" s="29" t="str">
        <x:v>https://www.fs.usda.gov/r05/sequoia/recreation/giant-sequoia-national-monument-south-0</x:v>
      </x:c>
      <x:c r="F444" s="31" t="d">
        <x:v>2026-10-24T00:00:00.000Z</x:v>
      </x:c>
      <x:c r="G444" s="35" t="n">
        <x:v>0</x:v>
      </x:c>
    </x:row>
    <x:row r="445" ht="54" customHeight="1">
      <x:c r="A445" s="29" t="str">
        <x:v>bakersfield:action:yer-local-bakersfield-willow-springs-1</x:v>
      </x:c>
      <x:c r="B445" s="29" t="str">
        <x:v>bakersfield</x:v>
      </x:c>
      <x:c r="C445" s="29" t="str">
        <x:v>bakersfield:yer-local-bakersfield-willow-springs</x:v>
      </x:c>
      <x:c r="D445" s="29" t="str">
        <x:v>Mekân ve ziyaret bilgisi</x:v>
      </x:c>
      <x:c r="E445" s="29" t="str">
        <x:v>https://willowspringsraceway.com/events-experiences/</x:v>
      </x:c>
      <x:c r="F445" s="31" t="d">
        <x:v>2026-10-24T00:00:00.000Z</x:v>
      </x:c>
      <x:c r="G445" s="35" t="n">
        <x:v>0</x:v>
      </x:c>
    </x:row>
    <x:row r="446" ht="54" customHeight="1">
      <x:c r="A446" s="29" t="str">
        <x:v>bakersfield:action:yer-local-bakersfield-temblor-1</x:v>
      </x:c>
      <x:c r="B446" s="29" t="str">
        <x:v>bakersfield</x:v>
      </x:c>
      <x:c r="C446" s="29" t="str">
        <x:v>bakersfield:yer-local-bakersfield-temblor</x:v>
      </x:c>
      <x:c r="D446" s="29" t="str">
        <x:v>Mekân ve ziyaret bilgisi</x:v>
      </x:c>
      <x:c r="E446" s="29" t="str">
        <x:v>https://temblorbrewing.com/</x:v>
      </x:c>
      <x:c r="F446" s="31" t="d">
        <x:v>2026-10-24T00:00:00.000Z</x:v>
      </x:c>
      <x:c r="G446" s="35" t="n">
        <x:v>0</x:v>
      </x:c>
    </x:row>
    <x:row r="447" ht="54" customHeight="1">
      <x:c r="A447" s="29" t="str">
        <x:v>bakersfield:action:yer-local-bakersfield-frog-meadow-1</x:v>
      </x:c>
      <x:c r="B447" s="29" t="str">
        <x:v>bakersfield</x:v>
      </x:c>
      <x:c r="C447" s="29" t="str">
        <x:v>bakersfield:yer-local-bakersfield-frog-meadow</x:v>
      </x:c>
      <x:c r="D447" s="29" t="str">
        <x:v>Mekân ve ziyaret bilgisi</x:v>
      </x:c>
      <x:c r="E447" s="29" t="str">
        <x:v>https://www.fs.usda.gov/media/232392</x:v>
      </x:c>
      <x:c r="F447" s="31" t="d">
        <x:v>2026-10-24T00:00:00.000Z</x:v>
      </x:c>
      <x:c r="G447" s="35" t="n">
        <x:v>0</x:v>
      </x:c>
    </x:row>
    <x:row r="448" ht="54" customHeight="1">
      <x:c r="A448" s="29" t="str">
        <x:v>bakersfield:action:yer-local-bakersfield-owens-peak-1</x:v>
      </x:c>
      <x:c r="B448" s="29" t="str">
        <x:v>bakersfield</x:v>
      </x:c>
      <x:c r="C448" s="29" t="str">
        <x:v>bakersfield:yer-local-bakersfield-owens-peak</x:v>
      </x:c>
      <x:c r="D448" s="29" t="str">
        <x:v>Mekân ve ziyaret bilgisi</x:v>
      </x:c>
      <x:c r="E448" s="29" t="str">
        <x:v>https://www.blm.gov/visit/owens-peak-wilderness-short-canyon</x:v>
      </x:c>
      <x:c r="F448" s="31" t="d">
        <x:v>2026-10-24T00:00:00.000Z</x:v>
      </x:c>
      <x:c r="G448" s="35" t="n">
        <x:v>0</x:v>
      </x:c>
    </x:row>
    <x:row r="449" ht="54" customHeight="1">
      <x:c r="A449" s="29" t="str">
        <x:v>bakersfield:action:yer-local-bakersfield-last-chance-1</x:v>
      </x:c>
      <x:c r="B449" s="29" t="str">
        <x:v>bakersfield</x:v>
      </x:c>
      <x:c r="C449" s="29" t="str">
        <x:v>bakersfield:yer-local-bakersfield-last-chance</x:v>
      </x:c>
      <x:c r="D449" s="29" t="str">
        <x:v>Mekân ve ziyaret bilgisi</x:v>
      </x:c>
      <x:c r="E449" s="29" t="str">
        <x:v>https://www.jawbone.org/</x:v>
      </x:c>
      <x:c r="F449" s="31" t="d">
        <x:v>2026-10-24T00:00:00.000Z</x:v>
      </x:c>
      <x:c r="G449" s="35" t="n">
        <x:v>0</x:v>
      </x:c>
    </x:row>
    <x:row r="450" ht="54" customHeight="1">
      <x:c r="A450" s="29" t="str">
        <x:v>bakersfield:action:yer-local-bakersfield-alley-cat-1</x:v>
      </x:c>
      <x:c r="B450" s="29" t="str">
        <x:v>bakersfield</x:v>
      </x:c>
      <x:c r="C450" s="29" t="str">
        <x:v>bakersfield:yer-local-bakersfield-alley-cat</x:v>
      </x:c>
      <x:c r="D450" s="29" t="str">
        <x:v>Mekân ve ziyaret bilgisi</x:v>
      </x:c>
      <x:c r="E450" s="29" t="str">
        <x:v>https://www.visitbakersfield.com/directory/guthries-alley-cat/</x:v>
      </x:c>
      <x:c r="F450" s="31" t="d">
        <x:v>2026-10-24T00:00:00.000Z</x:v>
      </x:c>
      <x:c r="G450" s="35" t="n">
        <x:v>0</x:v>
      </x:c>
    </x:row>
    <x:row r="451" ht="54" customHeight="1">
      <x:c r="A451" s="29" t="str">
        <x:v>bakersfield:action:yer-local-bakersfield-wool-growers-1</x:v>
      </x:c>
      <x:c r="B451" s="29" t="str">
        <x:v>bakersfield</x:v>
      </x:c>
      <x:c r="C451" s="29" t="str">
        <x:v>bakersfield:yer-local-bakersfield-wool-growers</x:v>
      </x:c>
      <x:c r="D451" s="29" t="str">
        <x:v>Mekân ve ziyaret bilgisi</x:v>
      </x:c>
      <x:c r="E451" s="29" t="str">
        <x:v>https://woolgrowers.net/</x:v>
      </x:c>
      <x:c r="F451" s="31" t="d">
        <x:v>2026-10-24T00:00:00.000Z</x:v>
      </x:c>
      <x:c r="G451" s="35" t="n">
        <x:v>0</x:v>
      </x:c>
    </x:row>
    <x:row r="452" ht="54" customHeight="1">
      <x:c r="A452" s="29" t="str">
        <x:v>bakersfield:action:yer-local-bakersfield-dewar-eye-1</x:v>
      </x:c>
      <x:c r="B452" s="29" t="str">
        <x:v>bakersfield</x:v>
      </x:c>
      <x:c r="C452" s="29" t="str">
        <x:v>bakersfield:yer-local-bakersfield-dewar-eye</x:v>
      </x:c>
      <x:c r="D452" s="29" t="str">
        <x:v>Mekân ve ziyaret bilgisi</x:v>
      </x:c>
      <x:c r="E452" s="29" t="str">
        <x:v>https://www.dewarscandy.com/hours/</x:v>
      </x:c>
      <x:c r="F452" s="31" t="d">
        <x:v>2026-10-24T00:00:00.000Z</x:v>
      </x:c>
      <x:c r="G452" s="35" t="n">
        <x:v>0</x:v>
      </x:c>
    </x:row>
    <x:row r="453" ht="54" customHeight="1">
      <x:c r="A453" s="29" t="str">
        <x:v>bakersfield:action:yer-local-bakersfield-visitors-center-1</x:v>
      </x:c>
      <x:c r="B453" s="29" t="str">
        <x:v>bakersfield</x:v>
      </x:c>
      <x:c r="C453" s="29" t="str">
        <x:v>bakersfield:yer-local-bakersfield-visitors-center</x:v>
      </x:c>
      <x:c r="D453" s="29" t="str">
        <x:v>Mekân ve ziyaret bilgisi</x:v>
      </x:c>
      <x:c r="E453" s="29" t="str">
        <x:v>https://www.visitbakersfield.com/plan/visitors-information-center/</x:v>
      </x:c>
      <x:c r="F453" s="31" t="d">
        <x:v>2026-10-24T00:00:00.000Z</x:v>
      </x:c>
      <x:c r="G453" s="35" t="n">
        <x:v>0</x:v>
      </x:c>
    </x:row>
    <x:row r="454" ht="54" customHeight="1">
      <x:c r="A454" s="29" t="str">
        <x:v>bakersfield:action:yer-local-bakersfield-zingos-1</x:v>
      </x:c>
      <x:c r="B454" s="29" t="str">
        <x:v>bakersfield</x:v>
      </x:c>
      <x:c r="C454" s="29" t="str">
        <x:v>bakersfield:yer-local-bakersfield-zingos</x:v>
      </x:c>
      <x:c r="D454" s="29" t="str">
        <x:v>Mekân ve ziyaret bilgisi</x:v>
      </x:c>
      <x:c r="E454" s="29" t="str">
        <x:v>https://www.visitbakersfield.com/directory/zingos-caf%C3%A9/</x:v>
      </x:c>
      <x:c r="F454" s="31" t="d">
        <x:v>2026-10-24T00:00:00.000Z</x:v>
      </x:c>
      <x:c r="G454" s="35" t="n">
        <x:v>0</x:v>
      </x:c>
    </x:row>
    <x:row r="455" ht="54" customHeight="1">
      <x:c r="A455" s="29" t="str">
        <x:v>bakersfield:action:yer-local-bakersfield-rice-bowl-1</x:v>
      </x:c>
      <x:c r="B455" s="29" t="str">
        <x:v>bakersfield</x:v>
      </x:c>
      <x:c r="C455" s="29" t="str">
        <x:v>bakersfield:yer-local-bakersfield-rice-bowl</x:v>
      </x:c>
      <x:c r="D455" s="29" t="str">
        <x:v>Mekân ve ziyaret bilgisi</x:v>
      </x:c>
      <x:c r="E455" s="29" t="str">
        <x:v>https://www.visitbakersfield.com/directory/rice-bowl-chinese-restaurant/</x:v>
      </x:c>
      <x:c r="F455" s="31" t="d">
        <x:v>2026-10-24T00:00:00.000Z</x:v>
      </x:c>
      <x:c r="G455" s="35" t="n">
        <x:v>0</x:v>
      </x:c>
    </x:row>
    <x:row r="456" ht="54" customHeight="1">
      <x:c r="A456" s="29" t="str">
        <x:v>bakersfield:action:yer-local-bakersfield-mamma-mia-1</x:v>
      </x:c>
      <x:c r="B456" s="29" t="str">
        <x:v>bakersfield</x:v>
      </x:c>
      <x:c r="C456" s="29" t="str">
        <x:v>bakersfield:yer-local-bakersfield-mamma-mia</x:v>
      </x:c>
      <x:c r="D456" s="29" t="str">
        <x:v>Mekân ve ziyaret bilgisi</x:v>
      </x:c>
      <x:c r="E456" s="29" t="str">
        <x:v>https://mammamiadowntown.com/benvenuti/</x:v>
      </x:c>
      <x:c r="F456" s="31" t="d">
        <x:v>2026-10-24T00:00:00.000Z</x:v>
      </x:c>
      <x:c r="G456" s="35" t="n">
        <x:v>0</x:v>
      </x:c>
    </x:row>
    <x:row r="457" ht="54" customHeight="1">
      <x:c r="A457" s="29" t="str">
        <x:v>bakersfield:action:yer-local-bakersfield-woolworth-1</x:v>
      </x:c>
      <x:c r="B457" s="29" t="str">
        <x:v>bakersfield</x:v>
      </x:c>
      <x:c r="C457" s="29" t="str">
        <x:v>bakersfield:yer-local-bakersfield-woolworth</x:v>
      </x:c>
      <x:c r="D457" s="29" t="str">
        <x:v>Mekân ve ziyaret bilgisi</x:v>
      </x:c>
      <x:c r="E457" s="29" t="str">
        <x:v>https://www.historicwoolworths.com/visit</x:v>
      </x:c>
      <x:c r="F457" s="31" t="d">
        <x:v>2026-10-24T00:00:00.000Z</x:v>
      </x:c>
      <x:c r="G457" s="35" t="n">
        <x:v>0</x:v>
      </x:c>
    </x:row>
    <x:row r="458" ht="54" customHeight="1">
      <x:c r="A458" s="29" t="str">
        <x:v>bakersfield:action:yer-local-bakersfield-marketplace-1</x:v>
      </x:c>
      <x:c r="B458" s="29" t="str">
        <x:v>bakersfield</x:v>
      </x:c>
      <x:c r="C458" s="29" t="str">
        <x:v>bakersfield:yer-local-bakersfield-marketplace</x:v>
      </x:c>
      <x:c r="D458" s="29" t="str">
        <x:v>Mekân ve ziyaret bilgisi</x:v>
      </x:c>
      <x:c r="E458" s="29" t="str">
        <x:v>https://www.themarketplacebakersfield.com/</x:v>
      </x:c>
      <x:c r="F458" s="31" t="d">
        <x:v>2026-10-24T00:00:00.000Z</x:v>
      </x:c>
      <x:c r="G458" s="35" t="n">
        <x:v>0</x:v>
      </x:c>
    </x:row>
    <x:row r="459" ht="54" customHeight="1">
      <x:c r="A459" s="29" t="str">
        <x:v>bakersfield:action:yer-local-bakersfield-valley-plaza-1</x:v>
      </x:c>
      <x:c r="B459" s="29" t="str">
        <x:v>bakersfield</x:v>
      </x:c>
      <x:c r="C459" s="29" t="str">
        <x:v>bakersfield:yer-local-bakersfield-valley-plaza</x:v>
      </x:c>
      <x:c r="D459" s="29" t="str">
        <x:v>Mekân ve ziyaret bilgisi</x:v>
      </x:c>
      <x:c r="E459" s="29" t="str">
        <x:v>https://www.valleyplazamall.com/</x:v>
      </x:c>
      <x:c r="F459" s="31" t="d">
        <x:v>2026-10-24T00:00:00.000Z</x:v>
      </x:c>
      <x:c r="G459" s="35" t="n">
        <x:v>0</x:v>
      </x:c>
    </x:row>
    <x:row r="460" ht="54" customHeight="1">
      <x:c r="A460" s="29" t="str">
        <x:v>bakersfield:action:yer-local-bakersfield-basque-club-1</x:v>
      </x:c>
      <x:c r="B460" s="29" t="str">
        <x:v>bakersfield</x:v>
      </x:c>
      <x:c r="C460" s="29" t="str">
        <x:v>bakersfield:yer-local-bakersfield-basque-club</x:v>
      </x:c>
      <x:c r="D460" s="29" t="str">
        <x:v>Mekân ve ziyaret bilgisi</x:v>
      </x:c>
      <x:c r="E460" s="29" t="str">
        <x:v>https://www.kcbasqueclub.com/</x:v>
      </x:c>
      <x:c r="F460" s="31" t="d">
        <x:v>2026-10-24T00:00:00.000Z</x:v>
      </x:c>
      <x:c r="G460" s="35" t="n">
        <x:v>0</x:v>
      </x:c>
    </x:row>
    <x:row r="461" ht="54" customHeight="1">
      <x:c r="A461" s="29" t="str">
        <x:v>bakersfield:action:yer-local-bakersfield-murray-farms-1</x:v>
      </x:c>
      <x:c r="B461" s="29" t="str">
        <x:v>bakersfield</x:v>
      </x:c>
      <x:c r="C461" s="29" t="str">
        <x:v>bakersfield:yer-local-bakersfield-murray-farms</x:v>
      </x:c>
      <x:c r="D461" s="29" t="str">
        <x:v>Mekân ve ziyaret bilgisi</x:v>
      </x:c>
      <x:c r="E461" s="29" t="str">
        <x:v>https://www.murrayfamilyfarms.org/where-to-find-us/big-red-barn</x:v>
      </x:c>
      <x:c r="F461" s="31" t="d">
        <x:v>2026-10-24T00:00:00.000Z</x:v>
      </x:c>
      <x:c r="G461" s="35" t="n">
        <x:v>0</x:v>
      </x:c>
    </x:row>
    <x:row r="462" ht="54" customHeight="1">
      <x:c r="A462" s="29" t="str">
        <x:v>bakersfield:action:yer-local-bakersfield-river-walk-1</x:v>
      </x:c>
      <x:c r="B462" s="29" t="str">
        <x:v>bakersfield</x:v>
      </x:c>
      <x:c r="C462" s="29" t="str">
        <x:v>bakersfield:yer-local-bakersfield-river-walk</x:v>
      </x:c>
      <x:c r="D462" s="29" t="str">
        <x:v>Mekân ve ziyaret bilgisi</x:v>
      </x:c>
      <x:c r="E462" s="29" t="str">
        <x:v>https://www.bakersfieldcity.us/recreation-parks</x:v>
      </x:c>
      <x:c r="F462" s="31" t="d">
        <x:v>2026-10-24T00:00:00.000Z</x:v>
      </x:c>
      <x:c r="G462" s="35" t="n">
        <x:v>0</x:v>
      </x:c>
    </x:row>
    <x:row r="463" ht="54" customHeight="1">
      <x:c r="A463" s="29" t="str">
        <x:v>bakersfield:action:yer-local-bakersfield-mill-creek-1</x:v>
      </x:c>
      <x:c r="B463" s="29" t="str">
        <x:v>bakersfield</x:v>
      </x:c>
      <x:c r="C463" s="29" t="str">
        <x:v>bakersfield:yer-local-bakersfield-mill-creek</x:v>
      </x:c>
      <x:c r="D463" s="29" t="str">
        <x:v>Mekân ve ziyaret bilgisi</x:v>
      </x:c>
      <x:c r="E463" s="29" t="str">
        <x:v>https://www.bakersfieldcity.us/recreation-parks</x:v>
      </x:c>
      <x:c r="F463" s="31" t="d">
        <x:v>2026-10-24T00:00:00.000Z</x:v>
      </x:c>
      <x:c r="G463" s="35" t="n">
        <x:v>0</x:v>
      </x:c>
    </x:row>
    <x:row r="464" ht="54" customHeight="1">
      <x:c r="A464" s="29" t="str">
        <x:v>bakersfield:action:yer-local-bakersfield-hart-park-1</x:v>
      </x:c>
      <x:c r="B464" s="29" t="str">
        <x:v>bakersfield</x:v>
      </x:c>
      <x:c r="C464" s="29" t="str">
        <x:v>bakersfield:yer-local-bakersfield-hart-park</x:v>
      </x:c>
      <x:c r="D464" s="29" t="str">
        <x:v>Mekân ve ziyaret bilgisi</x:v>
      </x:c>
      <x:c r="E464" s="29" t="str">
        <x:v>https://www.kerncounty.com/Home/Components/FacilityDirectory/FacilityDirectory/4/32605</x:v>
      </x:c>
      <x:c r="F464" s="31" t="d">
        <x:v>2026-10-24T00:00:00.000Z</x:v>
      </x:c>
      <x:c r="G464" s="35" t="n">
        <x:v>0</x:v>
      </x:c>
    </x:row>
    <x:row r="465" ht="54" customHeight="1">
      <x:c r="A465" s="29" t="str">
        <x:v>bakersfield:action:yer-local-bakersfield-lake-ming-1</x:v>
      </x:c>
      <x:c r="B465" s="29" t="str">
        <x:v>bakersfield</x:v>
      </x:c>
      <x:c r="C465" s="29" t="str">
        <x:v>bakersfield:yer-local-bakersfield-lake-ming</x:v>
      </x:c>
      <x:c r="D465" s="29" t="str">
        <x:v>Mekân ve ziyaret bilgisi</x:v>
      </x:c>
      <x:c r="E465" s="29" t="str">
        <x:v>https://www.kerncounty.com/government/parks</x:v>
      </x:c>
      <x:c r="F465" s="31" t="d">
        <x:v>2026-10-24T00:00:00.000Z</x:v>
      </x:c>
      <x:c r="G465" s="35" t="n">
        <x:v>0</x:v>
      </x:c>
    </x:row>
    <x:row r="466" ht="54" customHeight="1">
      <x:c r="A466" s="29" t="str">
        <x:v>bakersfield:action:yer-local-bakersfield-panorama-park-1</x:v>
      </x:c>
      <x:c r="B466" s="29" t="str">
        <x:v>bakersfield</x:v>
      </x:c>
      <x:c r="C466" s="29" t="str">
        <x:v>bakersfield:yer-local-bakersfield-panorama-park</x:v>
      </x:c>
      <x:c r="D466" s="29" t="str">
        <x:v>Mekân ve ziyaret bilgisi</x:v>
      </x:c>
      <x:c r="E466" s="29" t="str">
        <x:v>https://kernriverparkway.org/parks-and-open-space-in-the-parkway/</x:v>
      </x:c>
      <x:c r="F466" s="31" t="d">
        <x:v>2026-10-24T00:00:00.000Z</x:v>
      </x:c>
      <x:c r="G466" s="35" t="n">
        <x:v>0</x:v>
      </x:c>
    </x:row>
    <x:row r="467" ht="54" customHeight="1">
      <x:c r="A467" s="29" t="str">
        <x:v>bakersfield:action:yer-local-bakersfield-jastro-park-1</x:v>
      </x:c>
      <x:c r="B467" s="29" t="str">
        <x:v>bakersfield</x:v>
      </x:c>
      <x:c r="C467" s="29" t="str">
        <x:v>bakersfield:yer-local-bakersfield-jastro-park</x:v>
      </x:c>
      <x:c r="D467" s="29" t="str">
        <x:v>Mekân ve ziyaret bilgisi</x:v>
      </x:c>
      <x:c r="E467" s="29" t="str">
        <x:v>https://www.bakersfieldcity.us/recreation-parks</x:v>
      </x:c>
      <x:c r="F467" s="31" t="d">
        <x:v>2026-10-24T00:00:00.000Z</x:v>
      </x:c>
      <x:c r="G467" s="35" t="n">
        <x:v>0</x:v>
      </x:c>
    </x:row>
    <x:row r="468" ht="54" customHeight="1">
      <x:c r="A468" s="29" t="str">
        <x:v>bakersfield:action:yer-local-bakersfield-beach-park-1</x:v>
      </x:c>
      <x:c r="B468" s="29" t="str">
        <x:v>bakersfield</x:v>
      </x:c>
      <x:c r="C468" s="29" t="str">
        <x:v>bakersfield:yer-local-bakersfield-beach-park</x:v>
      </x:c>
      <x:c r="D468" s="29" t="str">
        <x:v>Mekân ve ziyaret bilgisi</x:v>
      </x:c>
      <x:c r="E468" s="29" t="str">
        <x:v>https://kernriverparkway.org/parks-and-open-space-in-the-parkway/</x:v>
      </x:c>
      <x:c r="F468" s="31" t="d">
        <x:v>2026-10-24T00:00:00.000Z</x:v>
      </x:c>
      <x:c r="G468" s="35" t="n">
        <x:v>0</x:v>
      </x:c>
    </x:row>
    <x:row r="469" ht="54" customHeight="1">
      <x:c r="A469" s="29" t="str">
        <x:v>bakersfield:action:yer-local-bakersfield-beale-park-1</x:v>
      </x:c>
      <x:c r="B469" s="29" t="str">
        <x:v>bakersfield</x:v>
      </x:c>
      <x:c r="C469" s="29" t="str">
        <x:v>bakersfield:yer-local-bakersfield-beale-park</x:v>
      </x:c>
      <x:c r="D469" s="29" t="str">
        <x:v>Mekân ve ziyaret bilgisi</x:v>
      </x:c>
      <x:c r="E469" s="29" t="str">
        <x:v>https://www.bakersfieldcity.us/recreation-parks</x:v>
      </x:c>
      <x:c r="F469" s="31" t="d">
        <x:v>2026-10-24T00:00:00.000Z</x:v>
      </x:c>
      <x:c r="G469" s="35" t="n">
        <x:v>0</x:v>
      </x:c>
    </x:row>
    <x:row r="470" ht="54" customHeight="1">
      <x:c r="A470" s="29" t="str">
        <x:v>bakersfield:action:yer-local-bakersfield-yokuts-park-1</x:v>
      </x:c>
      <x:c r="B470" s="29" t="str">
        <x:v>bakersfield</x:v>
      </x:c>
      <x:c r="C470" s="29" t="str">
        <x:v>bakersfield:yer-local-bakersfield-yokuts-park</x:v>
      </x:c>
      <x:c r="D470" s="29" t="str">
        <x:v>Mekân ve ziyaret bilgisi</x:v>
      </x:c>
      <x:c r="E470" s="29" t="str">
        <x:v>https://www.bakersfieldcity.us/recreation-parks</x:v>
      </x:c>
      <x:c r="F470" s="31" t="d">
        <x:v>2026-10-24T00:00:00.000Z</x:v>
      </x:c>
      <x:c r="G470" s="35" t="n">
        <x:v>0</x:v>
      </x:c>
    </x:row>
    <x:row r="471" ht="54" customHeight="1">
      <x:c r="A471" s="29" t="str">
        <x:v>bakersfield:action:yer-local-bakersfield-silver-creek-park-1</x:v>
      </x:c>
      <x:c r="B471" s="29" t="str">
        <x:v>bakersfield</x:v>
      </x:c>
      <x:c r="C471" s="29" t="str">
        <x:v>bakersfield:yer-local-bakersfield-silver-creek-park</x:v>
      </x:c>
      <x:c r="D471" s="29" t="str">
        <x:v>Mekân ve ziyaret bilgisi</x:v>
      </x:c>
      <x:c r="E471" s="29" t="str">
        <x:v>https://www.bakersfieldcity.us/recreation-parks</x:v>
      </x:c>
      <x:c r="F471" s="31" t="d">
        <x:v>2026-10-24T00:00:00.000Z</x:v>
      </x:c>
      <x:c r="G471" s="35" t="n">
        <x:v>0</x:v>
      </x:c>
    </x:row>
    <x:row r="472" ht="54" customHeight="1">
      <x:c r="A472" s="29" t="str">
        <x:v>bakersfield:action:yer-local-bakersfield-kern-river-parkway-1</x:v>
      </x:c>
      <x:c r="B472" s="29" t="str">
        <x:v>bakersfield</x:v>
      </x:c>
      <x:c r="C472" s="29" t="str">
        <x:v>bakersfield:yer-local-bakersfield-kern-river-parkway</x:v>
      </x:c>
      <x:c r="D472" s="29" t="str">
        <x:v>Mekân ve ziyaret bilgisi</x:v>
      </x:c>
      <x:c r="E472" s="29" t="str">
        <x:v>https://kernriverparkway.org/</x:v>
      </x:c>
      <x:c r="F472" s="31" t="d">
        <x:v>2026-10-24T00:00:00.000Z</x:v>
      </x:c>
      <x:c r="G472" s="35" t="n">
        <x:v>0</x:v>
      </x:c>
    </x:row>
    <x:row r="473" ht="54" customHeight="1">
      <x:c r="A473" s="29" t="str">
        <x:v>bakersfield:action:yer-local-bakersfield-truxtun-lake-1</x:v>
      </x:c>
      <x:c r="B473" s="29" t="str">
        <x:v>bakersfield</x:v>
      </x:c>
      <x:c r="C473" s="29" t="str">
        <x:v>bakersfield:yer-local-bakersfield-truxtun-lake</x:v>
      </x:c>
      <x:c r="D473" s="29" t="str">
        <x:v>Mekân ve ziyaret bilgisi</x:v>
      </x:c>
      <x:c r="E473" s="29" t="str">
        <x:v>https://kernriverparkway.org/parks-and-open-space-in-the-parkway/</x:v>
      </x:c>
      <x:c r="F473" s="31" t="d">
        <x:v>2026-10-24T00:00:00.000Z</x:v>
      </x:c>
      <x:c r="G473" s="35" t="n">
        <x:v>0</x:v>
      </x:c>
    </x:row>
    <x:row r="474" ht="54" customHeight="1">
      <x:c r="A474" s="29" t="str">
        <x:v>bakersfield:action:yer-local-bakersfield-sam-lynn-1</x:v>
      </x:c>
      <x:c r="B474" s="29" t="str">
        <x:v>bakersfield</x:v>
      </x:c>
      <x:c r="C474" s="29" t="str">
        <x:v>bakersfield:yer-local-bakersfield-sam-lynn</x:v>
      </x:c>
      <x:c r="D474" s="29" t="str">
        <x:v>Mekân ve ziyaret bilgisi</x:v>
      </x:c>
      <x:c r="E474" s="29" t="str">
        <x:v>https://www.bakersfieldtrainrobbers.com/</x:v>
      </x:c>
      <x:c r="F474" s="31" t="d">
        <x:v>2026-10-24T00:00:00.000Z</x:v>
      </x:c>
      <x:c r="G474" s="35" t="n">
        <x:v>0</x:v>
      </x:c>
    </x:row>
    <x:row r="475" ht="54" customHeight="1">
      <x:c r="A475" s="29" t="str">
        <x:v>bakersfield:action:yer-local-bakersfield-memorial-stadium-1</x:v>
      </x:c>
      <x:c r="B475" s="29" t="str">
        <x:v>bakersfield</x:v>
      </x:c>
      <x:c r="C475" s="29" t="str">
        <x:v>bakersfield:yer-local-bakersfield-memorial-stadium</x:v>
      </x:c>
      <x:c r="D475" s="29" t="str">
        <x:v>Mekân ve ziyaret bilgisi</x:v>
      </x:c>
      <x:c r="E475" s="29" t="str">
        <x:v>https://www.gogades.com/</x:v>
      </x:c>
      <x:c r="F475" s="31" t="d">
        <x:v>2026-10-24T00:00:00.000Z</x:v>
      </x:c>
      <x:c r="G475" s="35" t="n">
        <x:v>0</x:v>
      </x:c>
    </x:row>
    <x:row r="476" ht="54" customHeight="1">
      <x:c r="A476" s="29" t="str">
        <x:v>bakersfield:action:yer-local-bakersfield-csub-soccer-1</x:v>
      </x:c>
      <x:c r="B476" s="29" t="str">
        <x:v>bakersfield</x:v>
      </x:c>
      <x:c r="C476" s="29" t="str">
        <x:v>bakersfield:yer-local-bakersfield-csub-soccer</x:v>
      </x:c>
      <x:c r="D476" s="29" t="str">
        <x:v>Mekân ve ziyaret bilgisi</x:v>
      </x:c>
      <x:c r="E476" s="29" t="str">
        <x:v>https://gorunners.com/sports/mens-soccer</x:v>
      </x:c>
      <x:c r="F476" s="31" t="d">
        <x:v>2026-10-24T00:00:00.000Z</x:v>
      </x:c>
      <x:c r="G476" s="35" t="n">
        <x:v>0</x:v>
      </x:c>
    </x:row>
    <x:row r="477" ht="54" customHeight="1">
      <x:c r="A477" s="29" t="str">
        <x:v>bakersfield:action:yer-local-bakersfield-kern-raceway-1</x:v>
      </x:c>
      <x:c r="B477" s="29" t="str">
        <x:v>bakersfield</x:v>
      </x:c>
      <x:c r="C477" s="29" t="str">
        <x:v>bakersfield:yer-local-bakersfield-kern-raceway</x:v>
      </x:c>
      <x:c r="D477" s="29" t="str">
        <x:v>Mekân ve ziyaret bilgisi</x:v>
      </x:c>
      <x:c r="E477" s="29" t="str">
        <x:v>https://kernraceway.com/</x:v>
      </x:c>
      <x:c r="F477" s="31" t="d">
        <x:v>2026-10-24T00:00:00.000Z</x:v>
      </x:c>
      <x:c r="G477" s="35" t="n">
        <x:v>0</x:v>
      </x:c>
    </x:row>
    <x:row r="478" ht="54" customHeight="1">
      <x:c r="A478" s="29" t="str">
        <x:v>bakersfield:action:yer-local-bakersfield-amtrak-station-1</x:v>
      </x:c>
      <x:c r="B478" s="29" t="str">
        <x:v>bakersfield</x:v>
      </x:c>
      <x:c r="C478" s="29" t="str">
        <x:v>bakersfield:yer-local-bakersfield-amtrak-station</x:v>
      </x:c>
      <x:c r="D478" s="29" t="str">
        <x:v>Mekân ve ziyaret bilgisi</x:v>
      </x:c>
      <x:c r="E478" s="29" t="str">
        <x:v>https://www.amtrak.com/stations/bfd</x:v>
      </x:c>
      <x:c r="F478" s="31" t="d">
        <x:v>2026-10-24T00:00:00.000Z</x:v>
      </x:c>
      <x:c r="G478" s="35" t="n">
        <x:v>0</x:v>
      </x:c>
    </x:row>
    <x:row r="479" ht="54" customHeight="1">
      <x:c r="A479" s="29" t="str">
        <x:v>bakersfield:action:yer-local-bakersfield-beale-library-1</x:v>
      </x:c>
      <x:c r="B479" s="29" t="str">
        <x:v>bakersfield</x:v>
      </x:c>
      <x:c r="C479" s="29" t="str">
        <x:v>bakersfield:yer-local-bakersfield-beale-library</x:v>
      </x:c>
      <x:c r="D479" s="29" t="str">
        <x:v>Mekân ve ziyaret bilgisi</x:v>
      </x:c>
      <x:c r="E479" s="29" t="str">
        <x:v>https://kerncountylibrary.org/</x:v>
      </x:c>
      <x:c r="F479" s="31" t="d">
        <x:v>2026-10-24T00:00:00.000Z</x:v>
      </x:c>
      <x:c r="G479" s="35" t="n">
        <x:v>0</x:v>
      </x:c>
    </x:row>
    <x:row r="480" ht="54" customHeight="1">
      <x:c r="A480" s="29" t="str">
        <x:v>bakersfield:action:yer-local-bakersfield-union-cemetery-1</x:v>
      </x:c>
      <x:c r="B480" s="29" t="str">
        <x:v>bakersfield</x:v>
      </x:c>
      <x:c r="C480" s="29" t="str">
        <x:v>bakersfield:yer-local-bakersfield-union-cemetery</x:v>
      </x:c>
      <x:c r="D480" s="29" t="str">
        <x:v>Mekân ve ziyaret bilgisi</x:v>
      </x:c>
      <x:c r="E480" s="29" t="str">
        <x:v>https://www.unioncemeterybakersfield.com/</x:v>
      </x:c>
      <x:c r="F480" s="31" t="d">
        <x:v>2026-10-24T00:00:00.000Z</x:v>
      </x:c>
      <x:c r="G480" s="35" t="n">
        <x:v>0</x:v>
      </x:c>
    </x:row>
    <x:row r="481" ht="54" customHeight="1">
      <x:c r="A481" s="29" t="str">
        <x:v>bakersfield:action:yer-local-bakersfield-national-cemetery-1</x:v>
      </x:c>
      <x:c r="B481" s="29" t="str">
        <x:v>bakersfield</x:v>
      </x:c>
      <x:c r="C481" s="29" t="str">
        <x:v>bakersfield:yer-local-bakersfield-national-cemetery</x:v>
      </x:c>
      <x:c r="D481" s="29" t="str">
        <x:v>Mekân ve ziyaret bilgisi</x:v>
      </x:c>
      <x:c r="E481" s="29" t="str">
        <x:v>https://www.cem.va.gov/cems/nchp/bakersfield.asp</x:v>
      </x:c>
      <x:c r="F481" s="31" t="d">
        <x:v>2026-10-24T00:00:00.000Z</x:v>
      </x:c>
      <x:c r="G481" s="35" t="n">
        <x:v>0</x:v>
      </x:c>
    </x:row>
    <x:row r="482" ht="54" customHeight="1">
      <x:c r="A482" s="29" t="str">
        <x:v>bakersfield:action:yer-local-bakersfield-kress-building-1</x:v>
      </x:c>
      <x:c r="B482" s="29" t="str">
        <x:v>bakersfield</x:v>
      </x:c>
      <x:c r="C482" s="29" t="str">
        <x:v>bakersfield:yer-local-bakersfield-kress-building</x:v>
      </x:c>
      <x:c r="D482" s="29" t="str">
        <x:v>Mekân ve ziyaret bilgisi</x:v>
      </x:c>
      <x:c r="E482" s="29" t="str">
        <x:v>https://www.visitbakersfield.com/things-to-do/bakersfield-historical-trail/</x:v>
      </x:c>
      <x:c r="F482" s="31" t="d">
        <x:v>2026-10-24T00:00:00.000Z</x:v>
      </x:c>
      <x:c r="G482" s="35" t="n">
        <x:v>0</x:v>
      </x:c>
    </x:row>
    <x:row r="483" ht="54" customHeight="1">
      <x:c r="A483" s="29" t="str">
        <x:v>bakersfield:action:yer-local-bakersfield-haberfelde-building-1</x:v>
      </x:c>
      <x:c r="B483" s="29" t="str">
        <x:v>bakersfield</x:v>
      </x:c>
      <x:c r="C483" s="29" t="str">
        <x:v>bakersfield:yer-local-bakersfield-haberfelde-building</x:v>
      </x:c>
      <x:c r="D483" s="29" t="str">
        <x:v>Mekân ve ziyaret bilgisi</x:v>
      </x:c>
      <x:c r="E483" s="29" t="str">
        <x:v>https://www.visitbakersfield.com/things-to-do/bakersfield-historical-trail/</x:v>
      </x:c>
      <x:c r="F483" s="31" t="d">
        <x:v>2026-10-24T00:00:00.000Z</x:v>
      </x:c>
      <x:c r="G483" s="35" t="n">
        <x:v>0</x:v>
      </x:c>
    </x:row>
    <x:row r="484" ht="54" customHeight="1">
      <x:c r="A484" s="29" t="str">
        <x:v>bakersfield:action:yer-local-bakersfield-californian-building-1</x:v>
      </x:c>
      <x:c r="B484" s="29" t="str">
        <x:v>bakersfield</x:v>
      </x:c>
      <x:c r="C484" s="29" t="str">
        <x:v>bakersfield:yer-local-bakersfield-californian-building</x:v>
      </x:c>
      <x:c r="D484" s="29" t="str">
        <x:v>Mekân ve ziyaret bilgisi</x:v>
      </x:c>
      <x:c r="E484" s="29" t="str">
        <x:v>https://npgallery.nps.gov/AssetDetail/NRIS/83001183</x:v>
      </x:c>
      <x:c r="F484" s="31" t="d">
        <x:v>2026-10-24T00:00:00.000Z</x:v>
      </x:c>
      <x:c r="G484" s="35" t="n">
        <x:v>0</x:v>
      </x:c>
    </x:row>
    <x:row r="485" ht="54" customHeight="1">
      <x:c r="A485" s="29" t="str">
        <x:v>bakersfield:action:yer-local-bakersfield-southern-pacific-depot-1</x:v>
      </x:c>
      <x:c r="B485" s="29" t="str">
        <x:v>bakersfield</x:v>
      </x:c>
      <x:c r="C485" s="29" t="str">
        <x:v>bakersfield:yer-local-bakersfield-southern-pacific-depot</x:v>
      </x:c>
      <x:c r="D485" s="29" t="str">
        <x:v>Mekân ve ziyaret bilgisi</x:v>
      </x:c>
      <x:c r="E485" s="29" t="str">
        <x:v>https://docs.bakersfieldcity.us/weblink/0/edoc/1572526/HPC%203.15.22%20Agenda%20Packet.pdf</x:v>
      </x:c>
      <x:c r="F485" s="31" t="d">
        <x:v>2026-10-24T00:00:00.000Z</x:v>
      </x:c>
      <x:c r="G485" s="35" t="n">
        <x:v>0</x:v>
      </x:c>
    </x:row>
    <x:row r="486" ht="54" customHeight="1">
      <x:c r="A486" s="29" t="str">
        <x:v>bakersfield:action:yer-local-bakersfield-baker-library-1</x:v>
      </x:c>
      <x:c r="B486" s="29" t="str">
        <x:v>bakersfield</x:v>
      </x:c>
      <x:c r="C486" s="29" t="str">
        <x:v>bakersfield:yer-local-bakersfield-baker-library</x:v>
      </x:c>
      <x:c r="D486" s="29" t="str">
        <x:v>Mekân ve ziyaret bilgisi</x:v>
      </x:c>
      <x:c r="E486" s="29" t="str">
        <x:v>https://kerncountylibrary.org/infrastructuregrant/</x:v>
      </x:c>
      <x:c r="F486" s="31" t="d">
        <x:v>2026-10-24T00:00:00.000Z</x:v>
      </x:c>
      <x:c r="G486" s="35" t="n">
        <x:v>0</x:v>
      </x:c>
    </x:row>
    <x:row r="487" ht="54" customHeight="1">
      <x:c r="A487" s="29" t="str">
        <x:v>bakersfield:action:yer-local-bakersfield-hall-records-1</x:v>
      </x:c>
      <x:c r="B487" s="29" t="str">
        <x:v>bakersfield</x:v>
      </x:c>
      <x:c r="C487" s="29" t="str">
        <x:v>bakersfield:yer-local-bakersfield-hall-records</x:v>
      </x:c>
      <x:c r="D487" s="29" t="str">
        <x:v>Mekân ve ziyaret bilgisi</x:v>
      </x:c>
      <x:c r="E487" s="29" t="str">
        <x:v>https://www.kerncounty.com/government/departments/assessor-recorder/records/recorder-faq</x:v>
      </x:c>
      <x:c r="F487" s="31" t="d">
        <x:v>2026-10-24T00:00:00.000Z</x:v>
      </x:c>
      <x:c r="G487" s="35" t="n">
        <x:v>0</x:v>
      </x:c>
    </x:row>
    <x:row r="488" ht="54" customHeight="1">
      <x:c r="A488" s="29" t="str">
        <x:v>bakersfield:action:yer-local-bakersfield-historic-post-office-1</x:v>
      </x:c>
      <x:c r="B488" s="29" t="str">
        <x:v>bakersfield</x:v>
      </x:c>
      <x:c r="C488" s="29" t="str">
        <x:v>bakersfield:yer-local-bakersfield-historic-post-office</x:v>
      </x:c>
      <x:c r="D488" s="29" t="str">
        <x:v>Mekân ve ziyaret bilgisi</x:v>
      </x:c>
      <x:c r="E488" s="29" t="str">
        <x:v>https://docs.bakersfieldcity.us/weblink/0/edoc/1572526/HPC%203.15.22%20Agenda%20Packet.pdf</x:v>
      </x:c>
      <x:c r="F488" s="31" t="d">
        <x:v>2026-10-24T00:00:00.000Z</x:v>
      </x:c>
      <x:c r="G488" s="35" t="n">
        <x:v>0</x:v>
      </x:c>
    </x:row>
    <x:row r="489" ht="54" customHeight="1">
      <x:c r="A489" s="29" t="str">
        <x:v>bakersfield:action:yer-local-bakersfield-fire-station-one-1</x:v>
      </x:c>
      <x:c r="B489" s="29" t="str">
        <x:v>bakersfield</x:v>
      </x:c>
      <x:c r="C489" s="29" t="str">
        <x:v>bakersfield:yer-local-bakersfield-fire-station-one</x:v>
      </x:c>
      <x:c r="D489" s="29" t="str">
        <x:v>Mekân ve ziyaret bilgisi</x:v>
      </x:c>
      <x:c r="E489" s="29" t="str">
        <x:v>https://www.visitbakersfield.com/things-to-do/bakersfield-historical-trail/</x:v>
      </x:c>
      <x:c r="F489" s="31" t="d">
        <x:v>2026-10-24T00:00:00.000Z</x:v>
      </x:c>
      <x:c r="G489" s="35" t="n">
        <x:v>0</x:v>
      </x:c>
    </x:row>
    <x:row r="490" ht="54" customHeight="1">
      <x:c r="A490" s="29" t="str">
        <x:v>bakersfield:action:yer-local-bakersfield-hayden-building-1</x:v>
      </x:c>
      <x:c r="B490" s="29" t="str">
        <x:v>bakersfield</x:v>
      </x:c>
      <x:c r="C490" s="29" t="str">
        <x:v>bakersfield:yer-local-bakersfield-hayden-building</x:v>
      </x:c>
      <x:c r="D490" s="29" t="str">
        <x:v>Mekân ve ziyaret bilgisi</x:v>
      </x:c>
      <x:c r="E490" s="29" t="str">
        <x:v>https://www.hmdb.org/m.asp?m=117419</x:v>
      </x:c>
      <x:c r="F490" s="31" t="d">
        <x:v>2026-10-24T00:00:00.000Z</x:v>
      </x:c>
      <x:c r="G490" s="35" t="n">
        <x:v>0</x:v>
      </x:c>
    </x:row>
    <x:row r="491" ht="54" customHeight="1">
      <x:c r="A491" s="29" t="str">
        <x:v>bakersfield:action:yer-local-bakersfield-hopkins-building-1</x:v>
      </x:c>
      <x:c r="B491" s="29" t="str">
        <x:v>bakersfield</x:v>
      </x:c>
      <x:c r="C491" s="29" t="str">
        <x:v>bakersfield:yer-local-bakersfield-hopkins-building</x:v>
      </x:c>
      <x:c r="D491" s="29" t="str">
        <x:v>Mekân ve ziyaret bilgisi</x:v>
      </x:c>
      <x:c r="E491" s="29" t="str">
        <x:v>https://docs.bakersfieldcity.us/weblink/0/edoc/1572526/HPC%203.15.22%20Agenda%20Packet.pdf</x:v>
      </x:c>
      <x:c r="F491" s="31" t="d">
        <x:v>2026-10-24T00:00:00.000Z</x:v>
      </x:c>
      <x:c r="G491" s="35" t="n">
        <x:v>0</x:v>
      </x:c>
    </x:row>
    <x:row r="492" ht="54" customHeight="1">
      <x:c r="A492" s="29" t="str">
        <x:v>bakersfield:action:yer-local-bakersfield-st-pauls-1</x:v>
      </x:c>
      <x:c r="B492" s="29" t="str">
        <x:v>bakersfield</x:v>
      </x:c>
      <x:c r="C492" s="29" t="str">
        <x:v>bakersfield:yer-local-bakersfield-st-pauls</x:v>
      </x:c>
      <x:c r="D492" s="29" t="str">
        <x:v>Mekân ve ziyaret bilgisi</x:v>
      </x:c>
      <x:c r="E492" s="29" t="str">
        <x:v>https://www.stpaulsepiscopalbakersfield.org/home.html</x:v>
      </x:c>
      <x:c r="F492" s="31" t="d">
        <x:v>2026-10-24T00:00:00.000Z</x:v>
      </x:c>
      <x:c r="G492" s="35" t="n">
        <x:v>0</x:v>
      </x:c>
    </x:row>
    <x:row r="493" ht="54" customHeight="1">
      <x:c r="A493" s="29" t="str">
        <x:v>bakersfield:action:yer-local-bakersfield-bakersfield-sign-1</x:v>
      </x:c>
      <x:c r="B493" s="29" t="str">
        <x:v>bakersfield</x:v>
      </x:c>
      <x:c r="C493" s="29" t="str">
        <x:v>bakersfield:yer-local-bakersfield-bakersfield-sign</x:v>
      </x:c>
      <x:c r="D493" s="29" t="str">
        <x:v>Mekân ve ziyaret bilgisi</x:v>
      </x:c>
      <x:c r="E493" s="29" t="str">
        <x:v>https://www.visitbakersfield.com/blog/the-top-10-snapshot-spots-around-bakersfield/</x:v>
      </x:c>
      <x:c r="F493" s="31" t="d">
        <x:v>2026-10-24T00:00:00.000Z</x:v>
      </x:c>
      <x:c r="G493" s="35" t="n">
        <x:v>0</x:v>
      </x:c>
    </x:row>
    <x:row r="494" ht="54" customHeight="1">
      <x:c r="A494" s="29" t="str">
        <x:v>bakersfield:action:yer-local-bakersfield-city-hall-1</x:v>
      </x:c>
      <x:c r="B494" s="29" t="str">
        <x:v>bakersfield</x:v>
      </x:c>
      <x:c r="C494" s="29" t="str">
        <x:v>bakersfield:yer-local-bakersfield-city-hall</x:v>
      </x:c>
      <x:c r="D494" s="29" t="str">
        <x:v>Mekân ve ziyaret bilgisi</x:v>
      </x:c>
      <x:c r="E494" s="29" t="str">
        <x:v>https://www.bakersfieldcity.us/</x:v>
      </x:c>
      <x:c r="F494" s="31" t="d">
        <x:v>2026-10-24T00:00:00.000Z</x:v>
      </x:c>
      <x:c r="G494" s="35" t="n">
        <x:v>0</x:v>
      </x:c>
    </x:row>
    <x:row r="495" ht="54" customHeight="1">
      <x:c r="A495" s="29" t="str">
        <x:v>bakersfield:action:yer-local-bakersfield-bakersfield-college-1</x:v>
      </x:c>
      <x:c r="B495" s="29" t="str">
        <x:v>bakersfield</x:v>
      </x:c>
      <x:c r="C495" s="29" t="str">
        <x:v>bakersfield:yer-local-bakersfield-bakersfield-college</x:v>
      </x:c>
      <x:c r="D495" s="29" t="str">
        <x:v>Mekân ve ziyaret bilgisi</x:v>
      </x:c>
      <x:c r="E495" s="29" t="str">
        <x:v>https://www.bakersfieldcollege.edu/</x:v>
      </x:c>
      <x:c r="F495" s="31" t="d">
        <x:v>2026-10-24T00:00:00.000Z</x:v>
      </x:c>
      <x:c r="G495" s="35" t="n">
        <x:v>0</x:v>
      </x:c>
    </x:row>
    <x:row r="496" ht="54" customHeight="1">
      <x:c r="A496" s="29" t="str">
        <x:v>bakersfield:action:yer-local-bakersfield-federal-courthouse-1</x:v>
      </x:c>
      <x:c r="B496" s="29" t="str">
        <x:v>bakersfield</x:v>
      </x:c>
      <x:c r="C496" s="29" t="str">
        <x:v>bakersfield:yer-local-bakersfield-federal-courthouse</x:v>
      </x:c>
      <x:c r="D496" s="29" t="str">
        <x:v>Mekân ve ziyaret bilgisi</x:v>
      </x:c>
      <x:c r="E496" s="29" t="str">
        <x:v>https://www.caed.uscourts.gov/</x:v>
      </x:c>
      <x:c r="F496" s="31" t="d">
        <x:v>2026-10-24T00:00:00.000Z</x:v>
      </x:c>
      <x:c r="G496" s="35" t="n">
        <x:v>0</x:v>
      </x:c>
    </x:row>
    <x:row r="497" ht="54" customHeight="1">
      <x:c r="A497" s="29" t="str">
        <x:v>bakersfield:action:yer-local-bakersfield-crites-building-1</x:v>
      </x:c>
      <x:c r="B497" s="29" t="str">
        <x:v>bakersfield</x:v>
      </x:c>
      <x:c r="C497" s="29" t="str">
        <x:v>bakersfield:yer-local-bakersfield-crites-building</x:v>
      </x:c>
      <x:c r="D497" s="29" t="str">
        <x:v>Mekân ve ziyaret bilgisi</x:v>
      </x:c>
      <x:c r="E497" s="29" t="str">
        <x:v>https://www.hmdb.org/m.asp?m=120916</x:v>
      </x:c>
      <x:c r="F497" s="31" t="d">
        <x:v>2026-10-24T00:00:00.000Z</x:v>
      </x:c>
      <x:c r="G497" s="35" t="n">
        <x:v>0</x:v>
      </x:c>
    </x:row>
    <x:row r="498" ht="54" customHeight="1">
      <x:c r="A498" s="29" t="str">
        <x:v>bakersfield:action:yer-local-bakersfield-wind-wolves-1</x:v>
      </x:c>
      <x:c r="B498" s="29" t="str">
        <x:v>bakersfield</x:v>
      </x:c>
      <x:c r="C498" s="29" t="str">
        <x:v>bakersfield:yer-local-bakersfield-wind-wolves</x:v>
      </x:c>
      <x:c r="D498" s="29" t="str">
        <x:v>Mekân ve ziyaret bilgisi</x:v>
      </x:c>
      <x:c r="E498" s="29" t="str">
        <x:v>https://wildlandsconservancy.org/preserves/windwolves</x:v>
      </x:c>
      <x:c r="F498" s="31" t="d">
        <x:v>2026-10-24T00:00:00.000Z</x:v>
      </x:c>
      <x:c r="G498" s="35" t="n">
        <x:v>0</x:v>
      </x:c>
    </x:row>
    <x:row r="499" ht="54" customHeight="1">
      <x:c r="A499" s="29" t="str">
        <x:v>bakersfield:action:yer-local-bakersfield-tule-elk-1</x:v>
      </x:c>
      <x:c r="B499" s="29" t="str">
        <x:v>bakersfield</x:v>
      </x:c>
      <x:c r="C499" s="29" t="str">
        <x:v>bakersfield:yer-local-bakersfield-tule-elk</x:v>
      </x:c>
      <x:c r="D499" s="29" t="str">
        <x:v>Mekân ve ziyaret bilgisi</x:v>
      </x:c>
      <x:c r="E499" s="29" t="str">
        <x:v>https://www.parks.ca.gov/?page_id=584</x:v>
      </x:c>
      <x:c r="F499" s="31" t="d">
        <x:v>2026-10-24T00:00:00.000Z</x:v>
      </x:c>
      <x:c r="G499" s="35" t="n">
        <x:v>0</x:v>
      </x:c>
    </x:row>
    <x:row r="500" ht="54" customHeight="1">
      <x:c r="A500" s="29" t="str">
        <x:v>bakersfield:action:yer-local-bakersfield-fort-tejon-1</x:v>
      </x:c>
      <x:c r="B500" s="29" t="str">
        <x:v>bakersfield</x:v>
      </x:c>
      <x:c r="C500" s="29" t="str">
        <x:v>bakersfield:yer-local-bakersfield-fort-tejon</x:v>
      </x:c>
      <x:c r="D500" s="29" t="str">
        <x:v>Mekân ve ziyaret bilgisi</x:v>
      </x:c>
      <x:c r="E500" s="29" t="str">
        <x:v>https://www.parks.ca.gov/?page_id=585</x:v>
      </x:c>
      <x:c r="F500" s="31" t="d">
        <x:v>2026-10-24T00:00:00.000Z</x:v>
      </x:c>
      <x:c r="G500" s="35" t="n">
        <x:v>0</x:v>
      </x:c>
    </x:row>
    <x:row r="501" ht="54" customHeight="1">
      <x:c r="A501" s="29" t="str">
        <x:v>bakersfield:action:yer-local-bakersfield-chavez-monument-1</x:v>
      </x:c>
      <x:c r="B501" s="29" t="str">
        <x:v>bakersfield</x:v>
      </x:c>
      <x:c r="C501" s="29" t="str">
        <x:v>bakersfield:yer-local-bakersfield-chavez-monument</x:v>
      </x:c>
      <x:c r="D501" s="29" t="str">
        <x:v>Mekân ve ziyaret bilgisi</x:v>
      </x:c>
      <x:c r="E501" s="29" t="str">
        <x:v>https://www.nps.gov/cech/planyourvisit/index.htm</x:v>
      </x:c>
      <x:c r="F501" s="31" t="d">
        <x:v>2026-10-24T00:00:00.000Z</x:v>
      </x:c>
      <x:c r="G501" s="35" t="n">
        <x:v>0</x:v>
      </x:c>
    </x:row>
    <x:row r="502" ht="54" customHeight="1">
      <x:c r="A502" s="29" t="str">
        <x:v>bakersfield:action:yer-local-bakersfield-forty-acres-1</x:v>
      </x:c>
      <x:c r="B502" s="29" t="str">
        <x:v>bakersfield</x:v>
      </x:c>
      <x:c r="C502" s="29" t="str">
        <x:v>bakersfield:yer-local-bakersfield-forty-acres</x:v>
      </x:c>
      <x:c r="D502" s="29" t="str">
        <x:v>Mekân ve ziyaret bilgisi</x:v>
      </x:c>
      <x:c r="E502" s="29" t="str">
        <x:v>https://chavezfoundation.org/</x:v>
      </x:c>
      <x:c r="F502" s="31" t="d">
        <x:v>2026-10-24T00:00:00.000Z</x:v>
      </x:c>
      <x:c r="G502" s="35" t="n">
        <x:v>0</x:v>
      </x:c>
    </x:row>
    <x:row r="503" ht="54" customHeight="1">
      <x:c r="A503" s="29" t="str">
        <x:v>bakersfield:action:yer-local-bakersfield-minter-field-1</x:v>
      </x:c>
      <x:c r="B503" s="29" t="str">
        <x:v>bakersfield</x:v>
      </x:c>
      <x:c r="C503" s="29" t="str">
        <x:v>bakersfield:yer-local-bakersfield-minter-field</x:v>
      </x:c>
      <x:c r="D503" s="29" t="str">
        <x:v>Mekân ve ziyaret bilgisi</x:v>
      </x:c>
      <x:c r="E503" s="29" t="str">
        <x:v>https://www.minterfieldairmuseum.com/</x:v>
      </x:c>
      <x:c r="F503" s="31" t="d">
        <x:v>2026-10-24T00:00:00.000Z</x:v>
      </x:c>
      <x:c r="G503" s="35" t="n">
        <x:v>0</x:v>
      </x:c>
    </x:row>
    <x:row r="504" ht="54" customHeight="1">
      <x:c r="A504" s="29" t="str">
        <x:v>bakersfield:action:yer-local-bakersfield-shafter-depot-1</x:v>
      </x:c>
      <x:c r="B504" s="29" t="str">
        <x:v>bakersfield</x:v>
      </x:c>
      <x:c r="C504" s="29" t="str">
        <x:v>bakersfield:yer-local-bakersfield-shafter-depot</x:v>
      </x:c>
      <x:c r="D504" s="29" t="str">
        <x:v>Mekân ve ziyaret bilgisi</x:v>
      </x:c>
      <x:c r="E504" s="29" t="str">
        <x:v>https://shafterdepotmuseum.org/</x:v>
      </x:c>
      <x:c r="F504" s="31" t="d">
        <x:v>2026-10-24T00:00:00.000Z</x:v>
      </x:c>
      <x:c r="G504" s="35" t="n">
        <x:v>0</x:v>
      </x:c>
    </x:row>
    <x:row r="505" ht="54" customHeight="1">
      <x:c r="A505" s="29" t="str">
        <x:v>bakersfield:action:yer-local-bakersfield-green-hotel-1</x:v>
      </x:c>
      <x:c r="B505" s="29" t="str">
        <x:v>bakersfield</x:v>
      </x:c>
      <x:c r="C505" s="29" t="str">
        <x:v>bakersfield:yer-local-bakersfield-green-hotel</x:v>
      </x:c>
      <x:c r="D505" s="29" t="str">
        <x:v>Mekân ve ziyaret bilgisi</x:v>
      </x:c>
      <x:c r="E505" s="29" t="str">
        <x:v>https://shafterdepotmuseum.org/links-and-resources/</x:v>
      </x:c>
      <x:c r="F505" s="31" t="d">
        <x:v>2026-10-24T00:00:00.000Z</x:v>
      </x:c>
      <x:c r="G505" s="35" t="n">
        <x:v>0</x:v>
      </x:c>
    </x:row>
    <x:row r="506" ht="54" customHeight="1">
      <x:c r="A506" s="29" t="str">
        <x:v>bakersfield:action:yer-local-bakersfield-west-kern-oil-1</x:v>
      </x:c>
      <x:c r="B506" s="29" t="str">
        <x:v>bakersfield</x:v>
      </x:c>
      <x:c r="C506" s="29" t="str">
        <x:v>bakersfield:yer-local-bakersfield-west-kern-oil</x:v>
      </x:c>
      <x:c r="D506" s="29" t="str">
        <x:v>Mekân ve ziyaret bilgisi</x:v>
      </x:c>
      <x:c r="E506" s="29" t="str">
        <x:v>https://www.westkernoilmuseum.org/</x:v>
      </x:c>
      <x:c r="F506" s="31" t="d">
        <x:v>2026-10-24T00:00:00.000Z</x:v>
      </x:c>
      <x:c r="G506" s="35" t="n">
        <x:v>0</x:v>
      </x:c>
    </x:row>
    <x:row r="507" ht="54" customHeight="1">
      <x:c r="A507" s="29" t="str">
        <x:v>bakersfield:action:yer-local-bakersfield-taft-fort-1</x:v>
      </x:c>
      <x:c r="B507" s="29" t="str">
        <x:v>bakersfield</x:v>
      </x:c>
      <x:c r="C507" s="29" t="str">
        <x:v>bakersfield:yer-local-bakersfield-taft-fort</x:v>
      </x:c>
      <x:c r="D507" s="29" t="str">
        <x:v>Mekân ve ziyaret bilgisi</x:v>
      </x:c>
      <x:c r="E507" s="29" t="str">
        <x:v>https://www.cityoftaft.ca.gov/5383/Tafts-Historic-Fort</x:v>
      </x:c>
      <x:c r="F507" s="31" t="d">
        <x:v>2026-10-24T00:00:00.000Z</x:v>
      </x:c>
      <x:c r="G507" s="35" t="n">
        <x:v>0</x:v>
      </x:c>
    </x:row>
    <x:row r="508" ht="54" customHeight="1">
      <x:c r="A508" s="29" t="str">
        <x:v>bakersfield:action:yer-local-bakersfield-taft-fox-1</x:v>
      </x:c>
      <x:c r="B508" s="29" t="str">
        <x:v>bakersfield</x:v>
      </x:c>
      <x:c r="C508" s="29" t="str">
        <x:v>bakersfield:yer-local-bakersfield-taft-fox</x:v>
      </x:c>
      <x:c r="D508" s="29" t="str">
        <x:v>Mekân ve ziyaret bilgisi</x:v>
      </x:c>
      <x:c r="E508" s="29" t="str">
        <x:v>https://www.taftfoxtheatre.com/</x:v>
      </x:c>
      <x:c r="F508" s="31" t="d">
        <x:v>2026-10-24T00:00:00.000Z</x:v>
      </x:c>
      <x:c r="G508" s="35" t="n">
        <x:v>0</x:v>
      </x:c>
    </x:row>
    <x:row r="509" ht="54" customHeight="1">
      <x:c r="A509" s="29" t="str">
        <x:v>bakersfield:action:yer-local-bakersfield-beekay-theatre-1</x:v>
      </x:c>
      <x:c r="B509" s="29" t="str">
        <x:v>bakersfield</x:v>
      </x:c>
      <x:c r="C509" s="29" t="str">
        <x:v>bakersfield:yer-local-bakersfield-beekay-theatre</x:v>
      </x:c>
      <x:c r="D509" s="29" t="str">
        <x:v>Mekân ve ziyaret bilgisi</x:v>
      </x:c>
      <x:c r="E509" s="29" t="str">
        <x:v>https://www.tctaonstage.com/renting-the-theater</x:v>
      </x:c>
      <x:c r="F509" s="31" t="d">
        <x:v>2026-10-24T00:00:00.000Z</x:v>
      </x:c>
      <x:c r="G509" s="35" t="n">
        <x:v>0</x:v>
      </x:c>
    </x:row>
    <x:row r="510" ht="54" customHeight="1">
      <x:c r="A510" s="29" t="str">
        <x:v>bakersfield:action:yer-local-bakersfield-errea-house-1</x:v>
      </x:c>
      <x:c r="B510" s="29" t="str">
        <x:v>bakersfield</x:v>
      </x:c>
      <x:c r="C510" s="29" t="str">
        <x:v>bakersfield:yer-local-bakersfield-errea-house</x:v>
      </x:c>
      <x:c r="D510" s="29" t="str">
        <x:v>Mekân ve ziyaret bilgisi</x:v>
      </x:c>
      <x:c r="E510" s="29" t="str">
        <x:v>https://visittehachapi.com/attractions/142</x:v>
      </x:c>
      <x:c r="F510" s="31" t="d">
        <x:v>2026-10-24T00:00:00.000Z</x:v>
      </x:c>
      <x:c r="G510" s="35" t="n">
        <x:v>0</x:v>
      </x:c>
    </x:row>
    <x:row r="511" ht="54" customHeight="1">
      <x:c r="A511" s="29" t="str">
        <x:v>bakersfield:action:yer-local-bakersfield-tehachapi-loop-1</x:v>
      </x:c>
      <x:c r="B511" s="29" t="str">
        <x:v>bakersfield</x:v>
      </x:c>
      <x:c r="C511" s="29" t="str">
        <x:v>bakersfield:yer-local-bakersfield-tehachapi-loop</x:v>
      </x:c>
      <x:c r="D511" s="29" t="str">
        <x:v>Mekân ve ziyaret bilgisi</x:v>
      </x:c>
      <x:c r="E511" s="29" t="str">
        <x:v>https://visittehachapi.com/</x:v>
      </x:c>
      <x:c r="F511" s="31" t="d">
        <x:v>2026-10-24T00:00:00.000Z</x:v>
      </x:c>
      <x:c r="G511" s="35" t="n">
        <x:v>0</x:v>
      </x:c>
    </x:row>
    <x:row r="512" ht="54" customHeight="1">
      <x:c r="A512" s="29" t="str">
        <x:v>bakersfield:action:yer-local-bakersfield-lake-isabella-1</x:v>
      </x:c>
      <x:c r="B512" s="29" t="str">
        <x:v>bakersfield</x:v>
      </x:c>
      <x:c r="C512" s="29" t="str">
        <x:v>bakersfield:yer-local-bakersfield-lake-isabella</x:v>
      </x:c>
      <x:c r="D512" s="29" t="str">
        <x:v>Mekân ve ziyaret bilgisi</x:v>
      </x:c>
      <x:c r="E512" s="29" t="str">
        <x:v>https://www.fs.usda.gov/r05/sequoia</x:v>
      </x:c>
      <x:c r="F512" s="31" t="d">
        <x:v>2026-10-24T00:00:00.000Z</x:v>
      </x:c>
      <x:c r="G512" s="35" t="n">
        <x:v>0</x:v>
      </x:c>
    </x:row>
    <x:row r="513" ht="54" customHeight="1">
      <x:c r="A513" s="29" t="str">
        <x:v>bakersfield:action:yer-local-bakersfield-kernville-riverside-1</x:v>
      </x:c>
      <x:c r="B513" s="29" t="str">
        <x:v>bakersfield</x:v>
      </x:c>
      <x:c r="C513" s="29" t="str">
        <x:v>bakersfield:yer-local-bakersfield-kernville-riverside</x:v>
      </x:c>
      <x:c r="D513" s="29" t="str">
        <x:v>Mekân ve ziyaret bilgisi</x:v>
      </x:c>
      <x:c r="E513" s="29" t="str">
        <x:v>https://www.kerncounty.com/government/parks/facilities/neighborhood-parks</x:v>
      </x:c>
      <x:c r="F513" s="31" t="d">
        <x:v>2026-10-24T00:00:00.000Z</x:v>
      </x:c>
      <x:c r="G513" s="35" t="n">
        <x:v>0</x:v>
      </x:c>
    </x:row>
    <x:row r="514" ht="54" customHeight="1">
      <x:c r="A514" s="29" t="str">
        <x:v>bakersfield:action:yer-local-bakersfield-silver-city-1</x:v>
      </x:c>
      <x:c r="B514" s="29" t="str">
        <x:v>bakersfield</x:v>
      </x:c>
      <x:c r="C514" s="29" t="str">
        <x:v>bakersfield:yer-local-bakersfield-silver-city</x:v>
      </x:c>
      <x:c r="D514" s="29" t="str">
        <x:v>Mekân ve ziyaret bilgisi</x:v>
      </x:c>
      <x:c r="E514" s="29" t="str">
        <x:v>https://linktr.ee/silvercityghosttown</x:v>
      </x:c>
      <x:c r="F514" s="31" t="d">
        <x:v>2026-10-24T00:00:00.000Z</x:v>
      </x:c>
      <x:c r="G514" s="35" t="n">
        <x:v>0</x:v>
      </x:c>
    </x:row>
    <x:row r="515" ht="54" customHeight="1">
      <x:c r="A515" s="29" t="str">
        <x:v>bakersfield:action:yer-local-bakersfield-nuui-cunni-1</x:v>
      </x:c>
      <x:c r="B515" s="29" t="str">
        <x:v>bakersfield</x:v>
      </x:c>
      <x:c r="C515" s="29" t="str">
        <x:v>bakersfield:yer-local-bakersfield-nuui-cunni</x:v>
      </x:c>
      <x:c r="D515" s="29" t="str">
        <x:v>Mekân ve ziyaret bilgisi</x:v>
      </x:c>
      <x:c r="E515" s="29" t="str">
        <x:v>https://www.kernrivervalley.com/member-directory</x:v>
      </x:c>
      <x:c r="F515" s="31" t="d">
        <x:v>2026-10-24T00:00:00.000Z</x:v>
      </x:c>
      <x:c r="G515" s="35" t="n">
        <x:v>0</x:v>
      </x:c>
    </x:row>
    <x:row r="516" ht="54" customHeight="1">
      <x:c r="A516" s="29" t="str">
        <x:v>bakersfield:action:yer-local-bakersfield-tortoise-area-1</x:v>
      </x:c>
      <x:c r="B516" s="29" t="str">
        <x:v>bakersfield</x:v>
      </x:c>
      <x:c r="C516" s="29" t="str">
        <x:v>bakersfield:yer-local-bakersfield-tortoise-area</x:v>
      </x:c>
      <x:c r="D516" s="29" t="str">
        <x:v>Mekân ve ziyaret bilgisi</x:v>
      </x:c>
      <x:c r="E516" s="29" t="str">
        <x:v>https://tortoise-tracks.org/dtrna/</x:v>
      </x:c>
      <x:c r="F516" s="31" t="d">
        <x:v>2026-10-24T00:00:00.000Z</x:v>
      </x:c>
      <x:c r="G516" s="35" t="n">
        <x:v>0</x:v>
      </x:c>
    </x:row>
    <x:row r="517" ht="54" customHeight="1">
      <x:c r="A517" s="29" t="str">
        <x:v>bakersfield:action:yer-local-bakersfield-canebrake-reserve-1</x:v>
      </x:c>
      <x:c r="B517" s="29" t="str">
        <x:v>bakersfield</x:v>
      </x:c>
      <x:c r="C517" s="29" t="str">
        <x:v>bakersfield:yer-local-bakersfield-canebrake-reserve</x:v>
      </x:c>
      <x:c r="D517" s="29" t="str">
        <x:v>Mekân ve ziyaret bilgisi</x:v>
      </x:c>
      <x:c r="E517" s="29" t="str">
        <x:v>https://wildlife.ca.gov/Lands/Places-to-Visit/Canebrake-ER</x:v>
      </x:c>
      <x:c r="F517" s="31" t="d">
        <x:v>2026-10-24T00:00:00.000Z</x:v>
      </x:c>
      <x:c r="G517" s="35" t="n">
        <x:v>0</x:v>
      </x:c>
    </x:row>
    <x:row r="518" ht="54" customHeight="1">
      <x:c r="A518" s="29" t="str">
        <x:v>bakersfield:action:yer-local-bakersfield-kern-wildlife-refuge-1</x:v>
      </x:c>
      <x:c r="B518" s="29" t="str">
        <x:v>bakersfield</x:v>
      </x:c>
      <x:c r="C518" s="29" t="str">
        <x:v>bakersfield:yer-local-bakersfield-kern-wildlife-refuge</x:v>
      </x:c>
      <x:c r="D518" s="29" t="str">
        <x:v>Mekân ve ziyaret bilgisi</x:v>
      </x:c>
      <x:c r="E518" s="29" t="str">
        <x:v>https://www.fws.gov/refuge/kern</x:v>
      </x:c>
      <x:c r="F518" s="31" t="d">
        <x:v>2026-10-24T00:00:00.000Z</x:v>
      </x:c>
      <x:c r="G518" s="35" t="n">
        <x:v>0</x:v>
      </x:c>
    </x:row>
    <x:row r="519" ht="54" customHeight="1">
      <x:c r="A519" s="29" t="str">
        <x:v>bakersfield:action:yer-local-bakersfield-buttonwillow-raceway-1</x:v>
      </x:c>
      <x:c r="B519" s="29" t="str">
        <x:v>bakersfield</x:v>
      </x:c>
      <x:c r="C519" s="29" t="str">
        <x:v>bakersfield:yer-local-bakersfield-buttonwillow-raceway</x:v>
      </x:c>
      <x:c r="D519" s="29" t="str">
        <x:v>Mekân ve ziyaret bilgisi</x:v>
      </x:c>
      <x:c r="E519" s="29" t="str">
        <x:v>https://buttonwillowraceway.com/</x:v>
      </x:c>
      <x:c r="F519" s="31" t="d">
        <x:v>2026-10-24T00:00:00.000Z</x:v>
      </x:c>
      <x:c r="G519" s="35" t="n">
        <x:v>0</x:v>
      </x:c>
    </x:row>
    <x:row r="520" ht="54" customHeight="1">
      <x:c r="A520" s="29" t="str">
        <x:v>bakersfield:action:yer-local-bakersfield-red-rock-canyon-1</x:v>
      </x:c>
      <x:c r="B520" s="29" t="str">
        <x:v>bakersfield</x:v>
      </x:c>
      <x:c r="C520" s="29" t="str">
        <x:v>bakersfield:yer-local-bakersfield-red-rock-canyon</x:v>
      </x:c>
      <x:c r="D520" s="29" t="str">
        <x:v>Mekân ve ziyaret bilgisi</x:v>
      </x:c>
      <x:c r="E520" s="29" t="str">
        <x:v>https://www.parks.ca.gov/?page_id=631</x:v>
      </x:c>
      <x:c r="F520" s="31" t="d">
        <x:v>2026-10-24T00:00:00.000Z</x:v>
      </x:c>
      <x:c r="G520" s="35" t="n">
        <x:v>0</x:v>
      </x:c>
    </x:row>
    <x:row r="521" ht="54" customHeight="1">
      <x:c r="A521" s="29" t="str">
        <x:v>bakersfield:action:yer-local-bakersfield-carrizo-plain-1</x:v>
      </x:c>
      <x:c r="B521" s="29" t="str">
        <x:v>bakersfield</x:v>
      </x:c>
      <x:c r="C521" s="29" t="str">
        <x:v>bakersfield:yer-local-bakersfield-carrizo-plain</x:v>
      </x:c>
      <x:c r="D521" s="29" t="str">
        <x:v>Mekân ve ziyaret bilgisi</x:v>
      </x:c>
      <x:c r="E521" s="29" t="str">
        <x:v>https://www.blm.gov/visit/carrizo-plain-national-monument</x:v>
      </x:c>
      <x:c r="F521" s="31" t="d">
        <x:v>2026-10-24T00:00:00.000Z</x:v>
      </x:c>
      <x:c r="G521" s="35" t="n">
        <x:v>0</x:v>
      </x:c>
    </x:row>
    <x:row r="522" ht="54" customHeight="1">
      <x:c r="A522" s="29" t="str">
        <x:v>bakersfield:action:yer-local-bakersfield-kern-canyon-1</x:v>
      </x:c>
      <x:c r="B522" s="29" t="str">
        <x:v>bakersfield</x:v>
      </x:c>
      <x:c r="C522" s="29" t="str">
        <x:v>bakersfield:yer-local-bakersfield-kern-canyon</x:v>
      </x:c>
      <x:c r="D522" s="29" t="str">
        <x:v>Mekân ve ziyaret bilgisi</x:v>
      </x:c>
      <x:c r="E522" s="29" t="str">
        <x:v>https://www.fs.usda.gov/r05/sequoia</x:v>
      </x:c>
      <x:c r="F522" s="31" t="d">
        <x:v>2026-10-24T00:00:00.000Z</x:v>
      </x:c>
      <x:c r="G522" s="35" t="n">
        <x:v>0</x:v>
      </x:c>
    </x:row>
    <x:row r="523" ht="54" customHeight="1">
      <x:c r="A523" s="29" t="str">
        <x:v>bakersfield:action:yer-local-bakersfield-weedpatch-camp-1</x:v>
      </x:c>
      <x:c r="B523" s="29" t="str">
        <x:v>bakersfield</x:v>
      </x:c>
      <x:c r="C523" s="29" t="str">
        <x:v>bakersfield:yer-local-bakersfield-weedpatch-camp</x:v>
      </x:c>
      <x:c r="D523" s="29" t="str">
        <x:v>Mekân ve ziyaret bilgisi</x:v>
      </x:c>
      <x:c r="E523" s="29" t="str">
        <x:v>https://www.kernha.org/</x:v>
      </x:c>
      <x:c r="F523" s="31" t="d">
        <x:v>2026-10-24T00:00:00.000Z</x:v>
      </x:c>
      <x:c r="G523" s="35" t="n">
        <x:v>0</x:v>
      </x:c>
    </x:row>
    <x:row r="524" ht="54" customHeight="1">
      <x:c r="A524" s="29" t="str">
        <x:v>bakersfield:action:yer-local-bakersfield-frazier-mountain-park-1</x:v>
      </x:c>
      <x:c r="B524" s="29" t="str">
        <x:v>bakersfield</x:v>
      </x:c>
      <x:c r="C524" s="29" t="str">
        <x:v>bakersfield:yer-local-bakersfield-frazier-mountain-park</x:v>
      </x:c>
      <x:c r="D524" s="29" t="str">
        <x:v>Mekân ve ziyaret bilgisi</x:v>
      </x:c>
      <x:c r="E524" s="29" t="str">
        <x:v>https://www.kerncounty.com/government/parks</x:v>
      </x:c>
      <x:c r="F524" s="31" t="d">
        <x:v>2026-10-24T00:00:00.000Z</x:v>
      </x:c>
      <x:c r="G524" s="35" t="n">
        <x:v>0</x:v>
      </x:c>
    </x:row>
    <x:row r="525" ht="54" customHeight="1">
      <x:c r="A525" s="29" t="str">
        <x:v>bakersfield:action:yer-local-bakersfield-maturango-museum-1</x:v>
      </x:c>
      <x:c r="B525" s="29" t="str">
        <x:v>bakersfield</x:v>
      </x:c>
      <x:c r="C525" s="29" t="str">
        <x:v>bakersfield:yer-local-bakersfield-maturango-museum</x:v>
      </x:c>
      <x:c r="D525" s="29" t="str">
        <x:v>Mekân ve ziyaret bilgisi</x:v>
      </x:c>
      <x:c r="E525" s="29" t="str">
        <x:v>https://maturango.org/</x:v>
      </x:c>
      <x:c r="F525" s="31" t="d">
        <x:v>2026-10-24T00:00:00.000Z</x:v>
      </x:c>
      <x:c r="G525" s="35" t="n">
        <x:v>0</x:v>
      </x:c>
    </x:row>
    <x:row r="526" ht="54" customHeight="1">
      <x:c r="A526" s="29" t="str">
        <x:v>bakersfield:action:yer-local-bakersfield-walker-pass-1</x:v>
      </x:c>
      <x:c r="B526" s="29" t="str">
        <x:v>bakersfield</x:v>
      </x:c>
      <x:c r="C526" s="29" t="str">
        <x:v>bakersfield:yer-local-bakersfield-walker-pass</x:v>
      </x:c>
      <x:c r="D526" s="29" t="str">
        <x:v>Mekân ve ziyaret bilgisi</x:v>
      </x:c>
      <x:c r="E526" s="29" t="str">
        <x:v>https://www.blm.gov/visit/walker-pass-campground</x:v>
      </x:c>
      <x:c r="F526" s="31" t="d">
        <x:v>2026-10-24T00:00:00.000Z</x:v>
      </x:c>
      <x:c r="G526" s="35" t="n">
        <x:v>0</x:v>
      </x:c>
    </x:row>
    <x:row r="527" ht="54" customHeight="1">
      <x:c r="A527" s="29" t="str">
        <x:v>bakersfield:action:yer-local-bakersfield-jawbone-canyon-1</x:v>
      </x:c>
      <x:c r="B527" s="29" t="str">
        <x:v>bakersfield</x:v>
      </x:c>
      <x:c r="C527" s="29" t="str">
        <x:v>bakersfield:yer-local-bakersfield-jawbone-canyon</x:v>
      </x:c>
      <x:c r="D527" s="29" t="str">
        <x:v>Mekân ve ziyaret bilgisi</x:v>
      </x:c>
      <x:c r="E527" s="29" t="str">
        <x:v>https://www.blm.gov/visit/jawbone-canyon-ohv-area</x:v>
      </x:c>
      <x:c r="F527" s="31" t="d">
        <x:v>2026-10-24T00:00:00.000Z</x:v>
      </x:c>
      <x:c r="G527" s="35" t="n">
        <x:v>0</x:v>
      </x:c>
    </x:row>
    <x:row r="528" ht="54" customHeight="1">
      <x:c r="A528" s="29" t="str">
        <x:v>bakersfield:action:yer-local-bakersfield-dove-springs-1</x:v>
      </x:c>
      <x:c r="B528" s="29" t="str">
        <x:v>bakersfield</x:v>
      </x:c>
      <x:c r="C528" s="29" t="str">
        <x:v>bakersfield:yer-local-bakersfield-dove-springs</x:v>
      </x:c>
      <x:c r="D528" s="29" t="str">
        <x:v>Mekân ve ziyaret bilgisi</x:v>
      </x:c>
      <x:c r="E528" s="29" t="str">
        <x:v>https://www.blm.gov/visit/dove-springs-ohv-area</x:v>
      </x:c>
      <x:c r="F528" s="31" t="d">
        <x:v>2026-10-24T00:00:00.000Z</x:v>
      </x:c>
      <x:c r="G528" s="35" t="n">
        <x:v>0</x:v>
      </x:c>
    </x:row>
    <x:row r="529" ht="54" customHeight="1">
      <x:c r="A529" s="29" t="str">
        <x:v>bakersfield:action:yer-local-bakersfield-panorama-vista-1</x:v>
      </x:c>
      <x:c r="B529" s="29" t="str">
        <x:v>bakersfield</x:v>
      </x:c>
      <x:c r="C529" s="29" t="str">
        <x:v>bakersfield:yer-local-bakersfield-panorama-vista</x:v>
      </x:c>
      <x:c r="D529" s="29" t="str">
        <x:v>Mekân ve ziyaret bilgisi</x:v>
      </x:c>
      <x:c r="E529" s="29" t="str">
        <x:v>https://kernriverparkway.org/parks-and-open-space-in-the-parkway/</x:v>
      </x:c>
      <x:c r="F529" s="31" t="d">
        <x:v>2026-10-24T00:00:00.000Z</x:v>
      </x:c>
      <x:c r="G529" s="35" t="n">
        <x:v>0</x:v>
      </x:c>
    </x:row>
    <x:row r="530" ht="54" customHeight="1">
      <x:c r="A530" s="29" t="str">
        <x:v>bakersfield:action:yer-local-bakersfield-bickel-camp-1</x:v>
      </x:c>
      <x:c r="B530" s="29" t="str">
        <x:v>bakersfield</x:v>
      </x:c>
      <x:c r="C530" s="29" t="str">
        <x:v>bakersfield:yer-local-bakersfield-bickel-camp</x:v>
      </x:c>
      <x:c r="D530" s="29" t="str">
        <x:v>Mekân ve ziyaret bilgisi</x:v>
      </x:c>
      <x:c r="E530" s="29" t="str">
        <x:v>https://www.jawbone.org/bickel-camp/</x:v>
      </x:c>
      <x:c r="F530" s="31" t="d">
        <x:v>2026-10-24T00:00:00.000Z</x:v>
      </x:c>
      <x:c r="G530" s="35" t="n">
        <x:v>0</x:v>
      </x:c>
    </x:row>
    <x:row r="531" ht="54" customHeight="1">
      <x:c r="A531" s="29" t="str">
        <x:v>bakersfield:action:yer-local-bakersfield-burro-schmidt-1</x:v>
      </x:c>
      <x:c r="B531" s="29" t="str">
        <x:v>bakersfield</x:v>
      </x:c>
      <x:c r="C531" s="29" t="str">
        <x:v>bakersfield:yer-local-bakersfield-burro-schmidt</x:v>
      </x:c>
      <x:c r="D531" s="29" t="str">
        <x:v>Mekân ve ziyaret bilgisi</x:v>
      </x:c>
      <x:c r="E531" s="29" t="str">
        <x:v>https://www.jawbone.org/temp/burro-schmidts-tunnel/</x:v>
      </x:c>
      <x:c r="F531" s="31" t="d">
        <x:v>2026-10-24T00:00:00.000Z</x:v>
      </x:c>
      <x:c r="G531" s="35" t="n">
        <x:v>0</x:v>
      </x:c>
    </x:row>
    <x:row r="532" ht="54" customHeight="1">
      <x:c r="A532" s="29" t="str">
        <x:v>bakersfield:action:yer-local-bakersfield-tehachapi-wind-1</x:v>
      </x:c>
      <x:c r="B532" s="29" t="str">
        <x:v>bakersfield</x:v>
      </x:c>
      <x:c r="C532" s="29" t="str">
        <x:v>bakersfield:yer-local-bakersfield-tehachapi-wind</x:v>
      </x:c>
      <x:c r="D532" s="29" t="str">
        <x:v>Mekân ve ziyaret bilgisi</x:v>
      </x:c>
      <x:c r="E532" s="29" t="str">
        <x:v>https://www.eia.gov/energyexplained/wind/where-wind-power-is-harnessed.php</x:v>
      </x:c>
      <x:c r="F532" s="31" t="d">
        <x:v>2026-10-24T00:00:00.000Z</x:v>
      </x:c>
      <x:c r="G532" s="35" t="n">
        <x:v>0</x:v>
      </x:c>
    </x:row>
    <x:row r="533" ht="54" customHeight="1">
      <x:c r="A533" s="29" t="str">
        <x:v>bakersfield:action:yer-local-bakersfield-pinos-ranger-station-1</x:v>
      </x:c>
      <x:c r="B533" s="29" t="str">
        <x:v>bakersfield</x:v>
      </x:c>
      <x:c r="C533" s="29" t="str">
        <x:v>bakersfield:yer-local-bakersfield-pinos-ranger-station</x:v>
      </x:c>
      <x:c r="D533" s="29" t="str">
        <x:v>Mekân ve ziyaret bilgisi</x:v>
      </x:c>
      <x:c r="E533" s="29" t="str">
        <x:v>https://www.fs.usda.gov/r05/lospadres/recreation/mt-pinos-ranger-district-0</x:v>
      </x:c>
      <x:c r="F533" s="31" t="d">
        <x:v>2026-10-24T00:00:00.000Z</x:v>
      </x:c>
      <x:c r="G533" s="35" t="n">
        <x:v>0</x:v>
      </x:c>
    </x:row>
    <x:row r="534" ht="54" customHeight="1">
      <x:c r="A534" s="29" t="str">
        <x:v>bakersfield:action:mahalle-local-bakersfield-area-downtown-1</x:v>
      </x:c>
      <x:c r="B534" s="29" t="str">
        <x:v>bakersfield</x:v>
      </x:c>
      <x:c r="C534" s="29" t="str">
        <x:v>bakersfield:mahalle-local-bakersfield-area-downtown</x:v>
      </x:c>
      <x:c r="D534" s="29" t="str">
        <x:v>Mahalle konumunu aç</x:v>
      </x:c>
      <x:c r="E534" s="29" t="str">
        <x:v>https://www.google.com/maps/search/?api=1&amp;query=Downtown%2C+Bakersfield%2C+California%2C+United+States</x:v>
      </x:c>
      <x:c r="F534" s="31" t="d">
        <x:v>2026-10-24T00:00:00.000Z</x:v>
      </x:c>
      <x:c r="G534" s="35" t="n">
        <x:v>0</x:v>
      </x:c>
    </x:row>
    <x:row r="535" ht="54" customHeight="1">
      <x:c r="A535" s="29" t="str">
        <x:v>bakersfield:action:mahalle-local-bakersfield-area-downtown-2</x:v>
      </x:c>
      <x:c r="B535" s="29" t="str">
        <x:v>bakersfield</x:v>
      </x:c>
      <x:c r="C535" s="29" t="str">
        <x:v>bakersfield:mahalle-local-bakersfield-area-downtown</x:v>
      </x:c>
      <x:c r="D535" s="29" t="str">
        <x:v>Belediye sınırları ve GIS haritaları</x:v>
      </x:c>
      <x:c r="E535" s="29" t="str">
        <x:v>https://www.bakersfieldcity.us/gis-mapping-portal</x:v>
      </x:c>
      <x:c r="F535" s="31" t="d">
        <x:v>2026-10-24T00:00:00.000Z</x:v>
      </x:c>
      <x:c r="G535" s="35" t="n">
        <x:v>1</x:v>
      </x:c>
    </x:row>
    <x:row r="536" ht="54" customHeight="1">
      <x:c r="A536" s="29" t="str">
        <x:v>bakersfield:action:mahalle-local-bakersfield-area-downtown-3</x:v>
      </x:c>
      <x:c r="B536" s="29" t="str">
        <x:v>bakersfield</x:v>
      </x:c>
      <x:c r="C536" s="29" t="str">
        <x:v>bakersfield:mahalle-local-bakersfield-area-downtown</x:v>
      </x:c>
      <x:c r="D536" s="29" t="str">
        <x:v>Okul bölgeleri</x:v>
      </x:c>
      <x:c r="E536" s="29" t="str">
        <x:v>https://kern.org/</x:v>
      </x:c>
      <x:c r="F536" s="31" t="d">
        <x:v>2026-10-24T00:00:00.000Z</x:v>
      </x:c>
      <x:c r="G536" s="35" t="n">
        <x:v>2</x:v>
      </x:c>
    </x:row>
    <x:row r="537" ht="54" customHeight="1">
      <x:c r="A537" s="29" t="str">
        <x:v>bakersfield:action:mahalle-local-bakersfield-area-downtown-4</x:v>
      </x:c>
      <x:c r="B537" s="29" t="str">
        <x:v>bakersfield</x:v>
      </x:c>
      <x:c r="C537" s="29" t="str">
        <x:v>bakersfield:mahalle-local-bakersfield-area-downtown</x:v>
      </x:c>
      <x:c r="D537" s="29" t="str">
        <x:v>GET hatlar ve biletler</x:v>
      </x:c>
      <x:c r="E537" s="29" t="str">
        <x:v>https://www.getbus.org/</x:v>
      </x:c>
      <x:c r="F537" s="31" t="d">
        <x:v>2026-10-24T00:00:00.000Z</x:v>
      </x:c>
      <x:c r="G537" s="35" t="n">
        <x:v>3</x:v>
      </x:c>
    </x:row>
    <x:row r="538" ht="54" customHeight="1">
      <x:c r="A538" s="29" t="str">
        <x:v>bakersfield:action:mahalle-local-bakersfield-area-downtown-5</x:v>
      </x:c>
      <x:c r="B538" s="29" t="str">
        <x:v>bakersfield</x:v>
      </x:c>
      <x:c r="C538" s="29" t="str">
        <x:v>bakersfield:mahalle-local-bakersfield-area-downtown</x:v>
      </x:c>
      <x:c r="D538" s="29" t="str">
        <x:v>Adrese göre taşkın haritası</x:v>
      </x:c>
      <x:c r="E538" s="29" t="str">
        <x:v>https://msc.fema.gov/portal/home</x:v>
      </x:c>
      <x:c r="F538" s="31" t="d">
        <x:v>2026-10-24T00:00:00.000Z</x:v>
      </x:c>
      <x:c r="G538" s="35" t="n">
        <x:v>4</x:v>
      </x:c>
    </x:row>
    <x:row r="539" ht="54" customHeight="1">
      <x:c r="A539" s="29" t="str">
        <x:v>bakersfield:action:mahalle-local-bakersfield-area-downtown-6</x:v>
      </x:c>
      <x:c r="B539" s="29" t="str">
        <x:v>bakersfield</x:v>
      </x:c>
      <x:c r="C539" s="29" t="str">
        <x:v>bakersfield:mahalle-local-bakersfield-area-downtown</x:v>
      </x:c>
      <x:c r="D539" s="29" t="str">
        <x:v>Yangın tehlike bölgeleri</x:v>
      </x:c>
      <x:c r="E539" s="29" t="str">
        <x:v>https://osfm.fire.ca.gov/what-we-do/community-wildfire-preparedness-and-mitigation/fire-hazard-severity-zones</x:v>
      </x:c>
      <x:c r="F539" s="31" t="d">
        <x:v>2026-10-24T00:00:00.000Z</x:v>
      </x:c>
      <x:c r="G539" s="35" t="n">
        <x:v>5</x:v>
      </x:c>
    </x:row>
    <x:row r="540" ht="54" customHeight="1">
      <x:c r="A540" s="29" t="str">
        <x:v>bakersfield:action:mahalle-local-bakersfield-area-mill-creek-1</x:v>
      </x:c>
      <x:c r="B540" s="29" t="str">
        <x:v>bakersfield</x:v>
      </x:c>
      <x:c r="C540" s="29" t="str">
        <x:v>bakersfield:mahalle-local-bakersfield-area-mill-creek</x:v>
      </x:c>
      <x:c r="D540" s="29" t="str">
        <x:v>Mahalle konumunu aç</x:v>
      </x:c>
      <x:c r="E540" s="29" t="str">
        <x:v>https://www.google.com/maps/search/?api=1&amp;query=Mill+Creek+%C3%A7evresi%2C+Bakersfield%2C+California%2C+United+States</x:v>
      </x:c>
      <x:c r="F540" s="31" t="d">
        <x:v>2026-10-24T00:00:00.000Z</x:v>
      </x:c>
      <x:c r="G540" s="35" t="n">
        <x:v>0</x:v>
      </x:c>
    </x:row>
    <x:row r="541" ht="54" customHeight="1">
      <x:c r="A541" s="29" t="str">
        <x:v>bakersfield:action:mahalle-local-bakersfield-area-mill-creek-2</x:v>
      </x:c>
      <x:c r="B541" s="29" t="str">
        <x:v>bakersfield</x:v>
      </x:c>
      <x:c r="C541" s="29" t="str">
        <x:v>bakersfield:mahalle-local-bakersfield-area-mill-creek</x:v>
      </x:c>
      <x:c r="D541" s="29" t="str">
        <x:v>Belediye sınırları ve GIS haritaları</x:v>
      </x:c>
      <x:c r="E541" s="29" t="str">
        <x:v>https://www.bakersfieldcity.us/gis-mapping-portal</x:v>
      </x:c>
      <x:c r="F541" s="31" t="d">
        <x:v>2026-10-24T00:00:00.000Z</x:v>
      </x:c>
      <x:c r="G541" s="35" t="n">
        <x:v>1</x:v>
      </x:c>
    </x:row>
    <x:row r="542" ht="54" customHeight="1">
      <x:c r="A542" s="29" t="str">
        <x:v>bakersfield:action:mahalle-local-bakersfield-area-mill-creek-3</x:v>
      </x:c>
      <x:c r="B542" s="29" t="str">
        <x:v>bakersfield</x:v>
      </x:c>
      <x:c r="C542" s="29" t="str">
        <x:v>bakersfield:mahalle-local-bakersfield-area-mill-creek</x:v>
      </x:c>
      <x:c r="D542" s="29" t="str">
        <x:v>Okul bölgeleri</x:v>
      </x:c>
      <x:c r="E542" s="29" t="str">
        <x:v>https://kern.org/</x:v>
      </x:c>
      <x:c r="F542" s="31" t="d">
        <x:v>2026-10-24T00:00:00.000Z</x:v>
      </x:c>
      <x:c r="G542" s="35" t="n">
        <x:v>2</x:v>
      </x:c>
    </x:row>
    <x:row r="543" ht="54" customHeight="1">
      <x:c r="A543" s="29" t="str">
        <x:v>bakersfield:action:mahalle-local-bakersfield-area-mill-creek-4</x:v>
      </x:c>
      <x:c r="B543" s="29" t="str">
        <x:v>bakersfield</x:v>
      </x:c>
      <x:c r="C543" s="29" t="str">
        <x:v>bakersfield:mahalle-local-bakersfield-area-mill-creek</x:v>
      </x:c>
      <x:c r="D543" s="29" t="str">
        <x:v>GET hatlar ve biletler</x:v>
      </x:c>
      <x:c r="E543" s="29" t="str">
        <x:v>https://www.getbus.org/</x:v>
      </x:c>
      <x:c r="F543" s="31" t="d">
        <x:v>2026-10-24T00:00:00.000Z</x:v>
      </x:c>
      <x:c r="G543" s="35" t="n">
        <x:v>3</x:v>
      </x:c>
    </x:row>
    <x:row r="544" ht="54" customHeight="1">
      <x:c r="A544" s="29" t="str">
        <x:v>bakersfield:action:mahalle-local-bakersfield-area-mill-creek-5</x:v>
      </x:c>
      <x:c r="B544" s="29" t="str">
        <x:v>bakersfield</x:v>
      </x:c>
      <x:c r="C544" s="29" t="str">
        <x:v>bakersfield:mahalle-local-bakersfield-area-mill-creek</x:v>
      </x:c>
      <x:c r="D544" s="29" t="str">
        <x:v>Adrese göre taşkın haritası</x:v>
      </x:c>
      <x:c r="E544" s="29" t="str">
        <x:v>https://msc.fema.gov/portal/home</x:v>
      </x:c>
      <x:c r="F544" s="31" t="d">
        <x:v>2026-10-24T00:00:00.000Z</x:v>
      </x:c>
      <x:c r="G544" s="35" t="n">
        <x:v>4</x:v>
      </x:c>
    </x:row>
    <x:row r="545" ht="54" customHeight="1">
      <x:c r="A545" s="29" t="str">
        <x:v>bakersfield:action:mahalle-local-bakersfield-area-mill-creek-6</x:v>
      </x:c>
      <x:c r="B545" s="29" t="str">
        <x:v>bakersfield</x:v>
      </x:c>
      <x:c r="C545" s="29" t="str">
        <x:v>bakersfield:mahalle-local-bakersfield-area-mill-creek</x:v>
      </x:c>
      <x:c r="D545" s="29" t="str">
        <x:v>Yangın tehlike bölgeleri</x:v>
      </x:c>
      <x:c r="E545" s="29" t="str">
        <x:v>https://osfm.fire.ca.gov/what-we-do/community-wildfire-preparedness-and-mitigation/fire-hazard-severity-zones</x:v>
      </x:c>
      <x:c r="F545" s="31" t="d">
        <x:v>2026-10-24T00:00:00.000Z</x:v>
      </x:c>
      <x:c r="G545" s="35" t="n">
        <x:v>5</x:v>
      </x:c>
    </x:row>
    <x:row r="546" ht="54" customHeight="1">
      <x:c r="A546" s="29" t="str">
        <x:v>bakersfield:action:mahalle-local-bakersfield-area-westchester-1</x:v>
      </x:c>
      <x:c r="B546" s="29" t="str">
        <x:v>bakersfield</x:v>
      </x:c>
      <x:c r="C546" s="29" t="str">
        <x:v>bakersfield:mahalle-local-bakersfield-area-westchester</x:v>
      </x:c>
      <x:c r="D546" s="29" t="str">
        <x:v>Mahalle konumunu aç</x:v>
      </x:c>
      <x:c r="E546" s="29" t="str">
        <x:v>https://www.google.com/maps/search/?api=1&amp;query=Westchester%2C+Bakersfield%2C+California%2C+United+States</x:v>
      </x:c>
      <x:c r="F546" s="31" t="d">
        <x:v>2026-10-24T00:00:00.000Z</x:v>
      </x:c>
      <x:c r="G546" s="35" t="n">
        <x:v>0</x:v>
      </x:c>
    </x:row>
    <x:row r="547" ht="54" customHeight="1">
      <x:c r="A547" s="29" t="str">
        <x:v>bakersfield:action:mahalle-local-bakersfield-area-westchester-2</x:v>
      </x:c>
      <x:c r="B547" s="29" t="str">
        <x:v>bakersfield</x:v>
      </x:c>
      <x:c r="C547" s="29" t="str">
        <x:v>bakersfield:mahalle-local-bakersfield-area-westchester</x:v>
      </x:c>
      <x:c r="D547" s="29" t="str">
        <x:v>Belediye sınırları ve GIS haritaları</x:v>
      </x:c>
      <x:c r="E547" s="29" t="str">
        <x:v>https://www.bakersfieldcity.us/gis-mapping-portal</x:v>
      </x:c>
      <x:c r="F547" s="31" t="d">
        <x:v>2026-10-24T00:00:00.000Z</x:v>
      </x:c>
      <x:c r="G547" s="35" t="n">
        <x:v>1</x:v>
      </x:c>
    </x:row>
    <x:row r="548" ht="54" customHeight="1">
      <x:c r="A548" s="29" t="str">
        <x:v>bakersfield:action:mahalle-local-bakersfield-area-westchester-3</x:v>
      </x:c>
      <x:c r="B548" s="29" t="str">
        <x:v>bakersfield</x:v>
      </x:c>
      <x:c r="C548" s="29" t="str">
        <x:v>bakersfield:mahalle-local-bakersfield-area-westchester</x:v>
      </x:c>
      <x:c r="D548" s="29" t="str">
        <x:v>Okul bölgeleri</x:v>
      </x:c>
      <x:c r="E548" s="29" t="str">
        <x:v>https://kern.org/</x:v>
      </x:c>
      <x:c r="F548" s="31" t="d">
        <x:v>2026-10-24T00:00:00.000Z</x:v>
      </x:c>
      <x:c r="G548" s="35" t="n">
        <x:v>2</x:v>
      </x:c>
    </x:row>
    <x:row r="549" ht="54" customHeight="1">
      <x:c r="A549" s="29" t="str">
        <x:v>bakersfield:action:mahalle-local-bakersfield-area-westchester-4</x:v>
      </x:c>
      <x:c r="B549" s="29" t="str">
        <x:v>bakersfield</x:v>
      </x:c>
      <x:c r="C549" s="29" t="str">
        <x:v>bakersfield:mahalle-local-bakersfield-area-westchester</x:v>
      </x:c>
      <x:c r="D549" s="29" t="str">
        <x:v>GET hatlar ve biletler</x:v>
      </x:c>
      <x:c r="E549" s="29" t="str">
        <x:v>https://www.getbus.org/</x:v>
      </x:c>
      <x:c r="F549" s="31" t="d">
        <x:v>2026-10-24T00:00:00.000Z</x:v>
      </x:c>
      <x:c r="G549" s="35" t="n">
        <x:v>3</x:v>
      </x:c>
    </x:row>
    <x:row r="550" ht="54" customHeight="1">
      <x:c r="A550" s="29" t="str">
        <x:v>bakersfield:action:mahalle-local-bakersfield-area-westchester-5</x:v>
      </x:c>
      <x:c r="B550" s="29" t="str">
        <x:v>bakersfield</x:v>
      </x:c>
      <x:c r="C550" s="29" t="str">
        <x:v>bakersfield:mahalle-local-bakersfield-area-westchester</x:v>
      </x:c>
      <x:c r="D550" s="29" t="str">
        <x:v>Adrese göre taşkın haritası</x:v>
      </x:c>
      <x:c r="E550" s="29" t="str">
        <x:v>https://msc.fema.gov/portal/home</x:v>
      </x:c>
      <x:c r="F550" s="31" t="d">
        <x:v>2026-10-24T00:00:00.000Z</x:v>
      </x:c>
      <x:c r="G550" s="35" t="n">
        <x:v>4</x:v>
      </x:c>
    </x:row>
    <x:row r="551" ht="54" customHeight="1">
      <x:c r="A551" s="29" t="str">
        <x:v>bakersfield:action:mahalle-local-bakersfield-area-westchester-6</x:v>
      </x:c>
      <x:c r="B551" s="29" t="str">
        <x:v>bakersfield</x:v>
      </x:c>
      <x:c r="C551" s="29" t="str">
        <x:v>bakersfield:mahalle-local-bakersfield-area-westchester</x:v>
      </x:c>
      <x:c r="D551" s="29" t="str">
        <x:v>Yangın tehlike bölgeleri</x:v>
      </x:c>
      <x:c r="E551" s="29" t="str">
        <x:v>https://osfm.fire.ca.gov/what-we-do/community-wildfire-preparedness-and-mitigation/fire-hazard-severity-zones</x:v>
      </x:c>
      <x:c r="F551" s="31" t="d">
        <x:v>2026-10-24T00:00:00.000Z</x:v>
      </x:c>
      <x:c r="G551" s="35" t="n">
        <x:v>5</x:v>
      </x:c>
    </x:row>
    <x:row r="552" ht="68" customHeight="1">
      <x:c r="A552" s="29" t="str">
        <x:v>bakersfield:action:mahalle-local-bakersfield-area-oleander-eye-1</x:v>
      </x:c>
      <x:c r="B552" s="29" t="str">
        <x:v>bakersfield</x:v>
      </x:c>
      <x:c r="C552" s="29" t="str">
        <x:v>bakersfield:mahalle-local-bakersfield-area-oleander-eye</x:v>
      </x:c>
      <x:c r="D552" s="29" t="str">
        <x:v>Mahalle konumunu aç</x:v>
      </x:c>
      <x:c r="E552" s="29" t="str">
        <x:v>https://www.google.com/maps/search/?api=1&amp;query=Oleander%E2%80%93Sunset+%2F+Eye+Street+%C3%A7evresi%2C+Bakersfield%2C+California%2C+United+States</x:v>
      </x:c>
      <x:c r="F552" s="31" t="d">
        <x:v>2026-10-24T00:00:00.000Z</x:v>
      </x:c>
      <x:c r="G552" s="35" t="n">
        <x:v>0</x:v>
      </x:c>
    </x:row>
    <x:row r="553" ht="54" customHeight="1">
      <x:c r="A553" s="29" t="str">
        <x:v>bakersfield:action:mahalle-local-bakersfield-area-oleander-eye-2</x:v>
      </x:c>
      <x:c r="B553" s="29" t="str">
        <x:v>bakersfield</x:v>
      </x:c>
      <x:c r="C553" s="29" t="str">
        <x:v>bakersfield:mahalle-local-bakersfield-area-oleander-eye</x:v>
      </x:c>
      <x:c r="D553" s="29" t="str">
        <x:v>Belediye sınırları ve GIS haritaları</x:v>
      </x:c>
      <x:c r="E553" s="29" t="str">
        <x:v>https://www.bakersfieldcity.us/gis-mapping-portal</x:v>
      </x:c>
      <x:c r="F553" s="31" t="d">
        <x:v>2026-10-24T00:00:00.000Z</x:v>
      </x:c>
      <x:c r="G553" s="35" t="n">
        <x:v>1</x:v>
      </x:c>
    </x:row>
    <x:row r="554" ht="54" customHeight="1">
      <x:c r="A554" s="29" t="str">
        <x:v>bakersfield:action:mahalle-local-bakersfield-area-oleander-eye-3</x:v>
      </x:c>
      <x:c r="B554" s="29" t="str">
        <x:v>bakersfield</x:v>
      </x:c>
      <x:c r="C554" s="29" t="str">
        <x:v>bakersfield:mahalle-local-bakersfield-area-oleander-eye</x:v>
      </x:c>
      <x:c r="D554" s="29" t="str">
        <x:v>Okul bölgeleri</x:v>
      </x:c>
      <x:c r="E554" s="29" t="str">
        <x:v>https://kern.org/</x:v>
      </x:c>
      <x:c r="F554" s="31" t="d">
        <x:v>2026-10-24T00:00:00.000Z</x:v>
      </x:c>
      <x:c r="G554" s="35" t="n">
        <x:v>2</x:v>
      </x:c>
    </x:row>
    <x:row r="555" ht="54" customHeight="1">
      <x:c r="A555" s="29" t="str">
        <x:v>bakersfield:action:mahalle-local-bakersfield-area-oleander-eye-4</x:v>
      </x:c>
      <x:c r="B555" s="29" t="str">
        <x:v>bakersfield</x:v>
      </x:c>
      <x:c r="C555" s="29" t="str">
        <x:v>bakersfield:mahalle-local-bakersfield-area-oleander-eye</x:v>
      </x:c>
      <x:c r="D555" s="29" t="str">
        <x:v>GET hatlar ve biletler</x:v>
      </x:c>
      <x:c r="E555" s="29" t="str">
        <x:v>https://www.getbus.org/</x:v>
      </x:c>
      <x:c r="F555" s="31" t="d">
        <x:v>2026-10-24T00:00:00.000Z</x:v>
      </x:c>
      <x:c r="G555" s="35" t="n">
        <x:v>3</x:v>
      </x:c>
    </x:row>
    <x:row r="556" ht="54" customHeight="1">
      <x:c r="A556" s="29" t="str">
        <x:v>bakersfield:action:mahalle-local-bakersfield-area-oleander-eye-5</x:v>
      </x:c>
      <x:c r="B556" s="29" t="str">
        <x:v>bakersfield</x:v>
      </x:c>
      <x:c r="C556" s="29" t="str">
        <x:v>bakersfield:mahalle-local-bakersfield-area-oleander-eye</x:v>
      </x:c>
      <x:c r="D556" s="29" t="str">
        <x:v>Adrese göre taşkın haritası</x:v>
      </x:c>
      <x:c r="E556" s="29" t="str">
        <x:v>https://msc.fema.gov/portal/home</x:v>
      </x:c>
      <x:c r="F556" s="31" t="d">
        <x:v>2026-10-24T00:00:00.000Z</x:v>
      </x:c>
      <x:c r="G556" s="35" t="n">
        <x:v>4</x:v>
      </x:c>
    </x:row>
    <x:row r="557" ht="54" customHeight="1">
      <x:c r="A557" s="29" t="str">
        <x:v>bakersfield:action:mahalle-local-bakersfield-area-oleander-eye-6</x:v>
      </x:c>
      <x:c r="B557" s="29" t="str">
        <x:v>bakersfield</x:v>
      </x:c>
      <x:c r="C557" s="29" t="str">
        <x:v>bakersfield:mahalle-local-bakersfield-area-oleander-eye</x:v>
      </x:c>
      <x:c r="D557" s="29" t="str">
        <x:v>Yangın tehlike bölgeleri</x:v>
      </x:c>
      <x:c r="E557" s="29" t="str">
        <x:v>https://osfm.fire.ca.gov/what-we-do/community-wildfire-preparedness-and-mitigation/fire-hazard-severity-zones</x:v>
      </x:c>
      <x:c r="F557" s="31" t="d">
        <x:v>2026-10-24T00:00:00.000Z</x:v>
      </x:c>
      <x:c r="G557" s="35" t="n">
        <x:v>5</x:v>
      </x:c>
    </x:row>
    <x:row r="558" ht="54" customHeight="1">
      <x:c r="A558" s="29" t="str">
        <x:v>bakersfield:action:mahalle-local-bakersfield-area-old-town-kern-1</x:v>
      </x:c>
      <x:c r="B558" s="29" t="str">
        <x:v>bakersfield</x:v>
      </x:c>
      <x:c r="C558" s="29" t="str">
        <x:v>bakersfield:mahalle-local-bakersfield-area-old-town-kern</x:v>
      </x:c>
      <x:c r="D558" s="29" t="str">
        <x:v>Mahalle konumunu aç</x:v>
      </x:c>
      <x:c r="E558" s="29" t="str">
        <x:v>https://www.google.com/maps/search/?api=1&amp;query=Old+Town+Kern+%2F+Baker+Street%2C+Bakersfield%2C+California%2C+United+States</x:v>
      </x:c>
      <x:c r="F558" s="31" t="d">
        <x:v>2026-10-24T00:00:00.000Z</x:v>
      </x:c>
      <x:c r="G558" s="35" t="n">
        <x:v>0</x:v>
      </x:c>
    </x:row>
    <x:row r="559" ht="54" customHeight="1">
      <x:c r="A559" s="29" t="str">
        <x:v>bakersfield:action:mahalle-local-bakersfield-area-old-town-kern-2</x:v>
      </x:c>
      <x:c r="B559" s="29" t="str">
        <x:v>bakersfield</x:v>
      </x:c>
      <x:c r="C559" s="29" t="str">
        <x:v>bakersfield:mahalle-local-bakersfield-area-old-town-kern</x:v>
      </x:c>
      <x:c r="D559" s="29" t="str">
        <x:v>Belediye sınırları ve GIS haritaları</x:v>
      </x:c>
      <x:c r="E559" s="29" t="str">
        <x:v>https://www.bakersfieldcity.us/gis-mapping-portal</x:v>
      </x:c>
      <x:c r="F559" s="31" t="d">
        <x:v>2026-10-24T00:00:00.000Z</x:v>
      </x:c>
      <x:c r="G559" s="35" t="n">
        <x:v>1</x:v>
      </x:c>
    </x:row>
    <x:row r="560" ht="54" customHeight="1">
      <x:c r="A560" s="29" t="str">
        <x:v>bakersfield:action:mahalle-local-bakersfield-area-old-town-kern-3</x:v>
      </x:c>
      <x:c r="B560" s="29" t="str">
        <x:v>bakersfield</x:v>
      </x:c>
      <x:c r="C560" s="29" t="str">
        <x:v>bakersfield:mahalle-local-bakersfield-area-old-town-kern</x:v>
      </x:c>
      <x:c r="D560" s="29" t="str">
        <x:v>Okul bölgeleri</x:v>
      </x:c>
      <x:c r="E560" s="29" t="str">
        <x:v>https://kern.org/</x:v>
      </x:c>
      <x:c r="F560" s="31" t="d">
        <x:v>2026-10-24T00:00:00.000Z</x:v>
      </x:c>
      <x:c r="G560" s="35" t="n">
        <x:v>2</x:v>
      </x:c>
    </x:row>
    <x:row r="561" ht="54" customHeight="1">
      <x:c r="A561" s="29" t="str">
        <x:v>bakersfield:action:mahalle-local-bakersfield-area-old-town-kern-4</x:v>
      </x:c>
      <x:c r="B561" s="29" t="str">
        <x:v>bakersfield</x:v>
      </x:c>
      <x:c r="C561" s="29" t="str">
        <x:v>bakersfield:mahalle-local-bakersfield-area-old-town-kern</x:v>
      </x:c>
      <x:c r="D561" s="29" t="str">
        <x:v>GET hatlar ve biletler</x:v>
      </x:c>
      <x:c r="E561" s="29" t="str">
        <x:v>https://www.getbus.org/</x:v>
      </x:c>
      <x:c r="F561" s="31" t="d">
        <x:v>2026-10-24T00:00:00.000Z</x:v>
      </x:c>
      <x:c r="G561" s="35" t="n">
        <x:v>3</x:v>
      </x:c>
    </x:row>
    <x:row r="562" ht="54" customHeight="1">
      <x:c r="A562" s="29" t="str">
        <x:v>bakersfield:action:mahalle-local-bakersfield-area-old-town-kern-5</x:v>
      </x:c>
      <x:c r="B562" s="29" t="str">
        <x:v>bakersfield</x:v>
      </x:c>
      <x:c r="C562" s="29" t="str">
        <x:v>bakersfield:mahalle-local-bakersfield-area-old-town-kern</x:v>
      </x:c>
      <x:c r="D562" s="29" t="str">
        <x:v>Adrese göre taşkın haritası</x:v>
      </x:c>
      <x:c r="E562" s="29" t="str">
        <x:v>https://msc.fema.gov/portal/home</x:v>
      </x:c>
      <x:c r="F562" s="31" t="d">
        <x:v>2026-10-24T00:00:00.000Z</x:v>
      </x:c>
      <x:c r="G562" s="35" t="n">
        <x:v>4</x:v>
      </x:c>
    </x:row>
    <x:row r="563" ht="54" customHeight="1">
      <x:c r="A563" s="29" t="str">
        <x:v>bakersfield:action:mahalle-local-bakersfield-area-old-town-kern-6</x:v>
      </x:c>
      <x:c r="B563" s="29" t="str">
        <x:v>bakersfield</x:v>
      </x:c>
      <x:c r="C563" s="29" t="str">
        <x:v>bakersfield:mahalle-local-bakersfield-area-old-town-kern</x:v>
      </x:c>
      <x:c r="D563" s="29" t="str">
        <x:v>Yangın tehlike bölgeleri</x:v>
      </x:c>
      <x:c r="E563" s="29" t="str">
        <x:v>https://osfm.fire.ca.gov/what-we-do/community-wildfire-preparedness-and-mitigation/fire-hazard-severity-zones</x:v>
      </x:c>
      <x:c r="F563" s="31" t="d">
        <x:v>2026-10-24T00:00:00.000Z</x:v>
      </x:c>
      <x:c r="G563" s="35" t="n">
        <x:v>5</x:v>
      </x:c>
    </x:row>
    <x:row r="564" ht="68" customHeight="1">
      <x:c r="A564" s="29" t="str">
        <x:v>bakersfield:action:mahalle-local-bakersfield-area-college-panorama-1</x:v>
      </x:c>
      <x:c r="B564" s="29" t="str">
        <x:v>bakersfield</x:v>
      </x:c>
      <x:c r="C564" s="29" t="str">
        <x:v>bakersfield:mahalle-local-bakersfield-area-college-panorama</x:v>
      </x:c>
      <x:c r="D564" s="29" t="str">
        <x:v>Mahalle konumunu aç</x:v>
      </x:c>
      <x:c r="E564" s="29" t="str">
        <x:v>https://www.google.com/maps/search/?api=1&amp;query=Bakersfield+College+%2F+Panorama+%C3%A7evresi%2C+Bakersfield%2C+California%2C+United+States</x:v>
      </x:c>
      <x:c r="F564" s="31" t="d">
        <x:v>2026-10-24T00:00:00.000Z</x:v>
      </x:c>
      <x:c r="G564" s="35" t="n">
        <x:v>0</x:v>
      </x:c>
    </x:row>
    <x:row r="565" ht="54" customHeight="1">
      <x:c r="A565" s="29" t="str">
        <x:v>bakersfield:action:mahalle-local-bakersfield-area-college-panorama-2</x:v>
      </x:c>
      <x:c r="B565" s="29" t="str">
        <x:v>bakersfield</x:v>
      </x:c>
      <x:c r="C565" s="29" t="str">
        <x:v>bakersfield:mahalle-local-bakersfield-area-college-panorama</x:v>
      </x:c>
      <x:c r="D565" s="29" t="str">
        <x:v>Belediye sınırları ve GIS haritaları</x:v>
      </x:c>
      <x:c r="E565" s="29" t="str">
        <x:v>https://www.bakersfieldcity.us/gis-mapping-portal</x:v>
      </x:c>
      <x:c r="F565" s="31" t="d">
        <x:v>2026-10-24T00:00:00.000Z</x:v>
      </x:c>
      <x:c r="G565" s="35" t="n">
        <x:v>1</x:v>
      </x:c>
    </x:row>
    <x:row r="566" ht="54" customHeight="1">
      <x:c r="A566" s="29" t="str">
        <x:v>bakersfield:action:mahalle-local-bakersfield-area-college-panorama-3</x:v>
      </x:c>
      <x:c r="B566" s="29" t="str">
        <x:v>bakersfield</x:v>
      </x:c>
      <x:c r="C566" s="29" t="str">
        <x:v>bakersfield:mahalle-local-bakersfield-area-college-panorama</x:v>
      </x:c>
      <x:c r="D566" s="29" t="str">
        <x:v>Okul bölgeleri</x:v>
      </x:c>
      <x:c r="E566" s="29" t="str">
        <x:v>https://kern.org/</x:v>
      </x:c>
      <x:c r="F566" s="31" t="d">
        <x:v>2026-10-24T00:00:00.000Z</x:v>
      </x:c>
      <x:c r="G566" s="35" t="n">
        <x:v>2</x:v>
      </x:c>
    </x:row>
    <x:row r="567" ht="54" customHeight="1">
      <x:c r="A567" s="29" t="str">
        <x:v>bakersfield:action:mahalle-local-bakersfield-area-college-panorama-4</x:v>
      </x:c>
      <x:c r="B567" s="29" t="str">
        <x:v>bakersfield</x:v>
      </x:c>
      <x:c r="C567" s="29" t="str">
        <x:v>bakersfield:mahalle-local-bakersfield-area-college-panorama</x:v>
      </x:c>
      <x:c r="D567" s="29" t="str">
        <x:v>GET hatlar ve biletler</x:v>
      </x:c>
      <x:c r="E567" s="29" t="str">
        <x:v>https://www.getbus.org/</x:v>
      </x:c>
      <x:c r="F567" s="31" t="d">
        <x:v>2026-10-24T00:00:00.000Z</x:v>
      </x:c>
      <x:c r="G567" s="35" t="n">
        <x:v>3</x:v>
      </x:c>
    </x:row>
    <x:row r="568" ht="54" customHeight="1">
      <x:c r="A568" s="29" t="str">
        <x:v>bakersfield:action:mahalle-local-bakersfield-area-college-panorama-5</x:v>
      </x:c>
      <x:c r="B568" s="29" t="str">
        <x:v>bakersfield</x:v>
      </x:c>
      <x:c r="C568" s="29" t="str">
        <x:v>bakersfield:mahalle-local-bakersfield-area-college-panorama</x:v>
      </x:c>
      <x:c r="D568" s="29" t="str">
        <x:v>Adrese göre taşkın haritası</x:v>
      </x:c>
      <x:c r="E568" s="29" t="str">
        <x:v>https://msc.fema.gov/portal/home</x:v>
      </x:c>
      <x:c r="F568" s="31" t="d">
        <x:v>2026-10-24T00:00:00.000Z</x:v>
      </x:c>
      <x:c r="G568" s="35" t="n">
        <x:v>4</x:v>
      </x:c>
    </x:row>
    <x:row r="569" ht="54" customHeight="1">
      <x:c r="A569" s="29" t="str">
        <x:v>bakersfield:action:mahalle-local-bakersfield-area-college-panorama-6</x:v>
      </x:c>
      <x:c r="B569" s="29" t="str">
        <x:v>bakersfield</x:v>
      </x:c>
      <x:c r="C569" s="29" t="str">
        <x:v>bakersfield:mahalle-local-bakersfield-area-college-panorama</x:v>
      </x:c>
      <x:c r="D569" s="29" t="str">
        <x:v>Yangın tehlike bölgeleri</x:v>
      </x:c>
      <x:c r="E569" s="29" t="str">
        <x:v>https://osfm.fire.ca.gov/what-we-do/community-wildfire-preparedness-and-mitigation/fire-hazard-severity-zones</x:v>
      </x:c>
      <x:c r="F569" s="31" t="d">
        <x:v>2026-10-24T00:00:00.000Z</x:v>
      </x:c>
      <x:c r="G569" s="35" t="n">
        <x:v>5</x:v>
      </x:c>
    </x:row>
    <x:row r="570" ht="68" customHeight="1">
      <x:c r="A570" s="29" t="str">
        <x:v>bakersfield:action:mahalle-local-bakersfield-area-south-bakersfield-1</x:v>
      </x:c>
      <x:c r="B570" s="29" t="str">
        <x:v>bakersfield</x:v>
      </x:c>
      <x:c r="C570" s="29" t="str">
        <x:v>bakersfield:mahalle-local-bakersfield-area-south-bakersfield</x:v>
      </x:c>
      <x:c r="D570" s="29" t="str">
        <x:v>Mahalle konumunu aç</x:v>
      </x:c>
      <x:c r="E570" s="29" t="str">
        <x:v>https://www.google.com/maps/search/?api=1&amp;query=South+Bakersfield+%2F+Union+%C3%A7evresi%2C+Bakersfield%2C+California%2C+United+States</x:v>
      </x:c>
      <x:c r="F570" s="31" t="d">
        <x:v>2026-10-24T00:00:00.000Z</x:v>
      </x:c>
      <x:c r="G570" s="35" t="n">
        <x:v>0</x:v>
      </x:c>
    </x:row>
    <x:row r="571" ht="54" customHeight="1">
      <x:c r="A571" s="29" t="str">
        <x:v>bakersfield:action:mahalle-local-bakersfield-area-south-bakersfield-2</x:v>
      </x:c>
      <x:c r="B571" s="29" t="str">
        <x:v>bakersfield</x:v>
      </x:c>
      <x:c r="C571" s="29" t="str">
        <x:v>bakersfield:mahalle-local-bakersfield-area-south-bakersfield</x:v>
      </x:c>
      <x:c r="D571" s="29" t="str">
        <x:v>Belediye sınırları ve GIS haritaları</x:v>
      </x:c>
      <x:c r="E571" s="29" t="str">
        <x:v>https://www.bakersfieldcity.us/gis-mapping-portal</x:v>
      </x:c>
      <x:c r="F571" s="31" t="d">
        <x:v>2026-10-24T00:00:00.000Z</x:v>
      </x:c>
      <x:c r="G571" s="35" t="n">
        <x:v>1</x:v>
      </x:c>
    </x:row>
    <x:row r="572" ht="54" customHeight="1">
      <x:c r="A572" s="29" t="str">
        <x:v>bakersfield:action:mahalle-local-bakersfield-area-south-bakersfield-3</x:v>
      </x:c>
      <x:c r="B572" s="29" t="str">
        <x:v>bakersfield</x:v>
      </x:c>
      <x:c r="C572" s="29" t="str">
        <x:v>bakersfield:mahalle-local-bakersfield-area-south-bakersfield</x:v>
      </x:c>
      <x:c r="D572" s="29" t="str">
        <x:v>Okul bölgeleri</x:v>
      </x:c>
      <x:c r="E572" s="29" t="str">
        <x:v>https://kern.org/</x:v>
      </x:c>
      <x:c r="F572" s="31" t="d">
        <x:v>2026-10-24T00:00:00.000Z</x:v>
      </x:c>
      <x:c r="G572" s="35" t="n">
        <x:v>2</x:v>
      </x:c>
    </x:row>
    <x:row r="573" ht="54" customHeight="1">
      <x:c r="A573" s="29" t="str">
        <x:v>bakersfield:action:mahalle-local-bakersfield-area-south-bakersfield-4</x:v>
      </x:c>
      <x:c r="B573" s="29" t="str">
        <x:v>bakersfield</x:v>
      </x:c>
      <x:c r="C573" s="29" t="str">
        <x:v>bakersfield:mahalle-local-bakersfield-area-south-bakersfield</x:v>
      </x:c>
      <x:c r="D573" s="29" t="str">
        <x:v>GET hatlar ve biletler</x:v>
      </x:c>
      <x:c r="E573" s="29" t="str">
        <x:v>https://www.getbus.org/</x:v>
      </x:c>
      <x:c r="F573" s="31" t="d">
        <x:v>2026-10-24T00:00:00.000Z</x:v>
      </x:c>
      <x:c r="G573" s="35" t="n">
        <x:v>3</x:v>
      </x:c>
    </x:row>
    <x:row r="574" ht="54" customHeight="1">
      <x:c r="A574" s="29" t="str">
        <x:v>bakersfield:action:mahalle-local-bakersfield-area-south-bakersfield-5</x:v>
      </x:c>
      <x:c r="B574" s="29" t="str">
        <x:v>bakersfield</x:v>
      </x:c>
      <x:c r="C574" s="29" t="str">
        <x:v>bakersfield:mahalle-local-bakersfield-area-south-bakersfield</x:v>
      </x:c>
      <x:c r="D574" s="29" t="str">
        <x:v>Adrese göre taşkın haritası</x:v>
      </x:c>
      <x:c r="E574" s="29" t="str">
        <x:v>https://msc.fema.gov/portal/home</x:v>
      </x:c>
      <x:c r="F574" s="31" t="d">
        <x:v>2026-10-24T00:00:00.000Z</x:v>
      </x:c>
      <x:c r="G574" s="35" t="n">
        <x:v>4</x:v>
      </x:c>
    </x:row>
    <x:row r="575" ht="54" customHeight="1">
      <x:c r="A575" s="29" t="str">
        <x:v>bakersfield:action:mahalle-local-bakersfield-area-south-bakersfield-6</x:v>
      </x:c>
      <x:c r="B575" s="29" t="str">
        <x:v>bakersfield</x:v>
      </x:c>
      <x:c r="C575" s="29" t="str">
        <x:v>bakersfield:mahalle-local-bakersfield-area-south-bakersfield</x:v>
      </x:c>
      <x:c r="D575" s="29" t="str">
        <x:v>Yangın tehlike bölgeleri</x:v>
      </x:c>
      <x:c r="E575" s="29" t="str">
        <x:v>https://osfm.fire.ca.gov/what-we-do/community-wildfire-preparedness-and-mitigation/fire-hazard-severity-zones</x:v>
      </x:c>
      <x:c r="F575" s="31" t="d">
        <x:v>2026-10-24T00:00:00.000Z</x:v>
      </x:c>
      <x:c r="G575" s="35" t="n">
        <x:v>5</x:v>
      </x:c>
    </x:row>
    <x:row r="576" ht="68" customHeight="1">
      <x:c r="A576" s="29" t="str">
        <x:v>bakersfield:action:mahalle-local-bakersfield-area-ming-valley-plaza-1</x:v>
      </x:c>
      <x:c r="B576" s="29" t="str">
        <x:v>bakersfield</x:v>
      </x:c>
      <x:c r="C576" s="29" t="str">
        <x:v>bakersfield:mahalle-local-bakersfield-area-ming-valley-plaza</x:v>
      </x:c>
      <x:c r="D576" s="29" t="str">
        <x:v>Mahalle konumunu aç</x:v>
      </x:c>
      <x:c r="E576" s="29" t="str">
        <x:v>https://www.google.com/maps/search/?api=1&amp;query=Ming+Avenue+%2F+Valley+Plaza+%C3%A7evresi%2C+Bakersfield%2C+California%2C+United+States</x:v>
      </x:c>
      <x:c r="F576" s="31" t="d">
        <x:v>2026-10-24T00:00:00.000Z</x:v>
      </x:c>
      <x:c r="G576" s="35" t="n">
        <x:v>0</x:v>
      </x:c>
    </x:row>
    <x:row r="577" ht="54" customHeight="1">
      <x:c r="A577" s="29" t="str">
        <x:v>bakersfield:action:mahalle-local-bakersfield-area-ming-valley-plaza-2</x:v>
      </x:c>
      <x:c r="B577" s="29" t="str">
        <x:v>bakersfield</x:v>
      </x:c>
      <x:c r="C577" s="29" t="str">
        <x:v>bakersfield:mahalle-local-bakersfield-area-ming-valley-plaza</x:v>
      </x:c>
      <x:c r="D577" s="29" t="str">
        <x:v>Belediye sınırları ve GIS haritaları</x:v>
      </x:c>
      <x:c r="E577" s="29" t="str">
        <x:v>https://www.bakersfieldcity.us/gis-mapping-portal</x:v>
      </x:c>
      <x:c r="F577" s="31" t="d">
        <x:v>2026-10-24T00:00:00.000Z</x:v>
      </x:c>
      <x:c r="G577" s="35" t="n">
        <x:v>1</x:v>
      </x:c>
    </x:row>
    <x:row r="578" ht="54" customHeight="1">
      <x:c r="A578" s="29" t="str">
        <x:v>bakersfield:action:mahalle-local-bakersfield-area-ming-valley-plaza-3</x:v>
      </x:c>
      <x:c r="B578" s="29" t="str">
        <x:v>bakersfield</x:v>
      </x:c>
      <x:c r="C578" s="29" t="str">
        <x:v>bakersfield:mahalle-local-bakersfield-area-ming-valley-plaza</x:v>
      </x:c>
      <x:c r="D578" s="29" t="str">
        <x:v>Okul bölgeleri</x:v>
      </x:c>
      <x:c r="E578" s="29" t="str">
        <x:v>https://kern.org/</x:v>
      </x:c>
      <x:c r="F578" s="31" t="d">
        <x:v>2026-10-24T00:00:00.000Z</x:v>
      </x:c>
      <x:c r="G578" s="35" t="n">
        <x:v>2</x:v>
      </x:c>
    </x:row>
    <x:row r="579" ht="54" customHeight="1">
      <x:c r="A579" s="29" t="str">
        <x:v>bakersfield:action:mahalle-local-bakersfield-area-ming-valley-plaza-4</x:v>
      </x:c>
      <x:c r="B579" s="29" t="str">
        <x:v>bakersfield</x:v>
      </x:c>
      <x:c r="C579" s="29" t="str">
        <x:v>bakersfield:mahalle-local-bakersfield-area-ming-valley-plaza</x:v>
      </x:c>
      <x:c r="D579" s="29" t="str">
        <x:v>GET hatlar ve biletler</x:v>
      </x:c>
      <x:c r="E579" s="29" t="str">
        <x:v>https://www.getbus.org/</x:v>
      </x:c>
      <x:c r="F579" s="31" t="d">
        <x:v>2026-10-24T00:00:00.000Z</x:v>
      </x:c>
      <x:c r="G579" s="35" t="n">
        <x:v>3</x:v>
      </x:c>
    </x:row>
    <x:row r="580" ht="54" customHeight="1">
      <x:c r="A580" s="29" t="str">
        <x:v>bakersfield:action:mahalle-local-bakersfield-area-ming-valley-plaza-5</x:v>
      </x:c>
      <x:c r="B580" s="29" t="str">
        <x:v>bakersfield</x:v>
      </x:c>
      <x:c r="C580" s="29" t="str">
        <x:v>bakersfield:mahalle-local-bakersfield-area-ming-valley-plaza</x:v>
      </x:c>
      <x:c r="D580" s="29" t="str">
        <x:v>Adrese göre taşkın haritası</x:v>
      </x:c>
      <x:c r="E580" s="29" t="str">
        <x:v>https://msc.fema.gov/portal/home</x:v>
      </x:c>
      <x:c r="F580" s="31" t="d">
        <x:v>2026-10-24T00:00:00.000Z</x:v>
      </x:c>
      <x:c r="G580" s="35" t="n">
        <x:v>4</x:v>
      </x:c>
    </x:row>
    <x:row r="581" ht="54" customHeight="1">
      <x:c r="A581" s="29" t="str">
        <x:v>bakersfield:action:mahalle-local-bakersfield-area-ming-valley-plaza-6</x:v>
      </x:c>
      <x:c r="B581" s="29" t="str">
        <x:v>bakersfield</x:v>
      </x:c>
      <x:c r="C581" s="29" t="str">
        <x:v>bakersfield:mahalle-local-bakersfield-area-ming-valley-plaza</x:v>
      </x:c>
      <x:c r="D581" s="29" t="str">
        <x:v>Yangın tehlike bölgeleri</x:v>
      </x:c>
      <x:c r="E581" s="29" t="str">
        <x:v>https://osfm.fire.ca.gov/what-we-do/community-wildfire-preparedness-and-mitigation/fire-hazard-severity-zones</x:v>
      </x:c>
      <x:c r="F581" s="31" t="d">
        <x:v>2026-10-24T00:00:00.000Z</x:v>
      </x:c>
      <x:c r="G581" s="35" t="n">
        <x:v>5</x:v>
      </x:c>
    </x:row>
    <x:row r="582" ht="68" customHeight="1">
      <x:c r="A582" s="29" t="str">
        <x:v>bakersfield:action:mahalle-local-bakersfield-area-haggin-oaks-marketplace-1</x:v>
      </x:c>
      <x:c r="B582" s="29" t="str">
        <x:v>bakersfield</x:v>
      </x:c>
      <x:c r="C582" s="29" t="str">
        <x:v>bakersfield:mahalle-local-bakersfield-area-haggin-oaks-marketplace</x:v>
      </x:c>
      <x:c r="D582" s="29" t="str">
        <x:v>Mahalle konumunu aç</x:v>
      </x:c>
      <x:c r="E582" s="29" t="str">
        <x:v>https://www.google.com/maps/search/?api=1&amp;query=Haggin+Oaks+%2F+Marketplace+%C3%A7evresi%2C+Bakersfield%2C+California%2C+United+States</x:v>
      </x:c>
      <x:c r="F582" s="31" t="d">
        <x:v>2026-10-24T00:00:00.000Z</x:v>
      </x:c>
      <x:c r="G582" s="35" t="n">
        <x:v>0</x:v>
      </x:c>
    </x:row>
    <x:row r="583" ht="54" customHeight="1">
      <x:c r="A583" s="29" t="str">
        <x:v>bakersfield:action:mahalle-local-bakersfield-area-haggin-oaks-marketplace-2</x:v>
      </x:c>
      <x:c r="B583" s="29" t="str">
        <x:v>bakersfield</x:v>
      </x:c>
      <x:c r="C583" s="29" t="str">
        <x:v>bakersfield:mahalle-local-bakersfield-area-haggin-oaks-marketplace</x:v>
      </x:c>
      <x:c r="D583" s="29" t="str">
        <x:v>Belediye sınırları ve GIS haritaları</x:v>
      </x:c>
      <x:c r="E583" s="29" t="str">
        <x:v>https://www.bakersfieldcity.us/gis-mapping-portal</x:v>
      </x:c>
      <x:c r="F583" s="31" t="d">
        <x:v>2026-10-24T00:00:00.000Z</x:v>
      </x:c>
      <x:c r="G583" s="35" t="n">
        <x:v>1</x:v>
      </x:c>
    </x:row>
    <x:row r="584" ht="54" customHeight="1">
      <x:c r="A584" s="29" t="str">
        <x:v>bakersfield:action:mahalle-local-bakersfield-area-haggin-oaks-marketplace-3</x:v>
      </x:c>
      <x:c r="B584" s="29" t="str">
        <x:v>bakersfield</x:v>
      </x:c>
      <x:c r="C584" s="29" t="str">
        <x:v>bakersfield:mahalle-local-bakersfield-area-haggin-oaks-marketplace</x:v>
      </x:c>
      <x:c r="D584" s="29" t="str">
        <x:v>Okul bölgeleri</x:v>
      </x:c>
      <x:c r="E584" s="29" t="str">
        <x:v>https://kern.org/</x:v>
      </x:c>
      <x:c r="F584" s="31" t="d">
        <x:v>2026-10-24T00:00:00.000Z</x:v>
      </x:c>
      <x:c r="G584" s="35" t="n">
        <x:v>2</x:v>
      </x:c>
    </x:row>
    <x:row r="585" ht="54" customHeight="1">
      <x:c r="A585" s="29" t="str">
        <x:v>bakersfield:action:mahalle-local-bakersfield-area-haggin-oaks-marketplace-4</x:v>
      </x:c>
      <x:c r="B585" s="29" t="str">
        <x:v>bakersfield</x:v>
      </x:c>
      <x:c r="C585" s="29" t="str">
        <x:v>bakersfield:mahalle-local-bakersfield-area-haggin-oaks-marketplace</x:v>
      </x:c>
      <x:c r="D585" s="29" t="str">
        <x:v>GET hatlar ve biletler</x:v>
      </x:c>
      <x:c r="E585" s="29" t="str">
        <x:v>https://www.getbus.org/</x:v>
      </x:c>
      <x:c r="F585" s="31" t="d">
        <x:v>2026-10-24T00:00:00.000Z</x:v>
      </x:c>
      <x:c r="G585" s="35" t="n">
        <x:v>3</x:v>
      </x:c>
    </x:row>
    <x:row r="586" ht="54" customHeight="1">
      <x:c r="A586" s="29" t="str">
        <x:v>bakersfield:action:mahalle-local-bakersfield-area-haggin-oaks-marketplace-5</x:v>
      </x:c>
      <x:c r="B586" s="29" t="str">
        <x:v>bakersfield</x:v>
      </x:c>
      <x:c r="C586" s="29" t="str">
        <x:v>bakersfield:mahalle-local-bakersfield-area-haggin-oaks-marketplace</x:v>
      </x:c>
      <x:c r="D586" s="29" t="str">
        <x:v>Adrese göre taşkın haritası</x:v>
      </x:c>
      <x:c r="E586" s="29" t="str">
        <x:v>https://msc.fema.gov/portal/home</x:v>
      </x:c>
      <x:c r="F586" s="31" t="d">
        <x:v>2026-10-24T00:00:00.000Z</x:v>
      </x:c>
      <x:c r="G586" s="35" t="n">
        <x:v>4</x:v>
      </x:c>
    </x:row>
    <x:row r="587" ht="54" customHeight="1">
      <x:c r="A587" s="29" t="str">
        <x:v>bakersfield:action:mahalle-local-bakersfield-area-haggin-oaks-marketplace-6</x:v>
      </x:c>
      <x:c r="B587" s="29" t="str">
        <x:v>bakersfield</x:v>
      </x:c>
      <x:c r="C587" s="29" t="str">
        <x:v>bakersfield:mahalle-local-bakersfield-area-haggin-oaks-marketplace</x:v>
      </x:c>
      <x:c r="D587" s="29" t="str">
        <x:v>Yangın tehlike bölgeleri</x:v>
      </x:c>
      <x:c r="E587" s="29" t="str">
        <x:v>https://osfm.fire.ca.gov/what-we-do/community-wildfire-preparedness-and-mitigation/fire-hazard-severity-zones</x:v>
      </x:c>
      <x:c r="F587" s="31" t="d">
        <x:v>2026-10-24T00:00:00.000Z</x:v>
      </x:c>
      <x:c r="G587" s="35" t="n">
        <x:v>5</x:v>
      </x:c>
    </x:row>
    <x:row r="588" ht="68" customHeight="1">
      <x:c r="A588" s="29" t="str">
        <x:v>bakersfield:action:mahalle-local-bakersfield-area-stockdale-csub-1</x:v>
      </x:c>
      <x:c r="B588" s="29" t="str">
        <x:v>bakersfield</x:v>
      </x:c>
      <x:c r="C588" s="29" t="str">
        <x:v>bakersfield:mahalle-local-bakersfield-area-stockdale-csub</x:v>
      </x:c>
      <x:c r="D588" s="29" t="str">
        <x:v>Mahalle konumunu aç</x:v>
      </x:c>
      <x:c r="E588" s="29" t="str">
        <x:v>https://www.google.com/maps/search/?api=1&amp;query=Stockdale+%2F+CSU+Bakersfield+%C3%A7evresi%2C+Bakersfield%2C+California%2C+United+States</x:v>
      </x:c>
      <x:c r="F588" s="31" t="d">
        <x:v>2026-10-24T00:00:00.000Z</x:v>
      </x:c>
      <x:c r="G588" s="35" t="n">
        <x:v>0</x:v>
      </x:c>
    </x:row>
    <x:row r="589" ht="54" customHeight="1">
      <x:c r="A589" s="29" t="str">
        <x:v>bakersfield:action:mahalle-local-bakersfield-area-stockdale-csub-2</x:v>
      </x:c>
      <x:c r="B589" s="29" t="str">
        <x:v>bakersfield</x:v>
      </x:c>
      <x:c r="C589" s="29" t="str">
        <x:v>bakersfield:mahalle-local-bakersfield-area-stockdale-csub</x:v>
      </x:c>
      <x:c r="D589" s="29" t="str">
        <x:v>Belediye sınırları ve GIS haritaları</x:v>
      </x:c>
      <x:c r="E589" s="29" t="str">
        <x:v>https://www.bakersfieldcity.us/gis-mapping-portal</x:v>
      </x:c>
      <x:c r="F589" s="31" t="d">
        <x:v>2026-10-24T00:00:00.000Z</x:v>
      </x:c>
      <x:c r="G589" s="35" t="n">
        <x:v>1</x:v>
      </x:c>
    </x:row>
    <x:row r="590" ht="54" customHeight="1">
      <x:c r="A590" s="29" t="str">
        <x:v>bakersfield:action:mahalle-local-bakersfield-area-stockdale-csub-3</x:v>
      </x:c>
      <x:c r="B590" s="29" t="str">
        <x:v>bakersfield</x:v>
      </x:c>
      <x:c r="C590" s="29" t="str">
        <x:v>bakersfield:mahalle-local-bakersfield-area-stockdale-csub</x:v>
      </x:c>
      <x:c r="D590" s="29" t="str">
        <x:v>Okul bölgeleri</x:v>
      </x:c>
      <x:c r="E590" s="29" t="str">
        <x:v>https://kern.org/</x:v>
      </x:c>
      <x:c r="F590" s="31" t="d">
        <x:v>2026-10-24T00:00:00.000Z</x:v>
      </x:c>
      <x:c r="G590" s="35" t="n">
        <x:v>2</x:v>
      </x:c>
    </x:row>
    <x:row r="591" ht="54" customHeight="1">
      <x:c r="A591" s="29" t="str">
        <x:v>bakersfield:action:mahalle-local-bakersfield-area-stockdale-csub-4</x:v>
      </x:c>
      <x:c r="B591" s="29" t="str">
        <x:v>bakersfield</x:v>
      </x:c>
      <x:c r="C591" s="29" t="str">
        <x:v>bakersfield:mahalle-local-bakersfield-area-stockdale-csub</x:v>
      </x:c>
      <x:c r="D591" s="29" t="str">
        <x:v>GET hatlar ve biletler</x:v>
      </x:c>
      <x:c r="E591" s="29" t="str">
        <x:v>https://www.getbus.org/</x:v>
      </x:c>
      <x:c r="F591" s="31" t="d">
        <x:v>2026-10-24T00:00:00.000Z</x:v>
      </x:c>
      <x:c r="G591" s="35" t="n">
        <x:v>3</x:v>
      </x:c>
    </x:row>
    <x:row r="592" ht="54" customHeight="1">
      <x:c r="A592" s="29" t="str">
        <x:v>bakersfield:action:mahalle-local-bakersfield-area-stockdale-csub-5</x:v>
      </x:c>
      <x:c r="B592" s="29" t="str">
        <x:v>bakersfield</x:v>
      </x:c>
      <x:c r="C592" s="29" t="str">
        <x:v>bakersfield:mahalle-local-bakersfield-area-stockdale-csub</x:v>
      </x:c>
      <x:c r="D592" s="29" t="str">
        <x:v>Adrese göre taşkın haritası</x:v>
      </x:c>
      <x:c r="E592" s="29" t="str">
        <x:v>https://msc.fema.gov/portal/home</x:v>
      </x:c>
      <x:c r="F592" s="31" t="d">
        <x:v>2026-10-24T00:00:00.000Z</x:v>
      </x:c>
      <x:c r="G592" s="35" t="n">
        <x:v>4</x:v>
      </x:c>
    </x:row>
    <x:row r="593" ht="54" customHeight="1">
      <x:c r="A593" s="29" t="str">
        <x:v>bakersfield:action:mahalle-local-bakersfield-area-stockdale-csub-6</x:v>
      </x:c>
      <x:c r="B593" s="29" t="str">
        <x:v>bakersfield</x:v>
      </x:c>
      <x:c r="C593" s="29" t="str">
        <x:v>bakersfield:mahalle-local-bakersfield-area-stockdale-csub</x:v>
      </x:c>
      <x:c r="D593" s="29" t="str">
        <x:v>Yangın tehlike bölgeleri</x:v>
      </x:c>
      <x:c r="E593" s="29" t="str">
        <x:v>https://osfm.fire.ca.gov/what-we-do/community-wildfire-preparedness-and-mitigation/fire-hazard-severity-zones</x:v>
      </x:c>
      <x:c r="F593" s="31" t="d">
        <x:v>2026-10-24T00:00:00.000Z</x:v>
      </x:c>
      <x:c r="G593" s="35" t="n">
        <x:v>5</x:v>
      </x:c>
    </x:row>
    <x:row r="594" ht="54" customHeight="1">
      <x:c r="A594" s="29" t="str">
        <x:v>bakersfield:action:mahalle-local-bakersfield-area-river-walk-area-1</x:v>
      </x:c>
      <x:c r="B594" s="29" t="str">
        <x:v>bakersfield</x:v>
      </x:c>
      <x:c r="C594" s="29" t="str">
        <x:v>bakersfield:mahalle-local-bakersfield-area-river-walk-area</x:v>
      </x:c>
      <x:c r="D594" s="29" t="str">
        <x:v>Mahalle konumunu aç</x:v>
      </x:c>
      <x:c r="E594" s="29" t="str">
        <x:v>https://www.google.com/maps/search/?api=1&amp;query=River+Walk+%C3%A7evresi%2C+Bakersfield%2C+California%2C+United+States</x:v>
      </x:c>
      <x:c r="F594" s="31" t="d">
        <x:v>2026-10-24T00:00:00.000Z</x:v>
      </x:c>
      <x:c r="G594" s="35" t="n">
        <x:v>0</x:v>
      </x:c>
    </x:row>
    <x:row r="595" ht="54" customHeight="1">
      <x:c r="A595" s="29" t="str">
        <x:v>bakersfield:action:mahalle-local-bakersfield-area-river-walk-area-2</x:v>
      </x:c>
      <x:c r="B595" s="29" t="str">
        <x:v>bakersfield</x:v>
      </x:c>
      <x:c r="C595" s="29" t="str">
        <x:v>bakersfield:mahalle-local-bakersfield-area-river-walk-area</x:v>
      </x:c>
      <x:c r="D595" s="29" t="str">
        <x:v>Belediye sınırları ve GIS haritaları</x:v>
      </x:c>
      <x:c r="E595" s="29" t="str">
        <x:v>https://www.bakersfieldcity.us/gis-mapping-portal</x:v>
      </x:c>
      <x:c r="F595" s="31" t="d">
        <x:v>2026-10-24T00:00:00.000Z</x:v>
      </x:c>
      <x:c r="G595" s="35" t="n">
        <x:v>1</x:v>
      </x:c>
    </x:row>
    <x:row r="596" ht="54" customHeight="1">
      <x:c r="A596" s="29" t="str">
        <x:v>bakersfield:action:mahalle-local-bakersfield-area-river-walk-area-3</x:v>
      </x:c>
      <x:c r="B596" s="29" t="str">
        <x:v>bakersfield</x:v>
      </x:c>
      <x:c r="C596" s="29" t="str">
        <x:v>bakersfield:mahalle-local-bakersfield-area-river-walk-area</x:v>
      </x:c>
      <x:c r="D596" s="29" t="str">
        <x:v>Okul bölgeleri</x:v>
      </x:c>
      <x:c r="E596" s="29" t="str">
        <x:v>https://kern.org/</x:v>
      </x:c>
      <x:c r="F596" s="31" t="d">
        <x:v>2026-10-24T00:00:00.000Z</x:v>
      </x:c>
      <x:c r="G596" s="35" t="n">
        <x:v>2</x:v>
      </x:c>
    </x:row>
    <x:row r="597" ht="54" customHeight="1">
      <x:c r="A597" s="29" t="str">
        <x:v>bakersfield:action:mahalle-local-bakersfield-area-river-walk-area-4</x:v>
      </x:c>
      <x:c r="B597" s="29" t="str">
        <x:v>bakersfield</x:v>
      </x:c>
      <x:c r="C597" s="29" t="str">
        <x:v>bakersfield:mahalle-local-bakersfield-area-river-walk-area</x:v>
      </x:c>
      <x:c r="D597" s="29" t="str">
        <x:v>GET hatlar ve biletler</x:v>
      </x:c>
      <x:c r="E597" s="29" t="str">
        <x:v>https://www.getbus.org/</x:v>
      </x:c>
      <x:c r="F597" s="31" t="d">
        <x:v>2026-10-24T00:00:00.000Z</x:v>
      </x:c>
      <x:c r="G597" s="35" t="n">
        <x:v>3</x:v>
      </x:c>
    </x:row>
    <x:row r="598" ht="54" customHeight="1">
      <x:c r="A598" s="29" t="str">
        <x:v>bakersfield:action:mahalle-local-bakersfield-area-river-walk-area-5</x:v>
      </x:c>
      <x:c r="B598" s="29" t="str">
        <x:v>bakersfield</x:v>
      </x:c>
      <x:c r="C598" s="29" t="str">
        <x:v>bakersfield:mahalle-local-bakersfield-area-river-walk-area</x:v>
      </x:c>
      <x:c r="D598" s="29" t="str">
        <x:v>Adrese göre taşkın haritası</x:v>
      </x:c>
      <x:c r="E598" s="29" t="str">
        <x:v>https://msc.fema.gov/portal/home</x:v>
      </x:c>
      <x:c r="F598" s="31" t="d">
        <x:v>2026-10-24T00:00:00.000Z</x:v>
      </x:c>
      <x:c r="G598" s="35" t="n">
        <x:v>4</x:v>
      </x:c>
    </x:row>
    <x:row r="599" ht="54" customHeight="1">
      <x:c r="A599" s="29" t="str">
        <x:v>bakersfield:action:mahalle-local-bakersfield-area-river-walk-area-6</x:v>
      </x:c>
      <x:c r="B599" s="29" t="str">
        <x:v>bakersfield</x:v>
      </x:c>
      <x:c r="C599" s="29" t="str">
        <x:v>bakersfield:mahalle-local-bakersfield-area-river-walk-area</x:v>
      </x:c>
      <x:c r="D599" s="29" t="str">
        <x:v>Yangın tehlike bölgeleri</x:v>
      </x:c>
      <x:c r="E599" s="29" t="str">
        <x:v>https://osfm.fire.ca.gov/what-we-do/community-wildfire-preparedness-and-mitigation/fire-hazard-severity-zones</x:v>
      </x:c>
      <x:c r="F599" s="31" t="d">
        <x:v>2026-10-24T00:00:00.000Z</x:v>
      </x:c>
      <x:c r="G599" s="35" t="n">
        <x:v>5</x:v>
      </x:c>
    </x:row>
    <x:row r="600" ht="54" customHeight="1">
      <x:c r="A600" s="29" t="str">
        <x:v>bakersfield:action:mahalle-local-bakersfield-area-silver-creek-area-1</x:v>
      </x:c>
      <x:c r="B600" s="29" t="str">
        <x:v>bakersfield</x:v>
      </x:c>
      <x:c r="C600" s="29" t="str">
        <x:v>bakersfield:mahalle-local-bakersfield-area-silver-creek-area</x:v>
      </x:c>
      <x:c r="D600" s="29" t="str">
        <x:v>Mahalle konumunu aç</x:v>
      </x:c>
      <x:c r="E600" s="29" t="str">
        <x:v>https://www.google.com/maps/search/?api=1&amp;query=Silver+Creek%2C+Bakersfield%2C+California%2C+United+States</x:v>
      </x:c>
      <x:c r="F600" s="31" t="d">
        <x:v>2026-10-24T00:00:00.000Z</x:v>
      </x:c>
      <x:c r="G600" s="35" t="n">
        <x:v>0</x:v>
      </x:c>
    </x:row>
    <x:row r="601" ht="54" customHeight="1">
      <x:c r="A601" s="29" t="str">
        <x:v>bakersfield:action:mahalle-local-bakersfield-area-silver-creek-area-2</x:v>
      </x:c>
      <x:c r="B601" s="29" t="str">
        <x:v>bakersfield</x:v>
      </x:c>
      <x:c r="C601" s="29" t="str">
        <x:v>bakersfield:mahalle-local-bakersfield-area-silver-creek-area</x:v>
      </x:c>
      <x:c r="D601" s="29" t="str">
        <x:v>Belediye sınırları ve GIS haritaları</x:v>
      </x:c>
      <x:c r="E601" s="29" t="str">
        <x:v>https://www.bakersfieldcity.us/gis-mapping-portal</x:v>
      </x:c>
      <x:c r="F601" s="31" t="d">
        <x:v>2026-10-24T00:00:00.000Z</x:v>
      </x:c>
      <x:c r="G601" s="35" t="n">
        <x:v>1</x:v>
      </x:c>
    </x:row>
    <x:row r="602" ht="54" customHeight="1">
      <x:c r="A602" s="29" t="str">
        <x:v>bakersfield:action:mahalle-local-bakersfield-area-silver-creek-area-3</x:v>
      </x:c>
      <x:c r="B602" s="29" t="str">
        <x:v>bakersfield</x:v>
      </x:c>
      <x:c r="C602" s="29" t="str">
        <x:v>bakersfield:mahalle-local-bakersfield-area-silver-creek-area</x:v>
      </x:c>
      <x:c r="D602" s="29" t="str">
        <x:v>Okul bölgeleri</x:v>
      </x:c>
      <x:c r="E602" s="29" t="str">
        <x:v>https://kern.org/</x:v>
      </x:c>
      <x:c r="F602" s="31" t="d">
        <x:v>2026-10-24T00:00:00.000Z</x:v>
      </x:c>
      <x:c r="G602" s="35" t="n">
        <x:v>2</x:v>
      </x:c>
    </x:row>
    <x:row r="603" ht="54" customHeight="1">
      <x:c r="A603" s="29" t="str">
        <x:v>bakersfield:action:mahalle-local-bakersfield-area-silver-creek-area-4</x:v>
      </x:c>
      <x:c r="B603" s="29" t="str">
        <x:v>bakersfield</x:v>
      </x:c>
      <x:c r="C603" s="29" t="str">
        <x:v>bakersfield:mahalle-local-bakersfield-area-silver-creek-area</x:v>
      </x:c>
      <x:c r="D603" s="29" t="str">
        <x:v>GET hatlar ve biletler</x:v>
      </x:c>
      <x:c r="E603" s="29" t="str">
        <x:v>https://www.getbus.org/</x:v>
      </x:c>
      <x:c r="F603" s="31" t="d">
        <x:v>2026-10-24T00:00:00.000Z</x:v>
      </x:c>
      <x:c r="G603" s="35" t="n">
        <x:v>3</x:v>
      </x:c>
    </x:row>
    <x:row r="604" ht="54" customHeight="1">
      <x:c r="A604" s="29" t="str">
        <x:v>bakersfield:action:mahalle-local-bakersfield-area-silver-creek-area-5</x:v>
      </x:c>
      <x:c r="B604" s="29" t="str">
        <x:v>bakersfield</x:v>
      </x:c>
      <x:c r="C604" s="29" t="str">
        <x:v>bakersfield:mahalle-local-bakersfield-area-silver-creek-area</x:v>
      </x:c>
      <x:c r="D604" s="29" t="str">
        <x:v>Adrese göre taşkın haritası</x:v>
      </x:c>
      <x:c r="E604" s="29" t="str">
        <x:v>https://msc.fema.gov/portal/home</x:v>
      </x:c>
      <x:c r="F604" s="31" t="d">
        <x:v>2026-10-24T00:00:00.000Z</x:v>
      </x:c>
      <x:c r="G604" s="35" t="n">
        <x:v>4</x:v>
      </x:c>
    </x:row>
    <x:row r="605" ht="54" customHeight="1">
      <x:c r="A605" s="29" t="str">
        <x:v>bakersfield:action:mahalle-local-bakersfield-area-silver-creek-area-6</x:v>
      </x:c>
      <x:c r="B605" s="29" t="str">
        <x:v>bakersfield</x:v>
      </x:c>
      <x:c r="C605" s="29" t="str">
        <x:v>bakersfield:mahalle-local-bakersfield-area-silver-creek-area</x:v>
      </x:c>
      <x:c r="D605" s="29" t="str">
        <x:v>Yangın tehlike bölgeleri</x:v>
      </x:c>
      <x:c r="E605" s="29" t="str">
        <x:v>https://osfm.fire.ca.gov/what-we-do/community-wildfire-preparedness-and-mitigation/fire-hazard-severity-zones</x:v>
      </x:c>
      <x:c r="F605" s="31" t="d">
        <x:v>2026-10-24T00:00:00.000Z</x:v>
      </x:c>
      <x:c r="G605" s="35" t="n">
        <x:v>5</x:v>
      </x:c>
    </x:row>
    <x:row r="606" ht="54" customHeight="1">
      <x:c r="A606" s="29" t="str">
        <x:v>bakersfield:action:mahalle-local-bakersfield-area-rio-bravo-area-1</x:v>
      </x:c>
      <x:c r="B606" s="29" t="str">
        <x:v>bakersfield</x:v>
      </x:c>
      <x:c r="C606" s="29" t="str">
        <x:v>bakersfield:mahalle-local-bakersfield-area-rio-bravo-area</x:v>
      </x:c>
      <x:c r="D606" s="29" t="str">
        <x:v>Mahalle konumunu aç</x:v>
      </x:c>
      <x:c r="E606" s="29" t="str">
        <x:v>https://www.google.com/maps/search/?api=1&amp;query=Rio+Bravo+%2F+do%C4%9Fu+etekleri%2C+Bakersfield%2C+California%2C+United+States</x:v>
      </x:c>
      <x:c r="F606" s="31" t="d">
        <x:v>2026-10-24T00:00:00.000Z</x:v>
      </x:c>
      <x:c r="G606" s="35" t="n">
        <x:v>0</x:v>
      </x:c>
    </x:row>
    <x:row r="607" ht="54" customHeight="1">
      <x:c r="A607" s="29" t="str">
        <x:v>bakersfield:action:mahalle-local-bakersfield-area-rio-bravo-area-2</x:v>
      </x:c>
      <x:c r="B607" s="29" t="str">
        <x:v>bakersfield</x:v>
      </x:c>
      <x:c r="C607" s="29" t="str">
        <x:v>bakersfield:mahalle-local-bakersfield-area-rio-bravo-area</x:v>
      </x:c>
      <x:c r="D607" s="29" t="str">
        <x:v>Belediye sınırları ve GIS haritaları</x:v>
      </x:c>
      <x:c r="E607" s="29" t="str">
        <x:v>https://www.bakersfieldcity.us/gis-mapping-portal</x:v>
      </x:c>
      <x:c r="F607" s="31" t="d">
        <x:v>2026-10-24T00:00:00.000Z</x:v>
      </x:c>
      <x:c r="G607" s="35" t="n">
        <x:v>1</x:v>
      </x:c>
    </x:row>
    <x:row r="608" ht="54" customHeight="1">
      <x:c r="A608" s="29" t="str">
        <x:v>bakersfield:action:mahalle-local-bakersfield-area-rio-bravo-area-3</x:v>
      </x:c>
      <x:c r="B608" s="29" t="str">
        <x:v>bakersfield</x:v>
      </x:c>
      <x:c r="C608" s="29" t="str">
        <x:v>bakersfield:mahalle-local-bakersfield-area-rio-bravo-area</x:v>
      </x:c>
      <x:c r="D608" s="29" t="str">
        <x:v>Okul bölgeleri</x:v>
      </x:c>
      <x:c r="E608" s="29" t="str">
        <x:v>https://kern.org/</x:v>
      </x:c>
      <x:c r="F608" s="31" t="d">
        <x:v>2026-10-24T00:00:00.000Z</x:v>
      </x:c>
      <x:c r="G608" s="35" t="n">
        <x:v>2</x:v>
      </x:c>
    </x:row>
    <x:row r="609" ht="54" customHeight="1">
      <x:c r="A609" s="29" t="str">
        <x:v>bakersfield:action:mahalle-local-bakersfield-area-rio-bravo-area-4</x:v>
      </x:c>
      <x:c r="B609" s="29" t="str">
        <x:v>bakersfield</x:v>
      </x:c>
      <x:c r="C609" s="29" t="str">
        <x:v>bakersfield:mahalle-local-bakersfield-area-rio-bravo-area</x:v>
      </x:c>
      <x:c r="D609" s="29" t="str">
        <x:v>GET hatlar ve biletler</x:v>
      </x:c>
      <x:c r="E609" s="29" t="str">
        <x:v>https://www.getbus.org/</x:v>
      </x:c>
      <x:c r="F609" s="31" t="d">
        <x:v>2026-10-24T00:00:00.000Z</x:v>
      </x:c>
      <x:c r="G609" s="35" t="n">
        <x:v>3</x:v>
      </x:c>
    </x:row>
    <x:row r="610" ht="54" customHeight="1">
      <x:c r="A610" s="29" t="str">
        <x:v>bakersfield:action:mahalle-local-bakersfield-area-rio-bravo-area-5</x:v>
      </x:c>
      <x:c r="B610" s="29" t="str">
        <x:v>bakersfield</x:v>
      </x:c>
      <x:c r="C610" s="29" t="str">
        <x:v>bakersfield:mahalle-local-bakersfield-area-rio-bravo-area</x:v>
      </x:c>
      <x:c r="D610" s="29" t="str">
        <x:v>Adrese göre taşkın haritası</x:v>
      </x:c>
      <x:c r="E610" s="29" t="str">
        <x:v>https://msc.fema.gov/portal/home</x:v>
      </x:c>
      <x:c r="F610" s="31" t="d">
        <x:v>2026-10-24T00:00:00.000Z</x:v>
      </x:c>
      <x:c r="G610" s="35" t="n">
        <x:v>4</x:v>
      </x:c>
    </x:row>
    <x:row r="611" ht="54" customHeight="1">
      <x:c r="A611" s="29" t="str">
        <x:v>bakersfield:action:mahalle-local-bakersfield-area-rio-bravo-area-6</x:v>
      </x:c>
      <x:c r="B611" s="29" t="str">
        <x:v>bakersfield</x:v>
      </x:c>
      <x:c r="C611" s="29" t="str">
        <x:v>bakersfield:mahalle-local-bakersfield-area-rio-bravo-area</x:v>
      </x:c>
      <x:c r="D611" s="29" t="str">
        <x:v>Yangın tehlike bölgeleri</x:v>
      </x:c>
      <x:c r="E611" s="29" t="str">
        <x:v>https://osfm.fire.ca.gov/what-we-do/community-wildfire-preparedness-and-mitigation/fire-hazard-severity-zones</x:v>
      </x:c>
      <x:c r="F611" s="31" t="d">
        <x:v>2026-10-24T00:00:00.000Z</x:v>
      </x:c>
      <x:c r="G611" s="35" t="n">
        <x:v>5</x:v>
      </x:c>
    </x:row>
    <x:row r="612" ht="54" customHeight="1">
      <x:c r="A612" s="29" t="str">
        <x:v>bakersfield:action:mahalle-local-bakersfield-area-meadows-field-area-1</x:v>
      </x:c>
      <x:c r="B612" s="29" t="str">
        <x:v>bakersfield</x:v>
      </x:c>
      <x:c r="C612" s="29" t="str">
        <x:v>bakersfield:mahalle-local-bakersfield-area-meadows-field-area</x:v>
      </x:c>
      <x:c r="D612" s="29" t="str">
        <x:v>Mahalle konumunu aç</x:v>
      </x:c>
      <x:c r="E612" s="29" t="str">
        <x:v>https://www.google.com/maps/search/?api=1&amp;query=Meadows+Field+%2F+Airport+%C3%A7evresi%2C+Bakersfield%2C+California%2C+United+States</x:v>
      </x:c>
      <x:c r="F612" s="31" t="d">
        <x:v>2026-10-24T00:00:00.000Z</x:v>
      </x:c>
      <x:c r="G612" s="35" t="n">
        <x:v>0</x:v>
      </x:c>
    </x:row>
    <x:row r="613" ht="54" customHeight="1">
      <x:c r="A613" s="29" t="str">
        <x:v>bakersfield:action:mahalle-local-bakersfield-area-meadows-field-area-2</x:v>
      </x:c>
      <x:c r="B613" s="29" t="str">
        <x:v>bakersfield</x:v>
      </x:c>
      <x:c r="C613" s="29" t="str">
        <x:v>bakersfield:mahalle-local-bakersfield-area-meadows-field-area</x:v>
      </x:c>
      <x:c r="D613" s="29" t="str">
        <x:v>Belediye sınırları ve GIS haritaları</x:v>
      </x:c>
      <x:c r="E613" s="29" t="str">
        <x:v>https://www.bakersfieldcity.us/gis-mapping-portal</x:v>
      </x:c>
      <x:c r="F613" s="31" t="d">
        <x:v>2026-10-24T00:00:00.000Z</x:v>
      </x:c>
      <x:c r="G613" s="35" t="n">
        <x:v>1</x:v>
      </x:c>
    </x:row>
    <x:row r="614" ht="54" customHeight="1">
      <x:c r="A614" s="29" t="str">
        <x:v>bakersfield:action:mahalle-local-bakersfield-area-meadows-field-area-3</x:v>
      </x:c>
      <x:c r="B614" s="29" t="str">
        <x:v>bakersfield</x:v>
      </x:c>
      <x:c r="C614" s="29" t="str">
        <x:v>bakersfield:mahalle-local-bakersfield-area-meadows-field-area</x:v>
      </x:c>
      <x:c r="D614" s="29" t="str">
        <x:v>Okul bölgeleri</x:v>
      </x:c>
      <x:c r="E614" s="29" t="str">
        <x:v>https://kern.org/</x:v>
      </x:c>
      <x:c r="F614" s="31" t="d">
        <x:v>2026-10-24T00:00:00.000Z</x:v>
      </x:c>
      <x:c r="G614" s="35" t="n">
        <x:v>2</x:v>
      </x:c>
    </x:row>
    <x:row r="615" ht="54" customHeight="1">
      <x:c r="A615" s="29" t="str">
        <x:v>bakersfield:action:mahalle-local-bakersfield-area-meadows-field-area-4</x:v>
      </x:c>
      <x:c r="B615" s="29" t="str">
        <x:v>bakersfield</x:v>
      </x:c>
      <x:c r="C615" s="29" t="str">
        <x:v>bakersfield:mahalle-local-bakersfield-area-meadows-field-area</x:v>
      </x:c>
      <x:c r="D615" s="29" t="str">
        <x:v>GET hatlar ve biletler</x:v>
      </x:c>
      <x:c r="E615" s="29" t="str">
        <x:v>https://www.getbus.org/</x:v>
      </x:c>
      <x:c r="F615" s="31" t="d">
        <x:v>2026-10-24T00:00:00.000Z</x:v>
      </x:c>
      <x:c r="G615" s="35" t="n">
        <x:v>3</x:v>
      </x:c>
    </x:row>
    <x:row r="616" ht="54" customHeight="1">
      <x:c r="A616" s="29" t="str">
        <x:v>bakersfield:action:mahalle-local-bakersfield-area-meadows-field-area-5</x:v>
      </x:c>
      <x:c r="B616" s="29" t="str">
        <x:v>bakersfield</x:v>
      </x:c>
      <x:c r="C616" s="29" t="str">
        <x:v>bakersfield:mahalle-local-bakersfield-area-meadows-field-area</x:v>
      </x:c>
      <x:c r="D616" s="29" t="str">
        <x:v>Adrese göre taşkın haritası</x:v>
      </x:c>
      <x:c r="E616" s="29" t="str">
        <x:v>https://msc.fema.gov/portal/home</x:v>
      </x:c>
      <x:c r="F616" s="31" t="d">
        <x:v>2026-10-24T00:00:00.000Z</x:v>
      </x:c>
      <x:c r="G616" s="35" t="n">
        <x:v>4</x:v>
      </x:c>
    </x:row>
    <x:row r="617" ht="54" customHeight="1">
      <x:c r="A617" s="29" t="str">
        <x:v>bakersfield:action:mahalle-local-bakersfield-area-meadows-field-area-6</x:v>
      </x:c>
      <x:c r="B617" s="29" t="str">
        <x:v>bakersfield</x:v>
      </x:c>
      <x:c r="C617" s="29" t="str">
        <x:v>bakersfield:mahalle-local-bakersfield-area-meadows-field-area</x:v>
      </x:c>
      <x:c r="D617" s="29" t="str">
        <x:v>Yangın tehlike bölgeleri</x:v>
      </x:c>
      <x:c r="E617" s="29" t="str">
        <x:v>https://osfm.fire.ca.gov/what-we-do/community-wildfire-preparedness-and-mitigation/fire-hazard-severity-zones</x:v>
      </x:c>
      <x:c r="F617" s="31" t="d">
        <x:v>2026-10-24T00:00:00.000Z</x:v>
      </x:c>
      <x:c r="G617" s="35" t="n">
        <x:v>5</x:v>
      </x:c>
    </x:row>
    <x:row r="618" ht="54" customHeight="1">
      <x:c r="A618" s="29" t="str">
        <x:v>bakersfield:action:mahalle-local-bakersfield-area-buck-owens-corridor-1</x:v>
      </x:c>
      <x:c r="B618" s="29" t="str">
        <x:v>bakersfield</x:v>
      </x:c>
      <x:c r="C618" s="29" t="str">
        <x:v>bakersfield:mahalle-local-bakersfield-area-buck-owens-corridor</x:v>
      </x:c>
      <x:c r="D618" s="29" t="str">
        <x:v>Mahalle konumunu aç</x:v>
      </x:c>
      <x:c r="E618" s="29" t="str">
        <x:v>https://www.google.com/maps/search/?api=1&amp;query=Buck+Owens+Boulevard+%C3%A7evresi%2C+Bakersfield%2C+California%2C+United+States</x:v>
      </x:c>
      <x:c r="F618" s="31" t="d">
        <x:v>2026-10-24T00:00:00.000Z</x:v>
      </x:c>
      <x:c r="G618" s="35" t="n">
        <x:v>0</x:v>
      </x:c>
    </x:row>
    <x:row r="619" ht="54" customHeight="1">
      <x:c r="A619" s="29" t="str">
        <x:v>bakersfield:action:mahalle-local-bakersfield-area-buck-owens-corridor-2</x:v>
      </x:c>
      <x:c r="B619" s="29" t="str">
        <x:v>bakersfield</x:v>
      </x:c>
      <x:c r="C619" s="29" t="str">
        <x:v>bakersfield:mahalle-local-bakersfield-area-buck-owens-corridor</x:v>
      </x:c>
      <x:c r="D619" s="29" t="str">
        <x:v>Belediye sınırları ve GIS haritaları</x:v>
      </x:c>
      <x:c r="E619" s="29" t="str">
        <x:v>https://www.bakersfieldcity.us/gis-mapping-portal</x:v>
      </x:c>
      <x:c r="F619" s="31" t="d">
        <x:v>2026-10-24T00:00:00.000Z</x:v>
      </x:c>
      <x:c r="G619" s="35" t="n">
        <x:v>1</x:v>
      </x:c>
    </x:row>
    <x:row r="620" ht="54" customHeight="1">
      <x:c r="A620" s="29" t="str">
        <x:v>bakersfield:action:mahalle-local-bakersfield-area-buck-owens-corridor-3</x:v>
      </x:c>
      <x:c r="B620" s="29" t="str">
        <x:v>bakersfield</x:v>
      </x:c>
      <x:c r="C620" s="29" t="str">
        <x:v>bakersfield:mahalle-local-bakersfield-area-buck-owens-corridor</x:v>
      </x:c>
      <x:c r="D620" s="29" t="str">
        <x:v>Okul bölgeleri</x:v>
      </x:c>
      <x:c r="E620" s="29" t="str">
        <x:v>https://kern.org/</x:v>
      </x:c>
      <x:c r="F620" s="31" t="d">
        <x:v>2026-10-24T00:00:00.000Z</x:v>
      </x:c>
      <x:c r="G620" s="35" t="n">
        <x:v>2</x:v>
      </x:c>
    </x:row>
    <x:row r="621" ht="54" customHeight="1">
      <x:c r="A621" s="29" t="str">
        <x:v>bakersfield:action:mahalle-local-bakersfield-area-buck-owens-corridor-4</x:v>
      </x:c>
      <x:c r="B621" s="29" t="str">
        <x:v>bakersfield</x:v>
      </x:c>
      <x:c r="C621" s="29" t="str">
        <x:v>bakersfield:mahalle-local-bakersfield-area-buck-owens-corridor</x:v>
      </x:c>
      <x:c r="D621" s="29" t="str">
        <x:v>GET hatlar ve biletler</x:v>
      </x:c>
      <x:c r="E621" s="29" t="str">
        <x:v>https://www.getbus.org/</x:v>
      </x:c>
      <x:c r="F621" s="31" t="d">
        <x:v>2026-10-24T00:00:00.000Z</x:v>
      </x:c>
      <x:c r="G621" s="35" t="n">
        <x:v>3</x:v>
      </x:c>
    </x:row>
    <x:row r="622" ht="54" customHeight="1">
      <x:c r="A622" s="29" t="str">
        <x:v>bakersfield:action:mahalle-local-bakersfield-area-buck-owens-corridor-5</x:v>
      </x:c>
      <x:c r="B622" s="29" t="str">
        <x:v>bakersfield</x:v>
      </x:c>
      <x:c r="C622" s="29" t="str">
        <x:v>bakersfield:mahalle-local-bakersfield-area-buck-owens-corridor</x:v>
      </x:c>
      <x:c r="D622" s="29" t="str">
        <x:v>Adrese göre taşkın haritası</x:v>
      </x:c>
      <x:c r="E622" s="29" t="str">
        <x:v>https://msc.fema.gov/portal/home</x:v>
      </x:c>
      <x:c r="F622" s="31" t="d">
        <x:v>2026-10-24T00:00:00.000Z</x:v>
      </x:c>
      <x:c r="G622" s="35" t="n">
        <x:v>4</x:v>
      </x:c>
    </x:row>
    <x:row r="623" ht="54" customHeight="1">
      <x:c r="A623" s="29" t="str">
        <x:v>bakersfield:action:mahalle-local-bakersfield-area-buck-owens-corridor-6</x:v>
      </x:c>
      <x:c r="B623" s="29" t="str">
        <x:v>bakersfield</x:v>
      </x:c>
      <x:c r="C623" s="29" t="str">
        <x:v>bakersfield:mahalle-local-bakersfield-area-buck-owens-corridor</x:v>
      </x:c>
      <x:c r="D623" s="29" t="str">
        <x:v>Yangın tehlike bölgeleri</x:v>
      </x:c>
      <x:c r="E623" s="29" t="str">
        <x:v>https://osfm.fire.ca.gov/what-we-do/community-wildfire-preparedness-and-mitigation/fire-hazard-severity-zones</x:v>
      </x:c>
      <x:c r="F623" s="31" t="d">
        <x:v>2026-10-24T00:00:00.000Z</x:v>
      </x:c>
      <x:c r="G623" s="35" t="n">
        <x:v>5</x:v>
      </x:c>
    </x:row>
    <x:row r="624" ht="68" customHeight="1">
      <x:c r="A624" s="29" t="str">
        <x:v>bakersfield:action:mahalle-local-bakersfield-area-northeast-parks-1</x:v>
      </x:c>
      <x:c r="B624" s="29" t="str">
        <x:v>bakersfield</x:v>
      </x:c>
      <x:c r="C624" s="29" t="str">
        <x:v>bakersfield:mahalle-local-bakersfield-area-northeast-parks</x:v>
      </x:c>
      <x:c r="D624" s="29" t="str">
        <x:v>Mahalle konumunu aç</x:v>
      </x:c>
      <x:c r="E624" s="29" t="str">
        <x:v>https://www.google.com/maps/search/?api=1&amp;query=Northeast+%2F+Kern+River+County+Park+%C3%A7evresi%2C+Bakersfield%2C+California%2C+United+States</x:v>
      </x:c>
      <x:c r="F624" s="31" t="d">
        <x:v>2026-10-24T00:00:00.000Z</x:v>
      </x:c>
      <x:c r="G624" s="35" t="n">
        <x:v>0</x:v>
      </x:c>
    </x:row>
    <x:row r="625" ht="54" customHeight="1">
      <x:c r="A625" s="29" t="str">
        <x:v>bakersfield:action:mahalle-local-bakersfield-area-northeast-parks-2</x:v>
      </x:c>
      <x:c r="B625" s="29" t="str">
        <x:v>bakersfield</x:v>
      </x:c>
      <x:c r="C625" s="29" t="str">
        <x:v>bakersfield:mahalle-local-bakersfield-area-northeast-parks</x:v>
      </x:c>
      <x:c r="D625" s="29" t="str">
        <x:v>Belediye sınırları ve GIS haritaları</x:v>
      </x:c>
      <x:c r="E625" s="29" t="str">
        <x:v>https://www.bakersfieldcity.us/gis-mapping-portal</x:v>
      </x:c>
      <x:c r="F625" s="31" t="d">
        <x:v>2026-10-24T00:00:00.000Z</x:v>
      </x:c>
      <x:c r="G625" s="35" t="n">
        <x:v>1</x:v>
      </x:c>
    </x:row>
    <x:row r="626" ht="54" customHeight="1">
      <x:c r="A626" s="29" t="str">
        <x:v>bakersfield:action:mahalle-local-bakersfield-area-northeast-parks-3</x:v>
      </x:c>
      <x:c r="B626" s="29" t="str">
        <x:v>bakersfield</x:v>
      </x:c>
      <x:c r="C626" s="29" t="str">
        <x:v>bakersfield:mahalle-local-bakersfield-area-northeast-parks</x:v>
      </x:c>
      <x:c r="D626" s="29" t="str">
        <x:v>Okul bölgeleri</x:v>
      </x:c>
      <x:c r="E626" s="29" t="str">
        <x:v>https://kern.org/</x:v>
      </x:c>
      <x:c r="F626" s="31" t="d">
        <x:v>2026-10-24T00:00:00.000Z</x:v>
      </x:c>
      <x:c r="G626" s="35" t="n">
        <x:v>2</x:v>
      </x:c>
    </x:row>
    <x:row r="627" ht="54" customHeight="1">
      <x:c r="A627" s="29" t="str">
        <x:v>bakersfield:action:mahalle-local-bakersfield-area-northeast-parks-4</x:v>
      </x:c>
      <x:c r="B627" s="29" t="str">
        <x:v>bakersfield</x:v>
      </x:c>
      <x:c r="C627" s="29" t="str">
        <x:v>bakersfield:mahalle-local-bakersfield-area-northeast-parks</x:v>
      </x:c>
      <x:c r="D627" s="29" t="str">
        <x:v>GET hatlar ve biletler</x:v>
      </x:c>
      <x:c r="E627" s="29" t="str">
        <x:v>https://www.getbus.org/</x:v>
      </x:c>
      <x:c r="F627" s="31" t="d">
        <x:v>2026-10-24T00:00:00.000Z</x:v>
      </x:c>
      <x:c r="G627" s="35" t="n">
        <x:v>3</x:v>
      </x:c>
    </x:row>
    <x:row r="628" ht="54" customHeight="1">
      <x:c r="A628" s="29" t="str">
        <x:v>bakersfield:action:mahalle-local-bakersfield-area-northeast-parks-5</x:v>
      </x:c>
      <x:c r="B628" s="29" t="str">
        <x:v>bakersfield</x:v>
      </x:c>
      <x:c r="C628" s="29" t="str">
        <x:v>bakersfield:mahalle-local-bakersfield-area-northeast-parks</x:v>
      </x:c>
      <x:c r="D628" s="29" t="str">
        <x:v>Adrese göre taşkın haritası</x:v>
      </x:c>
      <x:c r="E628" s="29" t="str">
        <x:v>https://msc.fema.gov/portal/home</x:v>
      </x:c>
      <x:c r="F628" s="31" t="d">
        <x:v>2026-10-24T00:00:00.000Z</x:v>
      </x:c>
      <x:c r="G628" s="35" t="n">
        <x:v>4</x:v>
      </x:c>
    </x:row>
    <x:row r="629" ht="54" customHeight="1">
      <x:c r="A629" s="29" t="str">
        <x:v>bakersfield:action:mahalle-local-bakersfield-area-northeast-parks-6</x:v>
      </x:c>
      <x:c r="B629" s="29" t="str">
        <x:v>bakersfield</x:v>
      </x:c>
      <x:c r="C629" s="29" t="str">
        <x:v>bakersfield:mahalle-local-bakersfield-area-northeast-parks</x:v>
      </x:c>
      <x:c r="D629" s="29" t="str">
        <x:v>Yangın tehlike bölgeleri</x:v>
      </x:c>
      <x:c r="E629" s="29" t="str">
        <x:v>https://osfm.fire.ca.gov/what-we-do/community-wildfire-preparedness-and-mitigation/fire-hazard-severity-zones</x:v>
      </x:c>
      <x:c r="F629" s="31" t="d">
        <x:v>2026-10-24T00:00:00.000Z</x:v>
      </x:c>
      <x:c r="G629" s="35" t="n">
        <x:v>5</x:v>
      </x:c>
    </x:row>
    <x:row r="630" ht="54" customHeight="1">
      <x:c r="A630" s="29"/>
      <x:c r="B630" s="29"/>
      <x:c r="C630" s="29"/>
      <x:c r="D630" s="29"/>
      <x:c r="E630" s="29"/>
      <x:c r="F630" s="31"/>
      <x:c r="G630" s="35"/>
    </x:row>
    <x:row r="631" ht="54" customHeight="1">
      <x:c r="A631" s="29"/>
      <x:c r="B631" s="29"/>
      <x:c r="C631" s="29"/>
      <x:c r="D631" s="29"/>
      <x:c r="E631" s="29"/>
      <x:c r="F631" s="31"/>
      <x:c r="G631" s="35"/>
    </x:row>
  </x:sheetData>
  <x:mergeCells>
    <x:mergeCell ref="A3:G3"/>
  </x:mergeCells>
  <x:conditionalFormatting sqref="A8:A631">
    <x:cfRule type="expression" dxfId="74" priority="1">
      <x:formula>AND($A8&lt;&gt;"",ISBLANK(A8))</x:formula>
    </x:cfRule>
  </x:conditionalFormatting>
  <x:conditionalFormatting sqref="B8:B631">
    <x:cfRule type="expression" dxfId="75" priority="2">
      <x:formula>AND($A8&lt;&gt;"",ISBLANK(B8))</x:formula>
    </x:cfRule>
  </x:conditionalFormatting>
  <x:conditionalFormatting sqref="C8:C631">
    <x:cfRule type="expression" dxfId="76" priority="3">
      <x:formula>AND($A8&lt;&gt;"",ISBLANK(C8))</x:formula>
    </x:cfRule>
  </x:conditionalFormatting>
  <x:conditionalFormatting sqref="D8:D631">
    <x:cfRule type="expression" dxfId="77" priority="4">
      <x:formula>AND($A8&lt;&gt;"",ISBLANK(D8))</x:formula>
    </x:cfRule>
  </x:conditionalFormatting>
  <x:conditionalFormatting sqref="E8:E631">
    <x:cfRule type="expression" dxfId="78" priority="5">
      <x:formula>AND($A8&lt;&gt;"",ISBLANK(E8))</x:formula>
    </x:cfRule>
  </x:conditionalFormatting>
  <x:conditionalFormatting sqref="F8:F631">
    <x:cfRule type="expression" dxfId="79" priority="6">
      <x:formula>AND($A8&lt;&gt;"",ISBLANK(F8))</x:formula>
    </x:cfRule>
  </x:conditionalFormatting>
  <x:conditionalFormatting sqref="G8:G631">
    <x:cfRule type="expression" dxfId="80" priority="7">
      <x:formula>AND($A8&lt;&gt;"",ISBLANK(G8))</x:formula>
    </x:cfRule>
  </x:conditionalFormatting>
  <x:pageMargins left="0.7" right="0.7" top="0.75" bottom="0.75" header="0.3" footer="0.3"/>
  <x:tableParts count="1">
    <x:tablePart xmlns:r="http://schemas.openxmlformats.org/officeDocument/2006/relationships" r:id="R72d5c79ec1514958"/>
  </x:tableParts>
</x:worksheet>
</file>

<file path=xl/worksheets/sheet9.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28" hidden="0" customWidth="1"/>
    <x:col min="5" max="5" width="58" hidden="0" customWidth="1"/>
    <x:col min="6" max="6" width="28" hidden="0" customWidth="1"/>
    <x:col min="7" max="7" width="32" hidden="0" customWidth="1"/>
    <x:col min="8" max="8" width="58" hidden="0" customWidth="1"/>
    <x:col min="9" max="9" width="20" hidden="0" customWidth="1"/>
    <x:col min="10" max="10" width="28" hidden="0" customWidth="1"/>
    <x:col min="11" max="11" width="28" hidden="0" customWidth="1"/>
    <x:col min="12" max="12" width="28" hidden="0" customWidth="1"/>
  </x:cols>
  <x:sheetData>
    <x:row r="1" ht="30" customHeight="1">
      <x:c r="A1" s="2"/>
      <x:c r="B1" s="2"/>
      <x:c r="C1" s="2"/>
      <x:c r="D1" s="2"/>
      <x:c r="E1" s="2"/>
      <x:c r="F1" s="2"/>
      <x:c r="G1" s="2"/>
      <x:c r="H1" s="2"/>
      <x:c r="I1" s="2"/>
      <x:c r="J1" s="2"/>
      <x:c r="K1" s="2"/>
      <x:c r="L1" s="2"/>
    </x:row>
    <x:row r="2" ht="30" customHeight="1">
      <x:c r="A2" s="19" t="str">
        <x:v>Corteqs · Keşif rotaları</x:v>
      </x:c>
      <x:c r="B2" s="2"/>
      <x:c r="C2" s="2"/>
      <x:c r="D2" s="2"/>
      <x:c r="E2" s="2"/>
      <x:c r="F2" s="2"/>
      <x:c r="G2" s="2"/>
      <x:c r="H2" s="2"/>
      <x:c r="I2" s="2"/>
      <x:c r="J2" s="2"/>
      <x:c r="K2" s="2"/>
      <x:c r="L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row>
    <x:row r="4" ht="30" customHeight="1">
      <x:c r="A4" s="21"/>
      <x:c r="B4" s="21"/>
      <x:c r="C4" s="21"/>
      <x:c r="D4" s="21"/>
      <x:c r="E4" s="21"/>
      <x:c r="F4" s="21"/>
      <x:c r="G4" s="21"/>
      <x:c r="H4" s="21"/>
      <x:c r="I4" s="21"/>
      <x:c r="J4" s="21"/>
      <x:c r="K4" s="21"/>
      <x:c r="L4" s="21"/>
    </x:row>
    <x:row r="5" ht="26" customHeight="1">
      <x:c r="A5" s="22" t="str">
        <x:v>Zorunlu</x:v>
      </x:c>
      <x:c r="B5" s="22" t="str">
        <x:v>Zorunlu</x:v>
      </x:c>
      <x:c r="C5" s="22" t="str">
        <x:v>Zorunlu</x:v>
      </x:c>
      <x:c r="D5" s="22" t="str">
        <x:v>Zorunlu</x:v>
      </x:c>
      <x:c r="E5" s="22" t="str">
        <x:v>Zorunlu · alt satır</x:v>
      </x:c>
      <x:c r="F5" s="22" t="str">
        <x:v>İsteğe bağlı · ; ile</x:v>
      </x:c>
      <x:c r="G5" s="22" t="str">
        <x:v>Zorunlu</x:v>
      </x:c>
      <x:c r="H5" s="22" t="str">
        <x:v>Zorunlu</x:v>
      </x:c>
      <x:c r="I5" s="22" t="str">
        <x:v>Zorunlu · tarih</x:v>
      </x:c>
      <x:c r="J5" s="22" t="str">
        <x:v>Zorunlu · ; ile</x:v>
      </x:c>
      <x:c r="K5" s="22" t="str">
        <x:v>Zorunlu</x:v>
      </x:c>
      <x:c r="L5" s="22" t="str">
        <x:v>Zorunlu</x:v>
      </x:c>
    </x:row>
    <x:row r="6" ht="44" customHeight="1">
      <x:c r="A6" s="25" t="str">
        <x:v>Rota kimliği</x:v>
      </x:c>
      <x:c r="B6" s="25" t="str">
        <x:v>Şehir kimliği</x:v>
      </x:c>
      <x:c r="C6" s="25" t="str">
        <x:v>Rota başlığı</x:v>
      </x:c>
      <x:c r="D6" s="25" t="str">
        <x:v>Süre / rota türü</x:v>
      </x:c>
      <x:c r="E6" s="25" t="str">
        <x:v>Sıralı durak adları</x:v>
      </x:c>
      <x:c r="F6" s="25" t="str">
        <x:v>Sıralı durak içerik kimlikleri</x:v>
      </x:c>
      <x:c r="G6" s="25" t="str">
        <x:v>Ana kart kimliği</x:v>
      </x:c>
      <x:c r="H6" s="25" t="str">
        <x:v>Rota ve erişim notu</x:v>
      </x:c>
      <x:c r="I6" s="25" t="str">
        <x:v>Rota kontrol tarihi</x:v>
      </x:c>
      <x:c r="J6" s="25" t="str">
        <x:v>Kaynak kimlikleri</x:v>
      </x:c>
      <x:c r="K6" s="25" t="str">
        <x:v>Sıra</x:v>
      </x:c>
      <x:c r="L6" s="25" t="str">
        <x:v>Editör durumu</x:v>
      </x:c>
    </x:row>
    <x:row r="7" ht="32" customHeight="1">
      <x:c r="A7" s="28" t="str">
        <x:v>route_id</x:v>
      </x:c>
      <x:c r="B7" s="28" t="str">
        <x:v>city_id</x:v>
      </x:c>
      <x:c r="C7" s="28" t="str">
        <x:v>title</x:v>
      </x:c>
      <x:c r="D7" s="28" t="str">
        <x:v>tag</x:v>
      </x:c>
      <x:c r="E7" s="28" t="str">
        <x:v>stops</x:v>
      </x:c>
      <x:c r="F7" s="28" t="str">
        <x:v>stop_entry_ids</x:v>
      </x:c>
      <x:c r="G7" s="28" t="str">
        <x:v>entry_id</x:v>
      </x:c>
      <x:c r="H7" s="28" t="str">
        <x:v>note</x:v>
      </x:c>
      <x:c r="I7" s="28" t="str">
        <x:v>reviewed_on</x:v>
      </x:c>
      <x:c r="J7" s="28" t="str">
        <x:v>source_ids</x:v>
      </x:c>
      <x:c r="K7" s="28" t="str">
        <x:v>order</x:v>
      </x:c>
      <x:c r="L7" s="28" t="str">
        <x:v>editorial_status</x:v>
      </x:c>
    </x:row>
    <x:row r="8" ht="152" customHeight="1">
      <x:c r="A8" s="29" t="str">
        <x:v>bakersfield:route:1</x:v>
      </x:c>
      <x:c r="B8" s="29" t="str">
        <x:v>bakersfield</x:v>
      </x:c>
      <x:c r="C8" s="29" t="str">
        <x:v>Downtown'ın cepheleri</x:v>
      </x:c>
      <x:c r="D8" s="29" t="str">
        <x:v>Yürüyüş · yarım gün</x:v>
      </x:c>
      <x:c r="E8" s="29" t="str">
        <x:v>Historic Bakersfield Fox Theater
The Padre Hotel
The Woolworth's Building
Kress Building
Bakersfield Californian Building</x:v>
      </x:c>
      <x:c r="F8" s="29" t="str">
        <x:v>bakersfield:yer-local-bakersfield-fox-theater;bakersfield:yer-local-bakersfield-padre-hotel;bakersfield:yer-local-bakersfield-woolworth;bakersfield:yer-local-bakersfield-kress-building;bakersfield:yer-local-bakersfield-californian-building</x:v>
      </x:c>
      <x:c r="G8" s="29" t="str">
        <x:v>bakersfield:yer-local-bakersfield-fox-theater</x:v>
      </x:c>
      <x:c r="H8" s="29" t="str">
        <x:v>20th Street çevresinden başlayıp 18th–19th Street bloklarına inen kısa merkez yürüyüşüdür. Tarihî yapıları dışarıdan görmek için tiyatro bileti gerekmez; kafede mola ile temponu ayarlayabilirsin.</x:v>
      </x:c>
      <x:c r="I8" s="31" t="d">
        <x:v>2026-10-24T00:00:00.000Z</x:v>
      </x:c>
      <x:c r="J8" s="29" t="str">
        <x:v>bakersfield:src:17753;bakersfield:src:17771;bakersfield:src:17790;bakersfield:src:17806;bakersfield:src:17807</x:v>
      </x:c>
      <x:c r="K8" s="35" t="n">
        <x:v>0</x:v>
      </x:c>
      <x:c r="L8" s="29" t="str">
        <x:v>İnceleme</x:v>
      </x:c>
    </x:row>
    <x:row r="9" ht="110" customHeight="1">
      <x:c r="A9" s="29" t="str">
        <x:v>bakersfield:route:2</x:v>
      </x:c>
      <x:c r="B9" s="29" t="str">
        <x:v>bakersfield</x:v>
      </x:c>
      <x:c r="C9" s="29" t="str">
        <x:v>Mill Creek'te sanat ve su kenarı</x:v>
      </x:c>
      <x:c r="D9" s="29" t="str">
        <x:v>Yürüyüş · birkaç saat</x:v>
      </x:c>
      <x:c r="E9" s="29" t="str">
        <x:v>Bakersfield Museum of Art
Central Park at Mill Creek
Bakersfield Federal Courthouse</x:v>
      </x:c>
      <x:c r="F9" s="29" t="str">
        <x:v>bakersfield:yer-local-bakersfield-bakersfield-museum-art;bakersfield:yer-local-bakersfield-mill-creek;bakersfield:yer-local-bakersfield-federal-courthouse</x:v>
      </x:c>
      <x:c r="G9" s="29" t="str">
        <x:v>bakersfield:yer-local-bakersfield-bakersfield-museum-art</x:v>
      </x:c>
      <x:c r="H9" s="29" t="str">
        <x:v>Sanat müzesini açık olduğu bir güne yerleştirip Central Park'ın köprüleri boyunca yürü. Adliye durağı dış mimari içindir. Müze ziyareti ile açık park bölümünü aynı bilet veya aynı saat düzeni gibi değerlendirme.</x:v>
      </x:c>
      <x:c r="I9" s="31" t="d">
        <x:v>2026-10-24T00:00:00.000Z</x:v>
      </x:c>
      <x:c r="J9" s="29" t="str">
        <x:v>bakersfield:src:17750;bakersfield:src:17687;bakersfield:src:17814</x:v>
      </x:c>
      <x:c r="K9" s="35" t="n">
        <x:v>1</x:v>
      </x:c>
      <x:c r="L9" s="29" t="str">
        <x:v>İnceleme</x:v>
      </x:c>
    </x:row>
    <x:row r="10" ht="110" customHeight="1">
      <x:c r="A10" s="29" t="str">
        <x:v>bakersfield:route:3</x:v>
      </x:c>
      <x:c r="B10" s="29" t="str">
        <x:v>bakersfield</x:v>
      </x:c>
      <x:c r="C10" s="29" t="str">
        <x:v>Old Town Kern'in izleri</x:v>
      </x:c>
      <x:c r="D10" s="29" t="str">
        <x:v>Yürüyüş ve kısa yerel ulaşım</x:v>
      </x:c>
      <x:c r="E10" s="29" t="str">
        <x:v>Baker Branch Library
Eski Southern Pacific Depot
Wool Growers Restaurant</x:v>
      </x:c>
      <x:c r="F10" s="29" t="str">
        <x:v>bakersfield:yer-local-bakersfield-baker-library;bakersfield:yer-local-bakersfield-southern-pacific-depot;bakersfield:yer-local-bakersfield-wool-growers</x:v>
      </x:c>
      <x:c r="G10" s="29" t="str">
        <x:v>bakersfield:yer-local-bakersfield-baker-library</x:v>
      </x:c>
      <x:c r="H10" s="29" t="str">
        <x:v>Baker Street'in kütüphane ve demiryolu geçmişinden East 19th Street'teki Bask sofrasına uzanır. Depo dış cephe durağıdır; aktif ray alanına girilmez. Restoran öğününü servis saatine yerleştir.</x:v>
      </x:c>
      <x:c r="I10" s="31" t="d">
        <x:v>2026-10-24T00:00:00.000Z</x:v>
      </x:c>
      <x:c r="J10" s="29" t="str">
        <x:v>bakersfield:src:17809;bakersfield:src:17808;bakersfield:src:17784</x:v>
      </x:c>
      <x:c r="K10" s="35" t="n">
        <x:v>2</x:v>
      </x:c>
      <x:c r="L10" s="29" t="str">
        <x:v>İnceleme</x:v>
      </x:c>
    </x:row>
    <x:row r="11" ht="96" customHeight="1">
      <x:c r="A11" s="29" t="str">
        <x:v>bakersfield:route:4</x:v>
      </x:c>
      <x:c r="B11" s="29" t="str">
        <x:v>bakersfield</x:v>
      </x:c>
      <x:c r="C11" s="29" t="str">
        <x:v>Hart Park, CALM ve Lake Ming</x:v>
      </x:c>
      <x:c r="D11" s="29" t="str">
        <x:v>Araçla · tam gün</x:v>
      </x:c>
      <x:c r="E11" s="29" t="str">
        <x:v>Hart Memorial Park
CALM – California Living Museum
Lake Ming</x:v>
      </x:c>
      <x:c r="F11" s="29" t="str">
        <x:v>bakersfield:yer-local-bakersfield-hart-park;bakersfield:yer-local-bakersfield-calm;bakersfield:yer-local-bakersfield-lake-ming</x:v>
      </x:c>
      <x:c r="G11" s="29" t="str">
        <x:v>bakersfield:yer-local-bakersfield-hart-park</x:v>
      </x:c>
      <x:c r="H11" s="29" t="str">
        <x:v>Aynı bölgesel park sistemindeki üç durak arasında araç transferi gerekir. CALM ziyareti için güne erken başlamak, sıcak günlerdeki erken kapanışla uyumludur. Nehir ve göl kıyısı molaları yüzme programı olarak önerilmez.</x:v>
      </x:c>
      <x:c r="I11" s="31" t="d">
        <x:v>2026-10-24T00:00:00.000Z</x:v>
      </x:c>
      <x:c r="J11" s="29" t="str">
        <x:v>bakersfield:src:17795;bakersfield:src:17752;bakersfield:src:17674</x:v>
      </x:c>
      <x:c r="K11" s="35" t="n">
        <x:v>3</x:v>
      </x:c>
      <x:c r="L11" s="29" t="str">
        <x:v>İnceleme</x:v>
      </x:c>
    </x:row>
    <x:row r="12" ht="110" customHeight="1">
      <x:c r="A12" s="29" t="str">
        <x:v>bakersfield:route:5</x:v>
      </x:c>
      <x:c r="B12" s="29" t="str">
        <x:v>bakersfield</x:v>
      </x:c>
      <x:c r="C12" s="29" t="str">
        <x:v>River Walk'tan Marketplace'e</x:v>
      </x:c>
      <x:c r="D12" s="29" t="str">
        <x:v>Yürüyüş ve araç bağlantısı · yarım gün</x:v>
      </x:c>
      <x:c r="E12" s="29" t="str">
        <x:v>The Park at River Walk
Dignity Health Amphitheatre
The Marketplace Bakersfield</x:v>
      </x:c>
      <x:c r="F12" s="29" t="str">
        <x:v>bakersfield:yer-local-bakersfield-river-walk;bakersfield:yer-local-bakersfield-riverwalk-amphitheatre;bakersfield:yer-local-bakersfield-marketplace</x:v>
      </x:c>
      <x:c r="G12" s="29" t="str">
        <x:v>bakersfield:yer-local-bakersfield-river-walk</x:v>
      </x:c>
      <x:c r="H12" s="29" t="str">
        <x:v>Park içindeki gölet turunu ve sahnenin dış çevresini yürüyerek gez; yemek veya alışveriş için Marketplace'e ayrı transfer yap. Konser varsa bilet ve etkinlik saati park yürüyüşünden ayrı planlanır.</x:v>
      </x:c>
      <x:c r="I12" s="31" t="d">
        <x:v>2026-10-24T00:00:00.000Z</x:v>
      </x:c>
      <x:c r="J12" s="29" t="str">
        <x:v>bakersfield:src:17687;bakersfield:src:17766;bakersfield:src:17791</x:v>
      </x:c>
      <x:c r="K12" s="35" t="n">
        <x:v>4</x:v>
      </x:c>
      <x:c r="L12" s="29" t="str">
        <x:v>İnceleme</x:v>
      </x:c>
    </x:row>
    <x:row r="13" ht="124" customHeight="1">
      <x:c r="A13" s="29" t="str">
        <x:v>bakersfield:route:6</x:v>
      </x:c>
      <x:c r="B13" s="29" t="str">
        <x:v>bakersfield</x:v>
      </x:c>
      <x:c r="C13" s="29" t="str">
        <x:v>Downtown’da müzik akşamı</x:v>
      </x:c>
      <x:c r="D13" s="29" t="str">
        <x:v>Yürüyüş · akşam</x:v>
      </x:c>
      <x:c r="E13" s="29" t="str">
        <x:v>Dagny's Coffee
Historic Bakersfield Fox Theater
The Nile Theater
Guthrie's Alley Cat</x:v>
      </x:c>
      <x:c r="F13" s="29" t="str">
        <x:v>bakersfield:yer-local-bakersfield-dagnys;bakersfield:yer-local-bakersfield-fox-theater;bakersfield:yer-local-bakersfield-nile-theater;bakersfield:yer-local-bakersfield-alley-cat</x:v>
      </x:c>
      <x:c r="G13" s="29" t="str">
        <x:v>bakersfield:yer-local-bakersfield-dagnys</x:v>
      </x:c>
      <x:c r="H13" s="29" t="str">
        <x:v>Kafede buluşup Fox veya Nile’da bir etkinlik seçebilirsin. Salonların ikisi için aynı gece gösteri planlanmaz; diğer duraklar sokak gezisi ve yetişkinler için akşam molası seçenekleridir. Downtown içindeki bu rota, araçla uzak bir bölge yolculuğu gerektirmez.</x:v>
      </x:c>
      <x:c r="I13" s="31" t="d">
        <x:v>2026-10-24T00:00:00.000Z</x:v>
      </x:c>
      <x:c r="J13" s="29" t="str">
        <x:v>bakersfield:src:17776;bakersfield:src:17753;bakersfield:src:17783</x:v>
      </x:c>
      <x:c r="K13" s="35" t="n">
        <x:v>5</x:v>
      </x:c>
      <x:c r="L13" s="29" t="str">
        <x:v>İnceleme</x:v>
      </x:c>
    </x:row>
    <x:row r="14" ht="110" customHeight="1">
      <x:c r="A14" s="29" t="str">
        <x:v>bakersfield:route:7</x:v>
      </x:c>
      <x:c r="B14" s="29" t="str">
        <x:v>bakersfield</x:v>
      </x:c>
      <x:c r="C14" s="29" t="str">
        <x:v>Panorama’da kampüs ve açık hava</x:v>
      </x:c>
      <x:c r="D14" s="29" t="str">
        <x:v>Kampüs yürüyüşü ve kısa transfer</x:v>
      </x:c>
      <x:c r="E14" s="29" t="str">
        <x:v>Bakersfield College Kampüsü
Memorial Stadium – Bakersfield College
Panorama Park – The Bluffs</x:v>
      </x:c>
      <x:c r="F14" s="29" t="str">
        <x:v>bakersfield:yer-local-bakersfield-bakersfield-college;bakersfield:yer-local-bakersfield-memorial-stadium;bakersfield:yer-local-bakersfield-panorama-park</x:v>
      </x:c>
      <x:c r="G14" s="29" t="str">
        <x:v>bakersfield:yer-local-bakersfield-bakersfield-college</x:v>
      </x:c>
      <x:c r="H14" s="29" t="str">
        <x:v>Kampüsün halka açık çevresinden başlayıp Memorial Stadium’u dışarıdan görerek Panorama Drive blöflerine geç. Stadyum içi deneyim maç programına bağlıdır. Yürüyüşü sıcak saatler dışında yapmak, açık ve gölgesiz bölümlerde daha rahattır.</x:v>
      </x:c>
      <x:c r="I14" s="31" t="d">
        <x:v>2026-10-24T00:00:00.000Z</x:v>
      </x:c>
      <x:c r="J14" s="29" t="str">
        <x:v>bakersfield:src:17662;bakersfield:src:17799;bakersfield:src:17796</x:v>
      </x:c>
      <x:c r="K14" s="35" t="n">
        <x:v>6</x:v>
      </x:c>
      <x:c r="L14" s="29" t="str">
        <x:v>İnceleme</x:v>
      </x:c>
    </x:row>
    <x:row r="15" ht="96" customHeight="1">
      <x:c r="A15" s="29" t="str">
        <x:v>bakersfield:route:8</x:v>
      </x:c>
      <x:c r="B15" s="29" t="str">
        <x:v>bakersfield</x:v>
      </x:c>
      <x:c r="C15" s="29" t="str">
        <x:v>Taft'ta petrol ve kent tarihi</x:v>
      </x:c>
      <x:c r="D15" s="29" t="str">
        <x:v>Araçla · tam gün</x:v>
      </x:c>
      <x:c r="E15" s="29" t="str">
        <x:v>West Kern Oil Museum
The Historic Fort – Taft
Taft Fox Theatre</x:v>
      </x:c>
      <x:c r="F15" s="29" t="str">
        <x:v>bakersfield:yer-local-bakersfield-west-kern-oil;bakersfield:yer-local-bakersfield-taft-fort;bakersfield:yer-local-bakersfield-taft-fox</x:v>
      </x:c>
      <x:c r="G15" s="29" t="str">
        <x:v>bakersfield:yer-local-bakersfield-west-kern-oil</x:v>
      </x:c>
      <x:c r="H15" s="29" t="str">
        <x:v>West Kern Oil Museum'un cuma veya cumartesi ziyaretini ana durak yap. The Fort'un dış mimarisi ve Center Street'teki Fox çevresi kent gezisini tamamlar. Etkinlik salonlarının içine giriş kendi programlarına bağlıdır.</x:v>
      </x:c>
      <x:c r="I15" s="31" t="d">
        <x:v>2026-10-24T00:00:00.000Z</x:v>
      </x:c>
      <x:c r="J15" s="29" t="str">
        <x:v>bakersfield:src:17824;bakersfield:src:17825;bakersfield:src:17826</x:v>
      </x:c>
      <x:c r="K15" s="35" t="n">
        <x:v>7</x:v>
      </x:c>
      <x:c r="L15" s="29" t="str">
        <x:v>İnceleme</x:v>
      </x:c>
    </x:row>
    <x:row r="16" ht="96" customHeight="1">
      <x:c r="A16" s="29" t="str">
        <x:v>bakersfield:route:9</x:v>
      </x:c>
      <x:c r="B16" s="29" t="str">
        <x:v>bakersfield</x:v>
      </x:c>
      <x:c r="C16" s="29" t="str">
        <x:v>Shafter'da istasyondan havacılığa</x:v>
      </x:c>
      <x:c r="D16" s="29" t="str">
        <x:v>Araçla · yarım veya tam gün</x:v>
      </x:c>
      <x:c r="E16" s="29" t="str">
        <x:v>Shafter Depot Museum
Historic Green Hotel
Minter Field Air Museum</x:v>
      </x:c>
      <x:c r="F16" s="29" t="str">
        <x:v>bakersfield:yer-local-bakersfield-shafter-depot;bakersfield:yer-local-bakersfield-green-hotel;bakersfield:yer-local-bakersfield-minter-field</x:v>
      </x:c>
      <x:c r="G16" s="29" t="str">
        <x:v>bakersfield:yer-local-bakersfield-shafter-depot</x:v>
      </x:c>
      <x:c r="H16" s="29" t="str">
        <x:v>Depot ve Green Hotel merkezde birlikte ele alınabilir; Minter Field için kasaba dışına araçla geçilir. Green Hotel turu randevuludur. Müze ziyaretlerini aynı gün açılış düzenine göre birleştirmek gerekir.</x:v>
      </x:c>
      <x:c r="I16" s="31" t="d">
        <x:v>2026-10-24T00:00:00.000Z</x:v>
      </x:c>
      <x:c r="J16" s="29" t="str">
        <x:v>bakersfield:src:17822;bakersfield:src:17823;bakersfield:src:17821</x:v>
      </x:c>
      <x:c r="K16" s="35" t="n">
        <x:v>8</x:v>
      </x:c>
      <x:c r="L16" s="29" t="str">
        <x:v>İnceleme</x:v>
      </x:c>
    </x:row>
    <x:row r="17" ht="82" customHeight="1">
      <x:c r="A17" s="29" t="str">
        <x:v>bakersfield:route:10</x:v>
      </x:c>
      <x:c r="B17" s="29" t="str">
        <x:v>bakersfield</x:v>
      </x:c>
      <x:c r="C17" s="29" t="str">
        <x:v>Tehachapi’de sahne ve ev tarihi</x:v>
      </x:c>
      <x:c r="D17" s="29" t="str">
        <x:v>Yürüyüş · yarım gün</x:v>
      </x:c>
      <x:c r="E17" s="29" t="str">
        <x:v>BeeKay Theatre
Errea House Museum</x:v>
      </x:c>
      <x:c r="F17" s="29" t="str">
        <x:v>bakersfield:yer-local-bakersfield-beekay-theatre;bakersfield:yer-local-bakersfield-errea-house</x:v>
      </x:c>
      <x:c r="G17" s="29" t="str">
        <x:v>bakersfield:yer-local-bakersfield-beekay-theatre</x:v>
      </x:c>
      <x:c r="H17" s="29" t="str">
        <x:v>South Green Street üzerindeki tarihî tiyatro ile Errea House’u aynı merkez gezisinde birleştir. Gösteri akşamı ve müze iç ziyareti kendi programlarına bağlıdır. Bakersfield’dan gidiş-dönüş araç yolculuğu bu kısa merkez yürüyüşünden ayrıdır.</x:v>
      </x:c>
      <x:c r="I17" s="31" t="d">
        <x:v>2026-10-24T00:00:00.000Z</x:v>
      </x:c>
      <x:c r="J17" s="29" t="str">
        <x:v>bakersfield:src:17827;bakersfield:src:17828</x:v>
      </x:c>
      <x:c r="K17" s="35" t="n">
        <x:v>9</x:v>
      </x:c>
      <x:c r="L17" s="29" t="str">
        <x:v>İnceleme</x:v>
      </x:c>
    </x:row>
    <x:row r="18" ht="96" customHeight="1">
      <x:c r="A18" s="29" t="str">
        <x:v>bakersfield:route:11</x:v>
      </x:c>
      <x:c r="B18" s="29" t="str">
        <x:v>bakersfield</x:v>
      </x:c>
      <x:c r="C18" s="29" t="str">
        <x:v>Kern River Valley’de kültür ve kasaba</x:v>
      </x:c>
      <x:c r="D18" s="29" t="str">
        <x:v>Araçla · tam gün</x:v>
      </x:c>
      <x:c r="E18" s="29" t="str">
        <x:v>Silver City Ghost Town
Nuui Cunni Native American Intertribal Cultural Center
Riverside Park – Kernville</x:v>
      </x:c>
      <x:c r="F18" s="29" t="str">
        <x:v>bakersfield:yer-local-bakersfield-silver-city;bakersfield:yer-local-bakersfield-nuui-cunni;bakersfield:yer-local-bakersfield-kernville-riverside</x:v>
      </x:c>
      <x:c r="G18" s="29" t="str">
        <x:v>bakersfield:yer-local-bakersfield-silver-city</x:v>
      </x:c>
      <x:c r="H18" s="29" t="str">
        <x:v>Bodfish’teki tarihî yapı yerleşkesinden Lake Isabella çevresindeki kültür merkezine ve Kernville’in nehir kıyısına geç. Duraklar arasında araç gerekir; iç sergileri kurumların açık olduğu günlerle birleştir. Riverside Park molası akıntılı nehirde yüzme programı değildir.</x:v>
      </x:c>
      <x:c r="I18" s="31" t="d">
        <x:v>2026-10-24T00:00:00.000Z</x:v>
      </x:c>
      <x:c r="J18" s="29" t="str">
        <x:v>bakersfield:src:17830;bakersfield:src:17831;bakersfield:src:17898</x:v>
      </x:c>
      <x:c r="K18" s="35" t="n">
        <x:v>10</x:v>
      </x:c>
      <x:c r="L18" s="29" t="str">
        <x:v>İnceleme</x:v>
      </x:c>
    </x:row>
    <x:row r="19" ht="82" customHeight="1">
      <x:c r="A19" s="29" t="str">
        <x:v>bakersfield:route:12</x:v>
      </x:c>
      <x:c r="B19" s="29" t="str">
        <x:v>bakersfield</x:v>
      </x:c>
      <x:c r="C19" s="29" t="str">
        <x:v>Dağ eteğinden tarihî kaleye</x:v>
      </x:c>
      <x:c r="D19" s="29" t="str">
        <x:v>Araçla · tam gün</x:v>
      </x:c>
      <x:c r="E19" s="29" t="str">
        <x:v>Wind Wolves Preserve
Fort Tejon State Historic Park</x:v>
      </x:c>
      <x:c r="F19" s="29" t="str">
        <x:v>bakersfield:yer-local-bakersfield-wind-wolves;bakersfield:yer-local-bakersfield-fort-tejon</x:v>
      </x:c>
      <x:c r="G19" s="29" t="str">
        <x:v>bakersfield:yer-local-bakersfield-wind-wolves</x:v>
      </x:c>
      <x:c r="H19" s="29" t="str">
        <x:v>Sabah Wind Wolves'ta kısa ve açık bir parkur seçip ardından I-5 yönündeki Fort Tejon'a geçebilirsin. İki yer bitişik değildir; yol ve sergi saatleri için geniş zaman bırak. Yoğun sıcaklık veya dağ yolu koşullarında tek duraklı bir güne indirilebilir.</x:v>
      </x:c>
      <x:c r="I19" s="31" t="d">
        <x:v>2026-10-24T00:00:00.000Z</x:v>
      </x:c>
      <x:c r="J19" s="29" t="str">
        <x:v>bakersfield:src:17816;bakersfield:src:17818</x:v>
      </x:c>
      <x:c r="K19" s="35" t="n">
        <x:v>11</x:v>
      </x:c>
      <x:c r="L19" s="29" t="str">
        <x:v>İnceleme</x:v>
      </x:c>
    </x:row>
    <x:row r="20" ht="54" customHeight="1">
      <x:c r="A20" s="29"/>
      <x:c r="B20" s="29"/>
      <x:c r="C20" s="29"/>
      <x:c r="D20" s="29"/>
      <x:c r="E20" s="29"/>
      <x:c r="F20" s="29"/>
      <x:c r="G20" s="29"/>
      <x:c r="H20" s="29"/>
      <x:c r="I20" s="31"/>
      <x:c r="J20" s="29"/>
      <x:c r="K20" s="35"/>
      <x:c r="L20" s="29"/>
    </x:row>
    <x:row r="21" ht="54" customHeight="1">
      <x:c r="A21" s="29"/>
      <x:c r="B21" s="29"/>
      <x:c r="C21" s="29"/>
      <x:c r="D21" s="29"/>
      <x:c r="E21" s="29"/>
      <x:c r="F21" s="29"/>
      <x:c r="G21" s="29"/>
      <x:c r="H21" s="29"/>
      <x:c r="I21" s="31"/>
      <x:c r="J21" s="29"/>
      <x:c r="K21" s="35"/>
      <x:c r="L21" s="29"/>
    </x:row>
  </x:sheetData>
  <x:mergeCells>
    <x:mergeCell ref="A3:H3"/>
  </x:mergeCells>
  <x:conditionalFormatting sqref="A8:A21">
    <x:cfRule type="expression" dxfId="81" priority="1">
      <x:formula>AND($A8&lt;&gt;"",ISBLANK(A8))</x:formula>
    </x:cfRule>
  </x:conditionalFormatting>
  <x:conditionalFormatting sqref="B8:B21">
    <x:cfRule type="expression" dxfId="82" priority="2">
      <x:formula>AND($A8&lt;&gt;"",ISBLANK(B8))</x:formula>
    </x:cfRule>
  </x:conditionalFormatting>
  <x:conditionalFormatting sqref="C8:C21">
    <x:cfRule type="expression" dxfId="83" priority="3">
      <x:formula>AND($A8&lt;&gt;"",ISBLANK(C8))</x:formula>
    </x:cfRule>
  </x:conditionalFormatting>
  <x:conditionalFormatting sqref="D8:D21">
    <x:cfRule type="expression" dxfId="84" priority="4">
      <x:formula>AND($A8&lt;&gt;"",ISBLANK(D8))</x:formula>
    </x:cfRule>
  </x:conditionalFormatting>
  <x:conditionalFormatting sqref="E8:E21">
    <x:cfRule type="expression" dxfId="85" priority="5">
      <x:formula>AND($A8&lt;&gt;"",ISBLANK(E8))</x:formula>
    </x:cfRule>
  </x:conditionalFormatting>
  <x:conditionalFormatting sqref="G8:G21">
    <x:cfRule type="expression" dxfId="86" priority="6">
      <x:formula>AND($A8&lt;&gt;"",ISBLANK(G8))</x:formula>
    </x:cfRule>
  </x:conditionalFormatting>
  <x:conditionalFormatting sqref="H8:H21">
    <x:cfRule type="expression" dxfId="87" priority="7">
      <x:formula>AND($A8&lt;&gt;"",ISBLANK(H8))</x:formula>
    </x:cfRule>
  </x:conditionalFormatting>
  <x:conditionalFormatting sqref="I8:I21">
    <x:cfRule type="expression" dxfId="88" priority="8">
      <x:formula>AND($A8&lt;&gt;"",ISBLANK(I8))</x:formula>
    </x:cfRule>
  </x:conditionalFormatting>
  <x:conditionalFormatting sqref="J8:J21">
    <x:cfRule type="expression" dxfId="89" priority="9">
      <x:formula>AND($A8&lt;&gt;"",ISBLANK(J8))</x:formula>
    </x:cfRule>
  </x:conditionalFormatting>
  <x:conditionalFormatting sqref="K8:K21">
    <x:cfRule type="expression" dxfId="90" priority="10">
      <x:formula>AND($A8&lt;&gt;"",ISBLANK(K8))</x:formula>
    </x:cfRule>
  </x:conditionalFormatting>
  <x:conditionalFormatting sqref="L8:L21">
    <x:cfRule type="expression" dxfId="91" priority="11">
      <x:formula>AND($A8&lt;&gt;"",ISBLANK(L8))</x:formula>
    </x:cfRule>
  </x:conditionalFormatting>
  <x:dataValidations count="1">
    <x:dataValidation type="list" sqref="L8:L21">
      <x:formula1>"Taslak,İnceleme,Düzeltme,Onaylandı"</x:formula1>
    </x:dataValidation>
  </x:dataValidations>
  <x:pageMargins left="0.7" right="0.7" top="0.75" bottom="0.75" header="0.3" footer="0.3"/>
  <x:tableParts count="1">
    <x:tablePart xmlns:r="http://schemas.openxmlformats.org/officeDocument/2006/relationships" r:id="R03e2ceb255394533"/>
  </x:tableParts>
</x:worksheet>
</file>

<file path=xl/worksheets/sheet10.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58" hidden="0" customWidth="1"/>
    <x:col min="5" max="5" width="28" hidden="0" customWidth="1"/>
    <x:col min="6" max="6" width="20" hidden="0" customWidth="1"/>
    <x:col min="7" max="7" width="28" hidden="0" customWidth="1"/>
    <x:col min="8" max="8" width="28" hidden="0" customWidth="1"/>
  </x:cols>
  <x:sheetData>
    <x:row r="1" ht="30" customHeight="1">
      <x:c r="A1" s="2"/>
      <x:c r="B1" s="2"/>
      <x:c r="C1" s="2"/>
      <x:c r="D1" s="2"/>
      <x:c r="E1" s="2"/>
      <x:c r="F1" s="2"/>
      <x:c r="G1" s="2"/>
      <x:c r="H1" s="2"/>
    </x:row>
    <x:row r="2" ht="30" customHeight="1">
      <x:c r="A2" s="19" t="str">
        <x:v>Corteqs · Yerel terimler sözlüğü</x:v>
      </x:c>
      <x:c r="B2" s="2"/>
      <x:c r="C2" s="2"/>
      <x:c r="D2" s="2"/>
      <x:c r="E2" s="2"/>
      <x:c r="F2" s="2"/>
      <x:c r="G2" s="2"/>
      <x:c r="H2" s="2"/>
    </x:row>
    <x:row r="3" ht="36" customHeight="1">
      <x:c r="A3" s="20" t="str">
        <x:v>Türkçe başlığı okuyun; veriyi 8. satırdan yazın. 7. satırdaki alan adını ve sayfa adını değiştirmeyin.</x:v>
      </x:c>
      <x:c r="B3" s="20"/>
      <x:c r="C3" s="20"/>
      <x:c r="D3" s="20"/>
      <x:c r="E3" s="20"/>
      <x:c r="F3" s="20"/>
      <x:c r="G3" s="20"/>
      <x:c r="H3" s="20"/>
    </x:row>
    <x:row r="4" ht="30" customHeight="1">
      <x:c r="A4" s="21"/>
      <x:c r="B4" s="21"/>
      <x:c r="C4" s="21"/>
      <x:c r="D4" s="21"/>
      <x:c r="E4" s="21"/>
      <x:c r="F4" s="21"/>
      <x:c r="G4" s="21"/>
      <x:c r="H4" s="21"/>
    </x:row>
    <x:row r="5" ht="26" customHeight="1">
      <x:c r="A5" s="22" t="str">
        <x:v>Zorunlu</x:v>
      </x:c>
      <x:c r="B5" s="22" t="str">
        <x:v>Zorunlu</x:v>
      </x:c>
      <x:c r="C5" s="22" t="str">
        <x:v>Zorunlu</x:v>
      </x:c>
      <x:c r="D5" s="22" t="str">
        <x:v>Zorunlu</x:v>
      </x:c>
      <x:c r="E5" s="22" t="str">
        <x:v>Zorunlu · ; ile</x:v>
      </x:c>
      <x:c r="F5" s="22" t="str">
        <x:v>Zorunlu · tarih</x:v>
      </x:c>
      <x:c r="G5" s="22" t="str">
        <x:v>Zorunlu</x:v>
      </x:c>
      <x:c r="H5" s="22" t="str">
        <x:v>Zorunlu</x:v>
      </x:c>
    </x:row>
    <x:row r="6" ht="44" customHeight="1">
      <x:c r="A6" s="25" t="str">
        <x:v>Terim kimliği</x:v>
      </x:c>
      <x:c r="B6" s="25" t="str">
        <x:v>Şehir kimliği</x:v>
      </x:c>
      <x:c r="C6" s="25" t="str">
        <x:v>Yerel terim</x:v>
      </x:c>
      <x:c r="D6" s="25" t="str">
        <x:v>Türkçe açıklama</x:v>
      </x:c>
      <x:c r="E6" s="25" t="str">
        <x:v>Kaynak kimlikleri</x:v>
      </x:c>
      <x:c r="F6" s="25" t="str">
        <x:v>Terim kontrol tarihi</x:v>
      </x:c>
      <x:c r="G6" s="25" t="str">
        <x:v>Sıra</x:v>
      </x:c>
      <x:c r="H6" s="25" t="str">
        <x:v>Editör durumu</x:v>
      </x:c>
    </x:row>
    <x:row r="7" ht="32" customHeight="1">
      <x:c r="A7" s="28" t="str">
        <x:v>term_id</x:v>
      </x:c>
      <x:c r="B7" s="28" t="str">
        <x:v>city_id</x:v>
      </x:c>
      <x:c r="C7" s="28" t="str">
        <x:v>term</x:v>
      </x:c>
      <x:c r="D7" s="28" t="str">
        <x:v>definition</x:v>
      </x:c>
      <x:c r="E7" s="28" t="str">
        <x:v>source_ids</x:v>
      </x:c>
      <x:c r="F7" s="28" t="str">
        <x:v>reviewed_on</x:v>
      </x:c>
      <x:c r="G7" s="28" t="str">
        <x:v>order</x:v>
      </x:c>
      <x:c r="H7" s="28" t="str">
        <x:v>editorial_status</x:v>
      </x:c>
    </x:row>
    <x:row r="8" ht="54" customHeight="1">
      <x:c r="A8" s="29" t="str">
        <x:v>bakersfield:term:1</x:v>
      </x:c>
      <x:c r="B8" s="29" t="str">
        <x:v>bakersfield</x:v>
      </x:c>
      <x:c r="C8" s="29" t="str">
        <x:v>USCIS</x:v>
      </x:c>
      <x:c r="D8" s="29" t="str">
        <x:v>Göçmenlik ve vatandaşlık işlemlerini yürüten federal kurum; belediye değildir.</x:v>
      </x:c>
      <x:c r="E8" s="29" t="str">
        <x:v>bakersfield:src:6545</x:v>
      </x:c>
      <x:c r="F8" s="31" t="d">
        <x:v>2026-10-24T00:00:00.000Z</x:v>
      </x:c>
      <x:c r="G8" s="35" t="n">
        <x:v>0</x:v>
      </x:c>
      <x:c r="H8" s="29" t="str">
        <x:v>İnceleme</x:v>
      </x:c>
    </x:row>
    <x:row r="9" ht="54" customHeight="1">
      <x:c r="A9" s="29" t="str">
        <x:v>bakersfield:term:2</x:v>
      </x:c>
      <x:c r="B9" s="29" t="str">
        <x:v>bakersfield</x:v>
      </x:c>
      <x:c r="C9" s="29" t="str">
        <x:v>CBP</x:v>
      </x:c>
      <x:c r="D9" s="29" t="str">
        <x:v>Sınır kabulü ve I-94 giriş kaydından sorumlu federal kurum.</x:v>
      </x:c>
      <x:c r="E9" s="29" t="str">
        <x:v>bakersfield:src:6275</x:v>
      </x:c>
      <x:c r="F9" s="31" t="d">
        <x:v>2026-10-24T00:00:00.000Z</x:v>
      </x:c>
      <x:c r="G9" s="35" t="n">
        <x:v>1</x:v>
      </x:c>
      <x:c r="H9" s="29" t="str">
        <x:v>İnceleme</x:v>
      </x:c>
    </x:row>
    <x:row r="10" ht="54" customHeight="1">
      <x:c r="A10" s="29" t="str">
        <x:v>bakersfield:term:3</x:v>
      </x:c>
      <x:c r="B10" s="29" t="str">
        <x:v>bakersfield</x:v>
      </x:c>
      <x:c r="C10" s="29" t="str">
        <x:v>I-94</x:v>
      </x:c>
      <x:c r="D10" s="29" t="str">
        <x:v>ABD'ye kabul sınıfını ve izin verilen kalış süresini gösteren kayıt.</x:v>
      </x:c>
      <x:c r="E10" s="29" t="str">
        <x:v>bakersfield:src:6275</x:v>
      </x:c>
      <x:c r="F10" s="31" t="d">
        <x:v>2026-10-24T00:00:00.000Z</x:v>
      </x:c>
      <x:c r="G10" s="35" t="n">
        <x:v>2</x:v>
      </x:c>
      <x:c r="H10" s="29" t="str">
        <x:v>İnceleme</x:v>
      </x:c>
    </x:row>
    <x:row r="11" ht="54" customHeight="1">
      <x:c r="A11" s="29" t="str">
        <x:v>bakersfield:term:4</x:v>
      </x:c>
      <x:c r="B11" s="29" t="str">
        <x:v>bakersfield</x:v>
      </x:c>
      <x:c r="C11" s="29" t="str">
        <x:v>D/S</x:v>
      </x:c>
      <x:c r="D11" s="29" t="str">
        <x:v>Duration of Status; belirli bir bitiş günü yerine ilgili statünün koşullarına bağlı kalışı belirtir.</x:v>
      </x:c>
      <x:c r="E11" s="29" t="str">
        <x:v>bakersfield:src:6275</x:v>
      </x:c>
      <x:c r="F11" s="31" t="d">
        <x:v>2026-10-24T00:00:00.000Z</x:v>
      </x:c>
      <x:c r="G11" s="35" t="n">
        <x:v>3</x:v>
      </x:c>
      <x:c r="H11" s="29" t="str">
        <x:v>İnceleme</x:v>
      </x:c>
    </x:row>
    <x:row r="12" ht="54" customHeight="1">
      <x:c r="A12" s="29" t="str">
        <x:v>bakersfield:term:5</x:v>
      </x:c>
      <x:c r="B12" s="29" t="str">
        <x:v>bakersfield</x:v>
      </x:c>
      <x:c r="C12" s="29" t="str">
        <x:v>SSN</x:v>
      </x:c>
      <x:c r="D12" s="29" t="str">
        <x:v>Social Security Number; sosyal güvenlik ve vergi işlemlerinde kullanılan kişisel numara. Tek başına çalışma izni değildir.</x:v>
      </x:c>
      <x:c r="E12" s="29" t="str">
        <x:v>bakersfield:src:17608</x:v>
      </x:c>
      <x:c r="F12" s="31" t="d">
        <x:v>2026-10-24T00:00:00.000Z</x:v>
      </x:c>
      <x:c r="G12" s="35" t="n">
        <x:v>4</x:v>
      </x:c>
      <x:c r="H12" s="29" t="str">
        <x:v>İnceleme</x:v>
      </x:c>
    </x:row>
    <x:row r="13" ht="54" customHeight="1">
      <x:c r="A13" s="29" t="str">
        <x:v>bakersfield:term:6</x:v>
      </x:c>
      <x:c r="B13" s="29" t="str">
        <x:v>bakersfield</x:v>
      </x:c>
      <x:c r="C13" s="29" t="str">
        <x:v>ITIN</x:v>
      </x:c>
      <x:c r="D13" s="29" t="str">
        <x:v>SSN alamayan uygun kişiler için federal vergi kimlik numarası; çalışma veya göçmenlik yetkisi sağlamaz.</x:v>
      </x:c>
      <x:c r="E13" s="29" t="str">
        <x:v>bakersfield:src:17609</x:v>
      </x:c>
      <x:c r="F13" s="31" t="d">
        <x:v>2026-10-24T00:00:00.000Z</x:v>
      </x:c>
      <x:c r="G13" s="35" t="n">
        <x:v>5</x:v>
      </x:c>
      <x:c r="H13" s="29" t="str">
        <x:v>İnceleme</x:v>
      </x:c>
    </x:row>
    <x:row r="14" ht="54" customHeight="1">
      <x:c r="A14" s="29" t="str">
        <x:v>bakersfield:term:7</x:v>
      </x:c>
      <x:c r="B14" s="29" t="str">
        <x:v>bakersfield</x:v>
      </x:c>
      <x:c r="C14" s="29" t="str">
        <x:v>REAL ID</x:v>
      </x:c>
      <x:c r="D14" s="29" t="str">
        <x:v>Belirli federal kimlik kullanımları için standartları karşılayan eyalet kimliği veya ehliyeti. Göçmenlik statüsü belgesi değildir.</x:v>
      </x:c>
      <x:c r="E14" s="29" t="str">
        <x:v>bakersfield:src:6283</x:v>
      </x:c>
      <x:c r="F14" s="31" t="d">
        <x:v>2026-10-24T00:00:00.000Z</x:v>
      </x:c>
      <x:c r="G14" s="35" t="n">
        <x:v>6</x:v>
      </x:c>
      <x:c r="H14" s="29" t="str">
        <x:v>İnceleme</x:v>
      </x:c>
    </x:row>
    <x:row r="15" ht="54" customHeight="1">
      <x:c r="A15" s="29" t="str">
        <x:v>bakersfield:term:8</x:v>
      </x:c>
      <x:c r="B15" s="29" t="str">
        <x:v>bakersfield</x:v>
      </x:c>
      <x:c r="C15" s="29" t="str">
        <x:v>AB 60</x:v>
      </x:c>
      <x:c r="D15" s="29" t="str">
        <x:v>California'da federal yasal kalış kanıtı sunamayan uygun sürücülerin ehliyet başvuru yolu; federal kimlik yerine geçmez.</x:v>
      </x:c>
      <x:c r="E15" s="29" t="str">
        <x:v>bakersfield:src:17611</x:v>
      </x:c>
      <x:c r="F15" s="31" t="d">
        <x:v>2026-10-24T00:00:00.000Z</x:v>
      </x:c>
      <x:c r="G15" s="35" t="n">
        <x:v>7</x:v>
      </x:c>
      <x:c r="H15" s="29" t="str">
        <x:v>İnceleme</x:v>
      </x:c>
    </x:row>
    <x:row r="16" ht="54" customHeight="1">
      <x:c r="A16" s="29" t="str">
        <x:v>bakersfield:term:9</x:v>
      </x:c>
      <x:c r="B16" s="29" t="str">
        <x:v>bakersfield</x:v>
      </x:c>
      <x:c r="C16" s="29" t="str">
        <x:v>DMV</x:v>
      </x:c>
      <x:c r="D16" s="29" t="str">
        <x:v>California'da ehliyet, kimlik ve motorlu araç kayıt işlemlerini yürüten kurum.</x:v>
      </x:c>
      <x:c r="E16" s="29" t="str">
        <x:v>bakersfield:src:6282</x:v>
      </x:c>
      <x:c r="F16" s="31" t="d">
        <x:v>2026-10-24T00:00:00.000Z</x:v>
      </x:c>
      <x:c r="G16" s="35" t="n">
        <x:v>8</x:v>
      </x:c>
      <x:c r="H16" s="29" t="str">
        <x:v>İnceleme</x:v>
      </x:c>
    </x:row>
    <x:row r="17" ht="54" customHeight="1">
      <x:c r="A17" s="29" t="str">
        <x:v>bakersfield:term:10</x:v>
      </x:c>
      <x:c r="B17" s="29" t="str">
        <x:v>bakersfield</x:v>
      </x:c>
      <x:c r="C17" s="29" t="str">
        <x:v>Apostille</x:v>
      </x:c>
      <x:c r="D17" s="29" t="str">
        <x:v>Bir kamu belgesinin imza veya mührünü uluslararası kullanım için tasdik eden işlem; çeviri değildir.</x:v>
      </x:c>
      <x:c r="E17" s="29" t="str">
        <x:v>bakersfield:src:6284</x:v>
      </x:c>
      <x:c r="F17" s="31" t="d">
        <x:v>2026-10-24T00:00:00.000Z</x:v>
      </x:c>
      <x:c r="G17" s="35" t="n">
        <x:v>9</x:v>
      </x:c>
      <x:c r="H17" s="29" t="str">
        <x:v>İnceleme</x:v>
      </x:c>
    </x:row>
    <x:row r="18" ht="54" customHeight="1">
      <x:c r="A18" s="29" t="str">
        <x:v>bakersfield:term:11</x:v>
      </x:c>
      <x:c r="B18" s="29" t="str">
        <x:v>bakersfield</x:v>
      </x:c>
      <x:c r="C18" s="29" t="str">
        <x:v>City limits</x:v>
      </x:c>
      <x:c r="D18" s="29" t="str">
        <x:v>Belediyenin resmî yönetim sınırları; posta adresindeki Bakersfield adıyla her zaman aynı alanı göstermez.</x:v>
      </x:c>
      <x:c r="E18" s="29" t="str">
        <x:v>bakersfield:src:17603</x:v>
      </x:c>
      <x:c r="F18" s="31" t="d">
        <x:v>2026-10-24T00:00:00.000Z</x:v>
      </x:c>
      <x:c r="G18" s="35" t="n">
        <x:v>10</x:v>
      </x:c>
      <x:c r="H18" s="29" t="str">
        <x:v>İnceleme</x:v>
      </x:c>
    </x:row>
    <x:row r="19" ht="54" customHeight="1">
      <x:c r="A19" s="29" t="str">
        <x:v>bakersfield:term:12</x:v>
      </x:c>
      <x:c r="B19" s="29" t="str">
        <x:v>bakersfield</x:v>
      </x:c>
      <x:c r="C19" s="29" t="str">
        <x:v>Unincorporated area</x:v>
      </x:c>
      <x:c r="D19" s="29" t="str">
        <x:v>Bir belediyeye bağlı olmayan, ilgili yerel hizmetleri county üzerinden yürüten alan.</x:v>
      </x:c>
      <x:c r="E19" s="29" t="str">
        <x:v>bakersfield:src:17604</x:v>
      </x:c>
      <x:c r="F19" s="31" t="d">
        <x:v>2026-10-24T00:00:00.000Z</x:v>
      </x:c>
      <x:c r="G19" s="35" t="n">
        <x:v>11</x:v>
      </x:c>
      <x:c r="H19" s="29" t="str">
        <x:v>İnceleme</x:v>
      </x:c>
    </x:row>
    <x:row r="20" ht="54" customHeight="1">
      <x:c r="A20" s="29" t="str">
        <x:v>bakersfield:term:13</x:v>
      </x:c>
      <x:c r="B20" s="29" t="str">
        <x:v>bakersfield</x:v>
      </x:c>
      <x:c r="C20" s="29" t="str">
        <x:v>Lease</x:v>
      </x:c>
      <x:c r="D20" s="29" t="str">
        <x:v>Kira süresi, bedel, taraflar ve kullanım koşullarını belirleyen kira sözleşmesi.</x:v>
      </x:c>
      <x:c r="E20" s="29" t="str">
        <x:v>bakersfield:src:17617</x:v>
      </x:c>
      <x:c r="F20" s="31" t="d">
        <x:v>2026-10-24T00:00:00.000Z</x:v>
      </x:c>
      <x:c r="G20" s="35" t="n">
        <x:v>12</x:v>
      </x:c>
      <x:c r="H20" s="29" t="str">
        <x:v>İnceleme</x:v>
      </x:c>
    </x:row>
    <x:row r="21" ht="54" customHeight="1">
      <x:c r="A21" s="29" t="str">
        <x:v>bakersfield:term:14</x:v>
      </x:c>
      <x:c r="B21" s="29" t="str">
        <x:v>bakersfield</x:v>
      </x:c>
      <x:c r="C21" s="29" t="str">
        <x:v>Security deposit</x:v>
      </x:c>
      <x:c r="D21" s="29" t="str">
        <x:v>Kiracılık sonunda koşullara göre iade veya mahsup edilen güvence bedeli; otomatik son ay kirası değildir.</x:v>
      </x:c>
      <x:c r="E21" s="29" t="str">
        <x:v>bakersfield:src:17684</x:v>
      </x:c>
      <x:c r="F21" s="31" t="d">
        <x:v>2026-10-24T00:00:00.000Z</x:v>
      </x:c>
      <x:c r="G21" s="35" t="n">
        <x:v>13</x:v>
      </x:c>
      <x:c r="H21" s="29" t="str">
        <x:v>İnceleme</x:v>
      </x:c>
    </x:row>
    <x:row r="22" ht="54" customHeight="1">
      <x:c r="A22" s="29" t="str">
        <x:v>bakersfield:term:15</x:v>
      </x:c>
      <x:c r="B22" s="29" t="str">
        <x:v>bakersfield</x:v>
      </x:c>
      <x:c r="C22" s="29" t="str">
        <x:v>Application screening fee</x:v>
      </x:c>
      <x:c r="D22" s="29" t="str">
        <x:v>Kira adayının başvurusunu incelemek için alınabilen, California kurallarına tabi ücret.</x:v>
      </x:c>
      <x:c r="E22" s="29" t="str">
        <x:v>bakersfield:src:17685</x:v>
      </x:c>
      <x:c r="F22" s="31" t="d">
        <x:v>2026-10-24T00:00:00.000Z</x:v>
      </x:c>
      <x:c r="G22" s="35" t="n">
        <x:v>14</x:v>
      </x:c>
      <x:c r="H22" s="29" t="str">
        <x:v>İnceleme</x:v>
      </x:c>
    </x:row>
    <x:row r="23" ht="54" customHeight="1">
      <x:c r="A23" s="29" t="str">
        <x:v>bakersfield:term:16</x:v>
      </x:c>
      <x:c r="B23" s="29" t="str">
        <x:v>bakersfield</x:v>
      </x:c>
      <x:c r="C23" s="29" t="str">
        <x:v>Move-in inspection</x:v>
      </x:c>
      <x:c r="D23" s="29" t="str">
        <x:v>Eve girişte mevcut durumun, hasarın ve donanımın kaydedilmesi.</x:v>
      </x:c>
      <x:c r="E23" s="29" t="str">
        <x:v>bakersfield:src:17746</x:v>
      </x:c>
      <x:c r="F23" s="31" t="d">
        <x:v>2026-10-24T00:00:00.000Z</x:v>
      </x:c>
      <x:c r="G23" s="35" t="n">
        <x:v>15</x:v>
      </x:c>
      <x:c r="H23" s="29" t="str">
        <x:v>İnceleme</x:v>
      </x:c>
    </x:row>
    <x:row r="24" ht="54" customHeight="1">
      <x:c r="A24" s="29" t="str">
        <x:v>bakersfield:term:17</x:v>
      </x:c>
      <x:c r="B24" s="29" t="str">
        <x:v>bakersfield</x:v>
      </x:c>
      <x:c r="C24" s="29" t="str">
        <x:v>Itemized statement</x:v>
      </x:c>
      <x:c r="D24" s="29" t="str">
        <x:v>Depozito gibi bir tutardan yapılan kesintileri kalem kalem gösteren döküm.</x:v>
      </x:c>
      <x:c r="E24" s="29" t="str">
        <x:v>bakersfield:src:6290</x:v>
      </x:c>
      <x:c r="F24" s="31" t="d">
        <x:v>2026-10-24T00:00:00.000Z</x:v>
      </x:c>
      <x:c r="G24" s="35" t="n">
        <x:v>16</x:v>
      </x:c>
      <x:c r="H24" s="29" t="str">
        <x:v>İnceleme</x:v>
      </x:c>
    </x:row>
    <x:row r="25" ht="54" customHeight="1">
      <x:c r="A25" s="29" t="str">
        <x:v>bakersfield:term:18</x:v>
      </x:c>
      <x:c r="B25" s="29" t="str">
        <x:v>bakersfield</x:v>
      </x:c>
      <x:c r="C25" s="29" t="str">
        <x:v>Renters insurance</x:v>
      </x:c>
      <x:c r="D25" s="29" t="str">
        <x:v>Kiracının kişisel eşyası ve seçilen sorumlulukları için sigorta; ev sahibinin bina poliçesiyle aynı değildir.</x:v>
      </x:c>
      <x:c r="E25" s="29" t="str">
        <x:v>bakersfield:src:17686</x:v>
      </x:c>
      <x:c r="F25" s="31" t="d">
        <x:v>2026-10-24T00:00:00.000Z</x:v>
      </x:c>
      <x:c r="G25" s="35" t="n">
        <x:v>17</x:v>
      </x:c>
      <x:c r="H25" s="29" t="str">
        <x:v>İnceleme</x:v>
      </x:c>
    </x:row>
    <x:row r="26" ht="54" customHeight="1">
      <x:c r="A26" s="29" t="str">
        <x:v>bakersfield:term:19</x:v>
      </x:c>
      <x:c r="B26" s="29" t="str">
        <x:v>bakersfield</x:v>
      </x:c>
      <x:c r="C26" s="29" t="str">
        <x:v>Habitability</x:v>
      </x:c>
      <x:c r="D26" s="29" t="str">
        <x:v>Konutun yasal olarak yaşanabilir koşulları karşılaması; onarım yükümlülüklerinin temelidir.</x:v>
      </x:c>
      <x:c r="E26" s="29" t="str">
        <x:v>bakersfield:src:17689</x:v>
      </x:c>
      <x:c r="F26" s="31" t="d">
        <x:v>2026-10-24T00:00:00.000Z</x:v>
      </x:c>
      <x:c r="G26" s="35" t="n">
        <x:v>18</x:v>
      </x:c>
      <x:c r="H26" s="29" t="str">
        <x:v>İnceleme</x:v>
      </x:c>
    </x:row>
    <x:row r="27" ht="54" customHeight="1">
      <x:c r="A27" s="29" t="str">
        <x:v>bakersfield:term:20</x:v>
      </x:c>
      <x:c r="B27" s="29" t="str">
        <x:v>bakersfield</x:v>
      </x:c>
      <x:c r="C27" s="29" t="str">
        <x:v>PG&amp;E</x:v>
      </x:c>
      <x:c r="D27" s="29" t="str">
        <x:v>Bakersfield çevresinde adrese göre elektrik hizmeti sağlayan Pacific Gas and Electric Company.</x:v>
      </x:c>
      <x:c r="E27" s="29" t="str">
        <x:v>bakersfield:src:6816</x:v>
      </x:c>
      <x:c r="F27" s="31" t="d">
        <x:v>2026-10-24T00:00:00.000Z</x:v>
      </x:c>
      <x:c r="G27" s="35" t="n">
        <x:v>19</x:v>
      </x:c>
      <x:c r="H27" s="29" t="str">
        <x:v>İnceleme</x:v>
      </x:c>
    </x:row>
    <x:row r="28" ht="54" customHeight="1">
      <x:c r="A28" s="29" t="str">
        <x:v>bakersfield:term:21</x:v>
      </x:c>
      <x:c r="B28" s="29" t="str">
        <x:v>bakersfield</x:v>
      </x:c>
      <x:c r="C28" s="29" t="str">
        <x:v>SoCalGas</x:v>
      </x:c>
      <x:c r="D28" s="29" t="str">
        <x:v>Southern California Gas Company; doğal gaz hizmeti adrese göre değerlendirilir.</x:v>
      </x:c>
      <x:c r="E28" s="29" t="str">
        <x:v>bakersfield:src:6302</x:v>
      </x:c>
      <x:c r="F28" s="31" t="d">
        <x:v>2026-10-24T00:00:00.000Z</x:v>
      </x:c>
      <x:c r="G28" s="35" t="n">
        <x:v>20</x:v>
      </x:c>
      <x:c r="H28" s="29" t="str">
        <x:v>İnceleme</x:v>
      </x:c>
    </x:row>
    <x:row r="29" ht="54" customHeight="1">
      <x:c r="A29" s="29" t="str">
        <x:v>bakersfield:term:22</x:v>
      </x:c>
      <x:c r="B29" s="29" t="str">
        <x:v>bakersfield</x:v>
      </x:c>
      <x:c r="C29" s="29" t="str">
        <x:v>Cal Water</x:v>
      </x:c>
      <x:c r="D29" s="29" t="str">
        <x:v>California Water Service; Bakersfield'da hizmet bölgesine göre su sağlayıcısıdır.</x:v>
      </x:c>
      <x:c r="E29" s="29" t="str">
        <x:v>bakersfield:src:17625</x:v>
      </x:c>
      <x:c r="F29" s="31" t="d">
        <x:v>2026-10-24T00:00:00.000Z</x:v>
      </x:c>
      <x:c r="G29" s="35" t="n">
        <x:v>21</x:v>
      </x:c>
      <x:c r="H29" s="29" t="str">
        <x:v>İnceleme</x:v>
      </x:c>
    </x:row>
    <x:row r="30" ht="54" customHeight="1">
      <x:c r="A30" s="29" t="str">
        <x:v>bakersfield:term:23</x:v>
      </x:c>
      <x:c r="B30" s="29" t="str">
        <x:v>bakersfield</x:v>
      </x:c>
      <x:c r="C30" s="29" t="str">
        <x:v>CARE</x:v>
      </x:c>
      <x:c r="D30" s="29" t="str">
        <x:v>Gelir ve diğer uygunluk koşullarına bağlı California enerji faturası indirim programı.</x:v>
      </x:c>
      <x:c r="E30" s="29" t="str">
        <x:v>bakersfield:src:6824</x:v>
      </x:c>
      <x:c r="F30" s="31" t="d">
        <x:v>2026-10-24T00:00:00.000Z</x:v>
      </x:c>
      <x:c r="G30" s="35" t="n">
        <x:v>22</x:v>
      </x:c>
      <x:c r="H30" s="29" t="str">
        <x:v>İnceleme</x:v>
      </x:c>
    </x:row>
    <x:row r="31" ht="54" customHeight="1">
      <x:c r="A31" s="29" t="str">
        <x:v>bakersfield:term:24</x:v>
      </x:c>
      <x:c r="B31" s="29" t="str">
        <x:v>bakersfield</x:v>
      </x:c>
      <x:c r="C31" s="29" t="str">
        <x:v>Medical Baseline</x:v>
      </x:c>
      <x:c r="D31" s="29" t="str">
        <x:v>Uygun tıbbi ihtiyaçlar için ek temel enerji tahsisi programı; kesintisiz elektrik garantisi değildir.</x:v>
      </x:c>
      <x:c r="E31" s="29" t="str">
        <x:v>bakersfield:src:17623</x:v>
      </x:c>
      <x:c r="F31" s="31" t="d">
        <x:v>2026-10-24T00:00:00.000Z</x:v>
      </x:c>
      <x:c r="G31" s="35" t="n">
        <x:v>23</x:v>
      </x:c>
      <x:c r="H31" s="29" t="str">
        <x:v>İnceleme</x:v>
      </x:c>
    </x:row>
    <x:row r="32" ht="54" customHeight="1">
      <x:c r="A32" s="29" t="str">
        <x:v>bakersfield:term:25</x:v>
      </x:c>
      <x:c r="B32" s="29" t="str">
        <x:v>bakersfield</x:v>
      </x:c>
      <x:c r="C32" s="29" t="str">
        <x:v>APR</x:v>
      </x:c>
      <x:c r="D32" s="29" t="str">
        <x:v>Annual Percentage Rate; kredi maliyetinin yıllık yüzdeyle ifade edilen ölçüsü. Ürünün ücret koşulları ayrıca önemlidir.</x:v>
      </x:c>
      <x:c r="E32" s="29" t="str">
        <x:v>bakersfield:src:17748</x:v>
      </x:c>
      <x:c r="F32" s="31" t="d">
        <x:v>2026-10-24T00:00:00.000Z</x:v>
      </x:c>
      <x:c r="G32" s="35" t="n">
        <x:v>24</x:v>
      </x:c>
      <x:c r="H32" s="29" t="str">
        <x:v>İnceleme</x:v>
      </x:c>
    </x:row>
    <x:row r="33" ht="54" customHeight="1">
      <x:c r="A33" s="29" t="str">
        <x:v>bakersfield:term:26</x:v>
      </x:c>
      <x:c r="B33" s="29" t="str">
        <x:v>bakersfield</x:v>
      </x:c>
      <x:c r="C33" s="29" t="str">
        <x:v>Overdraft</x:v>
      </x:c>
      <x:c r="D33" s="29" t="str">
        <x:v>Hesap bakiyesini aşan işlemin banka tarafından karşılanması veya eksi bakiye oluşturması; ücret koşulları ürüne bağlıdır.</x:v>
      </x:c>
      <x:c r="E33" s="29" t="str">
        <x:v>bakersfield:src:17749</x:v>
      </x:c>
      <x:c r="F33" s="31" t="d">
        <x:v>2026-10-24T00:00:00.000Z</x:v>
      </x:c>
      <x:c r="G33" s="35" t="n">
        <x:v>25</x:v>
      </x:c>
      <x:c r="H33" s="29" t="str">
        <x:v>İnceleme</x:v>
      </x:c>
    </x:row>
    <x:row r="34" ht="54" customHeight="1">
      <x:c r="A34" s="29" t="str">
        <x:v>bakersfield:term:27</x:v>
      </x:c>
      <x:c r="B34" s="29" t="str">
        <x:v>bakersfield</x:v>
      </x:c>
      <x:c r="C34" s="29" t="str">
        <x:v>FDIC</x:v>
      </x:c>
      <x:c r="D34" s="29" t="str">
        <x:v>Uygun banka mevduatlarını belirli sahiplik kategorileri ve sınırlar içinde sigortalayan federal kurum.</x:v>
      </x:c>
      <x:c r="E34" s="29" t="str">
        <x:v>bakersfield:src:17630</x:v>
      </x:c>
      <x:c r="F34" s="31" t="d">
        <x:v>2026-10-24T00:00:00.000Z</x:v>
      </x:c>
      <x:c r="G34" s="35" t="n">
        <x:v>26</x:v>
      </x:c>
      <x:c r="H34" s="29" t="str">
        <x:v>İnceleme</x:v>
      </x:c>
    </x:row>
    <x:row r="35" ht="54" customHeight="1">
      <x:c r="A35" s="29" t="str">
        <x:v>bakersfield:term:28</x:v>
      </x:c>
      <x:c r="B35" s="29" t="str">
        <x:v>bakersfield</x:v>
      </x:c>
      <x:c r="C35" s="29" t="str">
        <x:v>Credit report</x:v>
      </x:c>
      <x:c r="D35" s="29" t="str">
        <x:v>Kredi hesapları ve ödeme geçmişi gibi bilgilerin bulunduğu rapor; kredi puanıyla aynı şey değildir.</x:v>
      </x:c>
      <x:c r="E35" s="29" t="str">
        <x:v>bakersfield:src:17909</x:v>
      </x:c>
      <x:c r="F35" s="31" t="d">
        <x:v>2026-10-24T00:00:00.000Z</x:v>
      </x:c>
      <x:c r="G35" s="35" t="n">
        <x:v>27</x:v>
      </x:c>
      <x:c r="H35" s="29" t="str">
        <x:v>İnceleme</x:v>
      </x:c>
    </x:row>
    <x:row r="36" ht="54" customHeight="1">
      <x:c r="A36" s="29" t="str">
        <x:v>bakersfield:term:29</x:v>
      </x:c>
      <x:c r="B36" s="29" t="str">
        <x:v>bakersfield</x:v>
      </x:c>
      <x:c r="C36" s="29" t="str">
        <x:v>Credit freeze</x:v>
      </x:c>
      <x:c r="D36" s="29" t="str">
        <x:v>Kredi dosyasına erişimi kısıtlayan ücretsiz güvenlik işlemi; mevcut borcu ortadan kaldırmaz.</x:v>
      </x:c>
      <x:c r="E36" s="29" t="str">
        <x:v>bakersfield:src:17910</x:v>
      </x:c>
      <x:c r="F36" s="31" t="d">
        <x:v>2026-10-24T00:00:00.000Z</x:v>
      </x:c>
      <x:c r="G36" s="35" t="n">
        <x:v>28</x:v>
      </x:c>
      <x:c r="H36" s="29" t="str">
        <x:v>İnceleme</x:v>
      </x:c>
    </x:row>
    <x:row r="37" ht="54" customHeight="1">
      <x:c r="A37" s="29" t="str">
        <x:v>bakersfield:term:30</x:v>
      </x:c>
      <x:c r="B37" s="29" t="str">
        <x:v>bakersfield</x:v>
      </x:c>
      <x:c r="C37" s="29" t="str">
        <x:v>W-4</x:v>
      </x:c>
      <x:c r="D37" s="29" t="str">
        <x:v>Çalışanın işverene verdiği federal gelir vergisi stopaj bilgilerini içeren form.</x:v>
      </x:c>
      <x:c r="E37" s="29" t="str">
        <x:v>bakersfield:src:17633</x:v>
      </x:c>
      <x:c r="F37" s="31" t="d">
        <x:v>2026-10-24T00:00:00.000Z</x:v>
      </x:c>
      <x:c r="G37" s="35" t="n">
        <x:v>29</x:v>
      </x:c>
      <x:c r="H37" s="29" t="str">
        <x:v>İnceleme</x:v>
      </x:c>
    </x:row>
    <x:row r="38" ht="54" customHeight="1">
      <x:c r="A38" s="29" t="str">
        <x:v>bakersfield:term:31</x:v>
      </x:c>
      <x:c r="B38" s="29" t="str">
        <x:v>bakersfield</x:v>
      </x:c>
      <x:c r="C38" s="29" t="str">
        <x:v>FTB</x:v>
      </x:c>
      <x:c r="D38" s="29" t="str">
        <x:v>California Franchise Tax Board; eyalet gelir vergisi işlemlerini yürüten kurum.</x:v>
      </x:c>
      <x:c r="E38" s="29" t="str">
        <x:v>bakersfield:src:17635</x:v>
      </x:c>
      <x:c r="F38" s="31" t="d">
        <x:v>2026-10-24T00:00:00.000Z</x:v>
      </x:c>
      <x:c r="G38" s="35" t="n">
        <x:v>30</x:v>
      </x:c>
      <x:c r="H38" s="29" t="str">
        <x:v>İnceleme</x:v>
      </x:c>
    </x:row>
    <x:row r="39" ht="54" customHeight="1">
      <x:c r="A39" s="29" t="str">
        <x:v>bakersfield:term:32</x:v>
      </x:c>
      <x:c r="B39" s="29" t="str">
        <x:v>bakersfield</x:v>
      </x:c>
      <x:c r="C39" s="29" t="str">
        <x:v>Sales tax</x:v>
      </x:c>
      <x:c r="D39" s="29" t="str">
        <x:v>Birçok ürünün satış fiyatına eklenen vergi; oran adres ve ürün türüne bağlıdır.</x:v>
      </x:c>
      <x:c r="E39" s="29" t="str">
        <x:v>bakersfield:src:6316</x:v>
      </x:c>
      <x:c r="F39" s="31" t="d">
        <x:v>2026-10-24T00:00:00.000Z</x:v>
      </x:c>
      <x:c r="G39" s="35" t="n">
        <x:v>31</x:v>
      </x:c>
      <x:c r="H39" s="29" t="str">
        <x:v>İnceleme</x:v>
      </x:c>
    </x:row>
    <x:row r="40" ht="54" customHeight="1">
      <x:c r="A40" s="29" t="str">
        <x:v>bakersfield:term:33</x:v>
      </x:c>
      <x:c r="B40" s="29" t="str">
        <x:v>bakersfield</x:v>
      </x:c>
      <x:c r="C40" s="29" t="str">
        <x:v>Medi-Cal</x:v>
      </x:c>
      <x:c r="D40" s="29" t="str">
        <x:v>California'nın uygun kişilere sağlık kapsamı sağlayan Medicaid programı.</x:v>
      </x:c>
      <x:c r="E40" s="29" t="str">
        <x:v>bakersfield:src:6847</x:v>
      </x:c>
      <x:c r="F40" s="31" t="d">
        <x:v>2026-10-24T00:00:00.000Z</x:v>
      </x:c>
      <x:c r="G40" s="35" t="n">
        <x:v>32</x:v>
      </x:c>
      <x:c r="H40" s="29" t="str">
        <x:v>İnceleme</x:v>
      </x:c>
    </x:row>
    <x:row r="41" ht="54" customHeight="1">
      <x:c r="A41" s="29" t="str">
        <x:v>bakersfield:term:34</x:v>
      </x:c>
      <x:c r="B41" s="29" t="str">
        <x:v>bakersfield</x:v>
      </x:c>
      <x:c r="C41" s="29" t="str">
        <x:v>Covered California</x:v>
      </x:c>
      <x:c r="D41" s="29" t="str">
        <x:v>Bireysel sağlık planlarının karşılaştırıldığı ve uygun desteğin başvurulduğu eyalet pazarı.</x:v>
      </x:c>
      <x:c r="E41" s="29" t="str">
        <x:v>bakersfield:src:6317</x:v>
      </x:c>
      <x:c r="F41" s="31" t="d">
        <x:v>2026-10-24T00:00:00.000Z</x:v>
      </x:c>
      <x:c r="G41" s="35" t="n">
        <x:v>33</x:v>
      </x:c>
      <x:c r="H41" s="29" t="str">
        <x:v>İnceleme</x:v>
      </x:c>
    </x:row>
    <x:row r="42" ht="54" customHeight="1">
      <x:c r="A42" s="29" t="str">
        <x:v>bakersfield:term:35</x:v>
      </x:c>
      <x:c r="B42" s="29" t="str">
        <x:v>bakersfield</x:v>
      </x:c>
      <x:c r="C42" s="29" t="str">
        <x:v>Premium</x:v>
      </x:c>
      <x:c r="D42" s="29" t="str">
        <x:v>Sağlık planını sürdürmek için düzenli ödenen prim; hizmet kullanma bedelleri bunun dışında olabilir.</x:v>
      </x:c>
      <x:c r="E42" s="29" t="str">
        <x:v>bakersfield:src:6844</x:v>
      </x:c>
      <x:c r="F42" s="31" t="d">
        <x:v>2026-10-24T00:00:00.000Z</x:v>
      </x:c>
      <x:c r="G42" s="35" t="n">
        <x:v>34</x:v>
      </x:c>
      <x:c r="H42" s="29" t="str">
        <x:v>İnceleme</x:v>
      </x:c>
    </x:row>
    <x:row r="43" ht="54" customHeight="1">
      <x:c r="A43" s="29" t="str">
        <x:v>bakersfield:term:36</x:v>
      </x:c>
      <x:c r="B43" s="29" t="str">
        <x:v>bakersfield</x:v>
      </x:c>
      <x:c r="C43" s="29" t="str">
        <x:v>Deductible</x:v>
      </x:c>
      <x:c r="D43" s="29" t="str">
        <x:v>Planın belirli hizmet ödemelerine başlamasından önce kişinin karşılaması gereken yıllık tutar; istisnalar planla belirlenir.</x:v>
      </x:c>
      <x:c r="E43" s="29" t="str">
        <x:v>bakersfield:src:6844</x:v>
      </x:c>
      <x:c r="F43" s="31" t="d">
        <x:v>2026-10-24T00:00:00.000Z</x:v>
      </x:c>
      <x:c r="G43" s="35" t="n">
        <x:v>35</x:v>
      </x:c>
      <x:c r="H43" s="29" t="str">
        <x:v>İnceleme</x:v>
      </x:c>
    </x:row>
    <x:row r="44" ht="54" customHeight="1">
      <x:c r="A44" s="29" t="str">
        <x:v>bakersfield:term:37</x:v>
      </x:c>
      <x:c r="B44" s="29" t="str">
        <x:v>bakersfield</x:v>
      </x:c>
      <x:c r="C44" s="29" t="str">
        <x:v>Copay</x:v>
      </x:c>
      <x:c r="D44" s="29" t="str">
        <x:v>Belirli sağlık hizmeti veya ilaç için planın tanımladığı sabit hasta payı.</x:v>
      </x:c>
      <x:c r="E44" s="29" t="str">
        <x:v>bakersfield:src:6844</x:v>
      </x:c>
      <x:c r="F44" s="31" t="d">
        <x:v>2026-10-24T00:00:00.000Z</x:v>
      </x:c>
      <x:c r="G44" s="35" t="n">
        <x:v>36</x:v>
      </x:c>
      <x:c r="H44" s="29" t="str">
        <x:v>İnceleme</x:v>
      </x:c>
    </x:row>
    <x:row r="45" ht="54" customHeight="1">
      <x:c r="A45" s="29" t="str">
        <x:v>bakersfield:term:38</x:v>
      </x:c>
      <x:c r="B45" s="29" t="str">
        <x:v>bakersfield</x:v>
      </x:c>
      <x:c r="C45" s="29" t="str">
        <x:v>Coinsurance</x:v>
      </x:c>
      <x:c r="D45" s="29" t="str">
        <x:v>Uygun sağlık giderinden kişinin yüzde olarak ödediği pay.</x:v>
      </x:c>
      <x:c r="E45" s="29" t="str">
        <x:v>bakersfield:src:6844</x:v>
      </x:c>
      <x:c r="F45" s="31" t="d">
        <x:v>2026-10-24T00:00:00.000Z</x:v>
      </x:c>
      <x:c r="G45" s="35" t="n">
        <x:v>37</x:v>
      </x:c>
      <x:c r="H45" s="29" t="str">
        <x:v>İnceleme</x:v>
      </x:c>
    </x:row>
    <x:row r="46" ht="54" customHeight="1">
      <x:c r="A46" s="29" t="str">
        <x:v>bakersfield:term:39</x:v>
      </x:c>
      <x:c r="B46" s="29" t="str">
        <x:v>bakersfield</x:v>
      </x:c>
      <x:c r="C46" s="29" t="str">
        <x:v>Provider network</x:v>
      </x:c>
      <x:c r="D46" s="29" t="str">
        <x:v>Sağlık planıyla anlaşmalı hekim, hastane ve diğer sağlayıcı ağı.</x:v>
      </x:c>
      <x:c r="E46" s="29" t="str">
        <x:v>bakersfield:src:17641</x:v>
      </x:c>
      <x:c r="F46" s="31" t="d">
        <x:v>2026-10-24T00:00:00.000Z</x:v>
      </x:c>
      <x:c r="G46" s="35" t="n">
        <x:v>38</x:v>
      </x:c>
      <x:c r="H46" s="29" t="str">
        <x:v>İnceleme</x:v>
      </x:c>
    </x:row>
    <x:row r="47" ht="54" customHeight="1">
      <x:c r="A47" s="29" t="str">
        <x:v>bakersfield:term:40</x:v>
      </x:c>
      <x:c r="B47" s="29" t="str">
        <x:v>bakersfield</x:v>
      </x:c>
      <x:c r="C47" s="29" t="str">
        <x:v>Primary care</x:v>
      </x:c>
      <x:c r="D47" s="29" t="str">
        <x:v>Rutin sağlık takibini ve gerektiğinde uzman yönlendirmesini yürüten birinci basamak bakım.</x:v>
      </x:c>
      <x:c r="E47" s="29" t="str">
        <x:v>bakersfield:src:17642</x:v>
      </x:c>
      <x:c r="F47" s="31" t="d">
        <x:v>2026-10-24T00:00:00.000Z</x:v>
      </x:c>
      <x:c r="G47" s="35" t="n">
        <x:v>39</x:v>
      </x:c>
      <x:c r="H47" s="29" t="str">
        <x:v>İnceleme</x:v>
      </x:c>
    </x:row>
    <x:row r="48" ht="54" customHeight="1">
      <x:c r="A48" s="29" t="str">
        <x:v>bakersfield:term:41</x:v>
      </x:c>
      <x:c r="B48" s="29" t="str">
        <x:v>bakersfield</x:v>
      </x:c>
      <x:c r="C48" s="29" t="str">
        <x:v>Urgent care</x:v>
      </x:c>
      <x:c r="D48" s="29" t="str">
        <x:v>Hayati tehlike oluşturmayan, kısa sürede değerlendirme gerektiren sağlık sorunlarına yönelik hizmet.</x:v>
      </x:c>
      <x:c r="E48" s="29" t="str">
        <x:v>bakersfield:src:17716</x:v>
      </x:c>
      <x:c r="F48" s="31" t="d">
        <x:v>2026-10-24T00:00:00.000Z</x:v>
      </x:c>
      <x:c r="G48" s="35" t="n">
        <x:v>40</x:v>
      </x:c>
      <x:c r="H48" s="29" t="str">
        <x:v>İnceleme</x:v>
      </x:c>
    </x:row>
    <x:row r="49" ht="54" customHeight="1">
      <x:c r="A49" s="29" t="str">
        <x:v>bakersfield:term:42</x:v>
      </x:c>
      <x:c r="B49" s="29" t="str">
        <x:v>bakersfield</x:v>
      </x:c>
      <x:c r="C49" s="29" t="str">
        <x:v>Emergency department</x:v>
      </x:c>
      <x:c r="D49" s="29" t="str">
        <x:v>Hayati tehlike veya ağır acil durumlar için hastane acil servisi.</x:v>
      </x:c>
      <x:c r="E49" s="29" t="str">
        <x:v>bakersfield:src:17716</x:v>
      </x:c>
      <x:c r="F49" s="31" t="d">
        <x:v>2026-10-24T00:00:00.000Z</x:v>
      </x:c>
      <x:c r="G49" s="35" t="n">
        <x:v>41</x:v>
      </x:c>
      <x:c r="H49" s="29" t="str">
        <x:v>İnceleme</x:v>
      </x:c>
    </x:row>
    <x:row r="50" ht="54" customHeight="1">
      <x:c r="A50" s="29" t="str">
        <x:v>bakersfield:term:43</x:v>
      </x:c>
      <x:c r="B50" s="29" t="str">
        <x:v>bakersfield</x:v>
      </x:c>
      <x:c r="C50" s="29" t="str">
        <x:v>Valley fever</x:v>
      </x:c>
      <x:c r="D50" s="29" t="str">
        <x:v>Topraktaki Coccidioides mantarının solunmasıyla gelişebilen hastalık; Kern County açısından önemli bir yerel sağlık konusudur.</x:v>
      </x:c>
      <x:c r="E50" s="29" t="str">
        <x:v>bakersfield:src:17645</x:v>
      </x:c>
      <x:c r="F50" s="31" t="d">
        <x:v>2026-10-24T00:00:00.000Z</x:v>
      </x:c>
      <x:c r="G50" s="35" t="n">
        <x:v>42</x:v>
      </x:c>
      <x:c r="H50" s="29" t="str">
        <x:v>İnceleme</x:v>
      </x:c>
    </x:row>
    <x:row r="51" ht="54" customHeight="1">
      <x:c r="A51" s="29" t="str">
        <x:v>bakersfield:term:44</x:v>
      </x:c>
      <x:c r="B51" s="29" t="str">
        <x:v>bakersfield</x:v>
      </x:c>
      <x:c r="C51" s="29" t="str">
        <x:v>Nonexempt employee</x:v>
      </x:c>
      <x:c r="D51" s="29" t="str">
        <x:v>İlgili ücret ve çalışma süresi korumalarına tabi çalışan sınıfı; unvan tek başına belirleyici değildir.</x:v>
      </x:c>
      <x:c r="E51" s="29" t="str">
        <x:v>bakersfield:src:17649</x:v>
      </x:c>
      <x:c r="F51" s="31" t="d">
        <x:v>2026-10-24T00:00:00.000Z</x:v>
      </x:c>
      <x:c r="G51" s="35" t="n">
        <x:v>43</x:v>
      </x:c>
      <x:c r="H51" s="29" t="str">
        <x:v>İnceleme</x:v>
      </x:c>
    </x:row>
    <x:row r="52" ht="54" customHeight="1">
      <x:c r="A52" s="29" t="str">
        <x:v>bakersfield:term:45</x:v>
      </x:c>
      <x:c r="B52" s="29" t="str">
        <x:v>bakersfield</x:v>
      </x:c>
      <x:c r="C52" s="29" t="str">
        <x:v>Overtime</x:v>
      </x:c>
      <x:c r="D52" s="29" t="str">
        <x:v>Uygun çalışan için kanunun belirlediği eşiklerin üzerindeki çalışmanın artırımlı ücretlendirilmesi.</x:v>
      </x:c>
      <x:c r="E52" s="29" t="str">
        <x:v>bakersfield:src:17649</x:v>
      </x:c>
      <x:c r="F52" s="31" t="d">
        <x:v>2026-10-24T00:00:00.000Z</x:v>
      </x:c>
      <x:c r="G52" s="35" t="n">
        <x:v>44</x:v>
      </x:c>
      <x:c r="H52" s="29" t="str">
        <x:v>İnceleme</x:v>
      </x:c>
    </x:row>
    <x:row r="53" ht="54" customHeight="1">
      <x:c r="A53" s="29" t="str">
        <x:v>bakersfield:term:46</x:v>
      </x:c>
      <x:c r="B53" s="29" t="str">
        <x:v>bakersfield</x:v>
      </x:c>
      <x:c r="C53" s="29" t="str">
        <x:v>Meal break</x:v>
      </x:c>
      <x:c r="D53" s="29" t="str">
        <x:v>California'da koşullara bağlı yemek molası; ücretli kısa dinlenme molasından farklıdır.</x:v>
      </x:c>
      <x:c r="E53" s="29" t="str">
        <x:v>bakersfield:src:6865</x:v>
      </x:c>
      <x:c r="F53" s="31" t="d">
        <x:v>2026-10-24T00:00:00.000Z</x:v>
      </x:c>
      <x:c r="G53" s="35" t="n">
        <x:v>45</x:v>
      </x:c>
      <x:c r="H53" s="29" t="str">
        <x:v>İnceleme</x:v>
      </x:c>
    </x:row>
    <x:row r="54" ht="54" customHeight="1">
      <x:c r="A54" s="29" t="str">
        <x:v>bakersfield:term:47</x:v>
      </x:c>
      <x:c r="B54" s="29" t="str">
        <x:v>bakersfield</x:v>
      </x:c>
      <x:c r="C54" s="29" t="str">
        <x:v>Paid sick leave</x:v>
      </x:c>
      <x:c r="D54" s="29" t="str">
        <x:v>Uygun sağlık ve bakım nedenleri için biriken veya sağlanan ücretli hastalık izni.</x:v>
      </x:c>
      <x:c r="E54" s="29" t="str">
        <x:v>bakersfield:src:6868</x:v>
      </x:c>
      <x:c r="F54" s="31" t="d">
        <x:v>2026-10-24T00:00:00.000Z</x:v>
      </x:c>
      <x:c r="G54" s="35" t="n">
        <x:v>46</x:v>
      </x:c>
      <x:c r="H54" s="29" t="str">
        <x:v>İnceleme</x:v>
      </x:c>
    </x:row>
    <x:row r="55" ht="54" customHeight="1">
      <x:c r="A55" s="29" t="str">
        <x:v>bakersfield:term:48</x:v>
      </x:c>
      <x:c r="B55" s="29" t="str">
        <x:v>bakersfield</x:v>
      </x:c>
      <x:c r="C55" s="29" t="str">
        <x:v>SDI</x:v>
      </x:c>
      <x:c r="D55" s="29" t="str">
        <x:v>State Disability Insurance; uygun kısa süreli iş dışı hastalık, yaralanma veya gebelik durumlarında gelir desteği.</x:v>
      </x:c>
      <x:c r="E55" s="29" t="str">
        <x:v>bakersfield:src:17650</x:v>
      </x:c>
      <x:c r="F55" s="31" t="d">
        <x:v>2026-10-24T00:00:00.000Z</x:v>
      </x:c>
      <x:c r="G55" s="35" t="n">
        <x:v>47</x:v>
      </x:c>
      <x:c r="H55" s="29" t="str">
        <x:v>İnceleme</x:v>
      </x:c>
    </x:row>
    <x:row r="56" ht="54" customHeight="1">
      <x:c r="A56" s="29" t="str">
        <x:v>bakersfield:term:49</x:v>
      </x:c>
      <x:c r="B56" s="29" t="str">
        <x:v>bakersfield</x:v>
      </x:c>
      <x:c r="C56" s="29" t="str">
        <x:v>PFL</x:v>
      </x:c>
      <x:c r="D56" s="29" t="str">
        <x:v>Paid Family Leave; uygun bakım veya aileye yeni çocuk katılması gibi nedenlerde gelir desteği. Tek başına iş güvencesi izni değildir.</x:v>
      </x:c>
      <x:c r="E56" s="29" t="str">
        <x:v>bakersfield:src:6877</x:v>
      </x:c>
      <x:c r="F56" s="31" t="d">
        <x:v>2026-10-24T00:00:00.000Z</x:v>
      </x:c>
      <x:c r="G56" s="35" t="n">
        <x:v>48</x:v>
      </x:c>
      <x:c r="H56" s="29" t="str">
        <x:v>İnceleme</x:v>
      </x:c>
    </x:row>
    <x:row r="57" ht="54" customHeight="1">
      <x:c r="A57" s="29" t="str">
        <x:v>bakersfield:term:50</x:v>
      </x:c>
      <x:c r="B57" s="29" t="str">
        <x:v>bakersfield</x:v>
      </x:c>
      <x:c r="C57" s="29" t="str">
        <x:v>Workers' compensation</x:v>
      </x:c>
      <x:c r="D57" s="29" t="str">
        <x:v>İşle bağlantılı hastalık veya yaralanmada tedavi ve uygun diğer hakları kapsayan sistem.</x:v>
      </x:c>
      <x:c r="E57" s="29" t="str">
        <x:v>bakersfield:src:6878</x:v>
      </x:c>
      <x:c r="F57" s="31" t="d">
        <x:v>2026-10-24T00:00:00.000Z</x:v>
      </x:c>
      <x:c r="G57" s="35" t="n">
        <x:v>49</x:v>
      </x:c>
      <x:c r="H57" s="29" t="str">
        <x:v>İnceleme</x:v>
      </x:c>
    </x:row>
    <x:row r="58" ht="54" customHeight="1">
      <x:c r="A58" s="29" t="str">
        <x:v>bakersfield:term:51</x:v>
      </x:c>
      <x:c r="B58" s="29" t="str">
        <x:v>bakersfield</x:v>
      </x:c>
      <x:c r="C58" s="29" t="str">
        <x:v>School district</x:v>
      </x:c>
      <x:c r="D58" s="29" t="str">
        <x:v>Okulların bağlı olduğu eğitim yönetim birimi; belediye sınırıyla aynı olmak zorunda değildir.</x:v>
      </x:c>
      <x:c r="E58" s="29" t="str">
        <x:v>bakersfield:src:17658</x:v>
      </x:c>
      <x:c r="F58" s="31" t="d">
        <x:v>2026-10-24T00:00:00.000Z</x:v>
      </x:c>
      <x:c r="G58" s="35" t="n">
        <x:v>50</x:v>
      </x:c>
      <x:c r="H58" s="29" t="str">
        <x:v>İnceleme</x:v>
      </x:c>
    </x:row>
    <x:row r="59" ht="54" customHeight="1">
      <x:c r="A59" s="29" t="str">
        <x:v>bakersfield:term:52</x:v>
      </x:c>
      <x:c r="B59" s="29" t="str">
        <x:v>bakersfield</x:v>
      </x:c>
      <x:c r="C59" s="29" t="str">
        <x:v>TK</x:v>
      </x:c>
      <x:c r="D59" s="29" t="str">
        <x:v>Transitional Kindergarten; California'nın kindergarten öncesindeki yaş koşullu kamu eğitimi yılı.</x:v>
      </x:c>
      <x:c r="E59" s="29" t="str">
        <x:v>bakersfield:src:17692</x:v>
      </x:c>
      <x:c r="F59" s="31" t="d">
        <x:v>2026-10-24T00:00:00.000Z</x:v>
      </x:c>
      <x:c r="G59" s="35" t="n">
        <x:v>51</x:v>
      </x:c>
      <x:c r="H59" s="29" t="str">
        <x:v>İnceleme</x:v>
      </x:c>
    </x:row>
    <x:row r="60" ht="54" customHeight="1">
      <x:c r="A60" s="29" t="str">
        <x:v>bakersfield:term:53</x:v>
      </x:c>
      <x:c r="B60" s="29" t="str">
        <x:v>bakersfield</x:v>
      </x:c>
      <x:c r="C60" s="29" t="str">
        <x:v>IEP</x:v>
      </x:c>
      <x:c r="D60" s="29" t="str">
        <x:v>Uygun özel eğitim ihtiyacı olan öğrenci için bireyselleştirilmiş eğitim programı.</x:v>
      </x:c>
      <x:c r="E60" s="29" t="str">
        <x:v>bakersfield:src:17661</x:v>
      </x:c>
      <x:c r="F60" s="31" t="d">
        <x:v>2026-10-24T00:00:00.000Z</x:v>
      </x:c>
      <x:c r="G60" s="35" t="n">
        <x:v>52</x:v>
      </x:c>
      <x:c r="H60" s="29" t="str">
        <x:v>İnceleme</x:v>
      </x:c>
    </x:row>
    <x:row r="61" ht="54" customHeight="1">
      <x:c r="A61" s="29" t="str">
        <x:v>bakersfield:term:54</x:v>
      </x:c>
      <x:c r="B61" s="29" t="str">
        <x:v>bakersfield</x:v>
      </x:c>
      <x:c r="C61" s="29" t="str">
        <x:v>English learner</x:v>
      </x:c>
      <x:c r="D61" s="29" t="str">
        <x:v>İngilizce yeterliği okulun değerlendirmesine göre dil desteği gerektiren öğrenci.</x:v>
      </x:c>
      <x:c r="E61" s="29" t="str">
        <x:v>bakersfield:src:17657</x:v>
      </x:c>
      <x:c r="F61" s="31" t="d">
        <x:v>2026-10-24T00:00:00.000Z</x:v>
      </x:c>
      <x:c r="G61" s="35" t="n">
        <x:v>53</x:v>
      </x:c>
      <x:c r="H61" s="29" t="str">
        <x:v>İnceleme</x:v>
      </x:c>
    </x:row>
    <x:row r="62" ht="54" customHeight="1">
      <x:c r="A62" s="29" t="str">
        <x:v>bakersfield:term:55</x:v>
      </x:c>
      <x:c r="B62" s="29" t="str">
        <x:v>bakersfield</x:v>
      </x:c>
      <x:c r="C62" s="29" t="str">
        <x:v>GET</x:v>
      </x:c>
      <x:c r="D62" s="29" t="str">
        <x:v>Golden Empire Transit; Bakersfield çevresindeki yerel otobüs sistemi.</x:v>
      </x:c>
      <x:c r="E62" s="29" t="str">
        <x:v>bakersfield:src:17665</x:v>
      </x:c>
      <x:c r="F62" s="31" t="d">
        <x:v>2026-10-24T00:00:00.000Z</x:v>
      </x:c>
      <x:c r="G62" s="35" t="n">
        <x:v>54</x:v>
      </x:c>
      <x:c r="H62" s="29" t="str">
        <x:v>İnceleme</x:v>
      </x:c>
    </x:row>
    <x:row r="63" ht="54" customHeight="1">
      <x:c r="A63" s="29" t="str">
        <x:v>bakersfield:term:56</x:v>
      </x:c>
      <x:c r="B63" s="29" t="str">
        <x:v>bakersfield</x:v>
      </x:c>
      <x:c r="C63" s="29" t="str">
        <x:v>GET-A-Lift</x:v>
      </x:c>
      <x:c r="D63" s="29" t="str">
        <x:v>Uygunluk değerlendirmesiyle erişilen, engellilik temelli paratransit hizmeti.</x:v>
      </x:c>
      <x:c r="E63" s="29" t="str">
        <x:v>bakersfield:src:17688</x:v>
      </x:c>
      <x:c r="F63" s="31" t="d">
        <x:v>2026-10-24T00:00:00.000Z</x:v>
      </x:c>
      <x:c r="G63" s="35" t="n">
        <x:v>55</x:v>
      </x:c>
      <x:c r="H63" s="29" t="str">
        <x:v>İnceleme</x:v>
      </x:c>
    </x:row>
    <x:row r="64" ht="54" customHeight="1">
      <x:c r="A64" s="29" t="str">
        <x:v>bakersfield:term:57</x:v>
      </x:c>
      <x:c r="B64" s="29" t="str">
        <x:v>bakersfield</x:v>
      </x:c>
      <x:c r="C64" s="29" t="str">
        <x:v>Kern Transit</x:v>
      </x:c>
      <x:c r="D64" s="29" t="str">
        <x:v>County içindeki yerleşimler arasında bölgesel ulaşım sağlayan sistem; GET'ten ayrıdır.</x:v>
      </x:c>
      <x:c r="E64" s="29" t="str">
        <x:v>bakersfield:src:17666</x:v>
      </x:c>
      <x:c r="F64" s="31" t="d">
        <x:v>2026-10-24T00:00:00.000Z</x:v>
      </x:c>
      <x:c r="G64" s="35" t="n">
        <x:v>56</x:v>
      </x:c>
      <x:c r="H64" s="29" t="str">
        <x:v>İnceleme</x:v>
      </x:c>
    </x:row>
    <x:row r="65" ht="54" customHeight="1">
      <x:c r="A65" s="29" t="str">
        <x:v>bakersfield:term:58</x:v>
      </x:c>
      <x:c r="B65" s="29" t="str">
        <x:v>bakersfield</x:v>
      </x:c>
      <x:c r="C65" s="29" t="str">
        <x:v>Smog check</x:v>
      </x:c>
      <x:c r="D65" s="29" t="str">
        <x:v>California araç kayıt koşullarında araç türüne göre istenen emisyon denetimi.</x:v>
      </x:c>
      <x:c r="E65" s="29" t="str">
        <x:v>bakersfield:src:17699</x:v>
      </x:c>
      <x:c r="F65" s="31" t="d">
        <x:v>2026-10-24T00:00:00.000Z</x:v>
      </x:c>
      <x:c r="G65" s="35" t="n">
        <x:v>57</x:v>
      </x:c>
      <x:c r="H65" s="29" t="str">
        <x:v>İnceleme</x:v>
      </x:c>
    </x:row>
    <x:row r="66" ht="54" customHeight="1">
      <x:c r="A66" s="29" t="str">
        <x:v>bakersfield:term:59</x:v>
      </x:c>
      <x:c r="B66" s="29" t="str">
        <x:v>bakersfield</x:v>
      </x:c>
      <x:c r="C66" s="29" t="str">
        <x:v>AQI</x:v>
      </x:c>
      <x:c r="D66" s="29" t="str">
        <x:v>Air Quality Index; hava kirleticilerinin düzeyini sağlık açısından yorumlamaya yardımcı endeks.</x:v>
      </x:c>
      <x:c r="E66" s="29" t="str">
        <x:v>bakersfield:src:17647</x:v>
      </x:c>
      <x:c r="F66" s="31" t="d">
        <x:v>2026-10-24T00:00:00.000Z</x:v>
      </x:c>
      <x:c r="G66" s="35" t="n">
        <x:v>58</x:v>
      </x:c>
      <x:c r="H66" s="29" t="str">
        <x:v>İnceleme</x:v>
      </x:c>
    </x:row>
    <x:row r="67" ht="54" customHeight="1">
      <x:c r="A67" s="29" t="str">
        <x:v>bakersfield:term:60</x:v>
      </x:c>
      <x:c r="B67" s="29" t="str">
        <x:v>bakersfield</x:v>
      </x:c>
      <x:c r="C67" s="29" t="str">
        <x:v>ReadyKern</x:v>
      </x:c>
      <x:c r="D67" s="29" t="str">
        <x:v>Kern County'nin yerel acil durum bildirimlerine kayıt sistemi.</x:v>
      </x:c>
      <x:c r="E67" s="29" t="str">
        <x:v>bakersfield:src:17672</x:v>
      </x:c>
      <x:c r="F67" s="31" t="d">
        <x:v>2026-10-24T00:00:00.000Z</x:v>
      </x:c>
      <x:c r="G67" s="35" t="n">
        <x:v>59</x:v>
      </x:c>
      <x:c r="H67" s="29" t="str">
        <x:v>İnceleme</x:v>
      </x:c>
    </x:row>
    <x:row r="68" ht="54" customHeight="1">
      <x:c r="A68" s="29"/>
      <x:c r="B68" s="29"/>
      <x:c r="C68" s="29"/>
      <x:c r="D68" s="29"/>
      <x:c r="E68" s="29"/>
      <x:c r="F68" s="31"/>
      <x:c r="G68" s="35"/>
      <x:c r="H68" s="29"/>
    </x:row>
    <x:row r="69" ht="54" customHeight="1">
      <x:c r="A69" s="29"/>
      <x:c r="B69" s="29"/>
      <x:c r="C69" s="29"/>
      <x:c r="D69" s="29"/>
      <x:c r="E69" s="29"/>
      <x:c r="F69" s="31"/>
      <x:c r="G69" s="35"/>
      <x:c r="H69" s="29"/>
    </x:row>
  </x:sheetData>
  <x:mergeCells>
    <x:mergeCell ref="A3:H3"/>
  </x:mergeCells>
  <x:conditionalFormatting sqref="A8:A69">
    <x:cfRule type="expression" dxfId="92" priority="1">
      <x:formula>AND($A8&lt;&gt;"",ISBLANK(A8))</x:formula>
    </x:cfRule>
  </x:conditionalFormatting>
  <x:conditionalFormatting sqref="B8:B69">
    <x:cfRule type="expression" dxfId="93" priority="2">
      <x:formula>AND($A8&lt;&gt;"",ISBLANK(B8))</x:formula>
    </x:cfRule>
  </x:conditionalFormatting>
  <x:conditionalFormatting sqref="C8:C69">
    <x:cfRule type="expression" dxfId="94" priority="3">
      <x:formula>AND($A8&lt;&gt;"",ISBLANK(C8))</x:formula>
    </x:cfRule>
  </x:conditionalFormatting>
  <x:conditionalFormatting sqref="D8:D69">
    <x:cfRule type="expression" dxfId="95" priority="4">
      <x:formula>AND($A8&lt;&gt;"",ISBLANK(D8))</x:formula>
    </x:cfRule>
  </x:conditionalFormatting>
  <x:conditionalFormatting sqref="E8:E69">
    <x:cfRule type="expression" dxfId="96" priority="5">
      <x:formula>AND($A8&lt;&gt;"",ISBLANK(E8))</x:formula>
    </x:cfRule>
  </x:conditionalFormatting>
  <x:conditionalFormatting sqref="F8:F69">
    <x:cfRule type="expression" dxfId="97" priority="6">
      <x:formula>AND($A8&lt;&gt;"",ISBLANK(F8))</x:formula>
    </x:cfRule>
  </x:conditionalFormatting>
  <x:conditionalFormatting sqref="G8:G69">
    <x:cfRule type="expression" dxfId="98" priority="7">
      <x:formula>AND($A8&lt;&gt;"",ISBLANK(G8))</x:formula>
    </x:cfRule>
  </x:conditionalFormatting>
  <x:conditionalFormatting sqref="H8:H69">
    <x:cfRule type="expression" dxfId="99" priority="8">
      <x:formula>AND($A8&lt;&gt;"",ISBLANK(H8))</x:formula>
    </x:cfRule>
  </x:conditionalFormatting>
  <x:dataValidations count="1">
    <x:dataValidation type="list" sqref="H8:H69">
      <x:formula1>"Taslak,İnceleme,Düzeltme,Onaylandı"</x:formula1>
    </x:dataValidation>
  </x:dataValidations>
  <x:pageMargins left="0.7" right="0.7" top="0.75" bottom="0.75" header="0.3" footer="0.3"/>
  <x:tableParts count="1">
    <x:tablePart xmlns:r="http://schemas.openxmlformats.org/officeDocument/2006/relationships" r:id="Ra36ff3accb3b45e2"/>
  </x:tableParts>
</x:worksheet>
</file>

<file path=xl/worksheets/sheet11.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s>
  <x:sheetData>
    <x:row r="1" ht="30" customHeight="1">
      <x:c r="A1" s="2"/>
      <x:c r="B1" s="2"/>
      <x:c r="C1" s="2"/>
      <x:c r="D1" s="2"/>
      <x:c r="E1" s="2"/>
      <x:c r="F1" s="2"/>
      <x:c r="G1" s="2"/>
    </x:row>
    <x:row r="2" ht="30" customHeight="1">
      <x:c r="A2" s="19" t="str">
        <x:v>Corteqs · Yerleşim yol haritası</x:v>
      </x:c>
      <x:c r="B2" s="2"/>
      <x:c r="C2" s="2"/>
      <x:c r="D2" s="2"/>
      <x:c r="E2" s="2"/>
      <x:c r="F2" s="2"/>
      <x:c r="G2" s="2"/>
    </x:row>
    <x:row r="3" ht="36" customHeight="1">
      <x:c r="A3" s="20" t="str">
        <x:v>Türkçe başlığı okuyun; veriyi 8. satırdan yazın. 7. satırdaki alan adını ve sayfa adını değiştirmeyin.</x:v>
      </x:c>
      <x:c r="B3" s="20"/>
      <x:c r="C3" s="20"/>
      <x:c r="D3" s="20"/>
      <x:c r="E3" s="20"/>
      <x:c r="F3" s="20"/>
      <x:c r="G3" s="20"/>
    </x:row>
    <x:row r="4" ht="30" customHeight="1">
      <x:c r="A4" s="21"/>
      <x:c r="B4" s="21"/>
      <x:c r="C4" s="21"/>
      <x:c r="D4" s="21"/>
      <x:c r="E4" s="21"/>
      <x:c r="F4" s="21"/>
      <x:c r="G4" s="21"/>
    </x:row>
    <x:row r="5" ht="26" customHeight="1">
      <x:c r="A5" s="22" t="str">
        <x:v>Zorunlu</x:v>
      </x:c>
      <x:c r="B5" s="22" t="str">
        <x:v>Zorunlu</x:v>
      </x:c>
      <x:c r="C5" s="22" t="str">
        <x:v>Zorunlu</x:v>
      </x:c>
      <x:c r="D5" s="22" t="str">
        <x:v>Zorunlu</x:v>
      </x:c>
      <x:c r="E5" s="22" t="str">
        <x:v>Zorunlu</x:v>
      </x:c>
      <x:c r="F5" s="22" t="str">
        <x:v>Zorunlu</x:v>
      </x:c>
      <x:c r="G5" s="22" t="str">
        <x:v>Zorunlu</x:v>
      </x:c>
    </x:row>
    <x:row r="6" ht="44" customHeight="1">
      <x:c r="A6" s="25" t="str">
        <x:v>Adım kimliği</x:v>
      </x:c>
      <x:c r="B6" s="25" t="str">
        <x:v>Şehir kimliği</x:v>
      </x:c>
      <x:c r="C6" s="25" t="str">
        <x:v>İçerik kimliği</x:v>
      </x:c>
      <x:c r="D6" s="25" t="str">
        <x:v>Adım başlığı</x:v>
      </x:c>
      <x:c r="E6" s="25" t="str">
        <x:v>Ne zaman</x:v>
      </x:c>
      <x:c r="F6" s="25" t="str">
        <x:v>Adım açıklaması</x:v>
      </x:c>
      <x:c r="G6" s="25" t="str">
        <x:v>Sıra</x:v>
      </x:c>
    </x:row>
    <x:row r="7" ht="32" customHeight="1">
      <x:c r="A7" s="28" t="str">
        <x:v>step_id</x:v>
      </x:c>
      <x:c r="B7" s="28" t="str">
        <x:v>city_id</x:v>
      </x:c>
      <x:c r="C7" s="28" t="str">
        <x:v>entry_id</x:v>
      </x:c>
      <x:c r="D7" s="28" t="str">
        <x:v>title</x:v>
      </x:c>
      <x:c r="E7" s="28" t="str">
        <x:v>when</x:v>
      </x:c>
      <x:c r="F7" s="28" t="str">
        <x:v>description</x:v>
      </x:c>
      <x:c r="G7" s="28" t="str">
        <x:v>order</x:v>
      </x:c>
    </x:row>
    <x:row r="8" ht="54" customHeight="1">
      <x:c r="A8" s="29" t="str">
        <x:v>bakersfield:step:331</x:v>
      </x:c>
      <x:c r="B8" s="29" t="str">
        <x:v>bakersfield</x:v>
      </x:c>
      <x:c r="C8" s="29" t="str">
        <x:v>bakersfield:ilk-belgeler</x:v>
      </x:c>
      <x:c r="D8" s="29" t="str">
        <x:v>Statünü ve belge dosyanı hazırla</x:v>
      </x:c>
      <x:c r="E8" s="29" t="str">
        <x:v>Taşınmadan önce</x:v>
      </x:c>
      <x:c r="F8" s="29" t="str">
        <x:v>Kimlik, giriş, aile, sağlık ve okul belgelerini kişi bazında düzenle.</x:v>
      </x:c>
      <x:c r="G8" s="35" t="n">
        <x:v>0</x:v>
      </x:c>
    </x:row>
    <x:row r="9" ht="54" customHeight="1">
      <x:c r="A9" s="29" t="str">
        <x:v>bakersfield:step:332</x:v>
      </x:c>
      <x:c r="B9" s="29" t="str">
        <x:v>bakersfield</x:v>
      </x:c>
      <x:c r="C9" s="29" t="str">
        <x:v>bakersfield:i94-kaydi</x:v>
      </x:c>
      <x:c r="D9" s="29" t="str">
        <x:v>Giriş ve adres kayıtlarını tamamla</x:v>
      </x:c>
      <x:c r="E9" s="29" t="str">
        <x:v>İlk günlerinde</x:v>
      </x:c>
      <x:c r="F9" s="29" t="str">
        <x:v>I-94, USCIS, USPS ve DMV işlemlerini ayrı takip et.</x:v>
      </x:c>
      <x:c r="G9" s="35" t="n">
        <x:v>1</x:v>
      </x:c>
    </x:row>
    <x:row r="10" ht="54" customHeight="1">
      <x:c r="A10" s="29" t="str">
        <x:v>bakersfield:step:333</x:v>
      </x:c>
      <x:c r="B10" s="29" t="str">
        <x:v>bakersfield</x:v>
      </x:c>
      <x:c r="C10" s="29" t="str">
        <x:v>bakersfield:saglik-plani</x:v>
      </x:c>
      <x:c r="D10" s="29" t="str">
        <x:v>Ev ve sağlık düzenini kur</x:v>
      </x:c>
      <x:c r="E10" s="29" t="str">
        <x:v>İlk haftalarında</x:v>
      </x:c>
      <x:c r="F10" s="29" t="str">
        <x:v>Sağlık kapsamını, ev hizmetlerini, okul kaydını ve işe gidişi birlikte planla.</x:v>
      </x:c>
      <x:c r="G10" s="35" t="n">
        <x:v>2</x:v>
      </x:c>
    </x:row>
    <x:row r="11" ht="54" customHeight="1">
      <x:c r="A11" s="29" t="str">
        <x:v>bakersfield:step:334</x:v>
      </x:c>
      <x:c r="B11" s="29" t="str">
        <x:v>bakersfield</x:v>
      </x:c>
      <x:c r="C11" s="29" t="str">
        <x:v>bakersfield:sehir-ilk-gezi</x:v>
      </x:c>
      <x:c r="D11" s="29" t="str">
        <x:v>Şehre zaman ayır</x:v>
      </x:c>
      <x:c r="E11" s="29" t="str">
        <x:v>Yerleşirken</x:v>
      </x:c>
      <x:c r="F11" s="29" t="str">
        <x:v>Kütüphane, park, sahne veya topluluk programından düzenli bir buluşma seç.</x:v>
      </x:c>
      <x:c r="G11" s="35" t="n">
        <x:v>3</x:v>
      </x:c>
    </x:row>
    <x:row r="12" ht="54" customHeight="1">
      <x:c r="A12" s="29"/>
      <x:c r="B12" s="29"/>
      <x:c r="C12" s="29"/>
      <x:c r="D12" s="29"/>
      <x:c r="E12" s="29"/>
      <x:c r="F12" s="29"/>
      <x:c r="G12" s="35"/>
    </x:row>
    <x:row r="13" ht="54" customHeight="1">
      <x:c r="A13" s="29"/>
      <x:c r="B13" s="29"/>
      <x:c r="C13" s="29"/>
      <x:c r="D13" s="29"/>
      <x:c r="E13" s="29"/>
      <x:c r="F13" s="29"/>
      <x:c r="G13" s="35"/>
    </x:row>
  </x:sheetData>
  <x:mergeCells>
    <x:mergeCell ref="A3:G3"/>
  </x:mergeCells>
  <x:conditionalFormatting sqref="A8:A13">
    <x:cfRule type="expression" dxfId="100" priority="1">
      <x:formula>AND($A8&lt;&gt;"",ISBLANK(A8))</x:formula>
    </x:cfRule>
  </x:conditionalFormatting>
  <x:conditionalFormatting sqref="B8:B13">
    <x:cfRule type="expression" dxfId="101" priority="2">
      <x:formula>AND($A8&lt;&gt;"",ISBLANK(B8))</x:formula>
    </x:cfRule>
  </x:conditionalFormatting>
  <x:conditionalFormatting sqref="C8:C13">
    <x:cfRule type="expression" dxfId="102" priority="3">
      <x:formula>AND($A8&lt;&gt;"",ISBLANK(C8))</x:formula>
    </x:cfRule>
  </x:conditionalFormatting>
  <x:conditionalFormatting sqref="D8:D13">
    <x:cfRule type="expression" dxfId="103" priority="4">
      <x:formula>AND($A8&lt;&gt;"",ISBLANK(D8))</x:formula>
    </x:cfRule>
  </x:conditionalFormatting>
  <x:conditionalFormatting sqref="E8:E13">
    <x:cfRule type="expression" dxfId="104" priority="5">
      <x:formula>AND($A8&lt;&gt;"",ISBLANK(E8))</x:formula>
    </x:cfRule>
  </x:conditionalFormatting>
  <x:conditionalFormatting sqref="F8:F13">
    <x:cfRule type="expression" dxfId="105" priority="6">
      <x:formula>AND($A8&lt;&gt;"",ISBLANK(F8))</x:formula>
    </x:cfRule>
  </x:conditionalFormatting>
  <x:conditionalFormatting sqref="G8:G13">
    <x:cfRule type="expression" dxfId="106" priority="7">
      <x:formula>AND($A8&lt;&gt;"",ISBLANK(G8))</x:formula>
    </x:cfRule>
  </x:conditionalFormatting>
  <x:pageMargins left="0.7" right="0.7" top="0.75" bottom="0.75" header="0.3" footer="0.3"/>
  <x:tableParts count="1">
    <x:tablePart xmlns:r="http://schemas.openxmlformats.org/officeDocument/2006/relationships" r:id="Rd584b0cd230e41f3"/>
  </x:tableParts>
</x:worksheet>
</file>

<file path=xl/worksheets/sheet1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28" hidden="0" customWidth="1"/>
    <x:col min="5" max="5" width="48" hidden="0" customWidth="1"/>
    <x:col min="6" max="6" width="20" hidden="0" customWidth="1"/>
    <x:col min="7" max="7" width="28" hidden="0" customWidth="1"/>
    <x:col min="8" max="8" width="58" hidden="0" customWidth="1"/>
    <x:col min="9" max="9" width="28" hidden="0" customWidth="1"/>
    <x:col min="10" max="10" width="28" hidden="0" customWidth="1"/>
    <x:col min="11" max="11" width="28" hidden="0" customWidth="1"/>
  </x:cols>
  <x:sheetData>
    <x:row r="1" ht="30" customHeight="1">
      <x:c r="A1" s="2"/>
      <x:c r="B1" s="2"/>
      <x:c r="C1" s="2"/>
      <x:c r="D1" s="2"/>
      <x:c r="E1" s="2"/>
      <x:c r="F1" s="2"/>
      <x:c r="G1" s="2"/>
      <x:c r="H1" s="2"/>
      <x:c r="I1" s="2"/>
      <x:c r="J1" s="2"/>
      <x:c r="K1" s="2"/>
    </x:row>
    <x:row r="2" ht="30" customHeight="1">
      <x:c r="A2" s="19" t="str">
        <x:v>Corteqs · Birincil bilgi kaynakları</x:v>
      </x:c>
      <x:c r="B2" s="2"/>
      <x:c r="C2" s="2"/>
      <x:c r="D2" s="2"/>
      <x:c r="E2" s="2"/>
      <x:c r="F2" s="2"/>
      <x:c r="G2" s="2"/>
      <x:c r="H2" s="2"/>
      <x:c r="I2" s="2"/>
      <x:c r="J2" s="2"/>
      <x:c r="K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row>
    <x:row r="4" ht="30" customHeight="1">
      <x:c r="A4" s="21"/>
      <x:c r="B4" s="21"/>
      <x:c r="C4" s="21"/>
      <x:c r="D4" s="21"/>
      <x:c r="E4" s="21"/>
      <x:c r="F4" s="21"/>
      <x:c r="G4" s="21"/>
      <x:c r="H4" s="21"/>
      <x:c r="I4" s="21"/>
      <x:c r="J4" s="21"/>
      <x:c r="K4" s="21"/>
    </x:row>
    <x:row r="5" ht="26" customHeight="1">
      <x:c r="A5" s="22" t="str">
        <x:v>Zorunlu</x:v>
      </x:c>
      <x:c r="B5" s="22" t="str">
        <x:v>Zorunlu</x:v>
      </x:c>
      <x:c r="C5" s="22" t="str">
        <x:v>Zorunlu</x:v>
      </x:c>
      <x:c r="D5" s="22" t="str">
        <x:v>Zorunlu</x:v>
      </x:c>
      <x:c r="E5" s="22" t="str">
        <x:v>Zorunlu</x:v>
      </x:c>
      <x:c r="F5" s="22" t="str">
        <x:v>Zorunlu · tarih</x:v>
      </x:c>
      <x:c r="G5" s="22" t="str">
        <x:v>İsteğe bağlı</x:v>
      </x:c>
      <x:c r="H5" s="22" t="str">
        <x:v>İsteğe bağlı</x:v>
      </x:c>
      <x:c r="I5" s="22" t="str">
        <x:v>Zorunlu</x:v>
      </x:c>
      <x:c r="J5" s="22" t="str">
        <x:v>İsteğe bağlı</x:v>
      </x:c>
      <x:c r="K5" s="22" t="str">
        <x:v>İsteğe bağlı</x:v>
      </x:c>
    </x:row>
    <x:row r="6" ht="44" customHeight="1">
      <x:c r="A6" s="25" t="str">
        <x:v>Kaynak kimliği</x:v>
      </x:c>
      <x:c r="B6" s="25" t="str">
        <x:v>Şehir kimliği</x:v>
      </x:c>
      <x:c r="C6" s="25" t="str">
        <x:v>Kaynak başlığı</x:v>
      </x:c>
      <x:c r="D6" s="25" t="str">
        <x:v>Yayıncı / kurum</x:v>
      </x:c>
      <x:c r="E6" s="25" t="str">
        <x:v>Kaynak bağlantısı</x:v>
      </x:c>
      <x:c r="F6" s="25" t="str">
        <x:v>Kaynak kontrol tarihi</x:v>
      </x:c>
      <x:c r="G6" s="25" t="str">
        <x:v>Araştırma konusu</x:v>
      </x:c>
      <x:c r="H6" s="25" t="str">
        <x:v>Türkçe araştırma notu</x:v>
      </x:c>
      <x:c r="I6" s="25" t="str">
        <x:v>Kaynak notu incelendi</x:v>
      </x:c>
      <x:c r="J6" s="25" t="str">
        <x:v>Varsa kaynak kanıt dosyası</x:v>
      </x:c>
      <x:c r="K6" s="25" t="str">
        <x:v>Varsa kanıt SHA-256</x:v>
      </x:c>
    </x:row>
    <x:row r="7" ht="32" customHeight="1">
      <x:c r="A7" s="28" t="str">
        <x:v>source_id</x:v>
      </x:c>
      <x:c r="B7" s="28" t="str">
        <x:v>city_id</x:v>
      </x:c>
      <x:c r="C7" s="28" t="str">
        <x:v>title</x:v>
      </x:c>
      <x:c r="D7" s="28" t="str">
        <x:v>publisher</x:v>
      </x:c>
      <x:c r="E7" s="28" t="str">
        <x:v>url</x:v>
      </x:c>
      <x:c r="F7" s="28" t="str">
        <x:v>checked_on</x:v>
      </x:c>
      <x:c r="G7" s="28" t="str">
        <x:v>topic</x:v>
      </x:c>
      <x:c r="H7" s="28" t="str">
        <x:v>summary</x:v>
      </x:c>
      <x:c r="I7" s="28" t="str">
        <x:v>verified</x:v>
      </x:c>
      <x:c r="J7" s="28" t="str">
        <x:v>snapshot_file</x:v>
      </x:c>
      <x:c r="K7" s="28" t="str">
        <x:v>snapshot_sha256</x:v>
      </x:c>
    </x:row>
    <x:row r="8" ht="54" customHeight="1">
      <x:c r="A8" s="29" t="str">
        <x:v>bakersfield:src:113</x:v>
      </x:c>
      <x:c r="B8" s="29" t="str">
        <x:v>bakersfield</x:v>
      </x:c>
      <x:c r="C8" s="29" t="str">
        <x:v>Konsolosluk randevu sistemi</x:v>
      </x:c>
      <x:c r="D8" s="29" t="str">
        <x:v>T.C. Dışişleri Bakanlığı</x:v>
      </x:c>
      <x:c r="E8" s="29" t="str">
        <x:v>https://www.konsolosluk.gov.tr/</x:v>
      </x:c>
      <x:c r="F8" s="31" t="d">
        <x:v>2026-10-06T00:00:00.000Z</x:v>
      </x:c>
      <x:c r="G8" s="29"/>
      <x:c r="H8" s="29" t="str">
        <x:v>İlgili içerik veya mekân kaydıyla eşleştirilen kaynak notu incelendi. AI öz denetimi; otomatik HTTP erişim sonucu ayrı source-access kayıtlarında tutulur.</x:v>
      </x:c>
      <x:c r="I8" s="29" t="str">
        <x:v>Evet</x:v>
      </x:c>
      <x:c r="J8" s="29"/>
      <x:c r="K8" s="29"/>
    </x:row>
    <x:row r="9" ht="54" customHeight="1">
      <x:c r="A9" s="29" t="str">
        <x:v>bakersfield:src:6150</x:v>
      </x:c>
      <x:c r="B9" s="29" t="str">
        <x:v>bakersfield</x:v>
      </x:c>
      <x:c r="C9" s="29" t="str">
        <x:v>e-Devlet hizmetlerine git</x:v>
      </x:c>
      <x:c r="D9" s="29" t="str">
        <x:v>Türkiye Cumhuriyeti e-Devlet</x:v>
      </x:c>
      <x:c r="E9" s="29" t="str">
        <x:v>https://www.turkiye.gov.tr/</x:v>
      </x:c>
      <x:c r="F9" s="31" t="d">
        <x:v>2026-10-10T00:00:00.000Z</x:v>
      </x:c>
      <x:c r="G9" s="29"/>
      <x:c r="H9" s="29" t="str">
        <x:v>İlgili içerik veya mekân kaydıyla eşleştirilen kaynak notu incelendi. AI öz denetimi; otomatik HTTP erişim sonucu ayrı source-access kayıtlarında tutulur.</x:v>
      </x:c>
      <x:c r="I9" s="29" t="str">
        <x:v>Evet</x:v>
      </x:c>
      <x:c r="J9" s="29"/>
      <x:c r="K9" s="29"/>
    </x:row>
    <x:row r="10" ht="54" customHeight="1">
      <x:c r="A10" s="29" t="str">
        <x:v>bakersfield:src:6275</x:v>
      </x:c>
      <x:c r="B10" s="29" t="str">
        <x:v>bakersfield</x:v>
      </x:c>
      <x:c r="C10" s="29" t="str">
        <x:v>I-94 giriş ve kalış kaydı</x:v>
      </x:c>
      <x:c r="D10" s="29" t="str">
        <x:v>CBP</x:v>
      </x:c>
      <x:c r="E10" s="29" t="str">
        <x:v>https://i94.cbp.dhs.gov/help</x:v>
      </x:c>
      <x:c r="F10" s="31" t="d">
        <x:v>2026-10-10T00:00:00.000Z</x:v>
      </x:c>
      <x:c r="G10" s="29"/>
      <x:c r="H10" s="29" t="str">
        <x:v>İlgili içerik veya mekân kaydıyla eşleştirilen kaynak notu incelendi. AI öz denetimi; otomatik HTTP erişim sonucu ayrı source-access kayıtlarında tutulur.</x:v>
      </x:c>
      <x:c r="I10" s="29" t="str">
        <x:v>Evet</x:v>
      </x:c>
      <x:c r="J10" s="29"/>
      <x:c r="K10" s="29"/>
    </x:row>
    <x:row r="11" ht="54" customHeight="1">
      <x:c r="A11" s="29" t="str">
        <x:v>bakersfield:src:6276</x:v>
      </x:c>
      <x:c r="B11" s="29" t="str">
        <x:v>bakersfield</x:v>
      </x:c>
      <x:c r="C11" s="29" t="str">
        <x:v>Adres değişikliği</x:v>
      </x:c>
      <x:c r="D11" s="29" t="str">
        <x:v>USCIS</x:v>
      </x:c>
      <x:c r="E11" s="29" t="str">
        <x:v>https://www.uscis.gov/addresschange</x:v>
      </x:c>
      <x:c r="F11" s="31" t="d">
        <x:v>2026-10-10T00:00:00.000Z</x:v>
      </x:c>
      <x:c r="G11" s="29"/>
      <x:c r="H11" s="29" t="str">
        <x:v>İlgili içerik veya mekân kaydıyla eşleştirilen kaynak notu incelendi. AI öz denetimi; otomatik HTTP erişim sonucu ayrı source-access kayıtlarında tutulur.</x:v>
      </x:c>
      <x:c r="I11" s="29" t="str">
        <x:v>Evet</x:v>
      </x:c>
      <x:c r="J11" s="29"/>
      <x:c r="K11" s="29"/>
    </x:row>
    <x:row r="12" ht="54" customHeight="1">
      <x:c r="A12" s="29" t="str">
        <x:v>bakersfield:src:6278</x:v>
      </x:c>
      <x:c r="B12" s="29" t="str">
        <x:v>bakersfield</x:v>
      </x:c>
      <x:c r="C12" s="29" t="str">
        <x:v>Çalışma yetkisi</x:v>
      </x:c>
      <x:c r="D12" s="29" t="str">
        <x:v>USCIS</x:v>
      </x:c>
      <x:c r="E12" s="29" t="str">
        <x:v>https://www.uscis.gov/working-in-the-united-states</x:v>
      </x:c>
      <x:c r="F12" s="31" t="d">
        <x:v>2026-10-10T00:00:00.000Z</x:v>
      </x:c>
      <x:c r="G12" s="29"/>
      <x:c r="H12" s="29" t="str">
        <x:v>İlgili içerik veya mekân kaydıyla eşleştirilen kaynak notu incelendi. AI öz denetimi; otomatik HTTP erişim sonucu ayrı source-access kayıtlarında tutulur.</x:v>
      </x:c>
      <x:c r="I12" s="29" t="str">
        <x:v>Evet</x:v>
      </x:c>
      <x:c r="J12" s="29"/>
      <x:c r="K12" s="29"/>
    </x:row>
    <x:row r="13" ht="54" customHeight="1">
      <x:c r="A13" s="29" t="str">
        <x:v>bakersfield:src:6281</x:v>
      </x:c>
      <x:c r="B13" s="29" t="str">
        <x:v>bakersfield</x:v>
      </x:c>
      <x:c r="C13" s="29" t="str">
        <x:v>İlk sosyal güvenlik numarası</x:v>
      </x:c>
      <x:c r="D13" s="29" t="str">
        <x:v>Social Security Administration</x:v>
      </x:c>
      <x:c r="E13" s="29" t="str">
        <x:v>https://www.ssa.gov/number-card/request-number-first-time</x:v>
      </x:c>
      <x:c r="F13" s="31" t="d">
        <x:v>2026-10-10T00:00:00.000Z</x:v>
      </x:c>
      <x:c r="G13" s="29"/>
      <x:c r="H13" s="29" t="str">
        <x:v>İlgili içerik veya mekân kaydıyla eşleştirilen kaynak notu incelendi. AI öz denetimi; otomatik HTTP erişim sonucu ayrı source-access kayıtlarında tutulur.</x:v>
      </x:c>
      <x:c r="I13" s="29" t="str">
        <x:v>Evet</x:v>
      </x:c>
      <x:c r="J13" s="29"/>
      <x:c r="K13" s="29"/>
    </x:row>
    <x:row r="14" ht="54" customHeight="1">
      <x:c r="A14" s="29" t="str">
        <x:v>bakersfield:src:6282</x:v>
      </x:c>
      <x:c r="B14" s="29" t="str">
        <x:v>bakersfield</x:v>
      </x:c>
      <x:c r="C14" s="29" t="str">
        <x:v>Kaliforniya'ya yeni gelenler</x:v>
      </x:c>
      <x:c r="D14" s="29" t="str">
        <x:v>California DMV</x:v>
      </x:c>
      <x:c r="E14" s="29" t="str">
        <x:v>https://www.dmv.ca.gov/portal/driver-education-and-safety/special-interest-driver-guides/new-to-california/</x:v>
      </x:c>
      <x:c r="F14" s="31" t="d">
        <x:v>2026-10-10T00:00:00.000Z</x:v>
      </x:c>
      <x:c r="G14" s="29"/>
      <x:c r="H14" s="29" t="str">
        <x:v>İlgili içerik veya mekân kaydıyla eşleştirilen kaynak notu incelendi. AI öz denetimi; otomatik HTTP erişim sonucu ayrı source-access kayıtlarında tutulur.</x:v>
      </x:c>
      <x:c r="I14" s="29" t="str">
        <x:v>Evet</x:v>
      </x:c>
      <x:c r="J14" s="29"/>
      <x:c r="K14" s="29"/>
    </x:row>
    <x:row r="15" ht="54" customHeight="1">
      <x:c r="A15" s="29" t="str">
        <x:v>bakersfield:src:6283</x:v>
      </x:c>
      <x:c r="B15" s="29" t="str">
        <x:v>bakersfield</x:v>
      </x:c>
      <x:c r="C15" s="29" t="str">
        <x:v>REAL ID belge listesi</x:v>
      </x:c>
      <x:c r="D15" s="29" t="str">
        <x:v>California DMV</x:v>
      </x:c>
      <x:c r="E15" s="29" t="str">
        <x:v>https://www.dmv.ca.gov/portal/driver-licenses-identification-cards/real-id/</x:v>
      </x:c>
      <x:c r="F15" s="31" t="d">
        <x:v>2026-10-10T00:00:00.000Z</x:v>
      </x:c>
      <x:c r="G15" s="29"/>
      <x:c r="H15" s="29" t="str">
        <x:v>İlgili içerik veya mekân kaydıyla eşleştirilen kaynak notu incelendi. AI öz denetimi; otomatik HTTP erişim sonucu ayrı source-access kayıtlarında tutulur.</x:v>
      </x:c>
      <x:c r="I15" s="29" t="str">
        <x:v>Evet</x:v>
      </x:c>
      <x:c r="J15" s="29"/>
      <x:c r="K15" s="29"/>
    </x:row>
    <x:row r="16" ht="54" customHeight="1">
      <x:c r="A16" s="29" t="str">
        <x:v>bakersfield:src:6284</x:v>
      </x:c>
      <x:c r="B16" s="29" t="str">
        <x:v>bakersfield</x:v>
      </x:c>
      <x:c r="C16" s="29" t="str">
        <x:v>Apostil işlemi</x:v>
      </x:c>
      <x:c r="D16" s="29" t="str">
        <x:v>California Secretary of State</x:v>
      </x:c>
      <x:c r="E16" s="29" t="str">
        <x:v>https://www.sos.ca.gov/notary/request-apostille</x:v>
      </x:c>
      <x:c r="F16" s="31" t="d">
        <x:v>2026-10-10T00:00:00.000Z</x:v>
      </x:c>
      <x:c r="G16" s="29"/>
      <x:c r="H16" s="29" t="str">
        <x:v>İlgili içerik veya mekân kaydıyla eşleştirilen kaynak notu incelendi. AI öz denetimi; otomatik HTTP erişim sonucu ayrı source-access kayıtlarında tutulur.</x:v>
      </x:c>
      <x:c r="I16" s="29" t="str">
        <x:v>Evet</x:v>
      </x:c>
      <x:c r="J16" s="29"/>
      <x:c r="K16" s="29"/>
    </x:row>
    <x:row r="17" ht="54" customHeight="1">
      <x:c r="A17" s="29" t="str">
        <x:v>bakersfield:src:6289</x:v>
      </x:c>
      <x:c r="B17" s="29" t="str">
        <x:v>bakersfield</x:v>
      </x:c>
      <x:c r="C17" s="29" t="str">
        <x:v>Kiracı hakları</x:v>
      </x:c>
      <x:c r="D17" s="29" t="str">
        <x:v>California Attorney General</x:v>
      </x:c>
      <x:c r="E17" s="29" t="str">
        <x:v>https://oag.ca.gov/tenants</x:v>
      </x:c>
      <x:c r="F17" s="31" t="d">
        <x:v>2026-10-10T00:00:00.000Z</x:v>
      </x:c>
      <x:c r="G17" s="29"/>
      <x:c r="H17" s="29" t="str">
        <x:v>İlgili içerik veya mekân kaydıyla eşleştirilen kaynak notu incelendi. AI öz denetimi; otomatik HTTP erişim sonucu ayrı source-access kayıtlarında tutulur.</x:v>
      </x:c>
      <x:c r="I17" s="29" t="str">
        <x:v>Evet</x:v>
      </x:c>
      <x:c r="J17" s="29"/>
      <x:c r="K17" s="29"/>
    </x:row>
    <x:row r="18" ht="54" customHeight="1">
      <x:c r="A18" s="29" t="str">
        <x:v>bakersfield:src:6290</x:v>
      </x:c>
      <x:c r="B18" s="29" t="str">
        <x:v>bakersfield</x:v>
      </x:c>
      <x:c r="C18" s="29" t="str">
        <x:v>Kira depozitosu ve iade</x:v>
      </x:c>
      <x:c r="D18" s="29" t="str">
        <x:v>California Courts</x:v>
      </x:c>
      <x:c r="E18" s="29" t="str">
        <x:v>https://selfhelp.courts.ca.gov/guide-security-deposits-california</x:v>
      </x:c>
      <x:c r="F18" s="31" t="d">
        <x:v>2026-10-10T00:00:00.000Z</x:v>
      </x:c>
      <x:c r="G18" s="29"/>
      <x:c r="H18" s="29" t="str">
        <x:v>İlgili içerik veya mekân kaydıyla eşleştirilen kaynak notu incelendi. AI öz denetimi; otomatik HTTP erişim sonucu ayrı source-access kayıtlarında tutulur.</x:v>
      </x:c>
      <x:c r="I18" s="29" t="str">
        <x:v>Evet</x:v>
      </x:c>
      <x:c r="J18" s="29"/>
      <x:c r="K18" s="29"/>
    </x:row>
    <x:row r="19" ht="54" customHeight="1">
      <x:c r="A19" s="29" t="str">
        <x:v>bakersfield:src:6302</x:v>
      </x:c>
      <x:c r="B19" s="29" t="str">
        <x:v>bakersfield</x:v>
      </x:c>
      <x:c r="C19" s="29" t="str">
        <x:v>Doğal gaz hizmetleri</x:v>
      </x:c>
      <x:c r="D19" s="29" t="str">
        <x:v>SoCalGas</x:v>
      </x:c>
      <x:c r="E19" s="29" t="str">
        <x:v>https://www.socalgas.com/manage-your-account/start-stop-transfer-service</x:v>
      </x:c>
      <x:c r="F19" s="31" t="d">
        <x:v>2026-10-10T00:00:00.000Z</x:v>
      </x:c>
      <x:c r="G19" s="29"/>
      <x:c r="H19" s="29" t="str">
        <x:v>İlgili içerik veya mekân kaydıyla eşleştirilen kaynak notu incelendi. AI öz denetimi; otomatik HTTP erişim sonucu ayrı source-access kayıtlarında tutulur.</x:v>
      </x:c>
      <x:c r="I19" s="29" t="str">
        <x:v>Evet</x:v>
      </x:c>
      <x:c r="J19" s="29"/>
      <x:c r="K19" s="29"/>
    </x:row>
    <x:row r="20" ht="54" customHeight="1">
      <x:c r="A20" s="29" t="str">
        <x:v>bakersfield:src:6304</x:v>
      </x:c>
      <x:c r="B20" s="29" t="str">
        <x:v>bakersfield</x:v>
      </x:c>
      <x:c r="C20" s="29" t="str">
        <x:v>İnternet hizmeti ve hız etiketi</x:v>
      </x:c>
      <x:c r="D20" s="29" t="str">
        <x:v>FCC</x:v>
      </x:c>
      <x:c r="E20" s="29" t="str">
        <x:v>https://www.fcc.gov/broadbandlabels</x:v>
      </x:c>
      <x:c r="F20" s="31" t="d">
        <x:v>2026-10-10T00:00:00.000Z</x:v>
      </x:c>
      <x:c r="G20" s="29"/>
      <x:c r="H20" s="29" t="str">
        <x:v>İlgili içerik veya mekân kaydıyla eşleştirilen kaynak notu incelendi. AI öz denetimi; otomatik HTTP erişim sonucu ayrı source-access kayıtlarında tutulur.</x:v>
      </x:c>
      <x:c r="I20" s="29" t="str">
        <x:v>Evet</x:v>
      </x:c>
      <x:c r="J20" s="29"/>
      <x:c r="K20" s="29"/>
    </x:row>
    <x:row r="21" ht="54" customHeight="1">
      <x:c r="A21" s="29" t="str">
        <x:v>bakersfield:src:6305</x:v>
      </x:c>
      <x:c r="B21" s="29" t="str">
        <x:v>bakersfield</x:v>
      </x:c>
      <x:c r="C21" s="29" t="str">
        <x:v>Telefon numarası taşıma</x:v>
      </x:c>
      <x:c r="D21" s="29" t="str">
        <x:v>FCC</x:v>
      </x:c>
      <x:c r="E21" s="29" t="str">
        <x:v>https://www.fcc.gov/consumers/guides/porting-keeping-your-phone-number-when-you-change-providers</x:v>
      </x:c>
      <x:c r="F21" s="31" t="d">
        <x:v>2026-10-10T00:00:00.000Z</x:v>
      </x:c>
      <x:c r="G21" s="29"/>
      <x:c r="H21" s="29" t="str">
        <x:v>İlgili içerik veya mekân kaydıyla eşleştirilen kaynak notu incelendi. AI öz denetimi; otomatik HTTP erişim sonucu ayrı source-access kayıtlarında tutulur.</x:v>
      </x:c>
      <x:c r="I21" s="29" t="str">
        <x:v>Evet</x:v>
      </x:c>
      <x:c r="J21" s="29"/>
      <x:c r="K21" s="29"/>
    </x:row>
    <x:row r="22" ht="54" customHeight="1">
      <x:c r="A22" s="29" t="str">
        <x:v>bakersfield:src:6306</x:v>
      </x:c>
      <x:c r="B22" s="29" t="str">
        <x:v>bakersfield</x:v>
      </x:c>
      <x:c r="C22" s="29" t="str">
        <x:v>Banka hesapları ve hizmetler</x:v>
      </x:c>
      <x:c r="D22" s="29" t="str">
        <x:v>CFPB</x:v>
      </x:c>
      <x:c r="E22" s="29" t="str">
        <x:v>https://www.consumerfinance.gov/consumer-tools/bank-accounts/</x:v>
      </x:c>
      <x:c r="F22" s="31" t="d">
        <x:v>2026-10-10T00:00:00.000Z</x:v>
      </x:c>
      <x:c r="G22" s="29"/>
      <x:c r="H22" s="29" t="str">
        <x:v>İlgili içerik veya mekân kaydıyla eşleştirilen kaynak notu incelendi. AI öz denetimi; otomatik HTTP erişim sonucu ayrı source-access kayıtlarında tutulur.</x:v>
      </x:c>
      <x:c r="I22" s="29" t="str">
        <x:v>Evet</x:v>
      </x:c>
      <x:c r="J22" s="29"/>
      <x:c r="K22" s="29"/>
    </x:row>
    <x:row r="23" ht="54" customHeight="1">
      <x:c r="A23" s="29" t="str">
        <x:v>bakersfield:src:6309</x:v>
      </x:c>
      <x:c r="B23" s="29" t="str">
        <x:v>bakersfield</x:v>
      </x:c>
      <x:c r="C23" s="29" t="str">
        <x:v>Kredi raporları ve puanları</x:v>
      </x:c>
      <x:c r="D23" s="29" t="str">
        <x:v>CFPB</x:v>
      </x:c>
      <x:c r="E23" s="29" t="str">
        <x:v>https://www.consumerfinance.gov/consumer-tools/credit-reports-and-scores/</x:v>
      </x:c>
      <x:c r="F23" s="31" t="d">
        <x:v>2026-10-10T00:00:00.000Z</x:v>
      </x:c>
      <x:c r="G23" s="29"/>
      <x:c r="H23" s="29" t="str">
        <x:v>İlgili içerik veya mekân kaydıyla eşleştirilen kaynak notu incelendi. AI öz denetimi; otomatik HTTP erişim sonucu ayrı source-access kayıtlarında tutulur.</x:v>
      </x:c>
      <x:c r="I23" s="29" t="str">
        <x:v>Evet</x:v>
      </x:c>
      <x:c r="J23" s="29"/>
      <x:c r="K23" s="29"/>
    </x:row>
    <x:row r="24" ht="54" customHeight="1">
      <x:c r="A24" s="29" t="str">
        <x:v>bakersfield:src:6310</x:v>
      </x:c>
      <x:c r="B24" s="29" t="str">
        <x:v>bakersfield</x:v>
      </x:c>
      <x:c r="C24" s="29" t="str">
        <x:v>Uluslararası para transferleri</x:v>
      </x:c>
      <x:c r="D24" s="29" t="str">
        <x:v>CFPB</x:v>
      </x:c>
      <x:c r="E24" s="29" t="str">
        <x:v>https://www.consumerfinance.gov/consumer-tools/sending-money/</x:v>
      </x:c>
      <x:c r="F24" s="31" t="d">
        <x:v>2026-10-10T00:00:00.000Z</x:v>
      </x:c>
      <x:c r="G24" s="29"/>
      <x:c r="H24" s="29" t="str">
        <x:v>İlgili içerik veya mekân kaydıyla eşleştirilen kaynak notu incelendi. AI öz denetimi; otomatik HTTP erişim sonucu ayrı source-access kayıtlarında tutulur.</x:v>
      </x:c>
      <x:c r="I24" s="29" t="str">
        <x:v>Evet</x:v>
      </x:c>
      <x:c r="J24" s="29"/>
      <x:c r="K24" s="29"/>
    </x:row>
    <x:row r="25" ht="54" customHeight="1">
      <x:c r="A25" s="29" t="str">
        <x:v>bakersfield:src:6316</x:v>
      </x:c>
      <x:c r="B25" s="29" t="str">
        <x:v>bakersfield</x:v>
      </x:c>
      <x:c r="C25" s="29" t="str">
        <x:v>Satış vergisi oranları</x:v>
      </x:c>
      <x:c r="D25" s="29" t="str">
        <x:v>CDTFA</x:v>
      </x:c>
      <x:c r="E25" s="29" t="str">
        <x:v>https://www.cdtfa.ca.gov/taxes-and-fees/sales-use-tax-rates.htm</x:v>
      </x:c>
      <x:c r="F25" s="31" t="d">
        <x:v>2026-10-10T00:00:00.000Z</x:v>
      </x:c>
      <x:c r="G25" s="29"/>
      <x:c r="H25" s="29" t="str">
        <x:v>İlgili içerik veya mekân kaydıyla eşleştirilen kaynak notu incelendi. AI öz denetimi; otomatik HTTP erişim sonucu ayrı source-access kayıtlarında tutulur.</x:v>
      </x:c>
      <x:c r="I25" s="29" t="str">
        <x:v>Evet</x:v>
      </x:c>
      <x:c r="J25" s="29"/>
      <x:c r="K25" s="29"/>
    </x:row>
    <x:row r="26" ht="54" customHeight="1">
      <x:c r="A26" s="29" t="str">
        <x:v>bakersfield:src:6317</x:v>
      </x:c>
      <x:c r="B26" s="29" t="str">
        <x:v>bakersfield</x:v>
      </x:c>
      <x:c r="C26" s="29" t="str">
        <x:v>Sağlık planı seçimi ve başvuru</x:v>
      </x:c>
      <x:c r="D26" s="29" t="str">
        <x:v>Covered California</x:v>
      </x:c>
      <x:c r="E26" s="29" t="str">
        <x:v>https://www.coveredca.com/</x:v>
      </x:c>
      <x:c r="F26" s="31" t="d">
        <x:v>2026-10-10T00:00:00.000Z</x:v>
      </x:c>
      <x:c r="G26" s="29"/>
      <x:c r="H26" s="29" t="str">
        <x:v>İlgili içerik veya mekân kaydıyla eşleştirilen kaynak notu incelendi. AI öz denetimi; otomatik HTTP erişim sonucu ayrı source-access kayıtlarında tutulur.</x:v>
      </x:c>
      <x:c r="I26" s="29" t="str">
        <x:v>Evet</x:v>
      </x:c>
      <x:c r="J26" s="29"/>
      <x:c r="K26" s="29"/>
    </x:row>
    <x:row r="27" ht="54" customHeight="1">
      <x:c r="A27" s="29" t="str">
        <x:v>bakersfield:src:6320</x:v>
      </x:c>
      <x:c r="B27" s="29" t="str">
        <x:v>bakersfield</x:v>
      </x:c>
      <x:c r="C27" s="29" t="str">
        <x:v>Göçmenlik statüsüne göre Medi-Cal değişiklikleri</x:v>
      </x:c>
      <x:c r="D27" s="29" t="str">
        <x:v>California DHCS</x:v>
      </x:c>
      <x:c r="E27" s="29" t="str">
        <x:v>https://www.dhcs.ca.gov/immigration-status-and-changes-to-medi-cal-eligibility/</x:v>
      </x:c>
      <x:c r="F27" s="31" t="d">
        <x:v>2026-10-10T00:00:00.000Z</x:v>
      </x:c>
      <x:c r="G27" s="29"/>
      <x:c r="H27" s="29" t="str">
        <x:v>İlgili içerik veya mekân kaydıyla eşleştirilen kaynak notu incelendi. AI öz denetimi; otomatik HTTP erişim sonucu ayrı source-access kayıtlarında tutulur.</x:v>
      </x:c>
      <x:c r="I27" s="29" t="str">
        <x:v>Evet</x:v>
      </x:c>
      <x:c r="J27" s="29"/>
      <x:c r="K27" s="29"/>
    </x:row>
    <x:row r="28" ht="54" customHeight="1">
      <x:c r="A28" s="29" t="str">
        <x:v>bakersfield:src:6324</x:v>
      </x:c>
      <x:c r="B28" s="29" t="str">
        <x:v>bakersfield</x:v>
      </x:c>
      <x:c r="C28" s="29" t="str">
        <x:v>Sağlık planı şikâyeti</x:v>
      </x:c>
      <x:c r="D28" s="29" t="str">
        <x:v>California DMHC</x:v>
      </x:c>
      <x:c r="E28" s="29" t="str">
        <x:v>https://www.dmhc.ca.gov/FileaComplaint.aspx</x:v>
      </x:c>
      <x:c r="F28" s="31" t="d">
        <x:v>2026-10-10T00:00:00.000Z</x:v>
      </x:c>
      <x:c r="G28" s="29"/>
      <x:c r="H28" s="29" t="str">
        <x:v>İlgili içerik veya mekân kaydıyla eşleştirilen kaynak notu incelendi. AI öz denetimi; otomatik HTTP erişim sonucu ayrı source-access kayıtlarında tutulur.</x:v>
      </x:c>
      <x:c r="I28" s="29" t="str">
        <x:v>Evet</x:v>
      </x:c>
      <x:c r="J28" s="29"/>
      <x:c r="K28" s="29"/>
    </x:row>
    <x:row r="29" ht="54" customHeight="1">
      <x:c r="A29" s="29" t="str">
        <x:v>bakersfield:src:6333</x:v>
      </x:c>
      <x:c r="B29" s="29" t="str">
        <x:v>bakersfield</x:v>
      </x:c>
      <x:c r="C29" s="29" t="str">
        <x:v>Meslek lisansı doğrulama</x:v>
      </x:c>
      <x:c r="D29" s="29" t="str">
        <x:v>California DCA</x:v>
      </x:c>
      <x:c r="E29" s="29" t="str">
        <x:v>https://search.dca.ca.gov/</x:v>
      </x:c>
      <x:c r="F29" s="31" t="d">
        <x:v>2026-10-10T00:00:00.000Z</x:v>
      </x:c>
      <x:c r="G29" s="29"/>
      <x:c r="H29" s="29" t="str">
        <x:v>İlgili içerik veya mekân kaydıyla eşleştirilen kaynak notu incelendi. AI öz denetimi; otomatik HTTP erişim sonucu ayrı source-access kayıtlarında tutulur.</x:v>
      </x:c>
      <x:c r="I29" s="29" t="str">
        <x:v>Evet</x:v>
      </x:c>
      <x:c r="J29" s="29"/>
      <x:c r="K29" s="29"/>
    </x:row>
    <x:row r="30" ht="54" customHeight="1">
      <x:c r="A30" s="29" t="str">
        <x:v>bakersfield:src:6341</x:v>
      </x:c>
      <x:c r="B30" s="29" t="str">
        <x:v>bakersfield</x:v>
      </x:c>
      <x:c r="C30" s="29" t="str">
        <x:v>Çocuk bakımı lisans araması</x:v>
      </x:c>
      <x:c r="D30" s="29" t="str">
        <x:v>California DSS</x:v>
      </x:c>
      <x:c r="E30" s="29" t="str">
        <x:v>https://www.ccld.dss.ca.gov/carefacilitysearch/</x:v>
      </x:c>
      <x:c r="F30" s="31" t="d">
        <x:v>2026-10-10T00:00:00.000Z</x:v>
      </x:c>
      <x:c r="G30" s="29"/>
      <x:c r="H30" s="29" t="str">
        <x:v>İlgili içerik veya mekân kaydıyla eşleştirilen kaynak notu incelendi. AI öz denetimi; otomatik HTTP erişim sonucu ayrı source-access kayıtlarında tutulur.</x:v>
      </x:c>
      <x:c r="I30" s="29" t="str">
        <x:v>Evet</x:v>
      </x:c>
      <x:c r="J30" s="29"/>
      <x:c r="K30" s="29"/>
    </x:row>
    <x:row r="31" ht="54" customHeight="1">
      <x:c r="A31" s="29" t="str">
        <x:v>bakersfield:src:6361</x:v>
      </x:c>
      <x:c r="B31" s="29" t="str">
        <x:v>bakersfield</x:v>
      </x:c>
      <x:c r="C31" s="29" t="str">
        <x:v>Adres değiştirme</x:v>
      </x:c>
      <x:c r="D31" s="29" t="str">
        <x:v>USPS</x:v>
      </x:c>
      <x:c r="E31" s="29" t="str">
        <x:v>https://www.usps.com/manage/forward.htm</x:v>
      </x:c>
      <x:c r="F31" s="31" t="d">
        <x:v>2026-10-10T00:00:00.000Z</x:v>
      </x:c>
      <x:c r="G31" s="29"/>
      <x:c r="H31" s="29" t="str">
        <x:v>İlgili içerik veya mekân kaydıyla eşleştirilen kaynak notu incelendi. AI öz denetimi; otomatik HTTP erişim sonucu ayrı source-access kayıtlarında tutulur.</x:v>
      </x:c>
      <x:c r="I31" s="29" t="str">
        <x:v>Evet</x:v>
      </x:c>
      <x:c r="J31" s="29"/>
      <x:c r="K31" s="29"/>
    </x:row>
    <x:row r="32" ht="54" customHeight="1">
      <x:c r="A32" s="29" t="str">
        <x:v>bakersfield:src:6368</x:v>
      </x:c>
      <x:c r="B32" s="29" t="str">
        <x:v>bakersfield</x:v>
      </x:c>
      <x:c r="C32" s="29" t="str">
        <x:v>Ayrımcılık ve medeni haklar</x:v>
      </x:c>
      <x:c r="D32" s="29" t="str">
        <x:v>California Civil Rights Department</x:v>
      </x:c>
      <x:c r="E32" s="29" t="str">
        <x:v>https://calcivilrights.ca.gov/complaintprocess/</x:v>
      </x:c>
      <x:c r="F32" s="31" t="d">
        <x:v>2026-10-10T00:00:00.000Z</x:v>
      </x:c>
      <x:c r="G32" s="29"/>
      <x:c r="H32" s="29" t="str">
        <x:v>İlgili içerik veya mekân kaydıyla eşleştirilen kaynak notu incelendi. AI öz denetimi; otomatik HTTP erişim sonucu ayrı source-access kayıtlarında tutulur.</x:v>
      </x:c>
      <x:c r="I32" s="29" t="str">
        <x:v>Evet</x:v>
      </x:c>
      <x:c r="J32" s="29"/>
      <x:c r="K32" s="29"/>
    </x:row>
    <x:row r="33" ht="54" customHeight="1">
      <x:c r="A33" s="29" t="str">
        <x:v>bakersfield:src:6392</x:v>
      </x:c>
      <x:c r="B33" s="29" t="str">
        <x:v>bakersfield</x:v>
      </x:c>
      <x:c r="C33" s="29" t="str">
        <x:v>Uçuşta kabul edilen kimlikler</x:v>
      </x:c>
      <x:c r="D33" s="29" t="str">
        <x:v>TSA</x:v>
      </x:c>
      <x:c r="E33" s="29" t="str">
        <x:v>https://www.tsa.gov/travel/security-screening/identification</x:v>
      </x:c>
      <x:c r="F33" s="31" t="d">
        <x:v>2026-10-10T00:00:00.000Z</x:v>
      </x:c>
      <x:c r="G33" s="29"/>
      <x:c r="H33" s="29" t="str">
        <x:v>İlgili içerik veya mekân kaydıyla eşleştirilen kaynak notu incelendi. AI öz denetimi; otomatik HTTP erişim sonucu ayrı source-access kayıtlarında tutulur.</x:v>
      </x:c>
      <x:c r="I33" s="29" t="str">
        <x:v>Evet</x:v>
      </x:c>
      <x:c r="J33" s="29"/>
      <x:c r="K33" s="29"/>
    </x:row>
    <x:row r="34" ht="54" customHeight="1">
      <x:c r="A34" s="29" t="str">
        <x:v>bakersfield:src:6393</x:v>
      </x:c>
      <x:c r="B34" s="29" t="str">
        <x:v>bakersfield</x:v>
      </x:c>
      <x:c r="C34" s="29" t="str">
        <x:v>Küçük talepler mahkemesi adımları</x:v>
      </x:c>
      <x:c r="D34" s="29" t="str">
        <x:v>California Courts</x:v>
      </x:c>
      <x:c r="E34" s="29" t="str">
        <x:v>https://selfhelp.courts.ca.gov/small-claims</x:v>
      </x:c>
      <x:c r="F34" s="31" t="d">
        <x:v>2026-10-10T00:00:00.000Z</x:v>
      </x:c>
      <x:c r="G34" s="29"/>
      <x:c r="H34" s="29" t="str">
        <x:v>İlgili içerik veya mekân kaydıyla eşleştirilen kaynak notu incelendi. AI öz denetimi; otomatik HTTP erişim sonucu ayrı source-access kayıtlarında tutulur.</x:v>
      </x:c>
      <x:c r="I34" s="29" t="str">
        <x:v>Evet</x:v>
      </x:c>
      <x:c r="J34" s="29"/>
      <x:c r="K34" s="29"/>
    </x:row>
    <x:row r="35" ht="54" customHeight="1">
      <x:c r="A35" s="29" t="str">
        <x:v>bakersfield:src:6545</x:v>
      </x:c>
      <x:c r="B35" s="29" t="str">
        <x:v>bakersfield</x:v>
      </x:c>
      <x:c r="C35" s="29" t="str">
        <x:v>Dosya durumunu takip et</x:v>
      </x:c>
      <x:c r="D35" s="29" t="str">
        <x:v>USCIS</x:v>
      </x:c>
      <x:c r="E35" s="29" t="str">
        <x:v>https://egov.uscis.gov/</x:v>
      </x:c>
      <x:c r="F35" s="31" t="d">
        <x:v>2026-10-10T00:00:00.000Z</x:v>
      </x:c>
      <x:c r="G35" s="29"/>
      <x:c r="H35" s="29" t="str">
        <x:v>İlgili içerik veya mekân kaydıyla eşleştirilen kaynak notu incelendi. AI öz denetimi; otomatik HTTP erişim sonucu ayrı source-access kayıtlarında tutulur.</x:v>
      </x:c>
      <x:c r="I35" s="29" t="str">
        <x:v>Evet</x:v>
      </x:c>
      <x:c r="J35" s="29"/>
      <x:c r="K35" s="29"/>
    </x:row>
    <x:row r="36" ht="54" customHeight="1">
      <x:c r="A36" s="29" t="str">
        <x:v>bakersfield:src:6550</x:v>
      </x:c>
      <x:c r="B36" s="29" t="str">
        <x:v>bakersfield</x:v>
      </x:c>
      <x:c r="C36" s="29" t="str">
        <x:v>Vatandaş olmayanlarda SSN uygunluğu</x:v>
      </x:c>
      <x:c r="D36" s="29" t="str">
        <x:v>SSA</x:v>
      </x:c>
      <x:c r="E36" s="29" t="str">
        <x:v>https://www.ssa.gov/faqs/en/questions/KA-02178.html</x:v>
      </x:c>
      <x:c r="F36" s="31" t="d">
        <x:v>2026-10-10T00:00:00.000Z</x:v>
      </x:c>
      <x:c r="G36" s="29"/>
      <x:c r="H36" s="29" t="str">
        <x:v>İlgili içerik veya mekân kaydıyla eşleştirilen kaynak notu incelendi. AI öz denetimi; otomatik HTTP erişim sonucu ayrı source-access kayıtlarında tutulur.</x:v>
      </x:c>
      <x:c r="I36" s="29" t="str">
        <x:v>Evet</x:v>
      </x:c>
      <x:c r="J36" s="29"/>
      <x:c r="K36" s="29"/>
    </x:row>
    <x:row r="37" ht="54" customHeight="1">
      <x:c r="A37" s="29" t="str">
        <x:v>bakersfield:src:6551</x:v>
      </x:c>
      <x:c r="B37" s="29" t="str">
        <x:v>bakersfield</x:v>
      </x:c>
      <x:c r="C37" s="29" t="str">
        <x:v>Vergide yabancı kişi ve ikamet testi</x:v>
      </x:c>
      <x:c r="D37" s="29" t="str">
        <x:v>IRS</x:v>
      </x:c>
      <x:c r="E37" s="29" t="str">
        <x:v>https://www.irs.gov/individuals/international-taxpayers/determining-an-individuals-tax-residency-status</x:v>
      </x:c>
      <x:c r="F37" s="31" t="d">
        <x:v>2026-10-10T00:00:00.000Z</x:v>
      </x:c>
      <x:c r="G37" s="29"/>
      <x:c r="H37" s="29" t="str">
        <x:v>İlgili içerik veya mekân kaydıyla eşleştirilen kaynak notu incelendi. AI öz denetimi; otomatik HTTP erişim sonucu ayrı source-access kayıtlarında tutulur.</x:v>
      </x:c>
      <x:c r="I37" s="29" t="str">
        <x:v>Evet</x:v>
      </x:c>
      <x:c r="J37" s="29"/>
      <x:c r="K37" s="29"/>
    </x:row>
    <x:row r="38" ht="54" customHeight="1">
      <x:c r="A38" s="29" t="str">
        <x:v>bakersfield:src:6553</x:v>
      </x:c>
      <x:c r="B38" s="29" t="str">
        <x:v>bakersfield</x:v>
      </x:c>
      <x:c r="C38" s="29" t="str">
        <x:v>Yabancı banka hesapları bildirimi</x:v>
      </x:c>
      <x:c r="D38" s="29" t="str">
        <x:v>IRS</x:v>
      </x:c>
      <x:c r="E38" s="29" t="str">
        <x:v>https://www.irs.gov/businesses/small-businesses-self-employed/report-of-foreign-bank-and-financial-accounts-fbar</x:v>
      </x:c>
      <x:c r="F38" s="31" t="d">
        <x:v>2026-10-10T00:00:00.000Z</x:v>
      </x:c>
      <x:c r="G38" s="29"/>
      <x:c r="H38" s="29" t="str">
        <x:v>İlgili içerik veya mekân kaydıyla eşleştirilen kaynak notu incelendi. AI öz denetimi; otomatik HTTP erişim sonucu ayrı source-access kayıtlarında tutulur.</x:v>
      </x:c>
      <x:c r="I38" s="29" t="str">
        <x:v>Evet</x:v>
      </x:c>
      <x:c r="J38" s="29"/>
      <x:c r="K38" s="29"/>
    </x:row>
    <x:row r="39" ht="54" customHeight="1">
      <x:c r="A39" s="29" t="str">
        <x:v>bakersfield:src:6556</x:v>
      </x:c>
      <x:c r="B39" s="29" t="str">
        <x:v>bakersfield</x:v>
      </x:c>
      <x:c r="C39" s="29" t="str">
        <x:v>Kimlik hırsızlığı bildirimi</x:v>
      </x:c>
      <x:c r="D39" s="29" t="str">
        <x:v>FTC</x:v>
      </x:c>
      <x:c r="E39" s="29" t="str">
        <x:v>https://www.identitytheft.gov/</x:v>
      </x:c>
      <x:c r="F39" s="31" t="d">
        <x:v>2026-10-10T00:00:00.000Z</x:v>
      </x:c>
      <x:c r="G39" s="29"/>
      <x:c r="H39" s="29" t="str">
        <x:v>İlgili içerik veya mekân kaydıyla eşleştirilen kaynak notu incelendi. AI öz denetimi; otomatik HTTP erişim sonucu ayrı source-access kayıtlarında tutulur.</x:v>
      </x:c>
      <x:c r="I39" s="29" t="str">
        <x:v>Evet</x:v>
      </x:c>
      <x:c r="J39" s="29"/>
      <x:c r="K39" s="29"/>
    </x:row>
    <x:row r="40" ht="54" customHeight="1">
      <x:c r="A40" s="29" t="str">
        <x:v>bakersfield:src:6633</x:v>
      </x:c>
      <x:c r="B40" s="29" t="str">
        <x:v>bakersfield</x:v>
      </x:c>
      <x:c r="C40" s="29" t="str">
        <x:v>ABD’ye köpek girişi</x:v>
      </x:c>
      <x:c r="D40" s="29" t="str">
        <x:v>CDC</x:v>
      </x:c>
      <x:c r="E40" s="29" t="str">
        <x:v>https://www.cdc.gov/importation/dogs/index.html</x:v>
      </x:c>
      <x:c r="F40" s="31" t="d">
        <x:v>2026-10-10T00:00:00.000Z</x:v>
      </x:c>
      <x:c r="G40" s="29"/>
      <x:c r="H40" s="29" t="str">
        <x:v>İlgili içerik veya mekân kaydıyla eşleştirilen kaynak notu incelendi. AI öz denetimi; otomatik HTTP erişim sonucu ayrı source-access kayıtlarında tutulur.</x:v>
      </x:c>
      <x:c r="I40" s="29" t="str">
        <x:v>Evet</x:v>
      </x:c>
      <x:c r="J40" s="29"/>
      <x:c r="K40" s="29"/>
    </x:row>
    <x:row r="41" ht="54" customHeight="1">
      <x:c r="A41" s="29" t="str">
        <x:v>bakersfield:src:6816</x:v>
      </x:c>
      <x:c r="B41" s="29" t="str">
        <x:v>bakersfield</x:v>
      </x:c>
      <x:c r="C41" s="29" t="str">
        <x:v>Elektrik ve gaz hizmetini başlat veya taşı</x:v>
      </x:c>
      <x:c r="D41" s="29" t="str">
        <x:v>PG&amp;E</x:v>
      </x:c>
      <x:c r="E41" s="29" t="str">
        <x:v>https://www.pge.com/en/account/service-requests/start-stop-transfer-service.html</x:v>
      </x:c>
      <x:c r="F41" s="31" t="d">
        <x:v>2026-10-10T00:00:00.000Z</x:v>
      </x:c>
      <x:c r="G41" s="29"/>
      <x:c r="H41" s="29" t="str">
        <x:v>İlgili içerik veya mekân kaydıyla eşleştirilen kaynak notu incelendi. AI öz denetimi; otomatik HTTP erişim sonucu ayrı source-access kayıtlarında tutulur.</x:v>
      </x:c>
      <x:c r="I41" s="29" t="str">
        <x:v>Evet</x:v>
      </x:c>
      <x:c r="J41" s="29"/>
      <x:c r="K41" s="29"/>
    </x:row>
    <x:row r="42" ht="54" customHeight="1">
      <x:c r="A42" s="29" t="str">
        <x:v>bakersfield:src:6823</x:v>
      </x:c>
      <x:c r="B42" s="29" t="str">
        <x:v>bakersfield</x:v>
      </x:c>
      <x:c r="C42" s="29" t="str">
        <x:v>Konut elektrik tarifelerini karşılaştır</x:v>
      </x:c>
      <x:c r="D42" s="29" t="str">
        <x:v>PG&amp;E</x:v>
      </x:c>
      <x:c r="E42" s="29" t="str">
        <x:v>https://www.pge.com/en/account/rate-plans/find-your-best-rate-plan.html</x:v>
      </x:c>
      <x:c r="F42" s="31" t="d">
        <x:v>2026-10-10T00:00:00.000Z</x:v>
      </x:c>
      <x:c r="G42" s="29"/>
      <x:c r="H42" s="29" t="str">
        <x:v>İlgili içerik veya mekân kaydıyla eşleştirilen kaynak notu incelendi. AI öz denetimi; otomatik HTTP erişim sonucu ayrı source-access kayıtlarında tutulur.</x:v>
      </x:c>
      <x:c r="I42" s="29" t="str">
        <x:v>Evet</x:v>
      </x:c>
      <x:c r="J42" s="29"/>
      <x:c r="K42" s="29"/>
    </x:row>
    <x:row r="43" ht="54" customHeight="1">
      <x:c r="A43" s="29" t="str">
        <x:v>bakersfield:src:6824</x:v>
      </x:c>
      <x:c r="B43" s="29" t="str">
        <x:v>bakersfield</x:v>
      </x:c>
      <x:c r="C43" s="29" t="str">
        <x:v>CARE ve FERA uygunluğunu kontrol et</x:v>
      </x:c>
      <x:c r="D43" s="29" t="str">
        <x:v>PG&amp;E</x:v>
      </x:c>
      <x:c r="E43" s="29" t="str">
        <x:v>https://www.pge.com/en/account/billing-and-assistance/financial-assistance/california-alternate-rates-for-energy-program.html</x:v>
      </x:c>
      <x:c r="F43" s="31" t="d">
        <x:v>2026-10-10T00:00:00.000Z</x:v>
      </x:c>
      <x:c r="G43" s="29"/>
      <x:c r="H43" s="29" t="str">
        <x:v>İlgili içerik veya mekân kaydıyla eşleştirilen kaynak notu incelendi. AI öz denetimi; otomatik HTTP erişim sonucu ayrı source-access kayıtlarında tutulur.</x:v>
      </x:c>
      <x:c r="I43" s="29" t="str">
        <x:v>Evet</x:v>
      </x:c>
      <x:c r="J43" s="29"/>
      <x:c r="K43" s="29"/>
    </x:row>
    <x:row r="44" ht="54" customHeight="1">
      <x:c r="A44" s="29" t="str">
        <x:v>bakersfield:src:6827</x:v>
      </x:c>
      <x:c r="B44" s="29" t="str">
        <x:v>bakersfield</x:v>
      </x:c>
      <x:c r="C44" s="29" t="str">
        <x:v>Adresindeki internet ağını kontrol et</x:v>
      </x:c>
      <x:c r="D44" s="29" t="str">
        <x:v>Federal İletişim Komisyonu</x:v>
      </x:c>
      <x:c r="E44" s="29" t="str">
        <x:v>https://broadbandmap.fcc.gov/home</x:v>
      </x:c>
      <x:c r="F44" s="31" t="d">
        <x:v>2026-10-10T00:00:00.000Z</x:v>
      </x:c>
      <x:c r="G44" s="29"/>
      <x:c r="H44" s="29" t="str">
        <x:v>İlgili içerik veya mekân kaydıyla eşleştirilen kaynak notu incelendi. AI öz denetimi; otomatik HTTP erişim sonucu ayrı source-access kayıtlarında tutulur.</x:v>
      </x:c>
      <x:c r="I44" s="29" t="str">
        <x:v>Evet</x:v>
      </x:c>
      <x:c r="J44" s="29"/>
      <x:c r="K44" s="29"/>
    </x:row>
    <x:row r="45" ht="54" customHeight="1">
      <x:c r="A45" s="29" t="str">
        <x:v>bakersfield:src:6841</x:v>
      </x:c>
      <x:c r="B45" s="29" t="str">
        <x:v>bakersfield</x:v>
      </x:c>
      <x:c r="C45" s="29" t="str">
        <x:v>Türkiye–ABD vergi anlaşması metnini aç</x:v>
      </x:c>
      <x:c r="D45" s="29" t="str">
        <x:v>IRS</x:v>
      </x:c>
      <x:c r="E45" s="29" t="str">
        <x:v>https://www.irs.gov/businesses/international-businesses/turkey-tax-treaty-documents</x:v>
      </x:c>
      <x:c r="F45" s="31" t="d">
        <x:v>2026-10-10T00:00:00.000Z</x:v>
      </x:c>
      <x:c r="G45" s="29"/>
      <x:c r="H45" s="29" t="str">
        <x:v>İlgili içerik veya mekân kaydıyla eşleştirilen kaynak notu incelendi. AI öz denetimi; otomatik HTTP erişim sonucu ayrı source-access kayıtlarında tutulur.</x:v>
      </x:c>
      <x:c r="I45" s="29" t="str">
        <x:v>Evet</x:v>
      </x:c>
      <x:c r="J45" s="29"/>
      <x:c r="K45" s="29"/>
    </x:row>
    <x:row r="46" ht="54" customHeight="1">
      <x:c r="A46" s="29" t="str">
        <x:v>bakersfield:src:6844</x:v>
      </x:c>
      <x:c r="B46" s="29" t="str">
        <x:v>bakersfield</x:v>
      </x:c>
      <x:c r="C46" s="29" t="str">
        <x:v>HMO PPO ve plan seçeneklerini karşılaştır</x:v>
      </x:c>
      <x:c r="D46" s="29" t="str">
        <x:v>Covered California</x:v>
      </x:c>
      <x:c r="E46" s="29" t="str">
        <x:v>https://www.coveredca.com/coverage-basics/coverage-levels</x:v>
      </x:c>
      <x:c r="F46" s="31" t="d">
        <x:v>2026-10-10T00:00:00.000Z</x:v>
      </x:c>
      <x:c r="G46" s="29"/>
      <x:c r="H46" s="29" t="str">
        <x:v>İlgili içerik veya mekân kaydıyla eşleştirilen kaynak notu incelendi. AI öz denetimi; otomatik HTTP erişim sonucu ayrı source-access kayıtlarında tutulur.</x:v>
      </x:c>
      <x:c r="I46" s="29" t="str">
        <x:v>Evet</x:v>
      </x:c>
      <x:c r="J46" s="29"/>
      <x:c r="K46" s="29"/>
    </x:row>
    <x:row r="47" ht="54" customHeight="1">
      <x:c r="A47" s="29" t="str">
        <x:v>bakersfield:src:6847</x:v>
      </x:c>
      <x:c r="B47" s="29" t="str">
        <x:v>bakersfield</x:v>
      </x:c>
      <x:c r="C47" s="29" t="str">
        <x:v>2026 Medi-Cal değişikliklerini kontrol et</x:v>
      </x:c>
      <x:c r="D47" s="29" t="str">
        <x:v>California Sağlık Hizmetleri İdaresi</x:v>
      </x:c>
      <x:c r="E47" s="29" t="str">
        <x:v>https://www.dhcs.ca.gov/medi-cal/updates/medi-cal-changes/</x:v>
      </x:c>
      <x:c r="F47" s="31" t="d">
        <x:v>2026-10-10T00:00:00.000Z</x:v>
      </x:c>
      <x:c r="G47" s="29"/>
      <x:c r="H47" s="29" t="str">
        <x:v>İlgili içerik veya mekân kaydıyla eşleştirilen kaynak notu incelendi. AI öz denetimi; otomatik HTTP erişim sonucu ayrı source-access kayıtlarında tutulur.</x:v>
      </x:c>
      <x:c r="I47" s="29" t="str">
        <x:v>Evet</x:v>
      </x:c>
      <x:c r="J47" s="29"/>
      <x:c r="K47" s="29"/>
    </x:row>
    <x:row r="48" ht="54" customHeight="1">
      <x:c r="A48" s="29" t="str">
        <x:v>bakersfield:src:6853</x:v>
      </x:c>
      <x:c r="B48" s="29" t="str">
        <x:v>bakersfield</x:v>
      </x:c>
      <x:c r="C48" s="29" t="str">
        <x:v>Kişisel ilaç ithalat politikasını incele</x:v>
      </x:c>
      <x:c r="D48" s="29" t="str">
        <x:v>ABD Gıda ve İlaç İdaresi</x:v>
      </x:c>
      <x:c r="E48" s="29" t="str">
        <x:v>https://www.fda.gov/industry/import-basics/personal-importation</x:v>
      </x:c>
      <x:c r="F48" s="31" t="d">
        <x:v>2026-10-10T00:00:00.000Z</x:v>
      </x:c>
      <x:c r="G48" s="29"/>
      <x:c r="H48" s="29" t="str">
        <x:v>İlgili içerik veya mekân kaydıyla eşleştirilen kaynak notu incelendi. AI öz denetimi; otomatik HTTP erişim sonucu ayrı source-access kayıtlarında tutulur.</x:v>
      </x:c>
      <x:c r="I48" s="29" t="str">
        <x:v>Evet</x:v>
      </x:c>
      <x:c r="J48" s="29"/>
      <x:c r="K48" s="29"/>
    </x:row>
    <x:row r="49" ht="54" customHeight="1">
      <x:c r="A49" s="29" t="str">
        <x:v>bakersfield:src:6863</x:v>
      </x:c>
      <x:c r="B49" s="29" t="str">
        <x:v>bakersfield</x:v>
      </x:c>
      <x:c r="C49" s="29" t="str">
        <x:v>Bordro ve kalemli ücret düzenini incele</x:v>
      </x:c>
      <x:c r="D49" s="29" t="str">
        <x:v>California Çalışma İdaresi</x:v>
      </x:c>
      <x:c r="E49" s="29" t="str">
        <x:v>https://www.dir.ca.gov/dlse/FAQ_Paydays.htm</x:v>
      </x:c>
      <x:c r="F49" s="31" t="d">
        <x:v>2026-10-10T00:00:00.000Z</x:v>
      </x:c>
      <x:c r="G49" s="29"/>
      <x:c r="H49" s="29" t="str">
        <x:v>İlgili içerik veya mekân kaydıyla eşleştirilen kaynak notu incelendi. AI öz denetimi; otomatik HTTP erişim sonucu ayrı source-access kayıtlarında tutulur.</x:v>
      </x:c>
      <x:c r="I49" s="29" t="str">
        <x:v>Evet</x:v>
      </x:c>
      <x:c r="J49" s="29"/>
      <x:c r="K49" s="29"/>
    </x:row>
    <x:row r="50" ht="54" customHeight="1">
      <x:c r="A50" s="29" t="str">
        <x:v>bakersfield:src:6865</x:v>
      </x:c>
      <x:c r="B50" s="29" t="str">
        <x:v>bakersfield</x:v>
      </x:c>
      <x:c r="C50" s="29" t="str">
        <x:v>Yemek molası koşulunu incele</x:v>
      </x:c>
      <x:c r="D50" s="29" t="str">
        <x:v>California Çalışma İdaresi</x:v>
      </x:c>
      <x:c r="E50" s="29" t="str">
        <x:v>https://www.dir.ca.gov/dlse/FAQ_MealPeriods.htm</x:v>
      </x:c>
      <x:c r="F50" s="31" t="d">
        <x:v>2026-10-10T00:00:00.000Z</x:v>
      </x:c>
      <x:c r="G50" s="29"/>
      <x:c r="H50" s="29" t="str">
        <x:v>İlgili içerik veya mekân kaydıyla eşleştirilen kaynak notu incelendi. AI öz denetimi; otomatik HTTP erişim sonucu ayrı source-access kayıtlarında tutulur.</x:v>
      </x:c>
      <x:c r="I50" s="29" t="str">
        <x:v>Evet</x:v>
      </x:c>
      <x:c r="J50" s="29"/>
      <x:c r="K50" s="29"/>
    </x:row>
    <x:row r="51" ht="54" customHeight="1">
      <x:c r="A51" s="29" t="str">
        <x:v>bakersfield:src:6866</x:v>
      </x:c>
      <x:c r="B51" s="29" t="str">
        <x:v>bakersfield</x:v>
      </x:c>
      <x:c r="C51" s="29" t="str">
        <x:v>Dinlenme molası koşulunu incele</x:v>
      </x:c>
      <x:c r="D51" s="29" t="str">
        <x:v>California Çalışma İdaresi</x:v>
      </x:c>
      <x:c r="E51" s="29" t="str">
        <x:v>https://www.dir.ca.gov/dlse/FAQ_RestPeriods.htm</x:v>
      </x:c>
      <x:c r="F51" s="31" t="d">
        <x:v>2026-10-10T00:00:00.000Z</x:v>
      </x:c>
      <x:c r="G51" s="29"/>
      <x:c r="H51" s="29" t="str">
        <x:v>İlgili içerik veya mekân kaydıyla eşleştirilen kaynak notu incelendi. AI öz denetimi; otomatik HTTP erişim sonucu ayrı source-access kayıtlarında tutulur.</x:v>
      </x:c>
      <x:c r="I51" s="29" t="str">
        <x:v>Evet</x:v>
      </x:c>
      <x:c r="J51" s="29"/>
      <x:c r="K51" s="29"/>
    </x:row>
    <x:row r="52" ht="54" customHeight="1">
      <x:c r="A52" s="29" t="str">
        <x:v>bakersfield:src:6868</x:v>
      </x:c>
      <x:c r="B52" s="29" t="str">
        <x:v>bakersfield</x:v>
      </x:c>
      <x:c r="C52" s="29" t="str">
        <x:v>Eyalet ücretli hastalık iznini kontrol et</x:v>
      </x:c>
      <x:c r="D52" s="29" t="str">
        <x:v>California Çalışma İdaresi</x:v>
      </x:c>
      <x:c r="E52" s="29" t="str">
        <x:v>https://www.dir.ca.gov/dlse/paid_sick_leave.htm</x:v>
      </x:c>
      <x:c r="F52" s="31" t="d">
        <x:v>2026-10-10T00:00:00.000Z</x:v>
      </x:c>
      <x:c r="G52" s="29"/>
      <x:c r="H52" s="29" t="str">
        <x:v>İlgili içerik veya mekân kaydıyla eşleştirilen kaynak notu incelendi. AI öz denetimi; otomatik HTTP erişim sonucu ayrı source-access kayıtlarında tutulur.</x:v>
      </x:c>
      <x:c r="I52" s="29" t="str">
        <x:v>Evet</x:v>
      </x:c>
      <x:c r="J52" s="29"/>
      <x:c r="K52" s="29"/>
    </x:row>
    <x:row r="53" ht="54" customHeight="1">
      <x:c r="A53" s="29" t="str">
        <x:v>bakersfield:src:6869</x:v>
      </x:c>
      <x:c r="B53" s="29" t="str">
        <x:v>bakersfield</x:v>
      </x:c>
      <x:c r="C53" s="29" t="str">
        <x:v>Ücret alacağı başvurusunu aç</x:v>
      </x:c>
      <x:c r="D53" s="29" t="str">
        <x:v>California Çalışma İdaresi</x:v>
      </x:c>
      <x:c r="E53" s="29" t="str">
        <x:v>https://www.dir.ca.gov/dlse/HowToFileWageClaim.htm</x:v>
      </x:c>
      <x:c r="F53" s="31" t="d">
        <x:v>2026-10-10T00:00:00.000Z</x:v>
      </x:c>
      <x:c r="G53" s="29"/>
      <x:c r="H53" s="29" t="str">
        <x:v>İlgili içerik veya mekân kaydıyla eşleştirilen kaynak notu incelendi. AI öz denetimi; otomatik HTTP erişim sonucu ayrı source-access kayıtlarında tutulur.</x:v>
      </x:c>
      <x:c r="I53" s="29" t="str">
        <x:v>Evet</x:v>
      </x:c>
      <x:c r="J53" s="29"/>
      <x:c r="K53" s="29"/>
    </x:row>
    <x:row r="54" ht="54" customHeight="1">
      <x:c r="A54" s="29" t="str">
        <x:v>bakersfield:src:6870</x:v>
      </x:c>
      <x:c r="B54" s="29" t="str">
        <x:v>bakersfield</x:v>
      </x:c>
      <x:c r="C54" s="29" t="str">
        <x:v>Bağımsız çalışan sınıflandırmasını incele</x:v>
      </x:c>
      <x:c r="D54" s="29" t="str">
        <x:v>California Çalışma İdaresi</x:v>
      </x:c>
      <x:c r="E54" s="29" t="str">
        <x:v>https://www.dir.ca.gov/dlse/faq_independentcontractor.htm</x:v>
      </x:c>
      <x:c r="F54" s="31" t="d">
        <x:v>2026-10-10T00:00:00.000Z</x:v>
      </x:c>
      <x:c r="G54" s="29"/>
      <x:c r="H54" s="29" t="str">
        <x:v>İlgili içerik veya mekân kaydıyla eşleştirilen kaynak notu incelendi. AI öz denetimi; otomatik HTTP erişim sonucu ayrı source-access kayıtlarında tutulur.</x:v>
      </x:c>
      <x:c r="I54" s="29" t="str">
        <x:v>Evet</x:v>
      </x:c>
      <x:c r="J54" s="29"/>
      <x:c r="K54" s="29"/>
    </x:row>
    <x:row r="55" ht="54" customHeight="1">
      <x:c r="A55" s="29" t="str">
        <x:v>bakersfield:src:6876</x:v>
      </x:c>
      <x:c r="B55" s="29" t="str">
        <x:v>bakersfield</x:v>
      </x:c>
      <x:c r="C55" s="29" t="str">
        <x:v>İşsizlik desteği uygunluğunu incele</x:v>
      </x:c>
      <x:c r="D55" s="29" t="str">
        <x:v>California EDD</x:v>
      </x:c>
      <x:c r="E55" s="29" t="str">
        <x:v>https://edd.ca.gov/en/unemployment/</x:v>
      </x:c>
      <x:c r="F55" s="31" t="d">
        <x:v>2026-10-10T00:00:00.000Z</x:v>
      </x:c>
      <x:c r="G55" s="29"/>
      <x:c r="H55" s="29" t="str">
        <x:v>İlgili içerik veya mekân kaydıyla eşleştirilen kaynak notu incelendi. AI öz denetimi; otomatik HTTP erişim sonucu ayrı source-access kayıtlarında tutulur.</x:v>
      </x:c>
      <x:c r="I55" s="29" t="str">
        <x:v>Evet</x:v>
      </x:c>
      <x:c r="J55" s="29"/>
      <x:c r="K55" s="29"/>
    </x:row>
    <x:row r="56" ht="54" customHeight="1">
      <x:c r="A56" s="29" t="str">
        <x:v>bakersfield:src:6877</x:v>
      </x:c>
      <x:c r="B56" s="29" t="str">
        <x:v>bakersfield</x:v>
      </x:c>
      <x:c r="C56" s="29" t="str">
        <x:v>Ücretli aile izni gelir desteğini incele</x:v>
      </x:c>
      <x:c r="D56" s="29" t="str">
        <x:v>California EDD</x:v>
      </x:c>
      <x:c r="E56" s="29" t="str">
        <x:v>https://edd.ca.gov/en/disability/paid-family-leave/</x:v>
      </x:c>
      <x:c r="F56" s="31" t="d">
        <x:v>2026-10-10T00:00:00.000Z</x:v>
      </x:c>
      <x:c r="G56" s="29"/>
      <x:c r="H56" s="29" t="str">
        <x:v>İlgili içerik veya mekân kaydıyla eşleştirilen kaynak notu incelendi. AI öz denetimi; otomatik HTTP erişim sonucu ayrı source-access kayıtlarında tutulur.</x:v>
      </x:c>
      <x:c r="I56" s="29" t="str">
        <x:v>Evet</x:v>
      </x:c>
      <x:c r="J56" s="29"/>
      <x:c r="K56" s="29"/>
    </x:row>
    <x:row r="57" ht="54" customHeight="1">
      <x:c r="A57" s="29" t="str">
        <x:v>bakersfield:src:6878</x:v>
      </x:c>
      <x:c r="B57" s="29" t="str">
        <x:v>bakersfield</x:v>
      </x:c>
      <x:c r="C57" s="29" t="str">
        <x:v>İş kazası çalışan başvurusunu aç</x:v>
      </x:c>
      <x:c r="D57" s="29" t="str">
        <x:v>California DWC</x:v>
      </x:c>
      <x:c r="E57" s="29" t="str">
        <x:v>https://www.dir.ca.gov/dwc/InjuredWorker.htm</x:v>
      </x:c>
      <x:c r="F57" s="31" t="d">
        <x:v>2026-10-10T00:00:00.000Z</x:v>
      </x:c>
      <x:c r="G57" s="29"/>
      <x:c r="H57" s="29" t="str">
        <x:v>İlgili içerik veya mekân kaydıyla eşleştirilen kaynak notu incelendi. AI öz denetimi; otomatik HTTP erişim sonucu ayrı source-access kayıtlarında tutulur.</x:v>
      </x:c>
      <x:c r="I57" s="29" t="str">
        <x:v>Evet</x:v>
      </x:c>
      <x:c r="J57" s="29"/>
      <x:c r="K57" s="29"/>
    </x:row>
    <x:row r="58" ht="54" customHeight="1">
      <x:c r="A58" s="29" t="str">
        <x:v>bakersfield:src:6879</x:v>
      </x:c>
      <x:c r="B58" s="29" t="str">
        <x:v>bakersfield</x:v>
      </x:c>
      <x:c r="C58" s="29" t="str">
        <x:v>İş ayrımcılığı ve şikâyet bilgisini aç</x:v>
      </x:c>
      <x:c r="D58" s="29" t="str">
        <x:v>California Civil Rights Department</x:v>
      </x:c>
      <x:c r="E58" s="29" t="str">
        <x:v>https://calcivilrights.ca.gov/employment/</x:v>
      </x:c>
      <x:c r="F58" s="31" t="d">
        <x:v>2026-10-10T00:00:00.000Z</x:v>
      </x:c>
      <x:c r="G58" s="29"/>
      <x:c r="H58" s="29" t="str">
        <x:v>İlgili içerik veya mekân kaydıyla eşleştirilen kaynak notu incelendi. AI öz denetimi; otomatik HTTP erişim sonucu ayrı source-access kayıtlarında tutulur.</x:v>
      </x:c>
      <x:c r="I58" s="29" t="str">
        <x:v>Evet</x:v>
      </x:c>
      <x:c r="J58" s="29"/>
      <x:c r="K58" s="29"/>
    </x:row>
    <x:row r="59" ht="54" customHeight="1">
      <x:c r="A59" s="29" t="str">
        <x:v>bakersfield:src:6887</x:v>
      </x:c>
      <x:c r="B59" s="29" t="str">
        <x:v>bakersfield</x:v>
      </x:c>
      <x:c r="C59" s="29" t="str">
        <x:v>Okul aşı gerekliliklerini kontrol et</x:v>
      </x:c>
      <x:c r="D59" s="29" t="str">
        <x:v>California Halk Sağlığı</x:v>
      </x:c>
      <x:c r="E59" s="29" t="str">
        <x:v>https://www.cdph.ca.gov/Programs/CID/DCDC/Pages/Immunization/School/shotsforschool.aspx</x:v>
      </x:c>
      <x:c r="F59" s="31" t="d">
        <x:v>2026-10-10T00:00:00.000Z</x:v>
      </x:c>
      <x:c r="G59" s="29"/>
      <x:c r="H59" s="29" t="str">
        <x:v>İlgili içerik veya mekân kaydıyla eşleştirilen kaynak notu incelendi. AI öz denetimi; otomatik HTTP erişim sonucu ayrı source-access kayıtlarında tutulur.</x:v>
      </x:c>
      <x:c r="I59" s="29" t="str">
        <x:v>Evet</x:v>
      </x:c>
      <x:c r="J59" s="29"/>
      <x:c r="K59" s="29"/>
    </x:row>
    <x:row r="60" ht="54" customHeight="1">
      <x:c r="A60" s="29" t="str">
        <x:v>bakersfield:src:6916</x:v>
      </x:c>
      <x:c r="B60" s="29" t="str">
        <x:v>bakersfield</x:v>
      </x:c>
      <x:c r="C60" s="29" t="str">
        <x:v>Yeni sakin araç tescilini kontrol et</x:v>
      </x:c>
      <x:c r="D60" s="29" t="str">
        <x:v>California DMV</x:v>
      </x:c>
      <x:c r="E60" s="29" t="str">
        <x:v>https://www.dmv.ca.gov/portal/vehicle-registration/new-registration/registering-a-vehicle-purchased-from-a-private-party/</x:v>
      </x:c>
      <x:c r="F60" s="31" t="d">
        <x:v>2026-10-10T00:00:00.000Z</x:v>
      </x:c>
      <x:c r="G60" s="29"/>
      <x:c r="H60" s="29" t="str">
        <x:v>İlgili içerik veya mekân kaydıyla eşleştirilen kaynak notu incelendi. AI öz denetimi; otomatik HTTP erişim sonucu ayrı source-access kayıtlarında tutulur.</x:v>
      </x:c>
      <x:c r="I60" s="29" t="str">
        <x:v>Evet</x:v>
      </x:c>
      <x:c r="J60" s="29"/>
      <x:c r="K60" s="29"/>
    </x:row>
    <x:row r="61" ht="54" customHeight="1">
      <x:c r="A61" s="29" t="str">
        <x:v>bakersfield:src:6918</x:v>
      </x:c>
      <x:c r="B61" s="29" t="str">
        <x:v>bakersfield</x:v>
      </x:c>
      <x:c r="C61" s="29" t="str">
        <x:v>DMV adres bilgisini güncelle</x:v>
      </x:c>
      <x:c r="D61" s="29" t="str">
        <x:v>California DMV</x:v>
      </x:c>
      <x:c r="E61" s="29" t="str">
        <x:v>https://www.dmv.ca.gov/portal/online-services/online-change-of-address/</x:v>
      </x:c>
      <x:c r="F61" s="31" t="d">
        <x:v>2026-10-10T00:00:00.000Z</x:v>
      </x:c>
      <x:c r="G61" s="29"/>
      <x:c r="H61" s="29" t="str">
        <x:v>İlgili içerik veya mekân kaydıyla eşleştirilen kaynak notu incelendi. AI öz denetimi; otomatik HTTP erişim sonucu ayrı source-access kayıtlarında tutulur.</x:v>
      </x:c>
      <x:c r="I61" s="29" t="str">
        <x:v>Evet</x:v>
      </x:c>
      <x:c r="J61" s="29"/>
      <x:c r="K61" s="29"/>
    </x:row>
    <x:row r="62" ht="54" customHeight="1">
      <x:c r="A62" s="29" t="str">
        <x:v>bakersfield:src:6945</x:v>
      </x:c>
      <x:c r="B62" s="29" t="str">
        <x:v>bakersfield</x:v>
      </x:c>
      <x:c r="C62" s="29" t="str">
        <x:v>ABD saat ve yaz saati bilgisini kontrol et</x:v>
      </x:c>
      <x:c r="D62" s="29" t="str">
        <x:v>ABD Ulusal Standartlar ve Teknoloji</x:v>
      </x:c>
      <x:c r="E62" s="29" t="str">
        <x:v>https://www.nist.gov/pml/time-and-frequency-division/popular-links/daylight-saving-time-dst</x:v>
      </x:c>
      <x:c r="F62" s="31" t="d">
        <x:v>2026-10-10T00:00:00.000Z</x:v>
      </x:c>
      <x:c r="G62" s="29"/>
      <x:c r="H62" s="29" t="str">
        <x:v>İlgili içerik veya mekân kaydıyla eşleştirilen kaynak notu incelendi. AI öz denetimi; otomatik HTTP erişim sonucu ayrı source-access kayıtlarında tutulur.</x:v>
      </x:c>
      <x:c r="I62" s="29" t="str">
        <x:v>Evet</x:v>
      </x:c>
      <x:c r="J62" s="29"/>
      <x:c r="K62" s="29"/>
    </x:row>
    <x:row r="63" ht="54" customHeight="1">
      <x:c r="A63" s="29" t="str">
        <x:v>bakersfield:src:6947</x:v>
      </x:c>
      <x:c r="B63" s="29" t="str">
        <x:v>bakersfield</x:v>
      </x:c>
      <x:c r="C63" s="29" t="str">
        <x:v>Avukat kaydını doğrula</x:v>
      </x:c>
      <x:c r="D63" s="29" t="str">
        <x:v>California Eyalet Barosu</x:v>
      </x:c>
      <x:c r="E63" s="29" t="str">
        <x:v>https://apps.calbar.ca.gov/attorney/LicenseeSearch/QuickSearch</x:v>
      </x:c>
      <x:c r="F63" s="31" t="d">
        <x:v>2026-10-10T00:00:00.000Z</x:v>
      </x:c>
      <x:c r="G63" s="29"/>
      <x:c r="H63" s="29" t="str">
        <x:v>İlgili içerik veya mekân kaydıyla eşleştirilen kaynak notu incelendi. AI öz denetimi; otomatik HTTP erişim sonucu ayrı source-access kayıtlarında tutulur.</x:v>
      </x:c>
      <x:c r="I63" s="29" t="str">
        <x:v>Evet</x:v>
      </x:c>
      <x:c r="J63" s="29"/>
      <x:c r="K63" s="29"/>
    </x:row>
    <x:row r="64" ht="54" customHeight="1">
      <x:c r="A64" s="29" t="str">
        <x:v>bakersfield:src:6950</x:v>
      </x:c>
      <x:c r="B64" s="29" t="str">
        <x:v>bakersfield</x:v>
      </x:c>
      <x:c r="C64" s="29" t="str">
        <x:v>Konut ayrımcılığı başvurusunu incele</x:v>
      </x:c>
      <x:c r="D64" s="29" t="str">
        <x:v>California Civil Rights Department</x:v>
      </x:c>
      <x:c r="E64" s="29" t="str">
        <x:v>https://calcivilrights.ca.gov/housing/</x:v>
      </x:c>
      <x:c r="F64" s="31" t="d">
        <x:v>2026-10-10T00:00:00.000Z</x:v>
      </x:c>
      <x:c r="G64" s="29"/>
      <x:c r="H64" s="29" t="str">
        <x:v>İlgili içerik veya mekân kaydıyla eşleştirilen kaynak notu incelendi. AI öz denetimi; otomatik HTTP erişim sonucu ayrı source-access kayıtlarında tutulur.</x:v>
      </x:c>
      <x:c r="I64" s="29" t="str">
        <x:v>Evet</x:v>
      </x:c>
      <x:c r="J64" s="29"/>
      <x:c r="K64" s="29"/>
    </x:row>
    <x:row r="65" ht="54" customHeight="1">
      <x:c r="A65" s="29" t="str">
        <x:v>bakersfield:src:6967</x:v>
      </x:c>
      <x:c r="B65" s="29" t="str">
        <x:v>bakersfield</x:v>
      </x:c>
      <x:c r="C65" s="29" t="str">
        <x:v>California görev bölgesi ve iletişimi kontrol et</x:v>
      </x:c>
      <x:c r="D65" s="29" t="str">
        <x:v>T.C. Los Angeles Başkonsolosluğu</x:v>
      </x:c>
      <x:c r="E65" s="29" t="str">
        <x:v>https://losangeles-bk.mfa.gov.tr/Mission/Contact</x:v>
      </x:c>
      <x:c r="F65" s="31" t="d">
        <x:v>2026-10-10T00:00:00.000Z</x:v>
      </x:c>
      <x:c r="G65" s="29"/>
      <x:c r="H65" s="29" t="str">
        <x:v>İlgili içerik veya mekân kaydıyla eşleştirilen kaynak notu incelendi. AI öz denetimi; otomatik HTTP erişim sonucu ayrı source-access kayıtlarında tutulur.</x:v>
      </x:c>
      <x:c r="I65" s="29" t="str">
        <x:v>Evet</x:v>
      </x:c>
      <x:c r="J65" s="29"/>
      <x:c r="K65" s="29"/>
    </x:row>
    <x:row r="66" ht="54" customHeight="1">
      <x:c r="A66" s="29" t="str">
        <x:v>bakersfield:src:6969</x:v>
      </x:c>
      <x:c r="B66" s="29" t="str">
        <x:v>bakersfield</x:v>
      </x:c>
      <x:c r="C66" s="29" t="str">
        <x:v>Seyahat belgesi ve yeniden giriş koşulunu incele</x:v>
      </x:c>
      <x:c r="D66" s="29" t="str">
        <x:v>USCIS</x:v>
      </x:c>
      <x:c r="E66" s="29" t="str">
        <x:v>https://www.uscis.gov/green-card/green-card-processes-and-procedures/travel-documents</x:v>
      </x:c>
      <x:c r="F66" s="31" t="d">
        <x:v>2026-10-10T00:00:00.000Z</x:v>
      </x:c>
      <x:c r="G66" s="29"/>
      <x:c r="H66" s="29" t="str">
        <x:v>İlgili içerik veya mekân kaydıyla eşleştirilen kaynak notu incelendi. AI öz denetimi; otomatik HTTP erişim sonucu ayrı source-access kayıtlarında tutulur.</x:v>
      </x:c>
      <x:c r="I66" s="29" t="str">
        <x:v>Evet</x:v>
      </x:c>
      <x:c r="J66" s="29"/>
      <x:c r="K66" s="29"/>
    </x:row>
    <x:row r="67" ht="54" customHeight="1">
      <x:c r="A67" s="29" t="str">
        <x:v>bakersfield:src:6971</x:v>
      </x:c>
      <x:c r="B67" s="29" t="str">
        <x:v>bakersfield</x:v>
      </x:c>
      <x:c r="C67" s="29" t="str">
        <x:v>Yiyecek ve tarım ürünü girişini kontrol et</x:v>
      </x:c>
      <x:c r="D67" s="29" t="str">
        <x:v>ABD Sınır ve Gümrük Koruma</x:v>
      </x:c>
      <x:c r="E67" s="29" t="str">
        <x:v>https://www.cbp.gov/travel/clearing-cbp/bringing-agricultural-products-united-states</x:v>
      </x:c>
      <x:c r="F67" s="31" t="d">
        <x:v>2026-10-10T00:00:00.000Z</x:v>
      </x:c>
      <x:c r="G67" s="29"/>
      <x:c r="H67" s="29" t="str">
        <x:v>İlgili içerik veya mekân kaydıyla eşleştirilen kaynak notu incelendi. AI öz denetimi; otomatik HTTP erişim sonucu ayrı source-access kayıtlarında tutulur.</x:v>
      </x:c>
      <x:c r="I67" s="29" t="str">
        <x:v>Evet</x:v>
      </x:c>
      <x:c r="J67" s="29"/>
      <x:c r="K67" s="29"/>
    </x:row>
    <x:row r="68" ht="54" customHeight="1">
      <x:c r="A68" s="29" t="str">
        <x:v>bakersfield:src:14202</x:v>
      </x:c>
      <x:c r="B68" s="29" t="str">
        <x:v>bakersfield</x:v>
      </x:c>
      <x:c r="C68" s="29" t="str">
        <x:v>Resmî taşkın haritası</x:v>
      </x:c>
      <x:c r="D68" s="29" t="str">
        <x:v>FEMA</x:v>
      </x:c>
      <x:c r="E68" s="29" t="str">
        <x:v>https://msc.fema.gov/portal/home</x:v>
      </x:c>
      <x:c r="F68" s="31" t="d">
        <x:v>2026-10-18T00:00:00.000Z</x:v>
      </x:c>
      <x:c r="G68" s="29"/>
      <x:c r="H68" s="29" t="str">
        <x:v>İlgili içerik veya mekân kaydıyla eşleştirilen kaynak notu incelendi. AI öz denetimi; otomatik HTTP erişim sonucu ayrı source-access kayıtlarında tutulur.</x:v>
      </x:c>
      <x:c r="I68" s="29" t="str">
        <x:v>Evet</x:v>
      </x:c>
      <x:c r="J68" s="29"/>
      <x:c r="K68" s="29"/>
    </x:row>
    <x:row r="69" ht="54" customHeight="1">
      <x:c r="A69" s="29" t="str">
        <x:v>bakersfield:src:15804</x:v>
      </x:c>
      <x:c r="B69" s="29" t="str">
        <x:v>bakersfield</x:v>
      </x:c>
      <x:c r="C69" s="29" t="str">
        <x:v>Debt collection</x:v>
      </x:c>
      <x:c r="D69" s="29" t="str">
        <x:v>Consumer Financial Protection Bureau</x:v>
      </x:c>
      <x:c r="E69" s="29" t="str">
        <x:v>https://www.consumerfinance.gov/consumer-tools/debt-collection/</x:v>
      </x:c>
      <x:c r="F69" s="31" t="d">
        <x:v>2026-10-20T00:00:00.000Z</x:v>
      </x:c>
      <x:c r="G69" s="29"/>
      <x:c r="H69" s="29" t="str">
        <x:v>İlgili içerik veya mekân kaydıyla eşleştirilen kaynak notu incelendi. AI öz denetimi; otomatik HTTP erişim sonucu ayrı source-access kayıtlarında tutulur.</x:v>
      </x:c>
      <x:c r="I69" s="29" t="str">
        <x:v>Evet</x:v>
      </x:c>
      <x:c r="J69" s="29"/>
      <x:c r="K69" s="29"/>
    </x:row>
    <x:row r="70" ht="54" customHeight="1">
      <x:c r="A70" s="29" t="str">
        <x:v>bakersfield:src:15973</x:v>
      </x:c>
      <x:c r="B70" s="29" t="str">
        <x:v>bakersfield</x:v>
      </x:c>
      <x:c r="C70" s="29" t="str">
        <x:v>T.C. Enerji ve Tabii Kaynaklar Bakanlığı</x:v>
      </x:c>
      <x:c r="D70" s="29" t="str">
        <x:v>Türkiye saat uygulaması</x:v>
      </x:c>
      <x:c r="E70" s="29" t="str">
        <x:v>https://www.enerji.gov.tr/sikca-sorulan-sorular</x:v>
      </x:c>
      <x:c r="F70" s="31" t="d">
        <x:v>2026-10-20T00:00:00.000Z</x:v>
      </x:c>
      <x:c r="G70" s="29"/>
      <x:c r="H70" s="29" t="str">
        <x:v>İlgili içerik veya mekân kaydıyla eşleştirilen kaynak notu incelendi. AI öz denetimi; otomatik HTTP erişim sonucu ayrı source-access kayıtlarında tutulur.</x:v>
      </x:c>
      <x:c r="I70" s="29" t="str">
        <x:v>Evet</x:v>
      </x:c>
      <x:c r="J70" s="29"/>
      <x:c r="K70" s="29"/>
    </x:row>
    <x:row r="71" ht="54" customHeight="1">
      <x:c r="A71" s="29" t="str">
        <x:v>bakersfield:src:17602</x:v>
      </x:c>
      <x:c r="B71" s="29" t="str">
        <x:v>bakersfield</x:v>
      </x:c>
      <x:c r="C71" s="29" t="str">
        <x:v>Belediye ve şehir hizmetleri</x:v>
      </x:c>
      <x:c r="D71" s="29" t="str">
        <x:v>City of Bakersfield</x:v>
      </x:c>
      <x:c r="E71" s="29" t="str">
        <x:v>https://www.bakersfieldcity.us/</x:v>
      </x:c>
      <x:c r="F71" s="31" t="d">
        <x:v>2026-10-23T00:00:00.000Z</x:v>
      </x:c>
      <x:c r="G71" s="29"/>
      <x:c r="H71" s="29" t="str">
        <x:v>İlgili içerik veya mekân kaydıyla eşleştirilen kaynak notu incelendi. AI öz denetimi; otomatik HTTP erişim sonucu ayrı source-access kayıtlarında tutulur.</x:v>
      </x:c>
      <x:c r="I71" s="29" t="str">
        <x:v>Evet</x:v>
      </x:c>
      <x:c r="J71" s="29"/>
      <x:c r="K71" s="29"/>
    </x:row>
    <x:row r="72" ht="54" customHeight="1">
      <x:c r="A72" s="29" t="str">
        <x:v>bakersfield:src:17603</x:v>
      </x:c>
      <x:c r="B72" s="29" t="str">
        <x:v>bakersfield</x:v>
      </x:c>
      <x:c r="C72" s="29" t="str">
        <x:v>Belediye sınırları ve GIS haritaları</x:v>
      </x:c>
      <x:c r="D72" s="29" t="str">
        <x:v>City of Bakersfield</x:v>
      </x:c>
      <x:c r="E72" s="29" t="str">
        <x:v>https://www.bakersfieldcity.us/gis-mapping-portal</x:v>
      </x:c>
      <x:c r="F72" s="31" t="d">
        <x:v>2026-10-23T00:00:00.000Z</x:v>
      </x:c>
      <x:c r="G72" s="29"/>
      <x:c r="H72" s="29" t="str">
        <x:v>İlgili içerik veya mekân kaydıyla eşleştirilen kaynak notu incelendi. AI öz denetimi; otomatik HTTP erişim sonucu ayrı source-access kayıtlarında tutulur.</x:v>
      </x:c>
      <x:c r="I72" s="29" t="str">
        <x:v>Evet</x:v>
      </x:c>
      <x:c r="J72" s="29"/>
      <x:c r="K72" s="29"/>
    </x:row>
    <x:row r="73" ht="54" customHeight="1">
      <x:c r="A73" s="29" t="str">
        <x:v>bakersfield:src:17604</x:v>
      </x:c>
      <x:c r="B73" s="29" t="str">
        <x:v>bakersfield</x:v>
      </x:c>
      <x:c r="C73" s="29" t="str">
        <x:v>County hizmetleri</x:v>
      </x:c>
      <x:c r="D73" s="29" t="str">
        <x:v>Kern County</x:v>
      </x:c>
      <x:c r="E73" s="29" t="str">
        <x:v>https://www.kerncounty.com/</x:v>
      </x:c>
      <x:c r="F73" s="31" t="d">
        <x:v>2026-10-23T00:00:00.000Z</x:v>
      </x:c>
      <x:c r="G73" s="29"/>
      <x:c r="H73" s="29" t="str">
        <x:v>İlgili içerik veya mekân kaydıyla eşleştirilen kaynak notu incelendi. AI öz denetimi; otomatik HTTP erişim sonucu ayrı source-access kayıtlarında tutulur.</x:v>
      </x:c>
      <x:c r="I73" s="29" t="str">
        <x:v>Evet</x:v>
      </x:c>
      <x:c r="J73" s="29"/>
      <x:c r="K73" s="29"/>
    </x:row>
    <x:row r="74" ht="54" customHeight="1">
      <x:c r="A74" s="29" t="str">
        <x:v>bakersfield:src:17605</x:v>
      </x:c>
      <x:c r="B74" s="29" t="str">
        <x:v>bakersfield</x:v>
      </x:c>
      <x:c r="C74" s="29" t="str">
        <x:v>Vize geçerliliği ve kalış süresi</x:v>
      </x:c>
      <x:c r="D74" s="29" t="str">
        <x:v>U.S. Department of State</x:v>
      </x:c>
      <x:c r="E74" s="29" t="str">
        <x:v>https://travel.state.gov/content/travel/en/us-visas/visa-information-resources/visa-expiration-date.html</x:v>
      </x:c>
      <x:c r="F74" s="31" t="d">
        <x:v>2026-10-23T00:00:00.000Z</x:v>
      </x:c>
      <x:c r="G74" s="29"/>
      <x:c r="H74" s="29" t="str">
        <x:v>İlgili içerik veya mekân kaydıyla eşleştirilen kaynak notu incelendi. AI öz denetimi; otomatik HTTP erişim sonucu ayrı source-access kayıtlarında tutulur.</x:v>
      </x:c>
      <x:c r="I74" s="29" t="str">
        <x:v>Evet</x:v>
      </x:c>
      <x:c r="J74" s="29"/>
      <x:c r="K74" s="29"/>
    </x:row>
    <x:row r="75" ht="54" customHeight="1">
      <x:c r="A75" s="29" t="str">
        <x:v>bakersfield:src:17606</x:v>
      </x:c>
      <x:c r="B75" s="29" t="str">
        <x:v>bakersfield</x:v>
      </x:c>
      <x:c r="C75" s="29" t="str">
        <x:v>Başvuru ve belgeleri hazırlama</x:v>
      </x:c>
      <x:c r="D75" s="29" t="str">
        <x:v>USCIS</x:v>
      </x:c>
      <x:c r="E75" s="29" t="str">
        <x:v>https://www.uscis.gov/forms/filing-guidance/tips-for-filing-forms-by-mail</x:v>
      </x:c>
      <x:c r="F75" s="31" t="d">
        <x:v>2026-10-23T00:00:00.000Z</x:v>
      </x:c>
      <x:c r="G75" s="29"/>
      <x:c r="H75" s="29" t="str">
        <x:v>İlgili içerik veya mekân kaydıyla eşleştirilen kaynak notu incelendi. AI öz denetimi; otomatik HTTP erişim sonucu ayrı source-access kayıtlarında tutulur.</x:v>
      </x:c>
      <x:c r="I75" s="29" t="str">
        <x:v>Evet</x:v>
      </x:c>
      <x:c r="J75" s="29"/>
      <x:c r="K75" s="29"/>
    </x:row>
    <x:row r="76" ht="54" customHeight="1">
      <x:c r="A76" s="29" t="str">
        <x:v>bakersfield:src:17607</x:v>
      </x:c>
      <x:c r="B76" s="29" t="str">
        <x:v>bakersfield</x:v>
      </x:c>
      <x:c r="C76" s="29" t="str">
        <x:v>SSN belgesi koşulları</x:v>
      </x:c>
      <x:c r="D76" s="29" t="str">
        <x:v>Social Security Administration</x:v>
      </x:c>
      <x:c r="E76" s="29" t="str">
        <x:v>https://www.ssa.gov/ssnumber/ss5doc.htm</x:v>
      </x:c>
      <x:c r="F76" s="31" t="d">
        <x:v>2026-10-23T00:00:00.000Z</x:v>
      </x:c>
      <x:c r="G76" s="29"/>
      <x:c r="H76" s="29" t="str">
        <x:v>İlgili içerik veya mekân kaydıyla eşleştirilen kaynak notu incelendi. AI öz denetimi; otomatik HTTP erişim sonucu ayrı source-access kayıtlarında tutulur.</x:v>
      </x:c>
      <x:c r="I76" s="29" t="str">
        <x:v>Evet</x:v>
      </x:c>
      <x:c r="J76" s="29"/>
      <x:c r="K76" s="29"/>
    </x:row>
    <x:row r="77" ht="54" customHeight="1">
      <x:c r="A77" s="29" t="str">
        <x:v>bakersfield:src:17608</x:v>
      </x:c>
      <x:c r="B77" s="29" t="str">
        <x:v>bakersfield</x:v>
      </x:c>
      <x:c r="C77" s="29" t="str">
        <x:v>Social Security kart türleri</x:v>
      </x:c>
      <x:c r="D77" s="29" t="str">
        <x:v>Social Security Administration</x:v>
      </x:c>
      <x:c r="E77" s="29" t="str">
        <x:v>https://www.ssa.gov/ssnumber/cards.htm</x:v>
      </x:c>
      <x:c r="F77" s="31" t="d">
        <x:v>2026-10-23T00:00:00.000Z</x:v>
      </x:c>
      <x:c r="G77" s="29"/>
      <x:c r="H77" s="29" t="str">
        <x:v>İlgili içerik veya mekân kaydıyla eşleştirilen kaynak notu incelendi. AI öz denetimi; otomatik HTTP erişim sonucu ayrı source-access kayıtlarında tutulur.</x:v>
      </x:c>
      <x:c r="I77" s="29" t="str">
        <x:v>Evet</x:v>
      </x:c>
      <x:c r="J77" s="29"/>
      <x:c r="K77" s="29"/>
    </x:row>
    <x:row r="78" ht="54" customHeight="1">
      <x:c r="A78" s="29" t="str">
        <x:v>bakersfield:src:17609</x:v>
      </x:c>
      <x:c r="B78" s="29" t="str">
        <x:v>bakersfield</x:v>
      </x:c>
      <x:c r="C78" s="29" t="str">
        <x:v>ITIN kapsamı ve başvuru</x:v>
      </x:c>
      <x:c r="D78" s="29" t="str">
        <x:v>Internal Revenue Service</x:v>
      </x:c>
      <x:c r="E78" s="29" t="str">
        <x:v>https://www.irs.gov/taxtopics/tc857</x:v>
      </x:c>
      <x:c r="F78" s="31" t="d">
        <x:v>2026-10-23T00:00:00.000Z</x:v>
      </x:c>
      <x:c r="G78" s="29"/>
      <x:c r="H78" s="29" t="str">
        <x:v>İlgili içerik veya mekân kaydıyla eşleştirilen kaynak notu incelendi. AI öz denetimi; otomatik HTTP erişim sonucu ayrı source-access kayıtlarında tutulur.</x:v>
      </x:c>
      <x:c r="I78" s="29" t="str">
        <x:v>Evet</x:v>
      </x:c>
      <x:c r="J78" s="29"/>
      <x:c r="K78" s="29"/>
    </x:row>
    <x:row r="79" ht="54" customHeight="1">
      <x:c r="A79" s="29" t="str">
        <x:v>bakersfield:src:17610</x:v>
      </x:c>
      <x:c r="B79" s="29" t="str">
        <x:v>bakersfield</x:v>
      </x:c>
      <x:c r="C79" s="29" t="str">
        <x:v>Sürücü belgesi başvurusu</x:v>
      </x:c>
      <x:c r="D79" s="29" t="str">
        <x:v>California DMV</x:v>
      </x:c>
      <x:c r="E79" s="29" t="str">
        <x:v>https://www.dmv.ca.gov/portal/driver-licenses-identification-cards/driver-licenses-dl/</x:v>
      </x:c>
      <x:c r="F79" s="31" t="d">
        <x:v>2026-10-23T00:00:00.000Z</x:v>
      </x:c>
      <x:c r="G79" s="29"/>
      <x:c r="H79" s="29" t="str">
        <x:v>İlgili içerik veya mekân kaydıyla eşleştirilen kaynak notu incelendi. AI öz denetimi; otomatik HTTP erişim sonucu ayrı source-access kayıtlarında tutulur.</x:v>
      </x:c>
      <x:c r="I79" s="29" t="str">
        <x:v>Evet</x:v>
      </x:c>
      <x:c r="J79" s="29"/>
      <x:c r="K79" s="29"/>
    </x:row>
    <x:row r="80" ht="54" customHeight="1">
      <x:c r="A80" s="29" t="str">
        <x:v>bakersfield:src:17611</x:v>
      </x:c>
      <x:c r="B80" s="29" t="str">
        <x:v>bakersfield</x:v>
      </x:c>
      <x:c r="C80" s="29" t="str">
        <x:v>AB 60 sürücü belgesi</x:v>
      </x:c>
      <x:c r="D80" s="29" t="str">
        <x:v>California DMV</x:v>
      </x:c>
      <x:c r="E80" s="29" t="str">
        <x:v>https://www.dmv.ca.gov/portal/driver-licenses-identification-cards/assembly-bill-ab-60-driver-licenses/</x:v>
      </x:c>
      <x:c r="F80" s="31" t="d">
        <x:v>2026-10-23T00:00:00.000Z</x:v>
      </x:c>
      <x:c r="G80" s="29"/>
      <x:c r="H80" s="29" t="str">
        <x:v>İlgili içerik veya mekân kaydıyla eşleştirilen kaynak notu incelendi. AI öz denetimi; otomatik HTTP erişim sonucu ayrı source-access kayıtlarında tutulur.</x:v>
      </x:c>
      <x:c r="I80" s="29" t="str">
        <x:v>Evet</x:v>
      </x:c>
      <x:c r="J80" s="29"/>
      <x:c r="K80" s="29"/>
    </x:row>
    <x:row r="81" ht="54" customHeight="1">
      <x:c r="A81" s="29" t="str">
        <x:v>bakersfield:src:17612</x:v>
      </x:c>
      <x:c r="B81" s="29" t="str">
        <x:v>bakersfield</x:v>
      </x:c>
      <x:c r="C81" s="29" t="str">
        <x:v>Araç tescili</x:v>
      </x:c>
      <x:c r="D81" s="29" t="str">
        <x:v>California DMV</x:v>
      </x:c>
      <x:c r="E81" s="29" t="str">
        <x:v>https://www.dmv.ca.gov/portal/vehicle-registration/new-registration/</x:v>
      </x:c>
      <x:c r="F81" s="31" t="d">
        <x:v>2026-10-23T00:00:00.000Z</x:v>
      </x:c>
      <x:c r="G81" s="29"/>
      <x:c r="H81" s="29" t="str">
        <x:v>İlgili içerik veya mekân kaydıyla eşleştirilen kaynak notu incelendi. AI öz denetimi; otomatik HTTP erişim sonucu ayrı source-access kayıtlarında tutulur.</x:v>
      </x:c>
      <x:c r="I81" s="29" t="str">
        <x:v>Evet</x:v>
      </x:c>
      <x:c r="J81" s="29"/>
      <x:c r="K81" s="29"/>
    </x:row>
    <x:row r="82" ht="54" customHeight="1">
      <x:c r="A82" s="29" t="str">
        <x:v>bakersfield:src:17613</x:v>
      </x:c>
      <x:c r="B82" s="29" t="str">
        <x:v>bakersfield</x:v>
      </x:c>
      <x:c r="C82" s="29" t="str">
        <x:v>Araç sigortası koşulları</x:v>
      </x:c>
      <x:c r="D82" s="29" t="str">
        <x:v>California DMV</x:v>
      </x:c>
      <x:c r="E82" s="29" t="str">
        <x:v>https://www.dmv.ca.gov/portal/vehicle-registration/insurance-requirements/</x:v>
      </x:c>
      <x:c r="F82" s="31" t="d">
        <x:v>2026-10-23T00:00:00.000Z</x:v>
      </x:c>
      <x:c r="G82" s="29"/>
      <x:c r="H82" s="29" t="str">
        <x:v>İlgili içerik veya mekân kaydıyla eşleştirilen kaynak notu incelendi. AI öz denetimi; otomatik HTTP erişim sonucu ayrı source-access kayıtlarında tutulur.</x:v>
      </x:c>
      <x:c r="I82" s="29" t="str">
        <x:v>Evet</x:v>
      </x:c>
      <x:c r="J82" s="29"/>
      <x:c r="K82" s="29"/>
    </x:row>
    <x:row r="83" ht="54" customHeight="1">
      <x:c r="A83" s="29" t="str">
        <x:v>bakersfield:src:17614</x:v>
      </x:c>
      <x:c r="B83" s="29" t="str">
        <x:v>bakersfield</x:v>
      </x:c>
      <x:c r="C83" s="29" t="str">
        <x:v>Çocuk yolcu güvenliği</x:v>
      </x:c>
      <x:c r="D83" s="29" t="str">
        <x:v>California Office of Traffic Safety</x:v>
      </x:c>
      <x:c r="E83" s="29" t="str">
        <x:v>https://www.ots.ca.gov/child-passenger-safety/</x:v>
      </x:c>
      <x:c r="F83" s="31" t="d">
        <x:v>2026-10-23T00:00:00.000Z</x:v>
      </x:c>
      <x:c r="G83" s="29"/>
      <x:c r="H83" s="29" t="str">
        <x:v>İlgili içerik veya mekân kaydıyla eşleştirilen kaynak notu incelendi. AI öz denetimi; otomatik HTTP erişim sonucu ayrı source-access kayıtlarında tutulur.</x:v>
      </x:c>
      <x:c r="I83" s="29" t="str">
        <x:v>Evet</x:v>
      </x:c>
      <x:c r="J83" s="29"/>
      <x:c r="K83" s="29"/>
    </x:row>
    <x:row r="84" ht="54" customHeight="1">
      <x:c r="A84" s="29" t="str">
        <x:v>bakersfield:src:17615</x:v>
      </x:c>
      <x:c r="B84" s="29" t="str">
        <x:v>bakersfield</x:v>
      </x:c>
      <x:c r="C84" s="29" t="str">
        <x:v>Yetkili göçmenlik temsilcileri</x:v>
      </x:c>
      <x:c r="D84" s="29" t="str">
        <x:v>U.S. Department of Justice</x:v>
      </x:c>
      <x:c r="E84" s="29" t="str">
        <x:v>https://www.justice.gov/eoir/Recognition-and-Accreditation-Program-icor</x:v>
      </x:c>
      <x:c r="F84" s="31" t="d">
        <x:v>2026-10-23T00:00:00.000Z</x:v>
      </x:c>
      <x:c r="G84" s="29"/>
      <x:c r="H84" s="29" t="str">
        <x:v>İlgili içerik veya mekân kaydıyla eşleştirilen kaynak notu incelendi. AI öz denetimi; otomatik HTTP erişim sonucu ayrı source-access kayıtlarında tutulur.</x:v>
      </x:c>
      <x:c r="I84" s="29" t="str">
        <x:v>Evet</x:v>
      </x:c>
      <x:c r="J84" s="29"/>
      <x:c r="K84" s="29"/>
    </x:row>
    <x:row r="85" ht="54" customHeight="1">
      <x:c r="A85" s="29" t="str">
        <x:v>bakersfield:src:17617</x:v>
      </x:c>
      <x:c r="B85" s="29" t="str">
        <x:v>bakersfield</x:v>
      </x:c>
      <x:c r="C85" s="29" t="str">
        <x:v>Kaliforniya kiracı rehberi</x:v>
      </x:c>
      <x:c r="D85" s="29" t="str">
        <x:v>California Department of Real Estate</x:v>
      </x:c>
      <x:c r="E85" s="29" t="str">
        <x:v>https://www.dre.ca.gov/publications/ResourceGuidebook/2026_Landlord_Tenant_Guide.pdf</x:v>
      </x:c>
      <x:c r="F85" s="31" t="d">
        <x:v>2026-10-23T00:00:00.000Z</x:v>
      </x:c>
      <x:c r="G85" s="29"/>
      <x:c r="H85" s="29" t="str">
        <x:v>İlgili içerik veya mekân kaydıyla eşleştirilen kaynak notu incelendi. AI öz denetimi; otomatik HTTP erişim sonucu ayrı source-access kayıtlarında tutulur.</x:v>
      </x:c>
      <x:c r="I85" s="29" t="str">
        <x:v>Evet</x:v>
      </x:c>
      <x:c r="J85" s="29"/>
      <x:c r="K85" s="29"/>
    </x:row>
    <x:row r="86" ht="54" customHeight="1">
      <x:c r="A86" s="29" t="str">
        <x:v>bakersfield:src:17618</x:v>
      </x:c>
      <x:c r="B86" s="29" t="str">
        <x:v>bakersfield</x:v>
      </x:c>
      <x:c r="C86" s="29" t="str">
        <x:v>Konut arama ve başvuru</x:v>
      </x:c>
      <x:c r="D86" s="29" t="str">
        <x:v>California Department of Real Estate</x:v>
      </x:c>
      <x:c r="E86" s="29" t="str">
        <x:v>https://www.dre.ca.gov/publications/ResourceGuidebook/gb05_lookingfor.html</x:v>
      </x:c>
      <x:c r="F86" s="31" t="d">
        <x:v>2026-10-23T00:00:00.000Z</x:v>
      </x:c>
      <x:c r="G86" s="29"/>
      <x:c r="H86" s="29" t="str">
        <x:v>İlgili içerik veya mekân kaydıyla eşleştirilen kaynak notu incelendi. AI öz denetimi; otomatik HTTP erişim sonucu ayrı source-access kayıtlarında tutulur.</x:v>
      </x:c>
      <x:c r="I86" s="29" t="str">
        <x:v>Evet</x:v>
      </x:c>
      <x:c r="J86" s="29"/>
      <x:c r="K86" s="29"/>
    </x:row>
    <x:row r="87" ht="54" customHeight="1">
      <x:c r="A87" s="29" t="str">
        <x:v>bakersfield:src:17619</x:v>
      </x:c>
      <x:c r="B87" s="29" t="str">
        <x:v>bakersfield</x:v>
      </x:c>
      <x:c r="C87" s="29" t="str">
        <x:v>Tahliye süreçleri</x:v>
      </x:c>
      <x:c r="D87" s="29" t="str">
        <x:v>California Courts</x:v>
      </x:c>
      <x:c r="E87" s="29" t="str">
        <x:v>https://selfhelp.courts.ca.gov/eviction</x:v>
      </x:c>
      <x:c r="F87" s="31" t="d">
        <x:v>2026-10-23T00:00:00.000Z</x:v>
      </x:c>
      <x:c r="G87" s="29"/>
      <x:c r="H87" s="29" t="str">
        <x:v>İlgili içerik veya mekân kaydıyla eşleştirilen kaynak notu incelendi. AI öz denetimi; otomatik HTTP erişim sonucu ayrı source-access kayıtlarında tutulur.</x:v>
      </x:c>
      <x:c r="I87" s="29" t="str">
        <x:v>Evet</x:v>
      </x:c>
      <x:c r="J87" s="29"/>
      <x:c r="K87" s="29"/>
    </x:row>
    <x:row r="88" ht="54" customHeight="1">
      <x:c r="A88" s="29" t="str">
        <x:v>bakersfield:src:17620</x:v>
      </x:c>
      <x:c r="B88" s="29" t="str">
        <x:v>bakersfield</x:v>
      </x:c>
      <x:c r="C88" s="29" t="str">
        <x:v>Yerel hukuk yardımı</x:v>
      </x:c>
      <x:c r="D88" s="29" t="str">
        <x:v>Greater Bakersfield Legal Assistance</x:v>
      </x:c>
      <x:c r="E88" s="29" t="str">
        <x:v>https://www.gbla.org/</x:v>
      </x:c>
      <x:c r="F88" s="31" t="d">
        <x:v>2026-10-23T00:00:00.000Z</x:v>
      </x:c>
      <x:c r="G88" s="29"/>
      <x:c r="H88" s="29" t="str">
        <x:v>İlgili içerik veya mekân kaydıyla eşleştirilen kaynak notu incelendi. AI öz denetimi; otomatik HTTP erişim sonucu ayrı source-access kayıtlarında tutulur.</x:v>
      </x:c>
      <x:c r="I88" s="29" t="str">
        <x:v>Evet</x:v>
      </x:c>
      <x:c r="J88" s="29"/>
      <x:c r="K88" s="29"/>
    </x:row>
    <x:row r="89" ht="54" customHeight="1">
      <x:c r="A89" s="29" t="str">
        <x:v>bakersfield:src:17621</x:v>
      </x:c>
      <x:c r="B89" s="29" t="str">
        <x:v>bakersfield</x:v>
      </x:c>
      <x:c r="C89" s="29" t="str">
        <x:v>Yangın tehlike bölgeleri</x:v>
      </x:c>
      <x:c r="D89" s="29" t="str">
        <x:v>CAL FIRE</x:v>
      </x:c>
      <x:c r="E89" s="29" t="str">
        <x:v>https://osfm.fire.ca.gov/what-we-do/community-wildfire-preparedness-and-mitigation/fire-hazard-severity-zones</x:v>
      </x:c>
      <x:c r="F89" s="31" t="d">
        <x:v>2026-10-23T00:00:00.000Z</x:v>
      </x:c>
      <x:c r="G89" s="29"/>
      <x:c r="H89" s="29" t="str">
        <x:v>İlgili içerik veya mekân kaydıyla eşleştirilen kaynak notu incelendi. AI öz denetimi; otomatik HTTP erişim sonucu ayrı source-access kayıtlarında tutulur.</x:v>
      </x:c>
      <x:c r="I89" s="29" t="str">
        <x:v>Evet</x:v>
      </x:c>
      <x:c r="J89" s="29"/>
      <x:c r="K89" s="29"/>
    </x:row>
    <x:row r="90" ht="54" customHeight="1">
      <x:c r="A90" s="29" t="str">
        <x:v>bakersfield:src:17623</x:v>
      </x:c>
      <x:c r="B90" s="29" t="str">
        <x:v>bakersfield</x:v>
      </x:c>
      <x:c r="C90" s="29" t="str">
        <x:v>Medical Baseline programı</x:v>
      </x:c>
      <x:c r="D90" s="29" t="str">
        <x:v>Pacific Gas and Electric Company</x:v>
      </x:c>
      <x:c r="E90" s="29" t="str">
        <x:v>https://www.pge.com/en/account/billing-and-assistance/financial-assistance/medical-baseline-program.html</x:v>
      </x:c>
      <x:c r="F90" s="31" t="d">
        <x:v>2026-10-23T00:00:00.000Z</x:v>
      </x:c>
      <x:c r="G90" s="29"/>
      <x:c r="H90" s="29" t="str">
        <x:v>İlgili içerik veya mekân kaydıyla eşleştirilen kaynak notu incelendi. AI öz denetimi; otomatik HTTP erişim sonucu ayrı source-access kayıtlarında tutulur.</x:v>
      </x:c>
      <x:c r="I90" s="29" t="str">
        <x:v>Evet</x:v>
      </x:c>
      <x:c r="J90" s="29"/>
      <x:c r="K90" s="29"/>
    </x:row>
    <x:row r="91" ht="54" customHeight="1">
      <x:c r="A91" s="29" t="str">
        <x:v>bakersfield:src:17624</x:v>
      </x:c>
      <x:c r="B91" s="29" t="str">
        <x:v>bakersfield</x:v>
      </x:c>
      <x:c r="C91" s="29" t="str">
        <x:v>Elektrik kesintileri</x:v>
      </x:c>
      <x:c r="D91" s="29" t="str">
        <x:v>Pacific Gas and Electric Company</x:v>
      </x:c>
      <x:c r="E91" s="29" t="str">
        <x:v>https://www.pge.com/en/outages-and-safety.html</x:v>
      </x:c>
      <x:c r="F91" s="31" t="d">
        <x:v>2026-10-23T00:00:00.000Z</x:v>
      </x:c>
      <x:c r="G91" s="29"/>
      <x:c r="H91" s="29" t="str">
        <x:v>İlgili içerik veya mekân kaydıyla eşleştirilen kaynak notu incelendi. AI öz denetimi; otomatik HTTP erişim sonucu ayrı source-access kayıtlarında tutulur.</x:v>
      </x:c>
      <x:c r="I91" s="29" t="str">
        <x:v>Evet</x:v>
      </x:c>
      <x:c r="J91" s="29"/>
      <x:c r="K91" s="29"/>
    </x:row>
    <x:row r="92" ht="54" customHeight="1">
      <x:c r="A92" s="29" t="str">
        <x:v>bakersfield:src:17625</x:v>
      </x:c>
      <x:c r="B92" s="29" t="str">
        <x:v>bakersfield</x:v>
      </x:c>
      <x:c r="C92" s="29" t="str">
        <x:v>Bakersfield hizmet bölgesi</x:v>
      </x:c>
      <x:c r="D92" s="29" t="str">
        <x:v>California Water Service</x:v>
      </x:c>
      <x:c r="E92" s="29" t="str">
        <x:v>https://www.calwater.com/district/bakersfield/</x:v>
      </x:c>
      <x:c r="F92" s="31" t="d">
        <x:v>2026-10-23T00:00:00.000Z</x:v>
      </x:c>
      <x:c r="G92" s="29"/>
      <x:c r="H92" s="29" t="str">
        <x:v>İlgili içerik veya mekân kaydıyla eşleştirilen kaynak notu incelendi. AI öz denetimi; otomatik HTTP erişim sonucu ayrı source-access kayıtlarında tutulur.</x:v>
      </x:c>
      <x:c r="I92" s="29" t="str">
        <x:v>Evet</x:v>
      </x:c>
      <x:c r="J92" s="29"/>
      <x:c r="K92" s="29"/>
    </x:row>
    <x:row r="93" ht="54" customHeight="1">
      <x:c r="A93" s="29" t="str">
        <x:v>bakersfield:src:17626</x:v>
      </x:c>
      <x:c r="B93" s="29" t="str">
        <x:v>bakersfield</x:v>
      </x:c>
      <x:c r="C93" s="29" t="str">
        <x:v>Su aboneliği başlatma ve kapatma</x:v>
      </x:c>
      <x:c r="D93" s="29" t="str">
        <x:v>California Water Service</x:v>
      </x:c>
      <x:c r="E93" s="29" t="str">
        <x:v>https://www.calwater.com/start-stop/</x:v>
      </x:c>
      <x:c r="F93" s="31" t="d">
        <x:v>2026-10-23T00:00:00.000Z</x:v>
      </x:c>
      <x:c r="G93" s="29"/>
      <x:c r="H93" s="29" t="str">
        <x:v>İlgili içerik veya mekân kaydıyla eşleştirilen kaynak notu incelendi. AI öz denetimi; otomatik HTTP erişim sonucu ayrı source-access kayıtlarında tutulur.</x:v>
      </x:c>
      <x:c r="I93" s="29" t="str">
        <x:v>Evet</x:v>
      </x:c>
      <x:c r="J93" s="29"/>
      <x:c r="K93" s="29"/>
    </x:row>
    <x:row r="94" ht="54" customHeight="1">
      <x:c r="A94" s="29" t="str">
        <x:v>bakersfield:src:17627</x:v>
      </x:c>
      <x:c r="B94" s="29" t="str">
        <x:v>bakersfield</x:v>
      </x:c>
      <x:c r="C94" s="29" t="str">
        <x:v>Müşteri destek programları</x:v>
      </x:c>
      <x:c r="D94" s="29" t="str">
        <x:v>California Water Service</x:v>
      </x:c>
      <x:c r="E94" s="29" t="str">
        <x:v>https://www.calwater.com/customer-assistance/</x:v>
      </x:c>
      <x:c r="F94" s="31" t="d">
        <x:v>2026-10-23T00:00:00.000Z</x:v>
      </x:c>
      <x:c r="G94" s="29"/>
      <x:c r="H94" s="29" t="str">
        <x:v>İlgili içerik veya mekân kaydıyla eşleştirilen kaynak notu incelendi. AI öz denetimi; otomatik HTTP erişim sonucu ayrı source-access kayıtlarında tutulur.</x:v>
      </x:c>
      <x:c r="I94" s="29" t="str">
        <x:v>Evet</x:v>
      </x:c>
      <x:c r="J94" s="29"/>
      <x:c r="K94" s="29"/>
    </x:row>
    <x:row r="95" ht="54" customHeight="1">
      <x:c r="A95" s="29" t="str">
        <x:v>bakersfield:src:17628</x:v>
      </x:c>
      <x:c r="B95" s="29" t="str">
        <x:v>bakersfield</x:v>
      </x:c>
      <x:c r="C95" s="29" t="str">
        <x:v>Kamu hizmeti şikâyetleri</x:v>
      </x:c>
      <x:c r="D95" s="29" t="str">
        <x:v>California Public Utilities Commission</x:v>
      </x:c>
      <x:c r="E95" s="29" t="str">
        <x:v>https://www.cpuc.ca.gov/consumer-support/file-a-complaint</x:v>
      </x:c>
      <x:c r="F95" s="31" t="d">
        <x:v>2026-10-23T00:00:00.000Z</x:v>
      </x:c>
      <x:c r="G95" s="29"/>
      <x:c r="H95" s="29" t="str">
        <x:v>İlgili içerik veya mekân kaydıyla eşleştirilen kaynak notu incelendi. AI öz denetimi; otomatik HTTP erişim sonucu ayrı source-access kayıtlarında tutulur.</x:v>
      </x:c>
      <x:c r="I95" s="29" t="str">
        <x:v>Evet</x:v>
      </x:c>
      <x:c r="J95" s="29"/>
      <x:c r="K95" s="29"/>
    </x:row>
    <x:row r="96" ht="54" customHeight="1">
      <x:c r="A96" s="29" t="str">
        <x:v>bakersfield:src:17629</x:v>
      </x:c>
      <x:c r="B96" s="29" t="str">
        <x:v>bakersfield</x:v>
      </x:c>
      <x:c r="C96" s="29" t="str">
        <x:v>California LifeLine</x:v>
      </x:c>
      <x:c r="D96" s="29" t="str">
        <x:v>California Public Utilities Commission</x:v>
      </x:c>
      <x:c r="E96" s="29" t="str">
        <x:v>https://www.cpuc.ca.gov/consumer-support/financial-assistance-savings-and-discounts/lifeline</x:v>
      </x:c>
      <x:c r="F96" s="31" t="d">
        <x:v>2026-10-23T00:00:00.000Z</x:v>
      </x:c>
      <x:c r="G96" s="29"/>
      <x:c r="H96" s="29" t="str">
        <x:v>İlgili içerik veya mekân kaydıyla eşleştirilen kaynak notu incelendi. AI öz denetimi; otomatik HTTP erişim sonucu ayrı source-access kayıtlarında tutulur.</x:v>
      </x:c>
      <x:c r="I96" s="29" t="str">
        <x:v>Evet</x:v>
      </x:c>
      <x:c r="J96" s="29"/>
      <x:c r="K96" s="29"/>
    </x:row>
    <x:row r="97" ht="54" customHeight="1">
      <x:c r="A97" s="29" t="str">
        <x:v>bakersfield:src:17630</x:v>
      </x:c>
      <x:c r="B97" s="29" t="str">
        <x:v>bakersfield</x:v>
      </x:c>
      <x:c r="C97" s="29" t="str">
        <x:v>Mevduat sigortası kapsamı</x:v>
      </x:c>
      <x:c r="D97" s="29" t="str">
        <x:v>Federal Deposit Insurance Corporation</x:v>
      </x:c>
      <x:c r="E97" s="29" t="str">
        <x:v>https://www.fdic.gov/resources/deposit-insurance/understanding-deposit-insurance</x:v>
      </x:c>
      <x:c r="F97" s="31" t="d">
        <x:v>2026-10-23T00:00:00.000Z</x:v>
      </x:c>
      <x:c r="G97" s="29"/>
      <x:c r="H97" s="29" t="str">
        <x:v>İlgili içerik veya mekân kaydıyla eşleştirilen kaynak notu incelendi. AI öz denetimi; otomatik HTTP erişim sonucu ayrı source-access kayıtlarında tutulur.</x:v>
      </x:c>
      <x:c r="I97" s="29" t="str">
        <x:v>Evet</x:v>
      </x:c>
      <x:c r="J97" s="29"/>
      <x:c r="K97" s="29"/>
    </x:row>
    <x:row r="98" ht="54" customHeight="1">
      <x:c r="A98" s="29" t="str">
        <x:v>bakersfield:src:17632</x:v>
      </x:c>
      <x:c r="B98" s="29" t="str">
        <x:v>bakersfield</x:v>
      </x:c>
      <x:c r="C98" s="29" t="str">
        <x:v>Yurtdışı gelir ve hesap bildirimleri</x:v>
      </x:c>
      <x:c r="D98" s="29" t="str">
        <x:v>Internal Revenue Service</x:v>
      </x:c>
      <x:c r="E98" s="29" t="str">
        <x:v>https://www.irs.gov/individuals/international-taxpayers/us-citizens-and-resident-aliens-abroad</x:v>
      </x:c>
      <x:c r="F98" s="31" t="d">
        <x:v>2026-10-23T00:00:00.000Z</x:v>
      </x:c>
      <x:c r="G98" s="29"/>
      <x:c r="H98" s="29" t="str">
        <x:v>İlgili içerik veya mekân kaydıyla eşleştirilen kaynak notu incelendi. AI öz denetimi; otomatik HTTP erişim sonucu ayrı source-access kayıtlarında tutulur.</x:v>
      </x:c>
      <x:c r="I98" s="29" t="str">
        <x:v>Evet</x:v>
      </x:c>
      <x:c r="J98" s="29"/>
      <x:c r="K98" s="29"/>
    </x:row>
    <x:row r="99" ht="54" customHeight="1">
      <x:c r="A99" s="29" t="str">
        <x:v>bakersfield:src:17633</x:v>
      </x:c>
      <x:c r="B99" s="29" t="str">
        <x:v>bakersfield</x:v>
      </x:c>
      <x:c r="C99" s="29" t="str">
        <x:v>W-4 ve ücret stopajı</x:v>
      </x:c>
      <x:c r="D99" s="29" t="str">
        <x:v>Internal Revenue Service</x:v>
      </x:c>
      <x:c r="E99" s="29" t="str">
        <x:v>https://www.irs.gov/forms-pubs/about-form-w-4</x:v>
      </x:c>
      <x:c r="F99" s="31" t="d">
        <x:v>2026-10-23T00:00:00.000Z</x:v>
      </x:c>
      <x:c r="G99" s="29"/>
      <x:c r="H99" s="29" t="str">
        <x:v>İlgili içerik veya mekân kaydıyla eşleştirilen kaynak notu incelendi. AI öz denetimi; otomatik HTTP erişim sonucu ayrı source-access kayıtlarında tutulur.</x:v>
      </x:c>
      <x:c r="I99" s="29" t="str">
        <x:v>Evet</x:v>
      </x:c>
      <x:c r="J99" s="29"/>
      <x:c r="K99" s="29"/>
    </x:row>
    <x:row r="100" ht="54" customHeight="1">
      <x:c r="A100" s="29" t="str">
        <x:v>bakersfield:src:17634</x:v>
      </x:c>
      <x:c r="B100" s="29" t="str">
        <x:v>bakersfield</x:v>
      </x:c>
      <x:c r="C100" s="29" t="str">
        <x:v>Serbest çalışanlar için vergi merkezi</x:v>
      </x:c>
      <x:c r="D100" s="29" t="str">
        <x:v>Internal Revenue Service</x:v>
      </x:c>
      <x:c r="E100" s="29" t="str">
        <x:v>https://www.irs.gov/businesses/small-businesses-self-employed/self-employed-individuals-tax-center</x:v>
      </x:c>
      <x:c r="F100" s="31" t="d">
        <x:v>2026-10-23T00:00:00.000Z</x:v>
      </x:c>
      <x:c r="G100" s="29"/>
      <x:c r="H100" s="29" t="str">
        <x:v>İlgili içerik veya mekân kaydıyla eşleştirilen kaynak notu incelendi. AI öz denetimi; otomatik HTTP erişim sonucu ayrı source-access kayıtlarında tutulur.</x:v>
      </x:c>
      <x:c r="I100" s="29" t="str">
        <x:v>Evet</x:v>
      </x:c>
      <x:c r="J100" s="29"/>
      <x:c r="K100" s="29"/>
    </x:row>
    <x:row r="101" ht="54" customHeight="1">
      <x:c r="A101" s="29" t="str">
        <x:v>bakersfield:src:17635</x:v>
      </x:c>
      <x:c r="B101" s="29" t="str">
        <x:v>bakersfield</x:v>
      </x:c>
      <x:c r="C101" s="29" t="str">
        <x:v>Yeni ve ayrılan Kaliforniya sakinleri</x:v>
      </x:c>
      <x:c r="D101" s="29" t="str">
        <x:v>California Franchise Tax Board</x:v>
      </x:c>
      <x:c r="E101" s="29" t="str">
        <x:v>https://www.ftb.ca.gov/file/personal/residency-status/part-year-and-nonresident.html</x:v>
      </x:c>
      <x:c r="F101" s="31" t="d">
        <x:v>2026-10-23T00:00:00.000Z</x:v>
      </x:c>
      <x:c r="G101" s="29"/>
      <x:c r="H101" s="29" t="str">
        <x:v>İlgili içerik veya mekân kaydıyla eşleştirilen kaynak notu incelendi. AI öz denetimi; otomatik HTTP erişim sonucu ayrı source-access kayıtlarında tutulur.</x:v>
      </x:c>
      <x:c r="I101" s="29" t="str">
        <x:v>Evet</x:v>
      </x:c>
      <x:c r="J101" s="29"/>
      <x:c r="K101" s="29"/>
    </x:row>
    <x:row r="102" ht="54" customHeight="1">
      <x:c r="A102" s="29" t="str">
        <x:v>bakersfield:src:17636</x:v>
      </x:c>
      <x:c r="B102" s="29" t="str">
        <x:v>bakersfield</x:v>
      </x:c>
      <x:c r="C102" s="29" t="str">
        <x:v>Sahipsiz varlık arama</x:v>
      </x:c>
      <x:c r="D102" s="29" t="str">
        <x:v>California State Controller</x:v>
      </x:c>
      <x:c r="E102" s="29" t="str">
        <x:v>https://www.sco.ca.gov/upd_msg.html</x:v>
      </x:c>
      <x:c r="F102" s="31" t="d">
        <x:v>2026-10-23T00:00:00.000Z</x:v>
      </x:c>
      <x:c r="G102" s="29"/>
      <x:c r="H102" s="29" t="str">
        <x:v>İlgili içerik veya mekân kaydıyla eşleştirilen kaynak notu incelendi. AI öz denetimi; otomatik HTTP erişim sonucu ayrı source-access kayıtlarında tutulur.</x:v>
      </x:c>
      <x:c r="I102" s="29" t="str">
        <x:v>Evet</x:v>
      </x:c>
      <x:c r="J102" s="29"/>
      <x:c r="K102" s="29"/>
    </x:row>
    <x:row r="103" ht="54" customHeight="1">
      <x:c r="A103" s="29" t="str">
        <x:v>bakersfield:src:17637</x:v>
      </x:c>
      <x:c r="B103" s="29" t="str">
        <x:v>bakersfield</x:v>
      </x:c>
      <x:c r="C103" s="29" t="str">
        <x:v>CalFresh ve 2026 değişiklikleri</x:v>
      </x:c>
      <x:c r="D103" s="29" t="str">
        <x:v>Kern County Department of Human Services</x:v>
      </x:c>
      <x:c r="E103" s="29" t="str">
        <x:v>https://www.kcdhs.org/services/apply-for-benefits/calfresh</x:v>
      </x:c>
      <x:c r="F103" s="31" t="d">
        <x:v>2026-10-23T00:00:00.000Z</x:v>
      </x:c>
      <x:c r="G103" s="29"/>
      <x:c r="H103" s="29" t="str">
        <x:v>İlgili içerik veya mekân kaydıyla eşleştirilen kaynak notu incelendi. AI öz denetimi; otomatik HTTP erişim sonucu ayrı source-access kayıtlarında tutulur.</x:v>
      </x:c>
      <x:c r="I103" s="29" t="str">
        <x:v>Evet</x:v>
      </x:c>
      <x:c r="J103" s="29"/>
      <x:c r="K103" s="29"/>
    </x:row>
    <x:row r="104" ht="54" customHeight="1">
      <x:c r="A104" s="29" t="str">
        <x:v>bakersfield:src:17638</x:v>
      </x:c>
      <x:c r="B104" s="29" t="str">
        <x:v>bakersfield</x:v>
      </x:c>
      <x:c r="C104" s="29" t="str">
        <x:v>Medi-Cal başvurusu</x:v>
      </x:c>
      <x:c r="D104" s="29" t="str">
        <x:v>Kern County Department of Human Services</x:v>
      </x:c>
      <x:c r="E104" s="29" t="str">
        <x:v>https://www.kcdhs.org/services/apply-for-benefits/medi-cal</x:v>
      </x:c>
      <x:c r="F104" s="31" t="d">
        <x:v>2026-10-23T00:00:00.000Z</x:v>
      </x:c>
      <x:c r="G104" s="29"/>
      <x:c r="H104" s="29" t="str">
        <x:v>İlgili içerik veya mekân kaydıyla eşleştirilen kaynak notu incelendi. AI öz denetimi; otomatik HTTP erişim sonucu ayrı source-access kayıtlarında tutulur.</x:v>
      </x:c>
      <x:c r="I104" s="29" t="str">
        <x:v>Evet</x:v>
      </x:c>
      <x:c r="J104" s="29"/>
      <x:c r="K104" s="29"/>
    </x:row>
    <x:row r="105" ht="54" customHeight="1">
      <x:c r="A105" s="29" t="str">
        <x:v>bakersfield:src:17639</x:v>
      </x:c>
      <x:c r="B105" s="29" t="str">
        <x:v>bakersfield</x:v>
      </x:c>
      <x:c r="C105" s="29" t="str">
        <x:v>BenefitsCal başvuru portalı</x:v>
      </x:c>
      <x:c r="D105" s="29" t="str">
        <x:v>California Health and Human Services</x:v>
      </x:c>
      <x:c r="E105" s="29" t="str">
        <x:v>https://benefitscal.com/</x:v>
      </x:c>
      <x:c r="F105" s="31" t="d">
        <x:v>2026-10-23T00:00:00.000Z</x:v>
      </x:c>
      <x:c r="G105" s="29"/>
      <x:c r="H105" s="29" t="str">
        <x:v>İlgili içerik veya mekân kaydıyla eşleştirilen kaynak notu incelendi. AI öz denetimi; otomatik HTTP erişim sonucu ayrı source-access kayıtlarında tutulur.</x:v>
      </x:c>
      <x:c r="I105" s="29" t="str">
        <x:v>Evet</x:v>
      </x:c>
      <x:c r="J105" s="29"/>
      <x:c r="K105" s="29"/>
    </x:row>
    <x:row r="106" ht="54" customHeight="1">
      <x:c r="A106" s="29" t="str">
        <x:v>bakersfield:src:17640</x:v>
      </x:c>
      <x:c r="B106" s="29" t="str">
        <x:v>bakersfield</x:v>
      </x:c>
      <x:c r="C106" s="29" t="str">
        <x:v>Özel kayıt dönemi</x:v>
      </x:c>
      <x:c r="D106" s="29" t="str">
        <x:v>Covered California</x:v>
      </x:c>
      <x:c r="E106" s="29" t="str">
        <x:v>https://www.coveredca.com/special-enrollment/</x:v>
      </x:c>
      <x:c r="F106" s="31" t="d">
        <x:v>2026-10-23T00:00:00.000Z</x:v>
      </x:c>
      <x:c r="G106" s="29"/>
      <x:c r="H106" s="29" t="str">
        <x:v>İlgili içerik veya mekân kaydıyla eşleştirilen kaynak notu incelendi. AI öz denetimi; otomatik HTTP erişim sonucu ayrı source-access kayıtlarında tutulur.</x:v>
      </x:c>
      <x:c r="I106" s="29" t="str">
        <x:v>Evet</x:v>
      </x:c>
      <x:c r="J106" s="29"/>
      <x:c r="K106" s="29"/>
    </x:row>
    <x:row r="107" ht="54" customHeight="1">
      <x:c r="A107" s="29" t="str">
        <x:v>bakersfield:src:17641</x:v>
      </x:c>
      <x:c r="B107" s="29" t="str">
        <x:v>bakersfield</x:v>
      </x:c>
      <x:c r="C107" s="29" t="str">
        <x:v>Sağlık hizmeti sağlayıcı ağı</x:v>
      </x:c>
      <x:c r="D107" s="29" t="str">
        <x:v>California Department of Insurance</x:v>
      </x:c>
      <x:c r="E107" s="29" t="str">
        <x:v>https://www.insurance.ca.gov/01-consumers/110-health/10-basics/pna.cfm</x:v>
      </x:c>
      <x:c r="F107" s="31" t="d">
        <x:v>2026-10-23T00:00:00.000Z</x:v>
      </x:c>
      <x:c r="G107" s="29"/>
      <x:c r="H107" s="29" t="str">
        <x:v>İlgili içerik veya mekân kaydıyla eşleştirilen kaynak notu incelendi. AI öz denetimi; otomatik HTTP erişim sonucu ayrı source-access kayıtlarında tutulur.</x:v>
      </x:c>
      <x:c r="I107" s="29" t="str">
        <x:v>Evet</x:v>
      </x:c>
      <x:c r="J107" s="29"/>
      <x:c r="K107" s="29"/>
    </x:row>
    <x:row r="108" ht="54" customHeight="1">
      <x:c r="A108" s="29" t="str">
        <x:v>bakersfield:src:17642</x:v>
      </x:c>
      <x:c r="B108" s="29" t="str">
        <x:v>bakersfield</x:v>
      </x:c>
      <x:c r="C108" s="29" t="str">
        <x:v>Üye hizmetleri</x:v>
      </x:c>
      <x:c r="D108" s="29" t="str">
        <x:v>Kern Family Health Care</x:v>
      </x:c>
      <x:c r="E108" s="29" t="str">
        <x:v>https://www.kernfamilyhealthcare.com/members/</x:v>
      </x:c>
      <x:c r="F108" s="31" t="d">
        <x:v>2026-10-23T00:00:00.000Z</x:v>
      </x:c>
      <x:c r="G108" s="29"/>
      <x:c r="H108" s="29" t="str">
        <x:v>İlgili içerik veya mekân kaydıyla eşleştirilen kaynak notu incelendi. AI öz denetimi; otomatik HTTP erişim sonucu ayrı source-access kayıtlarında tutulur.</x:v>
      </x:c>
      <x:c r="I108" s="29" t="str">
        <x:v>Evet</x:v>
      </x:c>
      <x:c r="J108" s="29"/>
      <x:c r="K108" s="29"/>
    </x:row>
    <x:row r="109" ht="54" customHeight="1">
      <x:c r="A109" s="29" t="str">
        <x:v>bakersfield:src:17643</x:v>
      </x:c>
      <x:c r="B109" s="29" t="str">
        <x:v>bakersfield</x:v>
      </x:c>
      <x:c r="C109" s="29" t="str">
        <x:v>Klinikler ve hizmetler</x:v>
      </x:c>
      <x:c r="D109" s="29" t="str">
        <x:v>Clinica Sierra Vista</x:v>
      </x:c>
      <x:c r="E109" s="29" t="str">
        <x:v>https://www.clinicasierravista.org/</x:v>
      </x:c>
      <x:c r="F109" s="31" t="d">
        <x:v>2026-10-23T00:00:00.000Z</x:v>
      </x:c>
      <x:c r="G109" s="29"/>
      <x:c r="H109" s="29" t="str">
        <x:v>İlgili içerik veya mekân kaydıyla eşleştirilen kaynak notu incelendi. AI öz denetimi; otomatik HTTP erişim sonucu ayrı source-access kayıtlarında tutulur.</x:v>
      </x:c>
      <x:c r="I109" s="29" t="str">
        <x:v>Evet</x:v>
      </x:c>
      <x:c r="J109" s="29"/>
      <x:c r="K109" s="29"/>
    </x:row>
    <x:row r="110" ht="54" customHeight="1">
      <x:c r="A110" s="29" t="str">
        <x:v>bakersfield:src:17644</x:v>
      </x:c>
      <x:c r="B110" s="29" t="str">
        <x:v>bakersfield</x:v>
      </x:c>
      <x:c r="C110" s="29" t="str">
        <x:v>Eczane ve ruhsat arama</x:v>
      </x:c>
      <x:c r="D110" s="29" t="str">
        <x:v>California Board of Pharmacy</x:v>
      </x:c>
      <x:c r="E110" s="29" t="str">
        <x:v>https://www.pharmacy.ca.gov/about/verify_lic.shtml</x:v>
      </x:c>
      <x:c r="F110" s="31" t="d">
        <x:v>2026-10-23T00:00:00.000Z</x:v>
      </x:c>
      <x:c r="G110" s="29"/>
      <x:c r="H110" s="29" t="str">
        <x:v>İlgili içerik veya mekân kaydıyla eşleştirilen kaynak notu incelendi. AI öz denetimi; otomatik HTTP erişim sonucu ayrı source-access kayıtlarında tutulur.</x:v>
      </x:c>
      <x:c r="I110" s="29" t="str">
        <x:v>Evet</x:v>
      </x:c>
      <x:c r="J110" s="29"/>
      <x:c r="K110" s="29"/>
    </x:row>
    <x:row r="111" ht="54" customHeight="1">
      <x:c r="A111" s="29" t="str">
        <x:v>bakersfield:src:17645</x:v>
      </x:c>
      <x:c r="B111" s="29" t="str">
        <x:v>bakersfield</x:v>
      </x:c>
      <x:c r="C111" s="29" t="str">
        <x:v>Valley Fever bilgisi</x:v>
      </x:c>
      <x:c r="D111" s="29" t="str">
        <x:v>California Department of Public Health</x:v>
      </x:c>
      <x:c r="E111" s="29" t="str">
        <x:v>https://www.cdph.ca.gov/Programs/CID/DCDC/Pages/ValleyFeverBasics.aspx</x:v>
      </x:c>
      <x:c r="F111" s="31" t="d">
        <x:v>2026-10-23T00:00:00.000Z</x:v>
      </x:c>
      <x:c r="G111" s="29"/>
      <x:c r="H111" s="29" t="str">
        <x:v>İlgili içerik veya mekân kaydıyla eşleştirilen kaynak notu incelendi. AI öz denetimi; otomatik HTTP erişim sonucu ayrı source-access kayıtlarında tutulur.</x:v>
      </x:c>
      <x:c r="I111" s="29" t="str">
        <x:v>Evet</x:v>
      </x:c>
      <x:c r="J111" s="29"/>
      <x:c r="K111" s="29"/>
    </x:row>
    <x:row r="112" ht="54" customHeight="1">
      <x:c r="A112" s="29" t="str">
        <x:v>bakersfield:src:17646</x:v>
      </x:c>
      <x:c r="B112" s="29" t="str">
        <x:v>bakersfield</x:v>
      </x:c>
      <x:c r="C112" s="29" t="str">
        <x:v>Sıcak ve sağlık</x:v>
      </x:c>
      <x:c r="D112" s="29" t="str">
        <x:v>Centers for Disease Control and Prevention</x:v>
      </x:c>
      <x:c r="E112" s="29" t="str">
        <x:v>https://www.cdc.gov/heat-health/about/index.html</x:v>
      </x:c>
      <x:c r="F112" s="31" t="d">
        <x:v>2026-10-23T00:00:00.000Z</x:v>
      </x:c>
      <x:c r="G112" s="29"/>
      <x:c r="H112" s="29" t="str">
        <x:v>İlgili içerik veya mekân kaydıyla eşleştirilen kaynak notu incelendi. AI öz denetimi; otomatik HTTP erişim sonucu ayrı source-access kayıtlarında tutulur.</x:v>
      </x:c>
      <x:c r="I112" s="29" t="str">
        <x:v>Evet</x:v>
      </x:c>
      <x:c r="J112" s="29"/>
      <x:c r="K112" s="29"/>
    </x:row>
    <x:row r="113" ht="54" customHeight="1">
      <x:c r="A113" s="29" t="str">
        <x:v>bakersfield:src:17647</x:v>
      </x:c>
      <x:c r="B113" s="29" t="str">
        <x:v>bakersfield</x:v>
      </x:c>
      <x:c r="C113" s="29" t="str">
        <x:v>Hava kalitesi endeksi</x:v>
      </x:c>
      <x:c r="D113" s="29" t="str">
        <x:v>U.S. Environmental Protection Agency</x:v>
      </x:c>
      <x:c r="E113" s="29" t="str">
        <x:v>https://www.airnow.gov/aqi/aqi-basics/</x:v>
      </x:c>
      <x:c r="F113" s="31" t="d">
        <x:v>2026-10-23T00:00:00.000Z</x:v>
      </x:c>
      <x:c r="G113" s="29"/>
      <x:c r="H113" s="29" t="str">
        <x:v>İlgili içerik veya mekân kaydıyla eşleştirilen kaynak notu incelendi. AI öz denetimi; otomatik HTTP erişim sonucu ayrı source-access kayıtlarında tutulur.</x:v>
      </x:c>
      <x:c r="I113" s="29" t="str">
        <x:v>Evet</x:v>
      </x:c>
      <x:c r="J113" s="29"/>
      <x:c r="K113" s="29"/>
    </x:row>
    <x:row r="114" ht="54" customHeight="1">
      <x:c r="A114" s="29" t="str">
        <x:v>bakersfield:src:17648</x:v>
      </x:c>
      <x:c r="B114" s="29" t="str">
        <x:v>bakersfield</x:v>
      </x:c>
      <x:c r="C114" s="29" t="str">
        <x:v>Asgari ücret</x:v>
      </x:c>
      <x:c r="D114" s="29" t="str">
        <x:v>California Labor Commissioner</x:v>
      </x:c>
      <x:c r="E114" s="29" t="str">
        <x:v>https://www.dir.ca.gov/dlse/minimum_wage.htm</x:v>
      </x:c>
      <x:c r="F114" s="31" t="d">
        <x:v>2026-10-23T00:00:00.000Z</x:v>
      </x:c>
      <x:c r="G114" s="29"/>
      <x:c r="H114" s="29" t="str">
        <x:v>İlgili içerik veya mekân kaydıyla eşleştirilen kaynak notu incelendi. AI öz denetimi; otomatik HTTP erişim sonucu ayrı source-access kayıtlarında tutulur.</x:v>
      </x:c>
      <x:c r="I114" s="29" t="str">
        <x:v>Evet</x:v>
      </x:c>
      <x:c r="J114" s="29"/>
      <x:c r="K114" s="29"/>
    </x:row>
    <x:row r="115" ht="54" customHeight="1">
      <x:c r="A115" s="29" t="str">
        <x:v>bakersfield:src:17649</x:v>
      </x:c>
      <x:c r="B115" s="29" t="str">
        <x:v>bakersfield</x:v>
      </x:c>
      <x:c r="C115" s="29" t="str">
        <x:v>Fazla çalışma</x:v>
      </x:c>
      <x:c r="D115" s="29" t="str">
        <x:v>California Labor Commissioner</x:v>
      </x:c>
      <x:c r="E115" s="29" t="str">
        <x:v>https://www.dir.ca.gov/dlse/FAQ_Overtime.htm</x:v>
      </x:c>
      <x:c r="F115" s="31" t="d">
        <x:v>2026-10-23T00:00:00.000Z</x:v>
      </x:c>
      <x:c r="G115" s="29"/>
      <x:c r="H115" s="29" t="str">
        <x:v>İlgili içerik veya mekân kaydıyla eşleştirilen kaynak notu incelendi. AI öz denetimi; otomatik HTTP erişim sonucu ayrı source-access kayıtlarında tutulur.</x:v>
      </x:c>
      <x:c r="I115" s="29" t="str">
        <x:v>Evet</x:v>
      </x:c>
      <x:c r="J115" s="29"/>
      <x:c r="K115" s="29"/>
    </x:row>
    <x:row r="116" ht="54" customHeight="1">
      <x:c r="A116" s="29" t="str">
        <x:v>bakersfield:src:17650</x:v>
      </x:c>
      <x:c r="B116" s="29" t="str">
        <x:v>bakersfield</x:v>
      </x:c>
      <x:c r="C116" s="29" t="str">
        <x:v>State Disability Insurance</x:v>
      </x:c>
      <x:c r="D116" s="29" t="str">
        <x:v>California EDD</x:v>
      </x:c>
      <x:c r="E116" s="29" t="str">
        <x:v>https://edd.ca.gov/en/disability/</x:v>
      </x:c>
      <x:c r="F116" s="31" t="d">
        <x:v>2026-10-23T00:00:00.000Z</x:v>
      </x:c>
      <x:c r="G116" s="29"/>
      <x:c r="H116" s="29" t="str">
        <x:v>İlgili içerik veya mekân kaydıyla eşleştirilen kaynak notu incelendi. AI öz denetimi; otomatik HTTP erişim sonucu ayrı source-access kayıtlarında tutulur.</x:v>
      </x:c>
      <x:c r="I116" s="29" t="str">
        <x:v>Evet</x:v>
      </x:c>
      <x:c r="J116" s="29"/>
      <x:c r="K116" s="29"/>
    </x:row>
    <x:row r="117" ht="54" customHeight="1">
      <x:c r="A117" s="29" t="str">
        <x:v>bakersfield:src:17651</x:v>
      </x:c>
      <x:c r="B117" s="29" t="str">
        <x:v>bakersfield</x:v>
      </x:c>
      <x:c r="C117" s="29" t="str">
        <x:v>İş arama ve eğitim</x:v>
      </x:c>
      <x:c r="D117" s="29" t="str">
        <x:v>Kern County Employers' Training Resource</x:v>
      </x:c>
      <x:c r="E117" s="29" t="str">
        <x:v>https://www.etronline.com/</x:v>
      </x:c>
      <x:c r="F117" s="31" t="d">
        <x:v>2026-10-23T00:00:00.000Z</x:v>
      </x:c>
      <x:c r="G117" s="29"/>
      <x:c r="H117" s="29" t="str">
        <x:v>İlgili içerik veya mekân kaydıyla eşleştirilen kaynak notu incelendi. AI öz denetimi; otomatik HTTP erişim sonucu ayrı source-access kayıtlarında tutulur.</x:v>
      </x:c>
      <x:c r="I117" s="29" t="str">
        <x:v>Evet</x:v>
      </x:c>
      <x:c r="J117" s="29"/>
      <x:c r="K117" s="29"/>
    </x:row>
    <x:row r="118" ht="54" customHeight="1">
      <x:c r="A118" s="29" t="str">
        <x:v>bakersfield:src:17652</x:v>
      </x:c>
      <x:c r="B118" s="29" t="str">
        <x:v>bakersfield</x:v>
      </x:c>
      <x:c r="C118" s="29" t="str">
        <x:v>CalJOBS</x:v>
      </x:c>
      <x:c r="D118" s="29" t="str">
        <x:v>California EDD</x:v>
      </x:c>
      <x:c r="E118" s="29" t="str">
        <x:v>https://www.caljobs.ca.gov/</x:v>
      </x:c>
      <x:c r="F118" s="31" t="d">
        <x:v>2026-10-23T00:00:00.000Z</x:v>
      </x:c>
      <x:c r="G118" s="29"/>
      <x:c r="H118" s="29" t="str">
        <x:v>İlgili içerik veya mekân kaydıyla eşleştirilen kaynak notu incelendi. AI öz denetimi; otomatik HTTP erişim sonucu ayrı source-access kayıtlarında tutulur.</x:v>
      </x:c>
      <x:c r="I118" s="29" t="str">
        <x:v>Evet</x:v>
      </x:c>
      <x:c r="J118" s="29"/>
      <x:c r="K118" s="29"/>
    </x:row>
    <x:row r="119" ht="54" customHeight="1">
      <x:c r="A119" s="29" t="str">
        <x:v>bakersfield:src:17653</x:v>
      </x:c>
      <x:c r="B119" s="29" t="str">
        <x:v>bakersfield</x:v>
      </x:c>
      <x:c r="C119" s="29" t="str">
        <x:v>Sıcak ortamda çalışma</x:v>
      </x:c>
      <x:c r="D119" s="29" t="str">
        <x:v>Cal/OSHA</x:v>
      </x:c>
      <x:c r="E119" s="29" t="str">
        <x:v>https://www.dir.ca.gov/dosh/heatillnessinfo.html</x:v>
      </x:c>
      <x:c r="F119" s="31" t="d">
        <x:v>2026-10-23T00:00:00.000Z</x:v>
      </x:c>
      <x:c r="G119" s="29"/>
      <x:c r="H119" s="29" t="str">
        <x:v>İlgili içerik veya mekân kaydıyla eşleştirilen kaynak notu incelendi. AI öz denetimi; otomatik HTTP erişim sonucu ayrı source-access kayıtlarında tutulur.</x:v>
      </x:c>
      <x:c r="I119" s="29" t="str">
        <x:v>Evet</x:v>
      </x:c>
      <x:c r="J119" s="29"/>
      <x:c r="K119" s="29"/>
    </x:row>
    <x:row r="120" ht="54" customHeight="1">
      <x:c r="A120" s="29" t="str">
        <x:v>bakersfield:src:17654</x:v>
      </x:c>
      <x:c r="B120" s="29" t="str">
        <x:v>bakersfield</x:v>
      </x:c>
      <x:c r="C120" s="29" t="str">
        <x:v>Yeni öğrenci kayıt işlemleri</x:v>
      </x:c>
      <x:c r="D120" s="29" t="str">
        <x:v>Bakersfield City School District</x:v>
      </x:c>
      <x:c r="E120" s="29" t="str">
        <x:v>https://www.bcsd.com/enrollment/new-student-enrollment</x:v>
      </x:c>
      <x:c r="F120" s="31" t="d">
        <x:v>2026-10-23T00:00:00.000Z</x:v>
      </x:c>
      <x:c r="G120" s="29"/>
      <x:c r="H120" s="29" t="str">
        <x:v>İlgili içerik veya mekân kaydıyla eşleştirilen kaynak notu incelendi. AI öz denetimi; otomatik HTTP erişim sonucu ayrı source-access kayıtlarında tutulur.</x:v>
      </x:c>
      <x:c r="I120" s="29" t="str">
        <x:v>Evet</x:v>
      </x:c>
      <x:c r="J120" s="29"/>
      <x:c r="K120" s="29"/>
    </x:row>
    <x:row r="121" ht="54" customHeight="1">
      <x:c r="A121" s="29" t="str">
        <x:v>bakersfield:src:17655</x:v>
      </x:c>
      <x:c r="B121" s="29" t="str">
        <x:v>bakersfield</x:v>
      </x:c>
      <x:c r="C121" s="29" t="str">
        <x:v>Okul transferleri</x:v>
      </x:c>
      <x:c r="D121" s="29" t="str">
        <x:v>Bakersfield City School District</x:v>
      </x:c>
      <x:c r="E121" s="29" t="str">
        <x:v>https://www.bcsd.com/enrollment/transfer-requests</x:v>
      </x:c>
      <x:c r="F121" s="31" t="d">
        <x:v>2026-10-23T00:00:00.000Z</x:v>
      </x:c>
      <x:c r="G121" s="29"/>
      <x:c r="H121" s="29" t="str">
        <x:v>İlgili içerik veya mekân kaydıyla eşleştirilen kaynak notu incelendi. AI öz denetimi; otomatik HTTP erişim sonucu ayrı source-access kayıtlarında tutulur.</x:v>
      </x:c>
      <x:c r="I121" s="29" t="str">
        <x:v>Evet</x:v>
      </x:c>
      <x:c r="J121" s="29"/>
      <x:c r="K121" s="29"/>
    </x:row>
    <x:row r="122" ht="54" customHeight="1">
      <x:c r="A122" s="29" t="str">
        <x:v>bakersfield:src:17656</x:v>
      </x:c>
      <x:c r="B122" s="29" t="str">
        <x:v>bakersfield</x:v>
      </x:c>
      <x:c r="C122" s="29" t="str">
        <x:v>Kindergarten ve TK yaş koşulları</x:v>
      </x:c>
      <x:c r="D122" s="29" t="str">
        <x:v>California Department of Education</x:v>
      </x:c>
      <x:c r="E122" s="29" t="str">
        <x:v>https://www.cde.ca.gov/ci/gs/em/kinderfaq.asp</x:v>
      </x:c>
      <x:c r="F122" s="31" t="d">
        <x:v>2026-10-23T00:00:00.000Z</x:v>
      </x:c>
      <x:c r="G122" s="29"/>
      <x:c r="H122" s="29" t="str">
        <x:v>İlgili içerik veya mekân kaydıyla eşleştirilen kaynak notu incelendi. AI öz denetimi; otomatik HTTP erişim sonucu ayrı source-access kayıtlarında tutulur.</x:v>
      </x:c>
      <x:c r="I122" s="29" t="str">
        <x:v>Evet</x:v>
      </x:c>
      <x:c r="J122" s="29"/>
      <x:c r="K122" s="29"/>
    </x:row>
    <x:row r="123" ht="54" customHeight="1">
      <x:c r="A123" s="29" t="str">
        <x:v>bakersfield:src:17657</x:v>
      </x:c>
      <x:c r="B123" s="29" t="str">
        <x:v>bakersfield</x:v>
      </x:c>
      <x:c r="C123" s="29" t="str">
        <x:v>Çokdilli eğitim</x:v>
      </x:c>
      <x:c r="D123" s="29" t="str">
        <x:v>BCSD</x:v>
      </x:c>
      <x:c r="E123" s="29" t="str">
        <x:v>https://www.bcsd.com/departments/multilingual-education-programs/department-home</x:v>
      </x:c>
      <x:c r="F123" s="31" t="d">
        <x:v>2026-10-23T00:00:00.000Z</x:v>
      </x:c>
      <x:c r="G123" s="29"/>
      <x:c r="H123" s="29" t="str">
        <x:v>İlgili içerik veya mekân kaydıyla eşleştirilen kaynak notu incelendi. AI öz denetimi; otomatik HTTP erişim sonucu ayrı source-access kayıtlarında tutulur.</x:v>
      </x:c>
      <x:c r="I123" s="29" t="str">
        <x:v>Evet</x:v>
      </x:c>
      <x:c r="J123" s="29"/>
      <x:c r="K123" s="29"/>
    </x:row>
    <x:row r="124" ht="54" customHeight="1">
      <x:c r="A124" s="29" t="str">
        <x:v>bakersfield:src:17658</x:v>
      </x:c>
      <x:c r="B124" s="29" t="str">
        <x:v>bakersfield</x:v>
      </x:c>
      <x:c r="C124" s="29" t="str">
        <x:v>Okul bölgeleri</x:v>
      </x:c>
      <x:c r="D124" s="29" t="str">
        <x:v>Kern County Superintendent of Schools</x:v>
      </x:c>
      <x:c r="E124" s="29" t="str">
        <x:v>https://kern.org/</x:v>
      </x:c>
      <x:c r="F124" s="31" t="d">
        <x:v>2026-10-23T00:00:00.000Z</x:v>
      </x:c>
      <x:c r="G124" s="29"/>
      <x:c r="H124" s="29" t="str">
        <x:v>İlgili içerik veya mekân kaydıyla eşleştirilen kaynak notu incelendi. AI öz denetimi; otomatik HTTP erişim sonucu ayrı source-access kayıtlarında tutulur.</x:v>
      </x:c>
      <x:c r="I124" s="29" t="str">
        <x:v>Evet</x:v>
      </x:c>
      <x:c r="J124" s="29"/>
      <x:c r="K124" s="29"/>
    </x:row>
    <x:row r="125" ht="54" customHeight="1">
      <x:c r="A125" s="29" t="str">
        <x:v>bakersfield:src:17659</x:v>
      </x:c>
      <x:c r="B125" s="29" t="str">
        <x:v>bakersfield</x:v>
      </x:c>
      <x:c r="C125" s="29" t="str">
        <x:v>Lise bölgesi</x:v>
      </x:c>
      <x:c r="D125" s="29" t="str">
        <x:v>Kern High School District</x:v>
      </x:c>
      <x:c r="E125" s="29" t="str">
        <x:v>https://www.kernhigh.org/</x:v>
      </x:c>
      <x:c r="F125" s="31" t="d">
        <x:v>2026-10-23T00:00:00.000Z</x:v>
      </x:c>
      <x:c r="G125" s="29"/>
      <x:c r="H125" s="29" t="str">
        <x:v>İlgili içerik veya mekân kaydıyla eşleştirilen kaynak notu incelendi. AI öz denetimi; otomatik HTTP erişim sonucu ayrı source-access kayıtlarında tutulur.</x:v>
      </x:c>
      <x:c r="I125" s="29" t="str">
        <x:v>Evet</x:v>
      </x:c>
      <x:c r="J125" s="29"/>
      <x:c r="K125" s="29"/>
    </x:row>
    <x:row r="126" ht="54" customHeight="1">
      <x:c r="A126" s="29" t="str">
        <x:v>bakersfield:src:17660</x:v>
      </x:c>
      <x:c r="B126" s="29" t="str">
        <x:v>bakersfield</x:v>
      </x:c>
      <x:c r="C126" s="29" t="str">
        <x:v>Community Connection for Child Care</x:v>
      </x:c>
      <x:c r="D126" s="29" t="str">
        <x:v>Kern County Superintendent of Schools</x:v>
      </x:c>
      <x:c r="E126" s="29" t="str">
        <x:v>https://kern.org/community-connection-child-care/</x:v>
      </x:c>
      <x:c r="F126" s="31" t="d">
        <x:v>2026-10-23T00:00:00.000Z</x:v>
      </x:c>
      <x:c r="G126" s="29"/>
      <x:c r="H126" s="29" t="str">
        <x:v>İlgili içerik veya mekân kaydıyla eşleştirilen kaynak notu incelendi. AI öz denetimi; otomatik HTTP erişim sonucu ayrı source-access kayıtlarında tutulur.</x:v>
      </x:c>
      <x:c r="I126" s="29" t="str">
        <x:v>Evet</x:v>
      </x:c>
      <x:c r="J126" s="29"/>
      <x:c r="K126" s="29"/>
    </x:row>
    <x:row r="127" ht="54" customHeight="1">
      <x:c r="A127" s="29" t="str">
        <x:v>bakersfield:src:17661</x:v>
      </x:c>
      <x:c r="B127" s="29" t="str">
        <x:v>bakersfield</x:v>
      </x:c>
      <x:c r="C127" s="29" t="str">
        <x:v>Özel eğitim</x:v>
      </x:c>
      <x:c r="D127" s="29" t="str">
        <x:v>California Department of Education</x:v>
      </x:c>
      <x:c r="E127" s="29" t="str">
        <x:v>https://www.cde.ca.gov/sp/se/</x:v>
      </x:c>
      <x:c r="F127" s="31" t="d">
        <x:v>2026-10-23T00:00:00.000Z</x:v>
      </x:c>
      <x:c r="G127" s="29"/>
      <x:c r="H127" s="29" t="str">
        <x:v>İlgili içerik veya mekân kaydıyla eşleştirilen kaynak notu incelendi. AI öz denetimi; otomatik HTTP erişim sonucu ayrı source-access kayıtlarında tutulur.</x:v>
      </x:c>
      <x:c r="I127" s="29" t="str">
        <x:v>Evet</x:v>
      </x:c>
      <x:c r="J127" s="29"/>
      <x:c r="K127" s="29"/>
    </x:row>
    <x:row r="128" ht="54" customHeight="1">
      <x:c r="A128" s="29" t="str">
        <x:v>bakersfield:src:17662</x:v>
      </x:c>
      <x:c r="B128" s="29" t="str">
        <x:v>bakersfield</x:v>
      </x:c>
      <x:c r="C128" s="29" t="str">
        <x:v>Başvuru ve programlar</x:v>
      </x:c>
      <x:c r="D128" s="29" t="str">
        <x:v>Bakersfield College</x:v>
      </x:c>
      <x:c r="E128" s="29" t="str">
        <x:v>https://www.bakersfieldcollege.edu/</x:v>
      </x:c>
      <x:c r="F128" s="31" t="d">
        <x:v>2026-10-23T00:00:00.000Z</x:v>
      </x:c>
      <x:c r="G128" s="29"/>
      <x:c r="H128" s="29" t="str">
        <x:v>İlgili içerik veya mekân kaydıyla eşleştirilen kaynak notu incelendi. AI öz denetimi; otomatik HTTP erişim sonucu ayrı source-access kayıtlarında tutulur.</x:v>
      </x:c>
      <x:c r="I128" s="29" t="str">
        <x:v>Evet</x:v>
      </x:c>
      <x:c r="J128" s="29"/>
      <x:c r="K128" s="29"/>
    </x:row>
    <x:row r="129" ht="54" customHeight="1">
      <x:c r="A129" s="29" t="str">
        <x:v>bakersfield:src:17663</x:v>
      </x:c>
      <x:c r="B129" s="29" t="str">
        <x:v>bakersfield</x:v>
      </x:c>
      <x:c r="C129" s="29" t="str">
        <x:v>Uluslararası öğrenciler</x:v>
      </x:c>
      <x:c r="D129" s="29" t="str">
        <x:v>California State University Bakersfield</x:v>
      </x:c>
      <x:c r="E129" s="29" t="str">
        <x:v>https://www.csub.edu/isp/</x:v>
      </x:c>
      <x:c r="F129" s="31" t="d">
        <x:v>2026-10-23T00:00:00.000Z</x:v>
      </x:c>
      <x:c r="G129" s="29"/>
      <x:c r="H129" s="29" t="str">
        <x:v>İlgili içerik veya mekân kaydıyla eşleştirilen kaynak notu incelendi. AI öz denetimi; otomatik HTTP erişim sonucu ayrı source-access kayıtlarında tutulur.</x:v>
      </x:c>
      <x:c r="I129" s="29" t="str">
        <x:v>Evet</x:v>
      </x:c>
      <x:c r="J129" s="29"/>
      <x:c r="K129" s="29"/>
    </x:row>
    <x:row r="130" ht="54" customHeight="1">
      <x:c r="A130" s="29" t="str">
        <x:v>bakersfield:src:17664</x:v>
      </x:c>
      <x:c r="B130" s="29" t="str">
        <x:v>bakersfield</x:v>
      </x:c>
      <x:c r="C130" s="29" t="str">
        <x:v>Yetişkin eğitimi</x:v>
      </x:c>
      <x:c r="D130" s="29" t="str">
        <x:v>Bakersfield Adult School</x:v>
      </x:c>
      <x:c r="E130" s="29" t="str">
        <x:v>https://bas.kernhigh.org/</x:v>
      </x:c>
      <x:c r="F130" s="31" t="d">
        <x:v>2026-10-23T00:00:00.000Z</x:v>
      </x:c>
      <x:c r="G130" s="29"/>
      <x:c r="H130" s="29" t="str">
        <x:v>İlgili içerik veya mekân kaydıyla eşleştirilen kaynak notu incelendi. AI öz denetimi; otomatik HTTP erişim sonucu ayrı source-access kayıtlarında tutulur.</x:v>
      </x:c>
      <x:c r="I130" s="29" t="str">
        <x:v>Evet</x:v>
      </x:c>
      <x:c r="J130" s="29"/>
      <x:c r="K130" s="29"/>
    </x:row>
    <x:row r="131" ht="54" customHeight="1">
      <x:c r="A131" s="29" t="str">
        <x:v>bakersfield:src:17665</x:v>
      </x:c>
      <x:c r="B131" s="29" t="str">
        <x:v>bakersfield</x:v>
      </x:c>
      <x:c r="C131" s="29" t="str">
        <x:v>GET hatlar ve biletler</x:v>
      </x:c>
      <x:c r="D131" s="29" t="str">
        <x:v>Golden Empire Transit District</x:v>
      </x:c>
      <x:c r="E131" s="29" t="str">
        <x:v>https://www.getbus.org/</x:v>
      </x:c>
      <x:c r="F131" s="31" t="d">
        <x:v>2026-10-23T00:00:00.000Z</x:v>
      </x:c>
      <x:c r="G131" s="29"/>
      <x:c r="H131" s="29" t="str">
        <x:v>İlgili içerik veya mekân kaydıyla eşleştirilen kaynak notu incelendi. AI öz denetimi; otomatik HTTP erişim sonucu ayrı source-access kayıtlarında tutulur.</x:v>
      </x:c>
      <x:c r="I131" s="29" t="str">
        <x:v>Evet</x:v>
      </x:c>
      <x:c r="J131" s="29"/>
      <x:c r="K131" s="29"/>
    </x:row>
    <x:row r="132" ht="54" customHeight="1">
      <x:c r="A132" s="29" t="str">
        <x:v>bakersfield:src:17666</x:v>
      </x:c>
      <x:c r="B132" s="29" t="str">
        <x:v>bakersfield</x:v>
      </x:c>
      <x:c r="C132" s="29" t="str">
        <x:v>İlçe hatları</x:v>
      </x:c>
      <x:c r="D132" s="29" t="str">
        <x:v>Kern Transit</x:v>
      </x:c>
      <x:c r="E132" s="29" t="str">
        <x:v>https://kerntransit.org/routes-and-schedules/</x:v>
      </x:c>
      <x:c r="F132" s="31" t="d">
        <x:v>2026-10-23T00:00:00.000Z</x:v>
      </x:c>
      <x:c r="G132" s="29"/>
      <x:c r="H132" s="29" t="str">
        <x:v>İlgili içerik veya mekân kaydıyla eşleştirilen kaynak notu incelendi. AI öz denetimi; otomatik HTTP erişim sonucu ayrı source-access kayıtlarında tutulur.</x:v>
      </x:c>
      <x:c r="I132" s="29" t="str">
        <x:v>Evet</x:v>
      </x:c>
      <x:c r="J132" s="29"/>
      <x:c r="K132" s="29"/>
    </x:row>
    <x:row r="133" ht="54" customHeight="1">
      <x:c r="A133" s="29" t="str">
        <x:v>bakersfield:src:17667</x:v>
      </x:c>
      <x:c r="B133" s="29" t="str">
        <x:v>bakersfield</x:v>
      </x:c>
      <x:c r="C133" s="29" t="str">
        <x:v>Bölgesel otobüs ücretleri</x:v>
      </x:c>
      <x:c r="D133" s="29" t="str">
        <x:v>Kern Transit</x:v>
      </x:c>
      <x:c r="E133" s="29" t="str">
        <x:v>https://kerntransit.org/fares/</x:v>
      </x:c>
      <x:c r="F133" s="31" t="d">
        <x:v>2026-10-23T00:00:00.000Z</x:v>
      </x:c>
      <x:c r="G133" s="29"/>
      <x:c r="H133" s="29" t="str">
        <x:v>İlgili içerik veya mekân kaydıyla eşleştirilen kaynak notu incelendi. AI öz denetimi; otomatik HTTP erişim sonucu ayrı source-access kayıtlarında tutulur.</x:v>
      </x:c>
      <x:c r="I133" s="29" t="str">
        <x:v>Evet</x:v>
      </x:c>
      <x:c r="J133" s="29"/>
      <x:c r="K133" s="29"/>
    </x:row>
    <x:row r="134" ht="54" customHeight="1">
      <x:c r="A134" s="29" t="str">
        <x:v>bakersfield:src:17668</x:v>
      </x:c>
      <x:c r="B134" s="29" t="str">
        <x:v>bakersfield</x:v>
      </x:c>
      <x:c r="C134" s="29" t="str">
        <x:v>Havalimanı bilgileri</x:v>
      </x:c>
      <x:c r="D134" s="29" t="str">
        <x:v>Meadows Field Airport</x:v>
      </x:c>
      <x:c r="E134" s="29" t="str">
        <x:v>https://www.meadowsfield.com/</x:v>
      </x:c>
      <x:c r="F134" s="31" t="d">
        <x:v>2026-10-23T00:00:00.000Z</x:v>
      </x:c>
      <x:c r="G134" s="29"/>
      <x:c r="H134" s="29" t="str">
        <x:v>İlgili içerik veya mekân kaydıyla eşleştirilen kaynak notu incelendi. AI öz denetimi; otomatik HTTP erişim sonucu ayrı source-access kayıtlarında tutulur.</x:v>
      </x:c>
      <x:c r="I134" s="29" t="str">
        <x:v>Evet</x:v>
      </x:c>
      <x:c r="J134" s="29"/>
      <x:c r="K134" s="29"/>
    </x:row>
    <x:row r="135" ht="54" customHeight="1">
      <x:c r="A135" s="29" t="str">
        <x:v>bakersfield:src:17670</x:v>
      </x:c>
      <x:c r="B135" s="29" t="str">
        <x:v>bakersfield</x:v>
      </x:c>
      <x:c r="C135" s="29" t="str">
        <x:v>QuickMap yol durumu</x:v>
      </x:c>
      <x:c r="D135" s="29" t="str">
        <x:v>Caltrans</x:v>
      </x:c>
      <x:c r="E135" s="29" t="str">
        <x:v>https://quickmap.dot.ca.gov/</x:v>
      </x:c>
      <x:c r="F135" s="31" t="d">
        <x:v>2026-10-23T00:00:00.000Z</x:v>
      </x:c>
      <x:c r="G135" s="29"/>
      <x:c r="H135" s="29" t="str">
        <x:v>İlgili içerik veya mekân kaydıyla eşleştirilen kaynak notu incelendi. AI öz denetimi; otomatik HTTP erişim sonucu ayrı source-access kayıtlarında tutulur.</x:v>
      </x:c>
      <x:c r="I135" s="29" t="str">
        <x:v>Evet</x:v>
      </x:c>
      <x:c r="J135" s="29"/>
      <x:c r="K135" s="29"/>
    </x:row>
    <x:row r="136" ht="54" customHeight="1">
      <x:c r="A136" s="29" t="str">
        <x:v>bakersfield:src:17671</x:v>
      </x:c>
      <x:c r="B136" s="29" t="str">
        <x:v>bakersfield</x:v>
      </x:c>
      <x:c r="C136" s="29" t="str">
        <x:v>Bakersfield hava tahmini</x:v>
      </x:c>
      <x:c r="D136" s="29" t="str">
        <x:v>National Weather Service</x:v>
      </x:c>
      <x:c r="E136" s="29" t="str">
        <x:v>https://forecast.weather.gov/MapClick.php?lat=35.3733&amp;lon=-119.0187</x:v>
      </x:c>
      <x:c r="F136" s="31" t="d">
        <x:v>2026-10-23T00:00:00.000Z</x:v>
      </x:c>
      <x:c r="G136" s="29"/>
      <x:c r="H136" s="29" t="str">
        <x:v>İlgili içerik veya mekân kaydıyla eşleştirilen kaynak notu incelendi. AI öz denetimi; otomatik HTTP erişim sonucu ayrı source-access kayıtlarında tutulur.</x:v>
      </x:c>
      <x:c r="I136" s="29" t="str">
        <x:v>Evet</x:v>
      </x:c>
      <x:c r="J136" s="29"/>
      <x:c r="K136" s="29"/>
    </x:row>
    <x:row r="137" ht="54" customHeight="1">
      <x:c r="A137" s="29" t="str">
        <x:v>bakersfield:src:17672</x:v>
      </x:c>
      <x:c r="B137" s="29" t="str">
        <x:v>bakersfield</x:v>
      </x:c>
      <x:c r="C137" s="29" t="str">
        <x:v>ReadyKern acil bildirim kaydı</x:v>
      </x:c>
      <x:c r="D137" s="29" t="str">
        <x:v>Kern County Fire Department</x:v>
      </x:c>
      <x:c r="E137" s="29" t="str">
        <x:v>https://kerncountyfire.org/education-safety/ready-kern/</x:v>
      </x:c>
      <x:c r="F137" s="31" t="d">
        <x:v>2026-10-23T00:00:00.000Z</x:v>
      </x:c>
      <x:c r="G137" s="29"/>
      <x:c r="H137" s="29" t="str">
        <x:v>İlgili içerik veya mekân kaydıyla eşleştirilen kaynak notu incelendi. AI öz denetimi; otomatik HTTP erişim sonucu ayrı source-access kayıtlarında tutulur.</x:v>
      </x:c>
      <x:c r="I137" s="29" t="str">
        <x:v>Evet</x:v>
      </x:c>
      <x:c r="J137" s="29"/>
      <x:c r="K137" s="29"/>
    </x:row>
    <x:row r="138" ht="54" customHeight="1">
      <x:c r="A138" s="29" t="str">
        <x:v>bakersfield:src:17673</x:v>
      </x:c>
      <x:c r="B138" s="29" t="str">
        <x:v>bakersfield</x:v>
      </x:c>
      <x:c r="C138" s="29" t="str">
        <x:v>Tahliye bölgeleri ve Genasys Protect</x:v>
      </x:c>
      <x:c r="D138" s="29" t="str">
        <x:v>Kern County Fire Department</x:v>
      </x:c>
      <x:c r="E138" s="29" t="str">
        <x:v>https://kerncountyfire.org/15143/a-new-evacuation-management-tool-activated-in-kern-county/</x:v>
      </x:c>
      <x:c r="F138" s="31" t="d">
        <x:v>2026-10-23T00:00:00.000Z</x:v>
      </x:c>
      <x:c r="G138" s="29"/>
      <x:c r="H138" s="29" t="str">
        <x:v>İlgili içerik veya mekân kaydıyla eşleştirilen kaynak notu incelendi. AI öz denetimi; otomatik HTTP erişim sonucu ayrı source-access kayıtlarında tutulur.</x:v>
      </x:c>
      <x:c r="I138" s="29" t="str">
        <x:v>Evet</x:v>
      </x:c>
      <x:c r="J138" s="29"/>
      <x:c r="K138" s="29"/>
    </x:row>
    <x:row r="139" ht="54" customHeight="1">
      <x:c r="A139" s="29" t="str">
        <x:v>bakersfield:src:17674</x:v>
      </x:c>
      <x:c r="B139" s="29" t="str">
        <x:v>bakersfield</x:v>
      </x:c>
      <x:c r="C139" s="29" t="str">
        <x:v>Parklar ve rezervasyonlar</x:v>
      </x:c>
      <x:c r="D139" s="29" t="str">
        <x:v>Kern County Parks</x:v>
      </x:c>
      <x:c r="E139" s="29" t="str">
        <x:v>https://www.kerncounty.com/government/parks</x:v>
      </x:c>
      <x:c r="F139" s="31" t="d">
        <x:v>2026-10-23T00:00:00.000Z</x:v>
      </x:c>
      <x:c r="G139" s="29"/>
      <x:c r="H139" s="29" t="str">
        <x:v>İlgili içerik veya mekân kaydıyla eşleştirilen kaynak notu incelendi. AI öz denetimi; otomatik HTTP erişim sonucu ayrı source-access kayıtlarında tutulur.</x:v>
      </x:c>
      <x:c r="I139" s="29" t="str">
        <x:v>Evet</x:v>
      </x:c>
      <x:c r="J139" s="29"/>
      <x:c r="K139" s="29"/>
    </x:row>
    <x:row r="140" ht="54" customHeight="1">
      <x:c r="A140" s="29" t="str">
        <x:v>bakersfield:src:17675</x:v>
      </x:c>
      <x:c r="B140" s="29" t="str">
        <x:v>bakersfield</x:v>
      </x:c>
      <x:c r="C140" s="29" t="str">
        <x:v>Bölge parkları ve programlar</x:v>
      </x:c>
      <x:c r="D140" s="29" t="str">
        <x:v>North of the River Recreation and Park District</x:v>
      </x:c>
      <x:c r="E140" s="29" t="str">
        <x:v>https://www.norfun.org/</x:v>
      </x:c>
      <x:c r="F140" s="31" t="d">
        <x:v>2026-10-23T00:00:00.000Z</x:v>
      </x:c>
      <x:c r="G140" s="29"/>
      <x:c r="H140" s="29" t="str">
        <x:v>İlgili içerik veya mekân kaydıyla eşleştirilen kaynak notu incelendi. AI öz denetimi; otomatik HTTP erişim sonucu ayrı source-access kayıtlarında tutulur.</x:v>
      </x:c>
      <x:c r="I140" s="29" t="str">
        <x:v>Evet</x:v>
      </x:c>
      <x:c r="J140" s="29"/>
      <x:c r="K140" s="29"/>
    </x:row>
    <x:row r="141" ht="54" customHeight="1">
      <x:c r="A141" s="29" t="str">
        <x:v>bakersfield:src:17676</x:v>
      </x:c>
      <x:c r="B141" s="29" t="str">
        <x:v>bakersfield</x:v>
      </x:c>
      <x:c r="C141" s="29" t="str">
        <x:v>Atık ve geri dönüşüm</x:v>
      </x:c>
      <x:c r="D141" s="29" t="str">
        <x:v>Kern County Public Works</x:v>
      </x:c>
      <x:c r="E141" s="29" t="str">
        <x:v>https://www.kernpublicworks.com/services/solid-waste</x:v>
      </x:c>
      <x:c r="F141" s="31" t="d">
        <x:v>2026-10-23T00:00:00.000Z</x:v>
      </x:c>
      <x:c r="G141" s="29"/>
      <x:c r="H141" s="29" t="str">
        <x:v>İlgili içerik veya mekân kaydıyla eşleştirilen kaynak notu incelendi. AI öz denetimi; otomatik HTTP erişim sonucu ayrı source-access kayıtlarında tutulur.</x:v>
      </x:c>
      <x:c r="I141" s="29" t="str">
        <x:v>Evet</x:v>
      </x:c>
      <x:c r="J141" s="29"/>
      <x:c r="K141" s="29"/>
    </x:row>
    <x:row r="142" ht="54" customHeight="1">
      <x:c r="A142" s="29" t="str">
        <x:v>bakersfield:src:17677</x:v>
      </x:c>
      <x:c r="B142" s="29" t="str">
        <x:v>bakersfield</x:v>
      </x:c>
      <x:c r="C142" s="29" t="str">
        <x:v>Evcil hayvan ve ruhsat hizmetleri</x:v>
      </x:c>
      <x:c r="D142" s="29" t="str">
        <x:v>Kern County Animal Services</x:v>
      </x:c>
      <x:c r="E142" s="29" t="str">
        <x:v>https://www.kerncountyanimalservices.org/</x:v>
      </x:c>
      <x:c r="F142" s="31" t="d">
        <x:v>2026-10-23T00:00:00.000Z</x:v>
      </x:c>
      <x:c r="G142" s="29"/>
      <x:c r="H142" s="29" t="str">
        <x:v>İlgili içerik veya mekân kaydıyla eşleştirilen kaynak notu incelendi. AI öz denetimi; otomatik HTTP erişim sonucu ayrı source-access kayıtlarında tutulur.</x:v>
      </x:c>
      <x:c r="I142" s="29" t="str">
        <x:v>Evet</x:v>
      </x:c>
      <x:c r="J142" s="29"/>
      <x:c r="K142" s="29"/>
    </x:row>
    <x:row r="143" ht="54" customHeight="1">
      <x:c r="A143" s="29" t="str">
        <x:v>bakersfield:src:17678</x:v>
      </x:c>
      <x:c r="B143" s="29" t="str">
        <x:v>bakersfield</x:v>
      </x:c>
      <x:c r="C143" s="29" t="str">
        <x:v>Mahkemeler ve kişisel yardım</x:v>
      </x:c>
      <x:c r="D143" s="29" t="str">
        <x:v>Superior Court of California Kern County</x:v>
      </x:c>
      <x:c r="E143" s="29" t="str">
        <x:v>https://www.kern.courts.ca.gov/</x:v>
      </x:c>
      <x:c r="F143" s="31" t="d">
        <x:v>2026-10-23T00:00:00.000Z</x:v>
      </x:c>
      <x:c r="G143" s="29"/>
      <x:c r="H143" s="29" t="str">
        <x:v>İlgili içerik veya mekân kaydıyla eşleştirilen kaynak notu incelendi. AI öz denetimi; otomatik HTTP erişim sonucu ayrı source-access kayıtlarında tutulur.</x:v>
      </x:c>
      <x:c r="I143" s="29" t="str">
        <x:v>Evet</x:v>
      </x:c>
      <x:c r="J143" s="29"/>
      <x:c r="K143" s="29"/>
    </x:row>
    <x:row r="144" ht="54" customHeight="1">
      <x:c r="A144" s="29" t="str">
        <x:v>bakersfield:src:17679</x:v>
      </x:c>
      <x:c r="B144" s="29" t="str">
        <x:v>bakersfield</x:v>
      </x:c>
      <x:c r="C144" s="29" t="str">
        <x:v>Tüketici başvuruları</x:v>
      </x:c>
      <x:c r="D144" s="29" t="str">
        <x:v>California Department of Consumer Affairs</x:v>
      </x:c>
      <x:c r="E144" s="29" t="str">
        <x:v>https://www.dca.ca.gov/consumers/complaints/index.shtml</x:v>
      </x:c>
      <x:c r="F144" s="31" t="d">
        <x:v>2026-10-23T00:00:00.000Z</x:v>
      </x:c>
      <x:c r="G144" s="29"/>
      <x:c r="H144" s="29" t="str">
        <x:v>İlgili içerik veya mekân kaydıyla eşleştirilen kaynak notu incelendi. AI öz denetimi; otomatik HTTP erişim sonucu ayrı source-access kayıtlarında tutulur.</x:v>
      </x:c>
      <x:c r="I144" s="29" t="str">
        <x:v>Evet</x:v>
      </x:c>
      <x:c r="J144" s="29"/>
      <x:c r="K144" s="29"/>
    </x:row>
    <x:row r="145" ht="54" customHeight="1">
      <x:c r="A145" s="29" t="str">
        <x:v>bakersfield:src:17680</x:v>
      </x:c>
      <x:c r="B145" s="29" t="str">
        <x:v>bakersfield</x:v>
      </x:c>
      <x:c r="C145" s="29" t="str">
        <x:v>Engellilik hakları</x:v>
      </x:c>
      <x:c r="D145" s="29" t="str">
        <x:v>U.S. Department of Justice</x:v>
      </x:c>
      <x:c r="E145" s="29" t="str">
        <x:v>https://www.ada.gov/topics/intro-to-ada/</x:v>
      </x:c>
      <x:c r="F145" s="31" t="d">
        <x:v>2026-10-23T00:00:00.000Z</x:v>
      </x:c>
      <x:c r="G145" s="29"/>
      <x:c r="H145" s="29" t="str">
        <x:v>İlgili içerik veya mekân kaydıyla eşleştirilen kaynak notu incelendi. AI öz denetimi; otomatik HTTP erişim sonucu ayrı source-access kayıtlarında tutulur.</x:v>
      </x:c>
      <x:c r="I145" s="29" t="str">
        <x:v>Evet</x:v>
      </x:c>
      <x:c r="J145" s="29"/>
      <x:c r="K145" s="29"/>
    </x:row>
    <x:row r="146" ht="54" customHeight="1">
      <x:c r="A146" s="29" t="str">
        <x:v>bakersfield:src:17681</x:v>
      </x:c>
      <x:c r="B146" s="29" t="str">
        <x:v>bakersfield</x:v>
      </x:c>
      <x:c r="C146" s="29" t="str">
        <x:v>Şehirde keşif noktaları</x:v>
      </x:c>
      <x:c r="D146" s="29" t="str">
        <x:v>Visit Bakersfield</x:v>
      </x:c>
      <x:c r="E146" s="29" t="str">
        <x:v>https://www.visitbakersfield.com/things-to-do/</x:v>
      </x:c>
      <x:c r="F146" s="31" t="d">
        <x:v>2026-10-23T00:00:00.000Z</x:v>
      </x:c>
      <x:c r="G146" s="29"/>
      <x:c r="H146" s="29" t="str">
        <x:v>İlgili içerik veya mekân kaydıyla eşleştirilen kaynak notu incelendi. AI öz denetimi; otomatik HTTP erişim sonucu ayrı source-access kayıtlarında tutulur.</x:v>
      </x:c>
      <x:c r="I146" s="29" t="str">
        <x:v>Evet</x:v>
      </x:c>
      <x:c r="J146" s="29"/>
      <x:c r="K146" s="29"/>
    </x:row>
    <x:row r="147" ht="54" customHeight="1">
      <x:c r="A147" s="29" t="str">
        <x:v>bakersfield:src:17682</x:v>
      </x:c>
      <x:c r="B147" s="29" t="str">
        <x:v>bakersfield</x:v>
      </x:c>
      <x:c r="C147" s="29" t="str">
        <x:v>Bakersfield gezi rehberi</x:v>
      </x:c>
      <x:c r="D147" s="29" t="str">
        <x:v>Visit California</x:v>
      </x:c>
      <x:c r="E147" s="29" t="str">
        <x:v>https://www.visitcalifornia.com/places-to-visit/bakersfield/</x:v>
      </x:c>
      <x:c r="F147" s="31" t="d">
        <x:v>2026-10-23T00:00:00.000Z</x:v>
      </x:c>
      <x:c r="G147" s="29"/>
      <x:c r="H147" s="29" t="str">
        <x:v>İlgili içerik veya mekân kaydıyla eşleştirilen kaynak notu incelendi. AI öz denetimi; otomatik HTTP erişim sonucu ayrı source-access kayıtlarında tutulur.</x:v>
      </x:c>
      <x:c r="I147" s="29" t="str">
        <x:v>Evet</x:v>
      </x:c>
      <x:c r="J147" s="29"/>
      <x:c r="K147" s="29"/>
    </x:row>
    <x:row r="148" ht="54" customHeight="1">
      <x:c r="A148" s="29" t="str">
        <x:v>bakersfield:src:17683</x:v>
      </x:c>
      <x:c r="B148" s="29" t="str">
        <x:v>bakersfield</x:v>
      </x:c>
      <x:c r="C148" s="29" t="str">
        <x:v>Kapanış duyurusu</x:v>
      </x:c>
      <x:c r="D148" s="29" t="str">
        <x:v>Buck Owens Crystal Palace</x:v>
      </x:c>
      <x:c r="E148" s="29" t="str">
        <x:v>https://www.buckowens.com/</x:v>
      </x:c>
      <x:c r="F148" s="31" t="d">
        <x:v>2026-10-23T00:00:00.000Z</x:v>
      </x:c>
      <x:c r="G148" s="29"/>
      <x:c r="H148" s="29" t="str">
        <x:v>İlgili içerik veya mekân kaydıyla eşleştirilen kaynak notu incelendi. AI öz denetimi; otomatik HTTP erişim sonucu ayrı source-access kayıtlarında tutulur.</x:v>
      </x:c>
      <x:c r="I148" s="29" t="str">
        <x:v>Evet</x:v>
      </x:c>
      <x:c r="J148" s="29"/>
      <x:c r="K148" s="29"/>
    </x:row>
    <x:row r="149" ht="54" customHeight="1">
      <x:c r="A149" s="29" t="str">
        <x:v>bakersfield:src:17684</x:v>
      </x:c>
      <x:c r="B149" s="29" t="str">
        <x:v>bakersfield</x:v>
      </x:c>
      <x:c r="C149" s="29" t="str">
        <x:v>Depozito sınırı ve küçük ev sahibi istisnası</x:v>
      </x:c>
      <x:c r="D149" s="29" t="str">
        <x:v>California Department of Justice</x:v>
      </x:c>
      <x:c r="E149" s="29" t="str">
        <x:v>https://oag.ca.gov/system/files/media/Know-Your-Rights-Security-Deposits-English.pdf</x:v>
      </x:c>
      <x:c r="F149" s="31" t="d">
        <x:v>2026-10-23T00:00:00.000Z</x:v>
      </x:c>
      <x:c r="G149" s="29"/>
      <x:c r="H149" s="29" t="str">
        <x:v>İlgili içerik veya mekân kaydıyla eşleştirilen kaynak notu incelendi. AI öz denetimi; otomatik HTTP erişim sonucu ayrı source-access kayıtlarında tutulur.</x:v>
      </x:c>
      <x:c r="I149" s="29" t="str">
        <x:v>Evet</x:v>
      </x:c>
      <x:c r="J149" s="29"/>
      <x:c r="K149" s="29"/>
    </x:row>
    <x:row r="150" ht="54" customHeight="1">
      <x:c r="A150" s="29" t="str">
        <x:v>bakersfield:src:17685</x:v>
      </x:c>
      <x:c r="B150" s="29" t="str">
        <x:v>bakersfield</x:v>
      </x:c>
      <x:c r="C150" s="29" t="str">
        <x:v>Civil Code 1950.6: başvuru ekranlama ücreti</x:v>
      </x:c>
      <x:c r="D150" s="29" t="str">
        <x:v>California Legislature</x:v>
      </x:c>
      <x:c r="E150" s="29" t="str">
        <x:v>https://leginfo.legislature.ca.gov/faces/codes_displaySection.xhtml?sectionNum=1950.6.&amp;lawCode=CIV</x:v>
      </x:c>
      <x:c r="F150" s="31" t="d">
        <x:v>2026-10-23T00:00:00.000Z</x:v>
      </x:c>
      <x:c r="G150" s="29"/>
      <x:c r="H150" s="29" t="str">
        <x:v>İlgili içerik veya mekân kaydıyla eşleştirilen kaynak notu incelendi. AI öz denetimi; otomatik HTTP erişim sonucu ayrı source-access kayıtlarında tutulur.</x:v>
      </x:c>
      <x:c r="I150" s="29" t="str">
        <x:v>Evet</x:v>
      </x:c>
      <x:c r="J150" s="29"/>
      <x:c r="K150" s="29"/>
    </x:row>
    <x:row r="151" ht="54" customHeight="1">
      <x:c r="A151" s="29" t="str">
        <x:v>bakersfield:src:17686</x:v>
      </x:c>
      <x:c r="B151" s="29" t="str">
        <x:v>bakersfield</x:v>
      </x:c>
      <x:c r="C151" s="29" t="str">
        <x:v>Kiracı sigortası rehberi</x:v>
      </x:c>
      <x:c r="D151" s="29" t="str">
        <x:v>California Department of Insurance</x:v>
      </x:c>
      <x:c r="E151" s="29" t="str">
        <x:v>https://www.insurance.ca.gov/01-consumers/105-type/95-guides/03-res/res-ins-guide.cfm</x:v>
      </x:c>
      <x:c r="F151" s="31" t="d">
        <x:v>2026-10-23T00:00:00.000Z</x:v>
      </x:c>
      <x:c r="G151" s="29"/>
      <x:c r="H151" s="29" t="str">
        <x:v>İlgili içerik veya mekân kaydıyla eşleştirilen kaynak notu incelendi. AI öz denetimi; otomatik HTTP erişim sonucu ayrı source-access kayıtlarında tutulur.</x:v>
      </x:c>
      <x:c r="I151" s="29" t="str">
        <x:v>Evet</x:v>
      </x:c>
      <x:c r="J151" s="29"/>
      <x:c r="K151" s="29"/>
    </x:row>
    <x:row r="152" ht="54" customHeight="1">
      <x:c r="A152" s="29" t="str">
        <x:v>bakersfield:src:17687</x:v>
      </x:c>
      <x:c r="B152" s="29" t="str">
        <x:v>bakersfield</x:v>
      </x:c>
      <x:c r="C152" s="29" t="str">
        <x:v>Rekreasyon ve park hizmetleri</x:v>
      </x:c>
      <x:c r="D152" s="29" t="str">
        <x:v>City of Bakersfield</x:v>
      </x:c>
      <x:c r="E152" s="29" t="str">
        <x:v>https://www.bakersfieldcity.us/recreation-parks</x:v>
      </x:c>
      <x:c r="F152" s="31" t="d">
        <x:v>2026-10-23T00:00:00.000Z</x:v>
      </x:c>
      <x:c r="G152" s="29"/>
      <x:c r="H152" s="29" t="str">
        <x:v>İlgili içerik veya mekân kaydıyla eşleştirilen kaynak notu incelendi. AI öz denetimi; otomatik HTTP erişim sonucu ayrı source-access kayıtlarında tutulur.</x:v>
      </x:c>
      <x:c r="I152" s="29" t="str">
        <x:v>Evet</x:v>
      </x:c>
      <x:c r="J152" s="29"/>
      <x:c r="K152" s="29"/>
    </x:row>
    <x:row r="153" ht="54" customHeight="1">
      <x:c r="A153" s="29" t="str">
        <x:v>bakersfield:src:17688</x:v>
      </x:c>
      <x:c r="B153" s="29" t="str">
        <x:v>bakersfield</x:v>
      </x:c>
      <x:c r="C153" s="29" t="str">
        <x:v>GET bilet ücretleri</x:v>
      </x:c>
      <x:c r="D153" s="29" t="str">
        <x:v>Token Transit / Golden Empire Transit</x:v>
      </x:c>
      <x:c r="E153" s="29" t="str">
        <x:v>https://tokentransit.com/agency/goldenempiretransit</x:v>
      </x:c>
      <x:c r="F153" s="31" t="d">
        <x:v>2026-10-23T00:00:00.000Z</x:v>
      </x:c>
      <x:c r="G153" s="29"/>
      <x:c r="H153" s="29" t="str">
        <x:v>İlgili içerik veya mekân kaydıyla eşleştirilen kaynak notu incelendi. AI öz denetimi; otomatik HTTP erişim sonucu ayrı source-access kayıtlarında tutulur.</x:v>
      </x:c>
      <x:c r="I153" s="29" t="str">
        <x:v>Evet</x:v>
      </x:c>
      <x:c r="J153" s="29"/>
      <x:c r="K153" s="29"/>
    </x:row>
    <x:row r="154" ht="54" customHeight="1">
      <x:c r="A154" s="29" t="str">
        <x:v>bakersfield:src:17689</x:v>
      </x:c>
      <x:c r="B154" s="29" t="str">
        <x:v>bakersfield</x:v>
      </x:c>
      <x:c r="C154" s="29" t="str">
        <x:v>Onarım ve yaşanabilirlik</x:v>
      </x:c>
      <x:c r="D154" s="29" t="str">
        <x:v>California Department of Real Estate</x:v>
      </x:c>
      <x:c r="E154" s="29" t="str">
        <x:v>https://www.dre.ca.gov/publications/ResourceGuidebook/gb09_dealingwith.html</x:v>
      </x:c>
      <x:c r="F154" s="31" t="d">
        <x:v>2026-10-23T00:00:00.000Z</x:v>
      </x:c>
      <x:c r="G154" s="29"/>
      <x:c r="H154" s="29" t="str">
        <x:v>İlgili içerik veya mekân kaydıyla eşleştirilen kaynak notu incelendi. AI öz denetimi; otomatik HTTP erişim sonucu ayrı source-access kayıtlarında tutulur.</x:v>
      </x:c>
      <x:c r="I154" s="29" t="str">
        <x:v>Evet</x:v>
      </x:c>
      <x:c r="J154" s="29"/>
      <x:c r="K154" s="29"/>
    </x:row>
    <x:row r="155" ht="54" customHeight="1">
      <x:c r="A155" s="29" t="str">
        <x:v>bakersfield:src:17690</x:v>
      </x:c>
      <x:c r="B155" s="29" t="str">
        <x:v>bakersfield</x:v>
      </x:c>
      <x:c r="C155" s="29" t="str">
        <x:v>Kiralanan evde yaşam ve giriş kuralları</x:v>
      </x:c>
      <x:c r="D155" s="29" t="str">
        <x:v>California Department of Real Estate</x:v>
      </x:c>
      <x:c r="E155" s="29" t="str">
        <x:v>https://www.dre.ca.gov/publications/ResourceGuidebook/gb08_living.html</x:v>
      </x:c>
      <x:c r="F155" s="31" t="d">
        <x:v>2026-10-23T00:00:00.000Z</x:v>
      </x:c>
      <x:c r="G155" s="29"/>
      <x:c r="H155" s="29" t="str">
        <x:v>İlgili içerik veya mekân kaydıyla eşleştirilen kaynak notu incelendi. AI öz denetimi; otomatik HTTP erişim sonucu ayrı source-access kayıtlarında tutulur.</x:v>
      </x:c>
      <x:c r="I155" s="29" t="str">
        <x:v>Evet</x:v>
      </x:c>
      <x:c r="J155" s="29"/>
      <x:c r="K155" s="29"/>
    </x:row>
    <x:row r="156" ht="54" customHeight="1">
      <x:c r="A156" s="29" t="str">
        <x:v>bakersfield:src:17691</x:v>
      </x:c>
      <x:c r="B156" s="29" t="str">
        <x:v>bakersfield</x:v>
      </x:c>
      <x:c r="C156" s="29" t="str">
        <x:v>Evden taşınma ve bildirim</x:v>
      </x:c>
      <x:c r="D156" s="29" t="str">
        <x:v>California Department of Real Estate</x:v>
      </x:c>
      <x:c r="E156" s="29" t="str">
        <x:v>https://www.dre.ca.gov/publications/ResourceGuidebook/gb10_movingout.html</x:v>
      </x:c>
      <x:c r="F156" s="31" t="d">
        <x:v>2026-10-23T00:00:00.000Z</x:v>
      </x:c>
      <x:c r="G156" s="29"/>
      <x:c r="H156" s="29" t="str">
        <x:v>İlgili içerik veya mekân kaydıyla eşleştirilen kaynak notu incelendi. AI öz denetimi; otomatik HTTP erişim sonucu ayrı source-access kayıtlarında tutulur.</x:v>
      </x:c>
      <x:c r="I156" s="29" t="str">
        <x:v>Evet</x:v>
      </x:c>
      <x:c r="J156" s="29"/>
      <x:c r="K156" s="29"/>
    </x:row>
    <x:row r="157" ht="54" customHeight="1">
      <x:c r="A157" s="29" t="str">
        <x:v>bakersfield:src:17692</x:v>
      </x:c>
      <x:c r="B157" s="29" t="str">
        <x:v>bakersfield</x:v>
      </x:c>
      <x:c r="C157" s="29" t="str">
        <x:v>TK yaş ve kayıt koşulları</x:v>
      </x:c>
      <x:c r="D157" s="29" t="str">
        <x:v>California Department of Education</x:v>
      </x:c>
      <x:c r="E157" s="29" t="str">
        <x:v>https://www.cde.ca.gov/FG/it/tkfiscalfaq.asp</x:v>
      </x:c>
      <x:c r="F157" s="31" t="d">
        <x:v>2026-10-23T00:00:00.000Z</x:v>
      </x:c>
      <x:c r="G157" s="29"/>
      <x:c r="H157" s="29" t="str">
        <x:v>İlgili içerik veya mekân kaydıyla eşleştirilen kaynak notu incelendi. AI öz denetimi; otomatik HTTP erişim sonucu ayrı source-access kayıtlarında tutulur.</x:v>
      </x:c>
      <x:c r="I157" s="29" t="str">
        <x:v>Evet</x:v>
      </x:c>
      <x:c r="J157" s="29"/>
      <x:c r="K157" s="29"/>
    </x:row>
    <x:row r="158" ht="54" customHeight="1">
      <x:c r="A158" s="29" t="str">
        <x:v>bakersfield:src:17693</x:v>
      </x:c>
      <x:c r="B158" s="29" t="str">
        <x:v>bakersfield</x:v>
      </x:c>
      <x:c r="C158" s="29" t="str">
        <x:v>Okul takvimi</x:v>
      </x:c>
      <x:c r="D158" s="29" t="str">
        <x:v>BCSD</x:v>
      </x:c>
      <x:c r="E158" s="29" t="str">
        <x:v>https://www.bcsd.com/schools1/calendar</x:v>
      </x:c>
      <x:c r="F158" s="31" t="d">
        <x:v>2026-10-23T00:00:00.000Z</x:v>
      </x:c>
      <x:c r="G158" s="29"/>
      <x:c r="H158" s="29" t="str">
        <x:v>İlgili içerik veya mekân kaydıyla eşleştirilen kaynak notu incelendi. AI öz denetimi; otomatik HTTP erişim sonucu ayrı source-access kayıtlarında tutulur.</x:v>
      </x:c>
      <x:c r="I158" s="29" t="str">
        <x:v>Evet</x:v>
      </x:c>
      <x:c r="J158" s="29"/>
      <x:c r="K158" s="29"/>
    </x:row>
    <x:row r="159" ht="54" customHeight="1">
      <x:c r="A159" s="29" t="str">
        <x:v>bakersfield:src:17694</x:v>
      </x:c>
      <x:c r="B159" s="29" t="str">
        <x:v>bakersfield</x:v>
      </x:c>
      <x:c r="C159" s="29" t="str">
        <x:v>Okul zil saatleri</x:v>
      </x:c>
      <x:c r="D159" s="29" t="str">
        <x:v>BCSD</x:v>
      </x:c>
      <x:c r="E159" s="29" t="str">
        <x:v>https://www.bcsd.com/schools1/bell-schedule</x:v>
      </x:c>
      <x:c r="F159" s="31" t="d">
        <x:v>2026-10-23T00:00:00.000Z</x:v>
      </x:c>
      <x:c r="G159" s="29"/>
      <x:c r="H159" s="29" t="str">
        <x:v>İlgili içerik veya mekân kaydıyla eşleştirilen kaynak notu incelendi. AI öz denetimi; otomatik HTTP erişim sonucu ayrı source-access kayıtlarında tutulur.</x:v>
      </x:c>
      <x:c r="I159" s="29" t="str">
        <x:v>Evet</x:v>
      </x:c>
      <x:c r="J159" s="29"/>
      <x:c r="K159" s="29"/>
    </x:row>
    <x:row r="160" ht="54" customHeight="1">
      <x:c r="A160" s="29" t="str">
        <x:v>bakersfield:src:17695</x:v>
      </x:c>
      <x:c r="B160" s="29" t="str">
        <x:v>bakersfield</x:v>
      </x:c>
      <x:c r="C160" s="29" t="str">
        <x:v>Özel eğitim</x:v>
      </x:c>
      <x:c r="D160" s="29" t="str">
        <x:v>BCSD</x:v>
      </x:c>
      <x:c r="E160" s="29" t="str">
        <x:v>https://www.bcsd.com/departments/special-education/department-home</x:v>
      </x:c>
      <x:c r="F160" s="31" t="d">
        <x:v>2026-10-23T00:00:00.000Z</x:v>
      </x:c>
      <x:c r="G160" s="29"/>
      <x:c r="H160" s="29" t="str">
        <x:v>İlgili içerik veya mekân kaydıyla eşleştirilen kaynak notu incelendi. AI öz denetimi; otomatik HTTP erişim sonucu ayrı source-access kayıtlarında tutulur.</x:v>
      </x:c>
      <x:c r="I160" s="29" t="str">
        <x:v>Evet</x:v>
      </x:c>
      <x:c r="J160" s="29"/>
      <x:c r="K160" s="29"/>
    </x:row>
    <x:row r="161" ht="54" customHeight="1">
      <x:c r="A161" s="29" t="str">
        <x:v>bakersfield:src:17696</x:v>
      </x:c>
      <x:c r="B161" s="29" t="str">
        <x:v>bakersfield</x:v>
      </x:c>
      <x:c r="C161" s="29" t="str">
        <x:v>Aile ve toplum katılımı</x:v>
      </x:c>
      <x:c r="D161" s="29" t="str">
        <x:v>BCSD</x:v>
      </x:c>
      <x:c r="E161" s="29" t="str">
        <x:v>https://www.bcsd.com/departments/family-and-community-engagement-face/department-home</x:v>
      </x:c>
      <x:c r="F161" s="31" t="d">
        <x:v>2026-10-23T00:00:00.000Z</x:v>
      </x:c>
      <x:c r="G161" s="29"/>
      <x:c r="H161" s="29" t="str">
        <x:v>İlgili içerik veya mekân kaydıyla eşleştirilen kaynak notu incelendi. AI öz denetimi; otomatik HTTP erişim sonucu ayrı source-access kayıtlarında tutulur.</x:v>
      </x:c>
      <x:c r="I161" s="29" t="str">
        <x:v>Evet</x:v>
      </x:c>
      <x:c r="J161" s="29"/>
      <x:c r="K161" s="29"/>
    </x:row>
    <x:row r="162" ht="54" customHeight="1">
      <x:c r="A162" s="29" t="str">
        <x:v>bakersfield:src:17697</x:v>
      </x:c>
      <x:c r="B162" s="29" t="str">
        <x:v>bakersfield</x:v>
      </x:c>
      <x:c r="C162" s="29" t="str">
        <x:v>Okul sonrası eğitim</x:v>
      </x:c>
      <x:c r="D162" s="29" t="str">
        <x:v>BCSD</x:v>
      </x:c>
      <x:c r="E162" s="29" t="str">
        <x:v>https://www.bcsd.com/enrollment/extended-learning-program</x:v>
      </x:c>
      <x:c r="F162" s="31" t="d">
        <x:v>2026-10-23T00:00:00.000Z</x:v>
      </x:c>
      <x:c r="G162" s="29"/>
      <x:c r="H162" s="29" t="str">
        <x:v>İlgili içerik veya mekân kaydıyla eşleştirilen kaynak notu incelendi. AI öz denetimi; otomatik HTTP erişim sonucu ayrı source-access kayıtlarında tutulur.</x:v>
      </x:c>
      <x:c r="I162" s="29" t="str">
        <x:v>Evet</x:v>
      </x:c>
      <x:c r="J162" s="29"/>
      <x:c r="K162" s="29"/>
    </x:row>
    <x:row r="163" ht="54" customHeight="1">
      <x:c r="A163" s="29" t="str">
        <x:v>bakersfield:src:17698</x:v>
      </x:c>
      <x:c r="B163" s="29" t="str">
        <x:v>bakersfield</x:v>
      </x:c>
      <x:c r="C163" s="29" t="str">
        <x:v>Driver Handbook</x:v>
      </x:c>
      <x:c r="D163" s="29" t="str">
        <x:v>California DMV</x:v>
      </x:c>
      <x:c r="E163" s="29" t="str">
        <x:v>https://www.dmv.ca.gov/portal/handbook/california-driver-handbook/</x:v>
      </x:c>
      <x:c r="F163" s="31" t="d">
        <x:v>2026-10-23T00:00:00.000Z</x:v>
      </x:c>
      <x:c r="G163" s="29"/>
      <x:c r="H163" s="29" t="str">
        <x:v>İlgili içerik veya mekân kaydıyla eşleştirilen kaynak notu incelendi. AI öz denetimi; otomatik HTTP erişim sonucu ayrı source-access kayıtlarında tutulur.</x:v>
      </x:c>
      <x:c r="I163" s="29" t="str">
        <x:v>Evet</x:v>
      </x:c>
      <x:c r="J163" s="29"/>
      <x:c r="K163" s="29"/>
    </x:row>
    <x:row r="164" ht="54" customHeight="1">
      <x:c r="A164" s="29" t="str">
        <x:v>bakersfield:src:17699</x:v>
      </x:c>
      <x:c r="B164" s="29" t="str">
        <x:v>bakersfield</x:v>
      </x:c>
      <x:c r="C164" s="29" t="str">
        <x:v>Smog Check</x:v>
      </x:c>
      <x:c r="D164" s="29" t="str">
        <x:v>California Bureau of Automotive Repair</x:v>
      </x:c>
      <x:c r="E164" s="29" t="str">
        <x:v>https://www.bar.ca.gov/consumer/smog-check-program</x:v>
      </x:c>
      <x:c r="F164" s="31" t="d">
        <x:v>2026-10-23T00:00:00.000Z</x:v>
      </x:c>
      <x:c r="G164" s="29"/>
      <x:c r="H164" s="29" t="str">
        <x:v>İlgili içerik veya mekân kaydıyla eşleştirilen kaynak notu incelendi. AI öz denetimi; otomatik HTTP erişim sonucu ayrı source-access kayıtlarında tutulur.</x:v>
      </x:c>
      <x:c r="I164" s="29" t="str">
        <x:v>Evet</x:v>
      </x:c>
      <x:c r="J164" s="29"/>
      <x:c r="K164" s="29"/>
    </x:row>
    <x:row r="165" ht="54" customHeight="1">
      <x:c r="A165" s="29" t="str">
        <x:v>bakersfield:src:17700</x:v>
      </x:c>
      <x:c r="B165" s="29" t="str">
        <x:v>bakersfield</x:v>
      </x:c>
      <x:c r="C165" s="29" t="str">
        <x:v>Bisiklet güvenliği</x:v>
      </x:c>
      <x:c r="D165" s="29" t="str">
        <x:v>California DMV</x:v>
      </x:c>
      <x:c r="E165" s="29" t="str">
        <x:v>https://www.dmv.ca.gov/portal/driver-education-and-safety/special-interest-driver-guides/bicyclists-pedestrians/</x:v>
      </x:c>
      <x:c r="F165" s="31" t="d">
        <x:v>2026-10-23T00:00:00.000Z</x:v>
      </x:c>
      <x:c r="G165" s="29"/>
      <x:c r="H165" s="29" t="str">
        <x:v>İlgili içerik veya mekân kaydıyla eşleştirilen kaynak notu incelendi. AI öz denetimi; otomatik HTTP erişim sonucu ayrı source-access kayıtlarında tutulur.</x:v>
      </x:c>
      <x:c r="I165" s="29" t="str">
        <x:v>Evet</x:v>
      </x:c>
      <x:c r="J165" s="29"/>
      <x:c r="K165" s="29"/>
    </x:row>
    <x:row r="166" ht="54" customHeight="1">
      <x:c r="A166" s="29" t="str">
        <x:v>bakersfield:src:17701</x:v>
      </x:c>
      <x:c r="B166" s="29" t="str">
        <x:v>bakersfield</x:v>
      </x:c>
      <x:c r="C166" s="29" t="str">
        <x:v>SI birim kılavuzu</x:v>
      </x:c>
      <x:c r="D166" s="29" t="str">
        <x:v>NIST</x:v>
      </x:c>
      <x:c r="E166" s="29" t="str">
        <x:v>https://www.nist.gov/pml/special-publication-811</x:v>
      </x:c>
      <x:c r="F166" s="31" t="d">
        <x:v>2026-10-23T00:00:00.000Z</x:v>
      </x:c>
      <x:c r="G166" s="29"/>
      <x:c r="H166" s="29" t="str">
        <x:v>İlgili içerik veya mekân kaydıyla eşleştirilen kaynak notu incelendi. AI öz denetimi; otomatik HTTP erişim sonucu ayrı source-access kayıtlarında tutulur.</x:v>
      </x:c>
      <x:c r="I166" s="29" t="str">
        <x:v>Evet</x:v>
      </x:c>
      <x:c r="J166" s="29"/>
      <x:c r="K166" s="29"/>
    </x:row>
    <x:row r="167" ht="54" customHeight="1">
      <x:c r="A167" s="29" t="str">
        <x:v>bakersfield:src:17702</x:v>
      </x:c>
      <x:c r="B167" s="29" t="str">
        <x:v>bakersfield</x:v>
      </x:c>
      <x:c r="C167" s="29" t="str">
        <x:v>Gizli ücretler ve fiyat açıklaması</x:v>
      </x:c>
      <x:c r="D167" s="29" t="str">
        <x:v>California Department of Justice</x:v>
      </x:c>
      <x:c r="E167" s="29" t="str">
        <x:v>https://oag.ca.gov/hiddenfees</x:v>
      </x:c>
      <x:c r="F167" s="31" t="d">
        <x:v>2026-10-23T00:00:00.000Z</x:v>
      </x:c>
      <x:c r="G167" s="29"/>
      <x:c r="H167" s="29" t="str">
        <x:v>İlgili içerik veya mekân kaydıyla eşleştirilen kaynak notu incelendi. AI öz denetimi; otomatik HTTP erişim sonucu ayrı source-access kayıtlarında tutulur.</x:v>
      </x:c>
      <x:c r="I167" s="29" t="str">
        <x:v>Evet</x:v>
      </x:c>
      <x:c r="J167" s="29"/>
      <x:c r="K167" s="29"/>
    </x:row>
    <x:row r="168" ht="54" customHeight="1">
      <x:c r="A168" s="29" t="str">
        <x:v>bakersfield:src:17703</x:v>
      </x:c>
      <x:c r="B168" s="29" t="str">
        <x:v>bakersfield</x:v>
      </x:c>
      <x:c r="C168" s="29" t="str">
        <x:v>Otomobil onarımı tüketici rehberi</x:v>
      </x:c>
      <x:c r="D168" s="29" t="str">
        <x:v>California BAR</x:v>
      </x:c>
      <x:c r="E168" s="29" t="str">
        <x:v>https://www.bar.ca.gov/consumer/auto-repair-basics</x:v>
      </x:c>
      <x:c r="F168" s="31" t="d">
        <x:v>2026-10-23T00:00:00.000Z</x:v>
      </x:c>
      <x:c r="G168" s="29"/>
      <x:c r="H168" s="29" t="str">
        <x:v>İlgili içerik veya mekân kaydıyla eşleştirilen kaynak notu incelendi. AI öz denetimi; otomatik HTTP erişim sonucu ayrı source-access kayıtlarında tutulur.</x:v>
      </x:c>
      <x:c r="I168" s="29" t="str">
        <x:v>Evet</x:v>
      </x:c>
      <x:c r="J168" s="29"/>
      <x:c r="K168" s="29"/>
    </x:row>
    <x:row r="169" ht="54" customHeight="1">
      <x:c r="A169" s="29" t="str">
        <x:v>bakersfield:src:17704</x:v>
      </x:c>
      <x:c r="B169" s="29" t="str">
        <x:v>bakersfield</x:v>
      </x:c>
      <x:c r="C169" s="29" t="str">
        <x:v>Bakersfield Field Office</x:v>
      </x:c>
      <x:c r="D169" s="29" t="str">
        <x:v>Bureau of Land Management</x:v>
      </x:c>
      <x:c r="E169" s="29" t="str">
        <x:v>https://www.blm.gov/office/bakersfield-field-office</x:v>
      </x:c>
      <x:c r="F169" s="31" t="d">
        <x:v>2026-10-23T00:00:00.000Z</x:v>
      </x:c>
      <x:c r="G169" s="29"/>
      <x:c r="H169" s="29" t="str">
        <x:v>İlgili içerik veya mekân kaydıyla eşleştirilen kaynak notu incelendi. AI öz denetimi; otomatik HTTP erişim sonucu ayrı source-access kayıtlarında tutulur.</x:v>
      </x:c>
      <x:c r="I169" s="29" t="str">
        <x:v>Evet</x:v>
      </x:c>
      <x:c r="J169" s="29"/>
      <x:c r="K169" s="29"/>
    </x:row>
    <x:row r="170" ht="54" customHeight="1">
      <x:c r="A170" s="29" t="str">
        <x:v>bakersfield:src:17706</x:v>
      </x:c>
      <x:c r="B170" s="29" t="str">
        <x:v>bakersfield</x:v>
      </x:c>
      <x:c r="C170" s="29" t="str">
        <x:v>CalFresh başvuru formu ve başvurmayan hane üyeleri</x:v>
      </x:c>
      <x:c r="D170" s="29" t="str">
        <x:v>California Department of Social Services</x:v>
      </x:c>
      <x:c r="E170" s="29" t="str">
        <x:v>https://www.cdss.ca.gov/cdssweb/entres/forms/English/CF285.pdf</x:v>
      </x:c>
      <x:c r="F170" s="31" t="d">
        <x:v>2026-10-23T00:00:00.000Z</x:v>
      </x:c>
      <x:c r="G170" s="29"/>
      <x:c r="H170" s="29" t="str">
        <x:v>İlgili içerik veya mekân kaydıyla eşleştirilen kaynak notu incelendi. AI öz denetimi; otomatik HTTP erişim sonucu ayrı source-access kayıtlarında tutulur.</x:v>
      </x:c>
      <x:c r="I170" s="29" t="str">
        <x:v>Evet</x:v>
      </x:c>
      <x:c r="J170" s="29"/>
      <x:c r="K170" s="29"/>
    </x:row>
    <x:row r="171" ht="54" customHeight="1">
      <x:c r="A171" s="29" t="str">
        <x:v>bakersfield:src:17707</x:v>
      </x:c>
      <x:c r="B171" s="29" t="str">
        <x:v>bakersfield</x:v>
      </x:c>
      <x:c r="C171" s="29" t="str">
        <x:v>Kredi kartı işlem itirazı</x:v>
      </x:c>
      <x:c r="D171" s="29" t="str">
        <x:v>Consumer Financial Protection Bureau</x:v>
      </x:c>
      <x:c r="E171" s="29" t="str">
        <x:v>https://www.consumerfinance.gov/ask-cfpb/how-do-i-dispute-a-charge-on-my-credit-card-bill-en-61/</x:v>
      </x:c>
      <x:c r="F171" s="31" t="d">
        <x:v>2026-10-23T00:00:00.000Z</x:v>
      </x:c>
      <x:c r="G171" s="29"/>
      <x:c r="H171" s="29" t="str">
        <x:v>İlgili içerik veya mekân kaydıyla eşleştirilen kaynak notu incelendi. AI öz denetimi; otomatik HTTP erişim sonucu ayrı source-access kayıtlarında tutulur.</x:v>
      </x:c>
      <x:c r="I171" s="29" t="str">
        <x:v>Evet</x:v>
      </x:c>
      <x:c r="J171" s="29"/>
      <x:c r="K171" s="29"/>
    </x:row>
    <x:row r="172" ht="54" customHeight="1">
      <x:c r="A172" s="29" t="str">
        <x:v>bakersfield:src:17708</x:v>
      </x:c>
      <x:c r="B172" s="29" t="str">
        <x:v>bakersfield</x:v>
      </x:c>
      <x:c r="C172" s="29" t="str">
        <x:v>Yetki alanları ve şehir hayvan hizmetleri iletişimi</x:v>
      </x:c>
      <x:c r="D172" s="29" t="str">
        <x:v>Kern County Animal Services</x:v>
      </x:c>
      <x:c r="E172" s="29" t="str">
        <x:v>https://www.kerncountyanimalservices.org/about-kcas/contact-info-locations/</x:v>
      </x:c>
      <x:c r="F172" s="31" t="d">
        <x:v>2026-10-23T00:00:00.000Z</x:v>
      </x:c>
      <x:c r="G172" s="29"/>
      <x:c r="H172" s="29" t="str">
        <x:v>İlgili içerik veya mekân kaydıyla eşleştirilen kaynak notu incelendi. AI öz denetimi; otomatik HTTP erişim sonucu ayrı source-access kayıtlarında tutulur.</x:v>
      </x:c>
      <x:c r="I172" s="29" t="str">
        <x:v>Evet</x:v>
      </x:c>
      <x:c r="J172" s="29"/>
      <x:c r="K172" s="29"/>
    </x:row>
    <x:row r="173" ht="54" customHeight="1">
      <x:c r="A173" s="29" t="str">
        <x:v>bakersfield:src:17709</x:v>
      </x:c>
      <x:c r="B173" s="29" t="str">
        <x:v>bakersfield</x:v>
      </x:c>
      <x:c r="C173" s="29" t="str">
        <x:v>Katı atık hizmetleri</x:v>
      </x:c>
      <x:c r="D173" s="29" t="str">
        <x:v>City of Bakersfield</x:v>
      </x:c>
      <x:c r="E173" s="29" t="str">
        <x:v>https://www.bakersfieldcity.us/garbage-recycling?contentId=413bf2fe-064a-40e6-bc86-5f3faabae99a&amp;itemDetail=3</x:v>
      </x:c>
      <x:c r="F173" s="31" t="d">
        <x:v>2026-10-23T00:00:00.000Z</x:v>
      </x:c>
      <x:c r="G173" s="29"/>
      <x:c r="H173" s="29" t="str">
        <x:v>İlgili içerik veya mekân kaydıyla eşleştirilen kaynak notu incelendi. AI öz denetimi; otomatik HTTP erişim sonucu ayrı source-access kayıtlarında tutulur.</x:v>
      </x:c>
      <x:c r="I173" s="29" t="str">
        <x:v>Evet</x:v>
      </x:c>
      <x:c r="J173" s="29"/>
      <x:c r="K173" s="29"/>
    </x:row>
    <x:row r="174" ht="54" customHeight="1">
      <x:c r="A174" s="29" t="str">
        <x:v>bakersfield:src:17710</x:v>
      </x:c>
      <x:c r="B174" s="29" t="str">
        <x:v>bakersfield</x:v>
      </x:c>
      <x:c r="C174" s="29" t="str">
        <x:v>Resmî takım ve bilet bilgisi</x:v>
      </x:c>
      <x:c r="D174" s="29" t="str">
        <x:v>Bakersfield Condors</x:v>
      </x:c>
      <x:c r="E174" s="29" t="str">
        <x:v>https://www.bakersfieldcondors.com/</x:v>
      </x:c>
      <x:c r="F174" s="31" t="d">
        <x:v>2026-10-23T00:00:00.000Z</x:v>
      </x:c>
      <x:c r="G174" s="29"/>
      <x:c r="H174" s="29" t="str">
        <x:v>İlgili içerik veya mekân kaydıyla eşleştirilen kaynak notu incelendi. AI öz denetimi; otomatik HTTP erişim sonucu ayrı source-access kayıtlarında tutulur.</x:v>
      </x:c>
      <x:c r="I174" s="29" t="str">
        <x:v>Evet</x:v>
      </x:c>
      <x:c r="J174" s="29"/>
      <x:c r="K174" s="29"/>
    </x:row>
    <x:row r="175" ht="54" customHeight="1">
      <x:c r="A175" s="29" t="str">
        <x:v>bakersfield:src:17711</x:v>
      </x:c>
      <x:c r="B175" s="29" t="str">
        <x:v>bakersfield</x:v>
      </x:c>
      <x:c r="C175" s="29" t="str">
        <x:v>Mahkeme tercümanları</x:v>
      </x:c>
      <x:c r="D175" s="29" t="str">
        <x:v>Kern Superior Court</x:v>
      </x:c>
      <x:c r="E175" s="29" t="str">
        <x:v>https://www.kern.courts.ca.gov/divisions/interpreter-services</x:v>
      </x:c>
      <x:c r="F175" s="31" t="d">
        <x:v>2026-10-23T00:00:00.000Z</x:v>
      </x:c>
      <x:c r="G175" s="29"/>
      <x:c r="H175" s="29" t="str">
        <x:v>İlgili içerik veya mekân kaydıyla eşleştirilen kaynak notu incelendi. AI öz denetimi; otomatik HTTP erişim sonucu ayrı source-access kayıtlarında tutulur.</x:v>
      </x:c>
      <x:c r="I175" s="29" t="str">
        <x:v>Evet</x:v>
      </x:c>
      <x:c r="J175" s="29"/>
      <x:c r="K175" s="29"/>
    </x:row>
    <x:row r="176" ht="54" customHeight="1">
      <x:c r="A176" s="29" t="str">
        <x:v>bakersfield:src:17712</x:v>
      </x:c>
      <x:c r="B176" s="29" t="str">
        <x:v>bakersfield</x:v>
      </x:c>
      <x:c r="C176" s="29" t="str">
        <x:v>Self-help hizmetleri</x:v>
      </x:c>
      <x:c r="D176" s="29" t="str">
        <x:v>Kern Superior Court</x:v>
      </x:c>
      <x:c r="E176" s="29" t="str">
        <x:v>https://www.kern.courts.ca.gov/self-help</x:v>
      </x:c>
      <x:c r="F176" s="31" t="d">
        <x:v>2026-10-23T00:00:00.000Z</x:v>
      </x:c>
      <x:c r="G176" s="29"/>
      <x:c r="H176" s="29" t="str">
        <x:v>İlgili içerik veya mekân kaydıyla eşleştirilen kaynak notu incelendi. AI öz denetimi; otomatik HTTP erişim sonucu ayrı source-access kayıtlarında tutulur.</x:v>
      </x:c>
      <x:c r="I176" s="29" t="str">
        <x:v>Evet</x:v>
      </x:c>
      <x:c r="J176" s="29"/>
      <x:c r="K176" s="29"/>
    </x:row>
    <x:row r="177" ht="54" customHeight="1">
      <x:c r="A177" s="29" t="str">
        <x:v>bakersfield:src:17713</x:v>
      </x:c>
      <x:c r="B177" s="29" t="str">
        <x:v>bakersfield</x:v>
      </x:c>
      <x:c r="C177" s="29" t="str">
        <x:v>Kredi raporu hatasına itiraz</x:v>
      </x:c>
      <x:c r="D177" s="29" t="str">
        <x:v>Consumer Financial Protection Bureau</x:v>
      </x:c>
      <x:c r="E177" s="29" t="str">
        <x:v>https://www.consumerfinance.gov/ask-cfpb/how-do-i-dispute-an-error-on-my-credit-report-en-314/</x:v>
      </x:c>
      <x:c r="F177" s="31" t="d">
        <x:v>2026-10-23T00:00:00.000Z</x:v>
      </x:c>
      <x:c r="G177" s="29"/>
      <x:c r="H177" s="29" t="str">
        <x:v>İlgili içerik veya mekân kaydıyla eşleştirilen kaynak notu incelendi. AI öz denetimi; otomatik HTTP erişim sonucu ayrı source-access kayıtlarında tutulur.</x:v>
      </x:c>
      <x:c r="I177" s="29" t="str">
        <x:v>Evet</x:v>
      </x:c>
      <x:c r="J177" s="29"/>
      <x:c r="K177" s="29"/>
    </x:row>
    <x:row r="178" ht="54" customHeight="1">
      <x:c r="A178" s="29" t="str">
        <x:v>bakersfield:src:17714</x:v>
      </x:c>
      <x:c r="B178" s="29" t="str">
        <x:v>bakersfield</x:v>
      </x:c>
      <x:c r="C178" s="29" t="str">
        <x:v>Etkinlik takvimi</x:v>
      </x:c>
      <x:c r="D178" s="29" t="str">
        <x:v>California State University Bakersfield</x:v>
      </x:c>
      <x:c r="E178" s="29" t="str">
        <x:v>https://events.csub.edu/calendar</x:v>
      </x:c>
      <x:c r="F178" s="31" t="d">
        <x:v>2026-10-23T00:00:00.000Z</x:v>
      </x:c>
      <x:c r="G178" s="29"/>
      <x:c r="H178" s="29" t="str">
        <x:v>İlgili içerik veya mekân kaydıyla eşleştirilen kaynak notu incelendi. AI öz denetimi; otomatik HTTP erişim sonucu ayrı source-access kayıtlarında tutulur.</x:v>
      </x:c>
      <x:c r="I178" s="29" t="str">
        <x:v>Evet</x:v>
      </x:c>
      <x:c r="J178" s="29"/>
      <x:c r="K178" s="29"/>
    </x:row>
    <x:row r="179" ht="54" customHeight="1">
      <x:c r="A179" s="29" t="str">
        <x:v>bakersfield:src:17715</x:v>
      </x:c>
      <x:c r="B179" s="29" t="str">
        <x:v>bakersfield</x:v>
      </x:c>
      <x:c r="C179" s="29" t="str">
        <x:v>Medi-Cal dental hizmetleri</x:v>
      </x:c>
      <x:c r="D179" s="29" t="str">
        <x:v>California DHCS</x:v>
      </x:c>
      <x:c r="E179" s="29" t="str">
        <x:v>https://www.dhcs.ca.gov/services/Pages/MediCalDental.aspx</x:v>
      </x:c>
      <x:c r="F179" s="31" t="d">
        <x:v>2026-10-23T00:00:00.000Z</x:v>
      </x:c>
      <x:c r="G179" s="29"/>
      <x:c r="H179" s="29" t="str">
        <x:v>İlgili içerik veya mekân kaydıyla eşleştirilen kaynak notu incelendi. AI öz denetimi; otomatik HTTP erişim sonucu ayrı source-access kayıtlarında tutulur.</x:v>
      </x:c>
      <x:c r="I179" s="29" t="str">
        <x:v>Evet</x:v>
      </x:c>
      <x:c r="J179" s="29"/>
      <x:c r="K179" s="29"/>
    </x:row>
    <x:row r="180" ht="54" customHeight="1">
      <x:c r="A180" s="29" t="str">
        <x:v>bakersfield:src:17716</x:v>
      </x:c>
      <x:c r="B180" s="29" t="str">
        <x:v>bakersfield</x:v>
      </x:c>
      <x:c r="C180" s="29" t="str">
        <x:v>911 acil çağrısı</x:v>
      </x:c>
      <x:c r="D180" s="29" t="str">
        <x:v>National 911 Program</x:v>
      </x:c>
      <x:c r="E180" s="29" t="str">
        <x:v>https://www.911.gov/calling-911/</x:v>
      </x:c>
      <x:c r="F180" s="31" t="d">
        <x:v>2026-10-23T00:00:00.000Z</x:v>
      </x:c>
      <x:c r="G180" s="29"/>
      <x:c r="H180" s="29" t="str">
        <x:v>İlgili içerik veya mekân kaydıyla eşleştirilen kaynak notu incelendi. AI öz denetimi; otomatik HTTP erişim sonucu ayrı source-access kayıtlarında tutulur.</x:v>
      </x:c>
      <x:c r="I180" s="29" t="str">
        <x:v>Evet</x:v>
      </x:c>
      <x:c r="J180" s="29"/>
      <x:c r="K180" s="29"/>
    </x:row>
    <x:row r="181" ht="54" customHeight="1">
      <x:c r="A181" s="29" t="str">
        <x:v>bakersfield:src:17718</x:v>
      </x:c>
      <x:c r="B181" s="29" t="str">
        <x:v>bakersfield</x:v>
      </x:c>
      <x:c r="C181" s="29" t="str">
        <x:v>Evsel tehlikeli atık</x:v>
      </x:c>
      <x:c r="D181" s="29" t="str">
        <x:v>Kern County Public Works</x:v>
      </x:c>
      <x:c r="E181" s="29" t="str">
        <x:v>https://www.kernpublicworks.com/services/solid-waste/hazardous-waste</x:v>
      </x:c>
      <x:c r="F181" s="31" t="d">
        <x:v>2026-10-23T00:00:00.000Z</x:v>
      </x:c>
      <x:c r="G181" s="29"/>
      <x:c r="H181" s="29" t="str">
        <x:v>İlgili içerik veya mekân kaydıyla eşleştirilen kaynak notu incelendi. AI öz denetimi; otomatik HTTP erişim sonucu ayrı source-access kayıtlarında tutulur.</x:v>
      </x:c>
      <x:c r="I181" s="29" t="str">
        <x:v>Evet</x:v>
      </x:c>
      <x:c r="J181" s="29"/>
      <x:c r="K181" s="29"/>
    </x:row>
    <x:row r="182" ht="54" customHeight="1">
      <x:c r="A182" s="29" t="str">
        <x:v>bakersfield:src:17719</x:v>
      </x:c>
      <x:c r="B182" s="29" t="str">
        <x:v>bakersfield</x:v>
      </x:c>
      <x:c r="C182" s="29" t="str">
        <x:v>Sağlık faturası yardımı ve hasta hakları</x:v>
      </x:c>
      <x:c r="D182" s="29" t="str">
        <x:v>Centers for Medicare &amp; Medicaid Services</x:v>
      </x:c>
      <x:c r="E182" s="29" t="str">
        <x:v>https://www.cms.gov/medical-bill-rights/help</x:v>
      </x:c>
      <x:c r="F182" s="31" t="d">
        <x:v>2026-10-23T00:00:00.000Z</x:v>
      </x:c>
      <x:c r="G182" s="29"/>
      <x:c r="H182" s="29" t="str">
        <x:v>İlgili içerik veya mekân kaydıyla eşleştirilen kaynak notu incelendi. AI öz denetimi; otomatik HTTP erişim sonucu ayrı source-access kayıtlarında tutulur.</x:v>
      </x:c>
      <x:c r="I182" s="29" t="str">
        <x:v>Evet</x:v>
      </x:c>
      <x:c r="J182" s="29"/>
      <x:c r="K182" s="29"/>
    </x:row>
    <x:row r="183" ht="54" customHeight="1">
      <x:c r="A183" s="29" t="str">
        <x:v>bakersfield:src:17720</x:v>
      </x:c>
      <x:c r="B183" s="29" t="str">
        <x:v>bakersfield</x:v>
      </x:c>
      <x:c r="C183" s="29" t="str">
        <x:v>Ziyaret ve sergiler</x:v>
      </x:c>
      <x:c r="D183" s="29" t="str">
        <x:v>Kern County Museum</x:v>
      </x:c>
      <x:c r="E183" s="29" t="str">
        <x:v>https://kerncountymuseum.org/</x:v>
      </x:c>
      <x:c r="F183" s="31" t="d">
        <x:v>2026-10-23T00:00:00.000Z</x:v>
      </x:c>
      <x:c r="G183" s="29"/>
      <x:c r="H183" s="29" t="str">
        <x:v>İlgili içerik veya mekân kaydıyla eşleştirilen kaynak notu incelendi. AI öz denetimi; otomatik HTTP erişim sonucu ayrı source-access kayıtlarında tutulur.</x:v>
      </x:c>
      <x:c r="I183" s="29" t="str">
        <x:v>Evet</x:v>
      </x:c>
      <x:c r="J183" s="29"/>
      <x:c r="K183" s="29"/>
    </x:row>
    <x:row r="184" ht="54" customHeight="1">
      <x:c r="A184" s="29" t="str">
        <x:v>bakersfield:src:17721</x:v>
      </x:c>
      <x:c r="B184" s="29" t="str">
        <x:v>bakersfield</x:v>
      </x:c>
      <x:c r="C184" s="29" t="str">
        <x:v>Kütüphane kartı</x:v>
      </x:c>
      <x:c r="D184" s="29" t="str">
        <x:v>Kern County Library</x:v>
      </x:c>
      <x:c r="E184" s="29" t="str">
        <x:v>https://kerncountylibrary.org/get-a-library-card/</x:v>
      </x:c>
      <x:c r="F184" s="31" t="d">
        <x:v>2026-10-23T00:00:00.000Z</x:v>
      </x:c>
      <x:c r="G184" s="29"/>
      <x:c r="H184" s="29" t="str">
        <x:v>İlgili içerik veya mekân kaydıyla eşleştirilen kaynak notu incelendi. AI öz denetimi; otomatik HTTP erişim sonucu ayrı source-access kayıtlarında tutulur.</x:v>
      </x:c>
      <x:c r="I184" s="29" t="str">
        <x:v>Evet</x:v>
      </x:c>
      <x:c r="J184" s="29"/>
      <x:c r="K184" s="29"/>
    </x:row>
    <x:row r="185" ht="54" customHeight="1">
      <x:c r="A185" s="29" t="str">
        <x:v>bakersfield:src:17722</x:v>
      </x:c>
      <x:c r="B185" s="29" t="str">
        <x:v>bakersfield</x:v>
      </x:c>
      <x:c r="C185" s="29" t="str">
        <x:v>Dijital kitaplar</x:v>
      </x:c>
      <x:c r="D185" s="29" t="str">
        <x:v>Kern County Library</x:v>
      </x:c>
      <x:c r="E185" s="29" t="str">
        <x:v>https://kerncountylibrary.org/elibrary/</x:v>
      </x:c>
      <x:c r="F185" s="31" t="d">
        <x:v>2026-10-23T00:00:00.000Z</x:v>
      </x:c>
      <x:c r="G185" s="29"/>
      <x:c r="H185" s="29" t="str">
        <x:v>İlgili içerik veya mekân kaydıyla eşleştirilen kaynak notu incelendi. AI öz denetimi; otomatik HTTP erişim sonucu ayrı source-access kayıtlarında tutulur.</x:v>
      </x:c>
      <x:c r="I185" s="29" t="str">
        <x:v>Evet</x:v>
      </x:c>
      <x:c r="J185" s="29"/>
      <x:c r="K185" s="29"/>
    </x:row>
    <x:row r="186" ht="54" customHeight="1">
      <x:c r="A186" s="29" t="str">
        <x:v>bakersfield:src:17723</x:v>
      </x:c>
      <x:c r="B186" s="29" t="str">
        <x:v>bakersfield</x:v>
      </x:c>
      <x:c r="C186" s="29" t="str">
        <x:v>Etkinlik takvimi</x:v>
      </x:c>
      <x:c r="D186" s="29" t="str">
        <x:v>Kern County Library</x:v>
      </x:c>
      <x:c r="E186" s="29" t="str">
        <x:v>https://kerncountylibrary.org/events/</x:v>
      </x:c>
      <x:c r="F186" s="31" t="d">
        <x:v>2026-10-23T00:00:00.000Z</x:v>
      </x:c>
      <x:c r="G186" s="29"/>
      <x:c r="H186" s="29" t="str">
        <x:v>İlgili içerik veya mekân kaydıyla eşleştirilen kaynak notu incelendi. AI öz denetimi; otomatik HTTP erişim sonucu ayrı source-access kayıtlarında tutulur.</x:v>
      </x:c>
      <x:c r="I186" s="29" t="str">
        <x:v>Evet</x:v>
      </x:c>
      <x:c r="J186" s="29"/>
      <x:c r="K186" s="29"/>
    </x:row>
    <x:row r="187" ht="54" customHeight="1">
      <x:c r="A187" s="29" t="str">
        <x:v>bakersfield:src:17724</x:v>
      </x:c>
      <x:c r="B187" s="29" t="str">
        <x:v>bakersfield</x:v>
      </x:c>
      <x:c r="C187" s="29" t="str">
        <x:v>Gönüllülük</x:v>
      </x:c>
      <x:c r="D187" s="29" t="str">
        <x:v>Kern County Library</x:v>
      </x:c>
      <x:c r="E187" s="29" t="str">
        <x:v>https://kerncountylibrary.org/volunteering/</x:v>
      </x:c>
      <x:c r="F187" s="31" t="d">
        <x:v>2026-10-23T00:00:00.000Z</x:v>
      </x:c>
      <x:c r="G187" s="29"/>
      <x:c r="H187" s="29" t="str">
        <x:v>İlgili içerik veya mekân kaydıyla eşleştirilen kaynak notu incelendi. AI öz denetimi; otomatik HTTP erişim sonucu ayrı source-access kayıtlarında tutulur.</x:v>
      </x:c>
      <x:c r="I187" s="29" t="str">
        <x:v>Evet</x:v>
      </x:c>
      <x:c r="J187" s="29"/>
      <x:c r="K187" s="29"/>
    </x:row>
    <x:row r="188" ht="54" customHeight="1">
      <x:c r="A188" s="29" t="str">
        <x:v>bakersfield:src:17725</x:v>
      </x:c>
      <x:c r="B188" s="29" t="str">
        <x:v>bakersfield</x:v>
      </x:c>
      <x:c r="C188" s="29" t="str">
        <x:v>Tüketici gizlilik hakları</x:v>
      </x:c>
      <x:c r="D188" s="29" t="str">
        <x:v>California Privacy Protection Agency</x:v>
      </x:c>
      <x:c r="E188" s="29" t="str">
        <x:v>https://cppa.ca.gov/faq.html</x:v>
      </x:c>
      <x:c r="F188" s="31" t="d">
        <x:v>2026-10-23T00:00:00.000Z</x:v>
      </x:c>
      <x:c r="G188" s="29"/>
      <x:c r="H188" s="29" t="str">
        <x:v>İlgili içerik veya mekân kaydıyla eşleştirilen kaynak notu incelendi. AI öz denetimi; otomatik HTTP erişim sonucu ayrı source-access kayıtlarında tutulur.</x:v>
      </x:c>
      <x:c r="I188" s="29" t="str">
        <x:v>Evet</x:v>
      </x:c>
      <x:c r="J188" s="29"/>
      <x:c r="K188" s="29"/>
    </x:row>
    <x:row r="189" ht="54" customHeight="1">
      <x:c r="A189" s="29" t="str">
        <x:v>bakersfield:src:17726</x:v>
      </x:c>
      <x:c r="B189" s="29" t="str">
        <x:v>bakersfield</x:v>
      </x:c>
      <x:c r="C189" s="29" t="str">
        <x:v>Sequoia National Forest</x:v>
      </x:c>
      <x:c r="D189" s="29" t="str">
        <x:v>U.S. Forest Service</x:v>
      </x:c>
      <x:c r="E189" s="29" t="str">
        <x:v>https://www.fs.usda.gov/r05/sequoia</x:v>
      </x:c>
      <x:c r="F189" s="31" t="d">
        <x:v>2026-10-23T00:00:00.000Z</x:v>
      </x:c>
      <x:c r="G189" s="29"/>
      <x:c r="H189" s="29" t="str">
        <x:v>İlgili içerik veya mekân kaydıyla eşleştirilen kaynak notu incelendi. AI öz denetimi; otomatik HTTP erişim sonucu ayrı source-access kayıtlarında tutulur.</x:v>
      </x:c>
      <x:c r="I189" s="29" t="str">
        <x:v>Evet</x:v>
      </x:c>
      <x:c r="J189" s="29"/>
      <x:c r="K189" s="29"/>
    </x:row>
    <x:row r="190" ht="54" customHeight="1">
      <x:c r="A190" s="29" t="str">
        <x:v>bakersfield:src:17727</x:v>
      </x:c>
      <x:c r="B190" s="29" t="str">
        <x:v>bakersfield</x:v>
      </x:c>
      <x:c r="C190" s="29" t="str">
        <x:v>Yurt dışı işlemleri</x:v>
      </x:c>
      <x:c r="D190" s="29" t="str">
        <x:v>Sosyal Güvenlik Kurumu</x:v>
      </x:c>
      <x:c r="E190" s="29" t="str">
        <x:v>https://sgk.gov.tr/Download/DownloadFile?d=de85036d-ef64-49f1-834c-916a79f1a923&amp;f=660d9c6f-e417-49b5-8a5a-6e13e7cfc897.pdf</x:v>
      </x:c>
      <x:c r="F190" s="31" t="d">
        <x:v>2026-10-23T00:00:00.000Z</x:v>
      </x:c>
      <x:c r="G190" s="29"/>
      <x:c r="H190" s="29" t="str">
        <x:v>İlgili içerik veya mekân kaydıyla eşleştirilen kaynak notu incelendi. AI öz denetimi; otomatik HTTP erişim sonucu ayrı source-access kayıtlarında tutulur.</x:v>
      </x:c>
      <x:c r="I190" s="29" t="str">
        <x:v>Evet</x:v>
      </x:c>
      <x:c r="J190" s="29"/>
      <x:c r="K190" s="29"/>
    </x:row>
    <x:row r="191" ht="54" customHeight="1">
      <x:c r="A191" s="29" t="str">
        <x:v>bakersfield:src:17729</x:v>
      </x:c>
      <x:c r="B191" s="29" t="str">
        <x:v>bakersfield</x:v>
      </x:c>
      <x:c r="C191" s="29" t="str">
        <x:v>Kayıp ve çalınmış pasaport/vize</x:v>
      </x:c>
      <x:c r="D191" s="29" t="str">
        <x:v>U.S. Department of State</x:v>
      </x:c>
      <x:c r="E191" s="29" t="str">
        <x:v>https://travel.state.gov/content/travel/en/us-visas/visa-information-resources/lost-stolen-visas.html</x:v>
      </x:c>
      <x:c r="F191" s="31" t="d">
        <x:v>2026-10-23T00:00:00.000Z</x:v>
      </x:c>
      <x:c r="G191" s="29"/>
      <x:c r="H191" s="29" t="str">
        <x:v>İlgili içerik veya mekân kaydıyla eşleştirilen kaynak notu incelendi. AI öz denetimi; otomatik HTTP erişim sonucu ayrı source-access kayıtlarında tutulur.</x:v>
      </x:c>
      <x:c r="I191" s="29" t="str">
        <x:v>Evet</x:v>
      </x:c>
      <x:c r="J191" s="29"/>
      <x:c r="K191" s="29"/>
    </x:row>
    <x:row r="192" ht="54" customHeight="1">
      <x:c r="A192" s="29" t="str">
        <x:v>bakersfield:src:17730</x:v>
      </x:c>
      <x:c r="B192" s="29" t="str">
        <x:v>bakersfield</x:v>
      </x:c>
      <x:c r="C192" s="29" t="str">
        <x:v>Bask kültürü</x:v>
      </x:c>
      <x:c r="D192" s="29" t="str">
        <x:v>Visit Bakersfield</x:v>
      </x:c>
      <x:c r="E192" s="29" t="str">
        <x:v>https://www.visitbakersfield.com/restaurants/bakersfield-basque/</x:v>
      </x:c>
      <x:c r="F192" s="31" t="d">
        <x:v>2026-10-23T00:00:00.000Z</x:v>
      </x:c>
      <x:c r="G192" s="29"/>
      <x:c r="H192" s="29" t="str">
        <x:v>İlgili içerik veya mekân kaydıyla eşleştirilen kaynak notu incelendi. AI öz denetimi; otomatik HTTP erişim sonucu ayrı source-access kayıtlarında tutulur.</x:v>
      </x:c>
      <x:c r="I192" s="29" t="str">
        <x:v>Evet</x:v>
      </x:c>
      <x:c r="J192" s="29"/>
      <x:c r="K192" s="29"/>
    </x:row>
    <x:row r="193" ht="54" customHeight="1">
      <x:c r="A193" s="29" t="str">
        <x:v>bakersfield:src:17731</x:v>
      </x:c>
      <x:c r="B193" s="29" t="str">
        <x:v>bakersfield</x:v>
      </x:c>
      <x:c r="C193" s="29" t="str">
        <x:v>Konsolosluk işlemleri: birth</x:v>
      </x:c>
      <x:c r="D193" s="29" t="str">
        <x:v>T.C. Dışişleri Bakanlığı</x:v>
      </x:c>
      <x:c r="E193" s="29" t="str">
        <x:v>https://www.konsolosluk.gov.tr/Procedure/ShowProcedure/1</x:v>
      </x:c>
      <x:c r="F193" s="31" t="d">
        <x:v>2026-10-23T00:00:00.000Z</x:v>
      </x:c>
      <x:c r="G193" s="29"/>
      <x:c r="H193" s="29" t="str">
        <x:v>İlgili içerik veya mekân kaydıyla eşleştirilen kaynak notu incelendi. AI öz denetimi; otomatik HTTP erişim sonucu ayrı source-access kayıtlarında tutulur.</x:v>
      </x:c>
      <x:c r="I193" s="29" t="str">
        <x:v>Evet</x:v>
      </x:c>
      <x:c r="J193" s="29"/>
      <x:c r="K193" s="29"/>
    </x:row>
    <x:row r="194" ht="54" customHeight="1">
      <x:c r="A194" s="29" t="str">
        <x:v>bakersfield:src:17732</x:v>
      </x:c>
      <x:c r="B194" s="29" t="str">
        <x:v>bakersfield</x:v>
      </x:c>
      <x:c r="C194" s="29" t="str">
        <x:v>Konsolosluk işlemleri: population</x:v>
      </x:c>
      <x:c r="D194" s="29" t="str">
        <x:v>T.C. Dışişleri Bakanlığı</x:v>
      </x:c>
      <x:c r="E194" s="29" t="str">
        <x:v>https://www.konsolosluk.gov.tr/Procedure/ShowProcedure/2</x:v>
      </x:c>
      <x:c r="F194" s="31" t="d">
        <x:v>2026-10-23T00:00:00.000Z</x:v>
      </x:c>
      <x:c r="G194" s="29"/>
      <x:c r="H194" s="29" t="str">
        <x:v>İlgili içerik veya mekân kaydıyla eşleştirilen kaynak notu incelendi. AI öz denetimi; otomatik HTTP erişim sonucu ayrı source-access kayıtlarında tutulur.</x:v>
      </x:c>
      <x:c r="I194" s="29" t="str">
        <x:v>Evet</x:v>
      </x:c>
      <x:c r="J194" s="29"/>
      <x:c r="K194" s="29"/>
    </x:row>
    <x:row r="195" ht="54" customHeight="1">
      <x:c r="A195" s="29" t="str">
        <x:v>bakersfield:src:17733</x:v>
      </x:c>
      <x:c r="B195" s="29" t="str">
        <x:v>bakersfield</x:v>
      </x:c>
      <x:c r="C195" s="29" t="str">
        <x:v>Konsolosluk işlemleri: marriage</x:v>
      </x:c>
      <x:c r="D195" s="29" t="str">
        <x:v>T.C. Dışişleri Bakanlığı</x:v>
      </x:c>
      <x:c r="E195" s="29" t="str">
        <x:v>https://www.konsolosluk.gov.tr/Procedure/ShowProcedure/3</x:v>
      </x:c>
      <x:c r="F195" s="31" t="d">
        <x:v>2026-10-23T00:00:00.000Z</x:v>
      </x:c>
      <x:c r="G195" s="29"/>
      <x:c r="H195" s="29" t="str">
        <x:v>İlgili içerik veya mekân kaydıyla eşleştirilen kaynak notu incelendi. AI öz denetimi; otomatik HTTP erişim sonucu ayrı source-access kayıtlarında tutulur.</x:v>
      </x:c>
      <x:c r="I195" s="29" t="str">
        <x:v>Evet</x:v>
      </x:c>
      <x:c r="J195" s="29"/>
      <x:c r="K195" s="29"/>
    </x:row>
    <x:row r="196" ht="54" customHeight="1">
      <x:c r="A196" s="29" t="str">
        <x:v>bakersfield:src:17734</x:v>
      </x:c>
      <x:c r="B196" s="29" t="str">
        <x:v>bakersfield</x:v>
      </x:c>
      <x:c r="C196" s="29" t="str">
        <x:v>Konsolosluk işlemleri: passport</x:v>
      </x:c>
      <x:c r="D196" s="29" t="str">
        <x:v>T.C. Dışişleri Bakanlığı</x:v>
      </x:c>
      <x:c r="E196" s="29" t="str">
        <x:v>https://www.konsolosluk.gov.tr/Procedure/ShowProcedure/4</x:v>
      </x:c>
      <x:c r="F196" s="31" t="d">
        <x:v>2026-10-23T00:00:00.000Z</x:v>
      </x:c>
      <x:c r="G196" s="29"/>
      <x:c r="H196" s="29" t="str">
        <x:v>İlgili içerik veya mekân kaydıyla eşleştirilen kaynak notu incelendi. AI öz denetimi; otomatik HTTP erişim sonucu ayrı source-access kayıtlarında tutulur.</x:v>
      </x:c>
      <x:c r="I196" s="29" t="str">
        <x:v>Evet</x:v>
      </x:c>
      <x:c r="J196" s="29"/>
      <x:c r="K196" s="29"/>
    </x:row>
    <x:row r="197" ht="54" customHeight="1">
      <x:c r="A197" s="29" t="str">
        <x:v>bakersfield:src:17735</x:v>
      </x:c>
      <x:c r="B197" s="29" t="str">
        <x:v>bakersfield</x:v>
      </x:c>
      <x:c r="C197" s="29" t="str">
        <x:v>Konsolosluk işlemleri: military</x:v>
      </x:c>
      <x:c r="D197" s="29" t="str">
        <x:v>T.C. Dışişleri Bakanlığı</x:v>
      </x:c>
      <x:c r="E197" s="29" t="str">
        <x:v>https://www.konsolosluk.gov.tr/Procedure/ShowProcedure/5</x:v>
      </x:c>
      <x:c r="F197" s="31" t="d">
        <x:v>2026-10-23T00:00:00.000Z</x:v>
      </x:c>
      <x:c r="G197" s="29"/>
      <x:c r="H197" s="29" t="str">
        <x:v>İlgili içerik veya mekân kaydıyla eşleştirilen kaynak notu incelendi. AI öz denetimi; otomatik HTTP erişim sonucu ayrı source-access kayıtlarında tutulur.</x:v>
      </x:c>
      <x:c r="I197" s="29" t="str">
        <x:v>Evet</x:v>
      </x:c>
      <x:c r="J197" s="29"/>
      <x:c r="K197" s="29"/>
    </x:row>
    <x:row r="198" ht="54" customHeight="1">
      <x:c r="A198" s="29" t="str">
        <x:v>bakersfield:src:17736</x:v>
      </x:c>
      <x:c r="B198" s="29" t="str">
        <x:v>bakersfield</x:v>
      </x:c>
      <x:c r="C198" s="29" t="str">
        <x:v>Konsolosluk işlemleri: notary</x:v>
      </x:c>
      <x:c r="D198" s="29" t="str">
        <x:v>T.C. Dışişleri Bakanlığı</x:v>
      </x:c>
      <x:c r="E198" s="29" t="str">
        <x:v>https://www.konsolosluk.gov.tr/Procedure/ShowProcedure/6</x:v>
      </x:c>
      <x:c r="F198" s="31" t="d">
        <x:v>2026-10-23T00:00:00.000Z</x:v>
      </x:c>
      <x:c r="G198" s="29"/>
      <x:c r="H198" s="29" t="str">
        <x:v>İlgili içerik veya mekân kaydıyla eşleştirilen kaynak notu incelendi. AI öz denetimi; otomatik HTTP erişim sonucu ayrı source-access kayıtlarında tutulur.</x:v>
      </x:c>
      <x:c r="I198" s="29" t="str">
        <x:v>Evet</x:v>
      </x:c>
      <x:c r="J198" s="29"/>
      <x:c r="K198" s="29"/>
    </x:row>
    <x:row r="199" ht="54" customHeight="1">
      <x:c r="A199" s="29" t="str">
        <x:v>bakersfield:src:17737</x:v>
      </x:c>
      <x:c r="B199" s="29" t="str">
        <x:v>bakersfield</x:v>
      </x:c>
      <x:c r="C199" s="29" t="str">
        <x:v>Konsolosluk işlemleri: egov</x:v>
      </x:c>
      <x:c r="D199" s="29" t="str">
        <x:v>T.C. Dışişleri Bakanlığı</x:v>
      </x:c>
      <x:c r="E199" s="29" t="str">
        <x:v>https://www.konsolosluk.gov.tr/Procedure/ShowProcedure/15</x:v>
      </x:c>
      <x:c r="F199" s="31" t="d">
        <x:v>2026-10-23T00:00:00.000Z</x:v>
      </x:c>
      <x:c r="G199" s="29"/>
      <x:c r="H199" s="29" t="str">
        <x:v>İlgili içerik veya mekân kaydıyla eşleştirilen kaynak notu incelendi. AI öz denetimi; otomatik HTTP erişim sonucu ayrı source-access kayıtlarında tutulur.</x:v>
      </x:c>
      <x:c r="I199" s="29" t="str">
        <x:v>Evet</x:v>
      </x:c>
      <x:c r="J199" s="29"/>
      <x:c r="K199" s="29"/>
    </x:row>
    <x:row r="200" ht="54" customHeight="1">
      <x:c r="A200" s="29" t="str">
        <x:v>bakersfield:src:17738</x:v>
      </x:c>
      <x:c r="B200" s="29" t="str">
        <x:v>bakersfield</x:v>
      </x:c>
      <x:c r="C200" s="29" t="str">
        <x:v>Konsolosluk işlemleri: work</x:v>
      </x:c>
      <x:c r="D200" s="29" t="str">
        <x:v>T.C. Dışişleri Bakanlığı</x:v>
      </x:c>
      <x:c r="E200" s="29" t="str">
        <x:v>https://www.konsolosluk.gov.tr/Procedure/ShowProcedure/17</x:v>
      </x:c>
      <x:c r="F200" s="31" t="d">
        <x:v>2026-10-23T00:00:00.000Z</x:v>
      </x:c>
      <x:c r="G200" s="29"/>
      <x:c r="H200" s="29" t="str">
        <x:v>İlgili içerik veya mekân kaydıyla eşleştirilen kaynak notu incelendi. AI öz denetimi; otomatik HTTP erişim sonucu ayrı source-access kayıtlarında tutulur.</x:v>
      </x:c>
      <x:c r="I200" s="29" t="str">
        <x:v>Evet</x:v>
      </x:c>
      <x:c r="J200" s="29"/>
      <x:c r="K200" s="29"/>
    </x:row>
    <x:row r="201" ht="54" customHeight="1">
      <x:c r="A201" s="29" t="str">
        <x:v>bakersfield:src:17739</x:v>
      </x:c>
      <x:c r="B201" s="29" t="str">
        <x:v>bakersfield</x:v>
      </x:c>
      <x:c r="C201" s="29" t="str">
        <x:v>SSN kaydında ad düzeltme</x:v>
      </x:c>
      <x:c r="D201" s="29" t="str">
        <x:v>Social Security Administration</x:v>
      </x:c>
      <x:c r="E201" s="29" t="str">
        <x:v>https://www.ssa.gov/faqs/en/questions/KA-01981.html</x:v>
      </x:c>
      <x:c r="F201" s="31" t="d">
        <x:v>2026-10-23T00:00:00.000Z</x:v>
      </x:c>
      <x:c r="G201" s="29"/>
      <x:c r="H201" s="29" t="str">
        <x:v>İlgili içerik veya mekân kaydıyla eşleştirilen kaynak notu incelendi. AI öz denetimi; otomatik HTTP erişim sonucu ayrı source-access kayıtlarında tutulur.</x:v>
      </x:c>
      <x:c r="I201" s="29" t="str">
        <x:v>Evet</x:v>
      </x:c>
      <x:c r="J201" s="29"/>
      <x:c r="K201" s="29"/>
    </x:row>
    <x:row r="202" ht="54" customHeight="1">
      <x:c r="A202" s="29" t="str">
        <x:v>bakersfield:src:17740</x:v>
      </x:c>
      <x:c r="B202" s="29" t="str">
        <x:v>bakersfield</x:v>
      </x:c>
      <x:c r="C202" s="29" t="str">
        <x:v>Sivrisinek ve yeşil havuz bildirimi</x:v>
      </x:c>
      <x:c r="D202" s="29" t="str">
        <x:v>Kern Mosquito and Vector Control District</x:v>
      </x:c>
      <x:c r="E202" s="29" t="str">
        <x:v>https://www.kernmosquito.com/contact-us</x:v>
      </x:c>
      <x:c r="F202" s="31" t="d">
        <x:v>2026-10-23T00:00:00.000Z</x:v>
      </x:c>
      <x:c r="G202" s="29"/>
      <x:c r="H202" s="29" t="str">
        <x:v>İlgili içerik veya mekân kaydıyla eşleştirilen kaynak notu incelendi. AI öz denetimi; otomatik HTTP erişim sonucu ayrı source-access kayıtlarında tutulur.</x:v>
      </x:c>
      <x:c r="I202" s="29" t="str">
        <x:v>Evet</x:v>
      </x:c>
      <x:c r="J202" s="29"/>
      <x:c r="K202" s="29"/>
    </x:row>
    <x:row r="203" ht="54" customHeight="1">
      <x:c r="A203" s="29" t="str">
        <x:v>bakersfield:src:17741</x:v>
      </x:c>
      <x:c r="B203" s="29" t="str">
        <x:v>bakersfield</x:v>
      </x:c>
      <x:c r="C203" s="29" t="str">
        <x:v>Deprem erken uyarı kanalları</x:v>
      </x:c>
      <x:c r="D203" s="29" t="str">
        <x:v>California Governor's Office of Emergency Services</x:v>
      </x:c>
      <x:c r="E203" s="29" t="str">
        <x:v>https://www.earthquake.ca.gov/get-alerts/</x:v>
      </x:c>
      <x:c r="F203" s="31" t="d">
        <x:v>2026-10-23T00:00:00.000Z</x:v>
      </x:c>
      <x:c r="G203" s="29"/>
      <x:c r="H203" s="29" t="str">
        <x:v>İlgili içerik veya mekân kaydıyla eşleştirilen kaynak notu incelendi. AI öz denetimi; otomatik HTTP erişim sonucu ayrı source-access kayıtlarında tutulur.</x:v>
      </x:c>
      <x:c r="I203" s="29" t="str">
        <x:v>Evet</x:v>
      </x:c>
      <x:c r="J203" s="29"/>
      <x:c r="K203" s="29"/>
    </x:row>
    <x:row r="204" ht="54" customHeight="1">
      <x:c r="A204" s="29" t="str">
        <x:v>bakersfield:src:17742</x:v>
      </x:c>
      <x:c r="B204" s="29" t="str">
        <x:v>bakersfield</x:v>
      </x:c>
      <x:c r="C204" s="29" t="str">
        <x:v>Kablosuz çıktı alma</x:v>
      </x:c>
      <x:c r="D204" s="29" t="str">
        <x:v>Kern County Library</x:v>
      </x:c>
      <x:c r="E204" s="29" t="str">
        <x:v>https://kerncountylibrary.org/wireless-printing/</x:v>
      </x:c>
      <x:c r="F204" s="31" t="d">
        <x:v>2026-10-23T00:00:00.000Z</x:v>
      </x:c>
      <x:c r="G204" s="29"/>
      <x:c r="H204" s="29" t="str">
        <x:v>İlgili içerik veya mekân kaydıyla eşleştirilen kaynak notu incelendi. AI öz denetimi; otomatik HTTP erişim sonucu ayrı source-access kayıtlarında tutulur.</x:v>
      </x:c>
      <x:c r="I204" s="29" t="str">
        <x:v>Evet</x:v>
      </x:c>
      <x:c r="J204" s="29"/>
      <x:c r="K204" s="29"/>
    </x:row>
    <x:row r="205" ht="54" customHeight="1">
      <x:c r="A205" s="29" t="str">
        <x:v>bakersfield:src:17743</x:v>
      </x:c>
      <x:c r="B205" s="29" t="str">
        <x:v>bakersfield</x:v>
      </x:c>
      <x:c r="C205" s="29" t="str">
        <x:v>Downtown otopark haritası</x:v>
      </x:c>
      <x:c r="D205" s="29" t="str">
        <x:v>City of Bakersfield</x:v>
      </x:c>
      <x:c r="E205" s="29" t="str">
        <x:v>https://www.bakersfieldcity.us/downtown-parking</x:v>
      </x:c>
      <x:c r="F205" s="31" t="d">
        <x:v>2026-10-23T00:00:00.000Z</x:v>
      </x:c>
      <x:c r="G205" s="29"/>
      <x:c r="H205" s="29" t="str">
        <x:v>İlgili içerik veya mekân kaydıyla eşleştirilen kaynak notu incelendi. AI öz denetimi; otomatik HTTP erişim sonucu ayrı source-access kayıtlarında tutulur.</x:v>
      </x:c>
      <x:c r="I205" s="29" t="str">
        <x:v>Evet</x:v>
      </x:c>
      <x:c r="J205" s="29"/>
      <x:c r="K205" s="29"/>
    </x:row>
    <x:row r="206" ht="54" customHeight="1">
      <x:c r="A206" s="29" t="str">
        <x:v>bakersfield:src:17744</x:v>
      </x:c>
      <x:c r="B206" s="29" t="str">
        <x:v>bakersfield</x:v>
      </x:c>
      <x:c r="C206" s="29" t="str">
        <x:v>Yetişkin aşılarını etkileyen koşullar</x:v>
      </x:c>
      <x:c r="D206" s="29" t="str">
        <x:v>CDC</x:v>
      </x:c>
      <x:c r="E206" s="29" t="str">
        <x:v>https://www.cdc.gov/vaccines-adults/recommended-vaccines/index.html</x:v>
      </x:c>
      <x:c r="F206" s="31" t="d">
        <x:v>2026-10-23T00:00:00.000Z</x:v>
      </x:c>
      <x:c r="G206" s="29"/>
      <x:c r="H206" s="29" t="str">
        <x:v>İlgili içerik veya mekân kaydıyla eşleştirilen kaynak notu incelendi. AI öz denetimi; otomatik HTTP erişim sonucu ayrı source-access kayıtlarında tutulur.</x:v>
      </x:c>
      <x:c r="I206" s="29" t="str">
        <x:v>Evet</x:v>
      </x:c>
      <x:c r="J206" s="29"/>
      <x:c r="K206" s="29"/>
    </x:row>
    <x:row r="207" ht="54" customHeight="1">
      <x:c r="A207" s="29" t="str">
        <x:v>bakersfield:src:17745</x:v>
      </x:c>
      <x:c r="B207" s="29" t="str">
        <x:v>bakersfield</x:v>
      </x:c>
      <x:c r="C207" s="29" t="str">
        <x:v>Kart verisi çalındığında hesap takibi</x:v>
      </x:c>
      <x:c r="D207" s="29" t="str">
        <x:v>Consumer Financial Protection Bureau</x:v>
      </x:c>
      <x:c r="E207" s="29" t="str">
        <x:v>https://www.consumerfinance.gov/consumer-tools/bank-accounts/watch-accounts-closely-when-card-data-is-hacked/</x:v>
      </x:c>
      <x:c r="F207" s="31" t="d">
        <x:v>2026-10-23T00:00:00.000Z</x:v>
      </x:c>
      <x:c r="G207" s="29"/>
      <x:c r="H207" s="29" t="str">
        <x:v>İlgili içerik veya mekân kaydıyla eşleştirilen kaynak notu incelendi. AI öz denetimi; otomatik HTTP erişim sonucu ayrı source-access kayıtlarında tutulur.</x:v>
      </x:c>
      <x:c r="I207" s="29" t="str">
        <x:v>Evet</x:v>
      </x:c>
      <x:c r="J207" s="29"/>
      <x:c r="K207" s="29"/>
    </x:row>
    <x:row r="208" ht="54" customHeight="1">
      <x:c r="A208" s="29" t="str">
        <x:v>bakersfield:src:17746</x:v>
      </x:c>
      <x:c r="B208" s="29" t="str">
        <x:v>bakersfield</x:v>
      </x:c>
      <x:c r="C208" s="29" t="str">
        <x:v>Kiracılık başlarken depozito ve durum kaydı</x:v>
      </x:c>
      <x:c r="D208" s="29" t="str">
        <x:v>California Department of Real Estate</x:v>
      </x:c>
      <x:c r="E208" s="29" t="str">
        <x:v>https://www.dre.ca.gov/publications/ResourceGuidebook/gb07_when.html</x:v>
      </x:c>
      <x:c r="F208" s="31" t="d">
        <x:v>2026-10-23T00:00:00.000Z</x:v>
      </x:c>
      <x:c r="G208" s="29"/>
      <x:c r="H208" s="29" t="str">
        <x:v>İlgili içerik veya mekân kaydıyla eşleştirilen kaynak notu incelendi. AI öz denetimi; otomatik HTTP erişim sonucu ayrı source-access kayıtlarında tutulur.</x:v>
      </x:c>
      <x:c r="I208" s="29" t="str">
        <x:v>Evet</x:v>
      </x:c>
      <x:c r="J208" s="29"/>
      <x:c r="K208" s="29"/>
    </x:row>
    <x:row r="209" ht="54" customHeight="1">
      <x:c r="A209" s="29" t="str">
        <x:v>bakersfield:src:17747</x:v>
      </x:c>
      <x:c r="B209" s="29" t="str">
        <x:v>bakersfield</x:v>
      </x:c>
      <x:c r="C209" s="29" t="str">
        <x:v>2027 Fee-for-Service geçişi</x:v>
      </x:c>
      <x:c r="D209" s="29" t="str">
        <x:v>California DHCS</x:v>
      </x:c>
      <x:c r="E209" s="29" t="str">
        <x:v>https://www.dhcs.ca.gov/medi-cal/updates/fee-for-service-transition/member-letter/</x:v>
      </x:c>
      <x:c r="F209" s="31" t="d">
        <x:v>2026-10-23T00:00:00.000Z</x:v>
      </x:c>
      <x:c r="G209" s="29"/>
      <x:c r="H209" s="29" t="str">
        <x:v>İlgili içerik veya mekân kaydıyla eşleştirilen kaynak notu incelendi. AI öz denetimi; otomatik HTTP erişim sonucu ayrı source-access kayıtlarında tutulur.</x:v>
      </x:c>
      <x:c r="I209" s="29" t="str">
        <x:v>Evet</x:v>
      </x:c>
      <x:c r="J209" s="29"/>
      <x:c r="K209" s="29"/>
    </x:row>
    <x:row r="210" ht="54" customHeight="1">
      <x:c r="A210" s="29" t="str">
        <x:v>bakersfield:src:17748</x:v>
      </x:c>
      <x:c r="B210" s="29" t="str">
        <x:v>bakersfield</x:v>
      </x:c>
      <x:c r="C210" s="29" t="str">
        <x:v>Kredi kartı karşılaştırma: APR</x:v>
      </x:c>
      <x:c r="D210" s="29" t="str">
        <x:v>Consumer Financial Protection Bureau</x:v>
      </x:c>
      <x:c r="E210" s="29" t="str">
        <x:v>https://files.consumerfinance.gov/f/documents/cfpb_adult-fin-ed_how-to-find-the-best-credit-card.pdf</x:v>
      </x:c>
      <x:c r="F210" s="31" t="d">
        <x:v>2026-10-23T00:00:00.000Z</x:v>
      </x:c>
      <x:c r="G210" s="29"/>
      <x:c r="H210" s="29" t="str">
        <x:v>İlgili içerik veya mekân kaydıyla eşleştirilen kaynak notu incelendi. AI öz denetimi; otomatik HTTP erişim sonucu ayrı source-access kayıtlarında tutulur.</x:v>
      </x:c>
      <x:c r="I210" s="29" t="str">
        <x:v>Evet</x:v>
      </x:c>
      <x:c r="J210" s="29"/>
      <x:c r="K210" s="29"/>
    </x:row>
    <x:row r="211" ht="54" customHeight="1">
      <x:c r="A211" s="29" t="str">
        <x:v>bakersfield:src:17749</x:v>
      </x:c>
      <x:c r="B211" s="29" t="str">
        <x:v>bakersfield</x:v>
      </x:c>
      <x:c r="C211" s="29" t="str">
        <x:v>Overdraft tanımı</x:v>
      </x:c>
      <x:c r="D211" s="29" t="str">
        <x:v>Consumer Financial Protection Bureau</x:v>
      </x:c>
      <x:c r="E211" s="29" t="str">
        <x:v>https://www.consumerfinance.gov/ask-cfpb/what-is-an-overdraft-en-1035/</x:v>
      </x:c>
      <x:c r="F211" s="31" t="d">
        <x:v>2026-10-23T00:00:00.000Z</x:v>
      </x:c>
      <x:c r="G211" s="29"/>
      <x:c r="H211" s="29" t="str">
        <x:v>İlgili içerik veya mekân kaydıyla eşleştirilen kaynak notu incelendi. AI öz denetimi; otomatik HTTP erişim sonucu ayrı source-access kayıtlarında tutulur.</x:v>
      </x:c>
      <x:c r="I211" s="29" t="str">
        <x:v>Evet</x:v>
      </x:c>
      <x:c r="J211" s="29"/>
      <x:c r="K211" s="29"/>
    </x:row>
    <x:row r="212" ht="54" customHeight="1">
      <x:c r="A212" s="29" t="str">
        <x:v>bakersfield:src:17750</x:v>
      </x:c>
      <x:c r="B212" s="29" t="str">
        <x:v>bakersfield</x:v>
      </x:c>
      <x:c r="C212" s="29" t="str">
        <x:v>Bakersfield Museum of Art — ziyaret ve program</x:v>
      </x:c>
      <x:c r="D212" s="29" t="str">
        <x:v>Bakersfield Museum of Art</x:v>
      </x:c>
      <x:c r="E212" s="29" t="str">
        <x:v>https://www.bmoa.org/hours-admission</x:v>
      </x:c>
      <x:c r="F212" s="31" t="d">
        <x:v>2026-10-23T00:00:00.000Z</x:v>
      </x:c>
      <x:c r="G212" s="29"/>
      <x:c r="H212" s="29" t="str">
        <x:v>İlgili içerik veya mekân kaydıyla eşleştirilen kaynak notu incelendi. AI öz denetimi; otomatik HTTP erişim sonucu ayrı source-access kayıtlarında tutulur.</x:v>
      </x:c>
      <x:c r="I212" s="29" t="str">
        <x:v>Evet</x:v>
      </x:c>
      <x:c r="J212" s="29"/>
      <x:c r="K212" s="29"/>
    </x:row>
    <x:row r="213" ht="54" customHeight="1">
      <x:c r="A213" s="29" t="str">
        <x:v>bakersfield:src:17752</x:v>
      </x:c>
      <x:c r="B213" s="29" t="str">
        <x:v>bakersfield</x:v>
      </x:c>
      <x:c r="C213" s="29" t="str">
        <x:v>CALM – California Living Museum — ziyaret ve program</x:v>
      </x:c>
      <x:c r="D213" s="29" t="str">
        <x:v>CALM – California Living Museum</x:v>
      </x:c>
      <x:c r="E213" s="29" t="str">
        <x:v>https://calmzoo.org/</x:v>
      </x:c>
      <x:c r="F213" s="31" t="d">
        <x:v>2026-10-23T00:00:00.000Z</x:v>
      </x:c>
      <x:c r="G213" s="29"/>
      <x:c r="H213" s="29" t="str">
        <x:v>İlgili içerik veya mekân kaydıyla eşleştirilen kaynak notu incelendi. AI öz denetimi; otomatik HTTP erişim sonucu ayrı source-access kayıtlarında tutulur.</x:v>
      </x:c>
      <x:c r="I213" s="29" t="str">
        <x:v>Evet</x:v>
      </x:c>
      <x:c r="J213" s="29"/>
      <x:c r="K213" s="29"/>
    </x:row>
    <x:row r="214" ht="54" customHeight="1">
      <x:c r="A214" s="29" t="str">
        <x:v>bakersfield:src:17753</x:v>
      </x:c>
      <x:c r="B214" s="29" t="str">
        <x:v>bakersfield</x:v>
      </x:c>
      <x:c r="C214" s="29" t="str">
        <x:v>Historic Bakersfield Fox Theater — ziyaret ve program</x:v>
      </x:c>
      <x:c r="D214" s="29" t="str">
        <x:v>Historic Bakersfield Fox Theater</x:v>
      </x:c>
      <x:c r="E214" s="29" t="str">
        <x:v>https://www.bakersfieldlive.com/</x:v>
      </x:c>
      <x:c r="F214" s="31" t="d">
        <x:v>2026-10-23T00:00:00.000Z</x:v>
      </x:c>
      <x:c r="G214" s="29"/>
      <x:c r="H214" s="29" t="str">
        <x:v>İlgili içerik veya mekân kaydıyla eşleştirilen kaynak notu incelendi. AI öz denetimi; otomatik HTTP erişim sonucu ayrı source-access kayıtlarında tutulur.</x:v>
      </x:c>
      <x:c r="I214" s="29" t="str">
        <x:v>Evet</x:v>
      </x:c>
      <x:c r="J214" s="29"/>
      <x:c r="K214" s="29"/>
    </x:row>
    <x:row r="215" ht="54" customHeight="1">
      <x:c r="A215" s="29" t="str">
        <x:v>bakersfield:src:17765</x:v>
      </x:c>
      <x:c r="B215" s="29" t="str">
        <x:v>bakersfield</x:v>
      </x:c>
      <x:c r="C215" s="29" t="str">
        <x:v>Dignity Health Arena, Theater and Convention Center — ziyaret ve program</x:v>
      </x:c>
      <x:c r="D215" s="29" t="str">
        <x:v>Dignity Health Arena, Theater and Convention Center</x:v>
      </x:c>
      <x:c r="E215" s="29" t="str">
        <x:v>https://www.dignityhealtharena.com/</x:v>
      </x:c>
      <x:c r="F215" s="31" t="d">
        <x:v>2026-10-23T00:00:00.000Z</x:v>
      </x:c>
      <x:c r="G215" s="29"/>
      <x:c r="H215" s="29" t="str">
        <x:v>İlgili içerik veya mekân kaydıyla eşleştirilen kaynak notu incelendi. AI öz denetimi; otomatik HTTP erişim sonucu ayrı source-access kayıtlarında tutulur.</x:v>
      </x:c>
      <x:c r="I215" s="29" t="str">
        <x:v>Evet</x:v>
      </x:c>
      <x:c r="J215" s="29"/>
      <x:c r="K215" s="29"/>
    </x:row>
    <x:row r="216" ht="54" customHeight="1">
      <x:c r="A216" s="29" t="str">
        <x:v>bakersfield:src:17766</x:v>
      </x:c>
      <x:c r="B216" s="29" t="str">
        <x:v>bakersfield</x:v>
      </x:c>
      <x:c r="C216" s="29" t="str">
        <x:v>Dignity Health Amphitheatre — ziyaret ve program</x:v>
      </x:c>
      <x:c r="D216" s="29" t="str">
        <x:v>Dignity Health Amphitheatre</x:v>
      </x:c>
      <x:c r="E216" s="29" t="str">
        <x:v>https://dignityhealthamphitheatre.dignityhealtharena.com/</x:v>
      </x:c>
      <x:c r="F216" s="31" t="d">
        <x:v>2026-10-23T00:00:00.000Z</x:v>
      </x:c>
      <x:c r="G216" s="29"/>
      <x:c r="H216" s="29" t="str">
        <x:v>İlgili içerik veya mekân kaydıyla eşleştirilen kaynak notu incelendi. AI öz denetimi; otomatik HTTP erişim sonucu ayrı source-access kayıtlarında tutulur.</x:v>
      </x:c>
      <x:c r="I216" s="29" t="str">
        <x:v>Evet</x:v>
      </x:c>
      <x:c r="J216" s="29"/>
      <x:c r="K216" s="29"/>
    </x:row>
    <x:row r="217" ht="54" customHeight="1">
      <x:c r="A217" s="29" t="str">
        <x:v>bakersfield:src:17768</x:v>
      </x:c>
      <x:c r="B217" s="29" t="str">
        <x:v>bakersfield</x:v>
      </x:c>
      <x:c r="C217" s="29" t="str">
        <x:v>Kern County Fairgrounds — ziyaret ve program</x:v>
      </x:c>
      <x:c r="D217" s="29" t="str">
        <x:v>Kern County Fairgrounds</x:v>
      </x:c>
      <x:c r="E217" s="29" t="str">
        <x:v>https://www.kerncountyfair.com/events</x:v>
      </x:c>
      <x:c r="F217" s="31" t="d">
        <x:v>2026-10-23T00:00:00.000Z</x:v>
      </x:c>
      <x:c r="G217" s="29"/>
      <x:c r="H217" s="29" t="str">
        <x:v>İlgili içerik veya mekân kaydıyla eşleştirilen kaynak notu incelendi. AI öz denetimi; otomatik HTTP erişim sonucu ayrı source-access kayıtlarında tutulur.</x:v>
      </x:c>
      <x:c r="I217" s="29" t="str">
        <x:v>Evet</x:v>
      </x:c>
      <x:c r="J217" s="29"/>
      <x:c r="K217" s="29"/>
    </x:row>
    <x:row r="218" ht="54" customHeight="1">
      <x:c r="A218" s="29" t="str">
        <x:v>bakersfield:src:17771</x:v>
      </x:c>
      <x:c r="B218" s="29" t="str">
        <x:v>bakersfield</x:v>
      </x:c>
      <x:c r="C218" s="29" t="str">
        <x:v>The Padre Hotel — ziyaret ve program</x:v>
      </x:c>
      <x:c r="D218" s="29" t="str">
        <x:v>The Padre Hotel</x:v>
      </x:c>
      <x:c r="E218" s="29" t="str">
        <x:v>https://www.thepadrehotel.com/</x:v>
      </x:c>
      <x:c r="F218" s="31" t="d">
        <x:v>2026-10-23T00:00:00.000Z</x:v>
      </x:c>
      <x:c r="G218" s="29"/>
      <x:c r="H218" s="29" t="str">
        <x:v>İlgili içerik veya mekân kaydıyla eşleştirilen kaynak notu incelendi. AI öz denetimi; otomatik HTTP erişim sonucu ayrı source-access kayıtlarında tutulur.</x:v>
      </x:c>
      <x:c r="I218" s="29" t="str">
        <x:v>Evet</x:v>
      </x:c>
      <x:c r="J218" s="29"/>
      <x:c r="K218" s="29"/>
    </x:row>
    <x:row r="219" ht="54" customHeight="1">
      <x:c r="A219" s="29" t="str">
        <x:v>bakersfield:src:17772</x:v>
      </x:c>
      <x:c r="B219" s="29" t="str">
        <x:v>bakersfield</x:v>
      </x:c>
      <x:c r="C219" s="29" t="str">
        <x:v>24th Street Café — ziyaret ve program</x:v>
      </x:c>
      <x:c r="D219" s="29" t="str">
        <x:v>24th Street Café</x:v>
      </x:c>
      <x:c r="E219" s="29" t="str">
        <x:v>https://www.24thstreetcafe.com/</x:v>
      </x:c>
      <x:c r="F219" s="31" t="d">
        <x:v>2026-10-23T00:00:00.000Z</x:v>
      </x:c>
      <x:c r="G219" s="29"/>
      <x:c r="H219" s="29" t="str">
        <x:v>İlgili içerik veya mekân kaydıyla eşleştirilen kaynak notu incelendi. AI öz denetimi; otomatik HTTP erişim sonucu ayrı source-access kayıtlarında tutulur.</x:v>
      </x:c>
      <x:c r="I219" s="29" t="str">
        <x:v>Evet</x:v>
      </x:c>
      <x:c r="J219" s="29"/>
      <x:c r="K219" s="29"/>
    </x:row>
    <x:row r="220" ht="54" customHeight="1">
      <x:c r="A220" s="29" t="str">
        <x:v>bakersfield:src:17775</x:v>
      </x:c>
      <x:c r="B220" s="29" t="str">
        <x:v>bakersfield</x:v>
      </x:c>
      <x:c r="C220" s="29" t="str">
        <x:v>Café Smitten — ziyaret ve program</x:v>
      </x:c>
      <x:c r="D220" s="29" t="str">
        <x:v>Café Smitten</x:v>
      </x:c>
      <x:c r="E220" s="29" t="str">
        <x:v>https://www.cafesmitten.com/</x:v>
      </x:c>
      <x:c r="F220" s="31" t="d">
        <x:v>2026-10-23T00:00:00.000Z</x:v>
      </x:c>
      <x:c r="G220" s="29"/>
      <x:c r="H220" s="29" t="str">
        <x:v>İlgili içerik veya mekân kaydıyla eşleştirilen kaynak notu incelendi. AI öz denetimi; otomatik HTTP erişim sonucu ayrı source-access kayıtlarında tutulur.</x:v>
      </x:c>
      <x:c r="I220" s="29" t="str">
        <x:v>Evet</x:v>
      </x:c>
      <x:c r="J220" s="29"/>
      <x:c r="K220" s="29"/>
    </x:row>
    <x:row r="221" ht="54" customHeight="1">
      <x:c r="A221" s="29" t="str">
        <x:v>bakersfield:src:17776</x:v>
      </x:c>
      <x:c r="B221" s="29" t="str">
        <x:v>bakersfield</x:v>
      </x:c>
      <x:c r="C221" s="29" t="str">
        <x:v>Dagny's Coffee — ziyaret ve program</x:v>
      </x:c>
      <x:c r="D221" s="29" t="str">
        <x:v>Dagny's Coffee</x:v>
      </x:c>
      <x:c r="E221" s="29" t="str">
        <x:v>https://www.dagnyscoffee.com/</x:v>
      </x:c>
      <x:c r="F221" s="31" t="d">
        <x:v>2026-10-23T00:00:00.000Z</x:v>
      </x:c>
      <x:c r="G221" s="29"/>
      <x:c r="H221" s="29" t="str">
        <x:v>İlgili içerik veya mekân kaydıyla eşleştirilen kaynak notu incelendi. AI öz denetimi; otomatik HTTP erişim sonucu ayrı source-access kayıtlarında tutulur.</x:v>
      </x:c>
      <x:c r="I221" s="29" t="str">
        <x:v>Evet</x:v>
      </x:c>
      <x:c r="J221" s="29"/>
      <x:c r="K221" s="29"/>
    </x:row>
    <x:row r="222" ht="54" customHeight="1">
      <x:c r="A222" s="29" t="str">
        <x:v>bakersfield:src:17779</x:v>
      </x:c>
      <x:c r="B222" s="29" t="str">
        <x:v>bakersfield</x:v>
      </x:c>
      <x:c r="C222" s="29" t="str">
        <x:v>Temblor Brewing Company — ziyaret ve program</x:v>
      </x:c>
      <x:c r="D222" s="29" t="str">
        <x:v>Temblor Brewing Company</x:v>
      </x:c>
      <x:c r="E222" s="29" t="str">
        <x:v>https://temblorbrewing.com/</x:v>
      </x:c>
      <x:c r="F222" s="31" t="d">
        <x:v>2026-10-23T00:00:00.000Z</x:v>
      </x:c>
      <x:c r="G222" s="29"/>
      <x:c r="H222" s="29" t="str">
        <x:v>İlgili içerik veya mekân kaydıyla eşleştirilen kaynak notu incelendi. AI öz denetimi; otomatik HTTP erişim sonucu ayrı source-access kayıtlarında tutulur.</x:v>
      </x:c>
      <x:c r="I222" s="29" t="str">
        <x:v>Evet</x:v>
      </x:c>
      <x:c r="J222" s="29"/>
      <x:c r="K222" s="29"/>
    </x:row>
    <x:row r="223" ht="54" customHeight="1">
      <x:c r="A223" s="29" t="str">
        <x:v>bakersfield:src:17783</x:v>
      </x:c>
      <x:c r="B223" s="29" t="str">
        <x:v>bakersfield</x:v>
      </x:c>
      <x:c r="C223" s="29" t="str">
        <x:v>Guthrie's Alley Cat — ziyaret ve program</x:v>
      </x:c>
      <x:c r="D223" s="29" t="str">
        <x:v>Guthrie's Alley Cat</x:v>
      </x:c>
      <x:c r="E223" s="29" t="str">
        <x:v>https://www.visitbakersfield.com/directory/guthries-alley-cat/</x:v>
      </x:c>
      <x:c r="F223" s="31" t="d">
        <x:v>2026-10-23T00:00:00.000Z</x:v>
      </x:c>
      <x:c r="G223" s="29"/>
      <x:c r="H223" s="29" t="str">
        <x:v>İlgili içerik veya mekân kaydıyla eşleştirilen kaynak notu incelendi. AI öz denetimi; otomatik HTTP erişim sonucu ayrı source-access kayıtlarında tutulur.</x:v>
      </x:c>
      <x:c r="I223" s="29" t="str">
        <x:v>Evet</x:v>
      </x:c>
      <x:c r="J223" s="29"/>
      <x:c r="K223" s="29"/>
    </x:row>
    <x:row r="224" ht="54" customHeight="1">
      <x:c r="A224" s="29" t="str">
        <x:v>bakersfield:src:17784</x:v>
      </x:c>
      <x:c r="B224" s="29" t="str">
        <x:v>bakersfield</x:v>
      </x:c>
      <x:c r="C224" s="29" t="str">
        <x:v>Wool Growers Restaurant — ziyaret ve program</x:v>
      </x:c>
      <x:c r="D224" s="29" t="str">
        <x:v>Wool Growers Restaurant</x:v>
      </x:c>
      <x:c r="E224" s="29" t="str">
        <x:v>https://woolgrowers.net/</x:v>
      </x:c>
      <x:c r="F224" s="31" t="d">
        <x:v>2026-10-23T00:00:00.000Z</x:v>
      </x:c>
      <x:c r="G224" s="29"/>
      <x:c r="H224" s="29" t="str">
        <x:v>İlgili içerik veya mekân kaydıyla eşleştirilen kaynak notu incelendi. AI öz denetimi; otomatik HTTP erişim sonucu ayrı source-access kayıtlarında tutulur.</x:v>
      </x:c>
      <x:c r="I224" s="29" t="str">
        <x:v>Evet</x:v>
      </x:c>
      <x:c r="J224" s="29"/>
      <x:c r="K224" s="29"/>
    </x:row>
    <x:row r="225" ht="54" customHeight="1">
      <x:c r="A225" s="29" t="str">
        <x:v>bakersfield:src:17785</x:v>
      </x:c>
      <x:c r="B225" s="29" t="str">
        <x:v>bakersfield</x:v>
      </x:c>
      <x:c r="C225" s="29" t="str">
        <x:v>Dewar's Candy Shop – Eye Street — ziyaret ve program</x:v>
      </x:c>
      <x:c r="D225" s="29" t="str">
        <x:v>Dewar's Candy Shop – Eye Street</x:v>
      </x:c>
      <x:c r="E225" s="29" t="str">
        <x:v>https://www.dewarscandy.com/hours/</x:v>
      </x:c>
      <x:c r="F225" s="31" t="d">
        <x:v>2026-10-23T00:00:00.000Z</x:v>
      </x:c>
      <x:c r="G225" s="29"/>
      <x:c r="H225" s="29" t="str">
        <x:v>İlgili içerik veya mekân kaydıyla eşleştirilen kaynak notu incelendi. AI öz denetimi; otomatik HTTP erişim sonucu ayrı source-access kayıtlarında tutulur.</x:v>
      </x:c>
      <x:c r="I225" s="29" t="str">
        <x:v>Evet</x:v>
      </x:c>
      <x:c r="J225" s="29"/>
      <x:c r="K225" s="29"/>
    </x:row>
    <x:row r="226" ht="54" customHeight="1">
      <x:c r="A226" s="29" t="str">
        <x:v>bakersfield:src:17786</x:v>
      </x:c>
      <x:c r="B226" s="29" t="str">
        <x:v>bakersfield</x:v>
      </x:c>
      <x:c r="C226" s="29" t="str">
        <x:v>Bakersfield Ziyaretçi Bilgi Merkezi — ziyaret ve program</x:v>
      </x:c>
      <x:c r="D226" s="29" t="str">
        <x:v>Bakersfield Ziyaretçi Bilgi Merkezi</x:v>
      </x:c>
      <x:c r="E226" s="29" t="str">
        <x:v>https://www.visitbakersfield.com/plan/visitors-information-center/</x:v>
      </x:c>
      <x:c r="F226" s="31" t="d">
        <x:v>2026-10-23T00:00:00.000Z</x:v>
      </x:c>
      <x:c r="G226" s="29"/>
      <x:c r="H226" s="29" t="str">
        <x:v>İlgili içerik veya mekân kaydıyla eşleştirilen kaynak notu incelendi. AI öz denetimi; otomatik HTTP erişim sonucu ayrı source-access kayıtlarında tutulur.</x:v>
      </x:c>
      <x:c r="I226" s="29" t="str">
        <x:v>Evet</x:v>
      </x:c>
      <x:c r="J226" s="29"/>
      <x:c r="K226" s="29"/>
    </x:row>
    <x:row r="227" ht="54" customHeight="1">
      <x:c r="A227" s="29" t="str">
        <x:v>bakersfield:src:17787</x:v>
      </x:c>
      <x:c r="B227" s="29" t="str">
        <x:v>bakersfield</x:v>
      </x:c>
      <x:c r="C227" s="29" t="str">
        <x:v>Zingo's Café — ziyaret ve program</x:v>
      </x:c>
      <x:c r="D227" s="29" t="str">
        <x:v>Zingo's Café</x:v>
      </x:c>
      <x:c r="E227" s="29" t="str">
        <x:v>https://www.visitbakersfield.com/directory/zingos-caf%C3%A9/</x:v>
      </x:c>
      <x:c r="F227" s="31" t="d">
        <x:v>2026-10-23T00:00:00.000Z</x:v>
      </x:c>
      <x:c r="G227" s="29"/>
      <x:c r="H227" s="29" t="str">
        <x:v>İlgili içerik veya mekân kaydıyla eşleştirilen kaynak notu incelendi. AI öz denetimi; otomatik HTTP erişim sonucu ayrı source-access kayıtlarında tutulur.</x:v>
      </x:c>
      <x:c r="I227" s="29" t="str">
        <x:v>Evet</x:v>
      </x:c>
      <x:c r="J227" s="29"/>
      <x:c r="K227" s="29"/>
    </x:row>
    <x:row r="228" ht="54" customHeight="1">
      <x:c r="A228" s="29" t="str">
        <x:v>bakersfield:src:17788</x:v>
      </x:c>
      <x:c r="B228" s="29" t="str">
        <x:v>bakersfield</x:v>
      </x:c>
      <x:c r="C228" s="29" t="str">
        <x:v>Rice Bowl Chinese Restaurant — ziyaret ve program</x:v>
      </x:c>
      <x:c r="D228" s="29" t="str">
        <x:v>Rice Bowl Chinese Restaurant</x:v>
      </x:c>
      <x:c r="E228" s="29" t="str">
        <x:v>https://www.visitbakersfield.com/directory/rice-bowl-chinese-restaurant/</x:v>
      </x:c>
      <x:c r="F228" s="31" t="d">
        <x:v>2026-10-23T00:00:00.000Z</x:v>
      </x:c>
      <x:c r="G228" s="29"/>
      <x:c r="H228" s="29" t="str">
        <x:v>İlgili içerik veya mekân kaydıyla eşleştirilen kaynak notu incelendi. AI öz denetimi; otomatik HTTP erişim sonucu ayrı source-access kayıtlarında tutulur.</x:v>
      </x:c>
      <x:c r="I228" s="29" t="str">
        <x:v>Evet</x:v>
      </x:c>
      <x:c r="J228" s="29"/>
      <x:c r="K228" s="29"/>
    </x:row>
    <x:row r="229" ht="54" customHeight="1">
      <x:c r="A229" s="29" t="str">
        <x:v>bakersfield:src:17789</x:v>
      </x:c>
      <x:c r="B229" s="29" t="str">
        <x:v>bakersfield</x:v>
      </x:c>
      <x:c r="C229" s="29" t="str">
        <x:v>Mamma Mia Restaurant — ziyaret ve program</x:v>
      </x:c>
      <x:c r="D229" s="29" t="str">
        <x:v>Mamma Mia Restaurant</x:v>
      </x:c>
      <x:c r="E229" s="29" t="str">
        <x:v>https://mammamiadowntown.com/benvenuti/</x:v>
      </x:c>
      <x:c r="F229" s="31" t="d">
        <x:v>2026-10-23T00:00:00.000Z</x:v>
      </x:c>
      <x:c r="G229" s="29"/>
      <x:c r="H229" s="29" t="str">
        <x:v>İlgili içerik veya mekân kaydıyla eşleştirilen kaynak notu incelendi. AI öz denetimi; otomatik HTTP erişim sonucu ayrı source-access kayıtlarında tutulur.</x:v>
      </x:c>
      <x:c r="I229" s="29" t="str">
        <x:v>Evet</x:v>
      </x:c>
      <x:c r="J229" s="29"/>
      <x:c r="K229" s="29"/>
    </x:row>
    <x:row r="230" ht="54" customHeight="1">
      <x:c r="A230" s="29" t="str">
        <x:v>bakersfield:src:17790</x:v>
      </x:c>
      <x:c r="B230" s="29" t="str">
        <x:v>bakersfield</x:v>
      </x:c>
      <x:c r="C230" s="29" t="str">
        <x:v>The Woolworth's Building — ziyaret ve program</x:v>
      </x:c>
      <x:c r="D230" s="29" t="str">
        <x:v>The Woolworth's Building</x:v>
      </x:c>
      <x:c r="E230" s="29" t="str">
        <x:v>https://www.historicwoolworths.com/visit</x:v>
      </x:c>
      <x:c r="F230" s="31" t="d">
        <x:v>2026-10-23T00:00:00.000Z</x:v>
      </x:c>
      <x:c r="G230" s="29"/>
      <x:c r="H230" s="29" t="str">
        <x:v>İlgili içerik veya mekân kaydıyla eşleştirilen kaynak notu incelendi. AI öz denetimi; otomatik HTTP erişim sonucu ayrı source-access kayıtlarında tutulur.</x:v>
      </x:c>
      <x:c r="I230" s="29" t="str">
        <x:v>Evet</x:v>
      </x:c>
      <x:c r="J230" s="29"/>
      <x:c r="K230" s="29"/>
    </x:row>
    <x:row r="231" ht="54" customHeight="1">
      <x:c r="A231" s="29" t="str">
        <x:v>bakersfield:src:17791</x:v>
      </x:c>
      <x:c r="B231" s="29" t="str">
        <x:v>bakersfield</x:v>
      </x:c>
      <x:c r="C231" s="29" t="str">
        <x:v>The Marketplace Bakersfield — ziyaret ve program</x:v>
      </x:c>
      <x:c r="D231" s="29" t="str">
        <x:v>The Marketplace Bakersfield</x:v>
      </x:c>
      <x:c r="E231" s="29" t="str">
        <x:v>https://www.themarketplacebakersfield.com/</x:v>
      </x:c>
      <x:c r="F231" s="31" t="d">
        <x:v>2026-10-23T00:00:00.000Z</x:v>
      </x:c>
      <x:c r="G231" s="29"/>
      <x:c r="H231" s="29" t="str">
        <x:v>İlgili içerik veya mekân kaydıyla eşleştirilen kaynak notu incelendi. AI öz denetimi; otomatik HTTP erişim sonucu ayrı source-access kayıtlarında tutulur.</x:v>
      </x:c>
      <x:c r="I231" s="29" t="str">
        <x:v>Evet</x:v>
      </x:c>
      <x:c r="J231" s="29"/>
      <x:c r="K231" s="29"/>
    </x:row>
    <x:row r="232" ht="54" customHeight="1">
      <x:c r="A232" s="29" t="str">
        <x:v>bakersfield:src:17792</x:v>
      </x:c>
      <x:c r="B232" s="29" t="str">
        <x:v>bakersfield</x:v>
      </x:c>
      <x:c r="C232" s="29" t="str">
        <x:v>Valley Plaza Mall — ziyaret ve program</x:v>
      </x:c>
      <x:c r="D232" s="29" t="str">
        <x:v>Valley Plaza Mall</x:v>
      </x:c>
      <x:c r="E232" s="29" t="str">
        <x:v>https://www.valleyplazamall.com/</x:v>
      </x:c>
      <x:c r="F232" s="31" t="d">
        <x:v>2026-10-23T00:00:00.000Z</x:v>
      </x:c>
      <x:c r="G232" s="29"/>
      <x:c r="H232" s="29" t="str">
        <x:v>İlgili içerik veya mekân kaydıyla eşleştirilen kaynak notu incelendi. AI öz denetimi; otomatik HTTP erişim sonucu ayrı source-access kayıtlarında tutulur.</x:v>
      </x:c>
      <x:c r="I232" s="29" t="str">
        <x:v>Evet</x:v>
      </x:c>
      <x:c r="J232" s="29"/>
      <x:c r="K232" s="29"/>
    </x:row>
    <x:row r="233" ht="54" customHeight="1">
      <x:c r="A233" s="29" t="str">
        <x:v>bakersfield:src:17793</x:v>
      </x:c>
      <x:c r="B233" s="29" t="str">
        <x:v>bakersfield</x:v>
      </x:c>
      <x:c r="C233" s="29" t="str">
        <x:v>Kern County Basque Club — ziyaret ve program</x:v>
      </x:c>
      <x:c r="D233" s="29" t="str">
        <x:v>Kern County Basque Club</x:v>
      </x:c>
      <x:c r="E233" s="29" t="str">
        <x:v>https://www.kcbasqueclub.com/</x:v>
      </x:c>
      <x:c r="F233" s="31" t="d">
        <x:v>2026-10-23T00:00:00.000Z</x:v>
      </x:c>
      <x:c r="G233" s="29"/>
      <x:c r="H233" s="29" t="str">
        <x:v>İlgili içerik veya mekân kaydıyla eşleştirilen kaynak notu incelendi. AI öz denetimi; otomatik HTTP erişim sonucu ayrı source-access kayıtlarında tutulur.</x:v>
      </x:c>
      <x:c r="I233" s="29" t="str">
        <x:v>Evet</x:v>
      </x:c>
      <x:c r="J233" s="29"/>
      <x:c r="K233" s="29"/>
    </x:row>
    <x:row r="234" ht="54" customHeight="1">
      <x:c r="A234" s="29" t="str">
        <x:v>bakersfield:src:17794</x:v>
      </x:c>
      <x:c r="B234" s="29" t="str">
        <x:v>bakersfield</x:v>
      </x:c>
      <x:c r="C234" s="29" t="str">
        <x:v>Murray Family Farms – Big Red Barn — ziyaret ve program</x:v>
      </x:c>
      <x:c r="D234" s="29" t="str">
        <x:v>Murray Family Farms – Big Red Barn</x:v>
      </x:c>
      <x:c r="E234" s="29" t="str">
        <x:v>https://www.murrayfamilyfarms.org/where-to-find-us/big-red-barn</x:v>
      </x:c>
      <x:c r="F234" s="31" t="d">
        <x:v>2026-10-23T00:00:00.000Z</x:v>
      </x:c>
      <x:c r="G234" s="29"/>
      <x:c r="H234" s="29" t="str">
        <x:v>İlgili içerik veya mekân kaydıyla eşleştirilen kaynak notu incelendi. AI öz denetimi; otomatik HTTP erişim sonucu ayrı source-access kayıtlarında tutulur.</x:v>
      </x:c>
      <x:c r="I234" s="29" t="str">
        <x:v>Evet</x:v>
      </x:c>
      <x:c r="J234" s="29"/>
      <x:c r="K234" s="29"/>
    </x:row>
    <x:row r="235" ht="54" customHeight="1">
      <x:c r="A235" s="29" t="str">
        <x:v>bakersfield:src:17795</x:v>
      </x:c>
      <x:c r="B235" s="29" t="str">
        <x:v>bakersfield</x:v>
      </x:c>
      <x:c r="C235" s="29" t="str">
        <x:v>Hart Memorial Park — ziyaret ve program</x:v>
      </x:c>
      <x:c r="D235" s="29" t="str">
        <x:v>Hart Memorial Park</x:v>
      </x:c>
      <x:c r="E235" s="29" t="str">
        <x:v>https://www.kerncounty.com/Home/Components/FacilityDirectory/FacilityDirectory/4/32605</x:v>
      </x:c>
      <x:c r="F235" s="31" t="d">
        <x:v>2026-10-23T00:00:00.000Z</x:v>
      </x:c>
      <x:c r="G235" s="29"/>
      <x:c r="H235" s="29" t="str">
        <x:v>İlgili içerik veya mekân kaydıyla eşleştirilen kaynak notu incelendi. AI öz denetimi; otomatik HTTP erişim sonucu ayrı source-access kayıtlarında tutulur.</x:v>
      </x:c>
      <x:c r="I235" s="29" t="str">
        <x:v>Evet</x:v>
      </x:c>
      <x:c r="J235" s="29"/>
      <x:c r="K235" s="29"/>
    </x:row>
    <x:row r="236" ht="54" customHeight="1">
      <x:c r="A236" s="29" t="str">
        <x:v>bakersfield:src:17796</x:v>
      </x:c>
      <x:c r="B236" s="29" t="str">
        <x:v>bakersfield</x:v>
      </x:c>
      <x:c r="C236" s="29" t="str">
        <x:v>Panorama Park – The Bluffs — ziyaret ve program</x:v>
      </x:c>
      <x:c r="D236" s="29" t="str">
        <x:v>Panorama Park – The Bluffs</x:v>
      </x:c>
      <x:c r="E236" s="29" t="str">
        <x:v>https://kernriverparkway.org/parks-and-open-space-in-the-parkway/</x:v>
      </x:c>
      <x:c r="F236" s="31" t="d">
        <x:v>2026-10-23T00:00:00.000Z</x:v>
      </x:c>
      <x:c r="G236" s="29"/>
      <x:c r="H236" s="29" t="str">
        <x:v>İlgili içerik veya mekân kaydıyla eşleştirilen kaynak notu incelendi. AI öz denetimi; otomatik HTTP erişim sonucu ayrı source-access kayıtlarında tutulur.</x:v>
      </x:c>
      <x:c r="I236" s="29" t="str">
        <x:v>Evet</x:v>
      </x:c>
      <x:c r="J236" s="29"/>
      <x:c r="K236" s="29"/>
    </x:row>
    <x:row r="237" ht="54" customHeight="1">
      <x:c r="A237" s="29" t="str">
        <x:v>bakersfield:src:17797</x:v>
      </x:c>
      <x:c r="B237" s="29" t="str">
        <x:v>bakersfield</x:v>
      </x:c>
      <x:c r="C237" s="29" t="str">
        <x:v>Kern River Parkway Trail — ziyaret ve program</x:v>
      </x:c>
      <x:c r="D237" s="29" t="str">
        <x:v>Kern River Parkway Trail</x:v>
      </x:c>
      <x:c r="E237" s="29" t="str">
        <x:v>https://kernriverparkway.org/</x:v>
      </x:c>
      <x:c r="F237" s="31" t="d">
        <x:v>2026-10-23T00:00:00.000Z</x:v>
      </x:c>
      <x:c r="G237" s="29"/>
      <x:c r="H237" s="29" t="str">
        <x:v>İlgili içerik veya mekân kaydıyla eşleştirilen kaynak notu incelendi. AI öz denetimi; otomatik HTTP erişim sonucu ayrı source-access kayıtlarında tutulur.</x:v>
      </x:c>
      <x:c r="I237" s="29" t="str">
        <x:v>Evet</x:v>
      </x:c>
      <x:c r="J237" s="29"/>
      <x:c r="K237" s="29"/>
    </x:row>
    <x:row r="238" ht="54" customHeight="1">
      <x:c r="A238" s="29" t="str">
        <x:v>bakersfield:src:17798</x:v>
      </x:c>
      <x:c r="B238" s="29" t="str">
        <x:v>bakersfield</x:v>
      </x:c>
      <x:c r="C238" s="29" t="str">
        <x:v>Sam Lynn Ballpark — ziyaret ve program</x:v>
      </x:c>
      <x:c r="D238" s="29" t="str">
        <x:v>Sam Lynn Ballpark</x:v>
      </x:c>
      <x:c r="E238" s="29" t="str">
        <x:v>https://www.bakersfieldtrainrobbers.com/</x:v>
      </x:c>
      <x:c r="F238" s="31" t="d">
        <x:v>2026-10-23T00:00:00.000Z</x:v>
      </x:c>
      <x:c r="G238" s="29"/>
      <x:c r="H238" s="29" t="str">
        <x:v>İlgili içerik veya mekân kaydıyla eşleştirilen kaynak notu incelendi. AI öz denetimi; otomatik HTTP erişim sonucu ayrı source-access kayıtlarında tutulur.</x:v>
      </x:c>
      <x:c r="I238" s="29" t="str">
        <x:v>Evet</x:v>
      </x:c>
      <x:c r="J238" s="29"/>
      <x:c r="K238" s="29"/>
    </x:row>
    <x:row r="239" ht="54" customHeight="1">
      <x:c r="A239" s="29" t="str">
        <x:v>bakersfield:src:17799</x:v>
      </x:c>
      <x:c r="B239" s="29" t="str">
        <x:v>bakersfield</x:v>
      </x:c>
      <x:c r="C239" s="29" t="str">
        <x:v>Memorial Stadium – Bakersfield College — ziyaret ve program</x:v>
      </x:c>
      <x:c r="D239" s="29" t="str">
        <x:v>Memorial Stadium – Bakersfield College</x:v>
      </x:c>
      <x:c r="E239" s="29" t="str">
        <x:v>https://www.gogades.com/</x:v>
      </x:c>
      <x:c r="F239" s="31" t="d">
        <x:v>2026-10-23T00:00:00.000Z</x:v>
      </x:c>
      <x:c r="G239" s="29"/>
      <x:c r="H239" s="29" t="str">
        <x:v>İlgili içerik veya mekân kaydıyla eşleştirilen kaynak notu incelendi. AI öz denetimi; otomatik HTTP erişim sonucu ayrı source-access kayıtlarında tutulur.</x:v>
      </x:c>
      <x:c r="I239" s="29" t="str">
        <x:v>Evet</x:v>
      </x:c>
      <x:c r="J239" s="29"/>
      <x:c r="K239" s="29"/>
    </x:row>
    <x:row r="240" ht="54" customHeight="1">
      <x:c r="A240" s="29" t="str">
        <x:v>bakersfield:src:17800</x:v>
      </x:c>
      <x:c r="B240" s="29" t="str">
        <x:v>bakersfield</x:v>
      </x:c>
      <x:c r="C240" s="29" t="str">
        <x:v>CSUB Main Soccer Field — ziyaret ve program</x:v>
      </x:c>
      <x:c r="D240" s="29" t="str">
        <x:v>CSUB Main Soccer Field</x:v>
      </x:c>
      <x:c r="E240" s="29" t="str">
        <x:v>https://gorunners.com/sports/mens-soccer</x:v>
      </x:c>
      <x:c r="F240" s="31" t="d">
        <x:v>2026-10-23T00:00:00.000Z</x:v>
      </x:c>
      <x:c r="G240" s="29"/>
      <x:c r="H240" s="29" t="str">
        <x:v>İlgili içerik veya mekân kaydıyla eşleştirilen kaynak notu incelendi. AI öz denetimi; otomatik HTTP erişim sonucu ayrı source-access kayıtlarında tutulur.</x:v>
      </x:c>
      <x:c r="I240" s="29" t="str">
        <x:v>Evet</x:v>
      </x:c>
      <x:c r="J240" s="29"/>
      <x:c r="K240" s="29"/>
    </x:row>
    <x:row r="241" ht="54" customHeight="1">
      <x:c r="A241" s="29" t="str">
        <x:v>bakersfield:src:17801</x:v>
      </x:c>
      <x:c r="B241" s="29" t="str">
        <x:v>bakersfield</x:v>
      </x:c>
      <x:c r="C241" s="29" t="str">
        <x:v>Kevin Harvick's Kern Raceway — ziyaret ve program</x:v>
      </x:c>
      <x:c r="D241" s="29" t="str">
        <x:v>Kevin Harvick's Kern Raceway</x:v>
      </x:c>
      <x:c r="E241" s="29" t="str">
        <x:v>https://kernraceway.com/</x:v>
      </x:c>
      <x:c r="F241" s="31" t="d">
        <x:v>2026-10-23T00:00:00.000Z</x:v>
      </x:c>
      <x:c r="G241" s="29"/>
      <x:c r="H241" s="29" t="str">
        <x:v>İlgili içerik veya mekân kaydıyla eşleştirilen kaynak notu incelendi. AI öz denetimi; otomatik HTTP erişim sonucu ayrı source-access kayıtlarında tutulur.</x:v>
      </x:c>
      <x:c r="I241" s="29" t="str">
        <x:v>Evet</x:v>
      </x:c>
      <x:c r="J241" s="29"/>
      <x:c r="K241" s="29"/>
    </x:row>
    <x:row r="242" ht="54" customHeight="1">
      <x:c r="A242" s="29" t="str">
        <x:v>bakersfield:src:17802</x:v>
      </x:c>
      <x:c r="B242" s="29" t="str">
        <x:v>bakersfield</x:v>
      </x:c>
      <x:c r="C242" s="29" t="str">
        <x:v>Bakersfield Amtrak Station — ziyaret ve program</x:v>
      </x:c>
      <x:c r="D242" s="29" t="str">
        <x:v>Bakersfield Amtrak Station</x:v>
      </x:c>
      <x:c r="E242" s="29" t="str">
        <x:v>https://www.amtrak.com/stations/bfd</x:v>
      </x:c>
      <x:c r="F242" s="31" t="d">
        <x:v>2026-10-23T00:00:00.000Z</x:v>
      </x:c>
      <x:c r="G242" s="29"/>
      <x:c r="H242" s="29" t="str">
        <x:v>İlgili içerik veya mekân kaydıyla eşleştirilen kaynak notu incelendi. AI öz denetimi; otomatik HTTP erişim sonucu ayrı source-access kayıtlarında tutulur.</x:v>
      </x:c>
      <x:c r="I242" s="29" t="str">
        <x:v>Evet</x:v>
      </x:c>
      <x:c r="J242" s="29"/>
      <x:c r="K242" s="29"/>
    </x:row>
    <x:row r="243" ht="54" customHeight="1">
      <x:c r="A243" s="29" t="str">
        <x:v>bakersfield:src:17803</x:v>
      </x:c>
      <x:c r="B243" s="29" t="str">
        <x:v>bakersfield</x:v>
      </x:c>
      <x:c r="C243" s="29" t="str">
        <x:v>Beale Memorial Library — ziyaret ve program</x:v>
      </x:c>
      <x:c r="D243" s="29" t="str">
        <x:v>Beale Memorial Library</x:v>
      </x:c>
      <x:c r="E243" s="29" t="str">
        <x:v>https://kerncountylibrary.org/</x:v>
      </x:c>
      <x:c r="F243" s="31" t="d">
        <x:v>2026-10-23T00:00:00.000Z</x:v>
      </x:c>
      <x:c r="G243" s="29"/>
      <x:c r="H243" s="29" t="str">
        <x:v>İlgili içerik veya mekân kaydıyla eşleştirilen kaynak notu incelendi. AI öz denetimi; otomatik HTTP erişim sonucu ayrı source-access kayıtlarında tutulur.</x:v>
      </x:c>
      <x:c r="I243" s="29" t="str">
        <x:v>Evet</x:v>
      </x:c>
      <x:c r="J243" s="29"/>
      <x:c r="K243" s="29"/>
    </x:row>
    <x:row r="244" ht="54" customHeight="1">
      <x:c r="A244" s="29" t="str">
        <x:v>bakersfield:src:17804</x:v>
      </x:c>
      <x:c r="B244" s="29" t="str">
        <x:v>bakersfield</x:v>
      </x:c>
      <x:c r="C244" s="29" t="str">
        <x:v>Union Cemetery — ziyaret ve program</x:v>
      </x:c>
      <x:c r="D244" s="29" t="str">
        <x:v>Union Cemetery</x:v>
      </x:c>
      <x:c r="E244" s="29" t="str">
        <x:v>https://www.unioncemeterybakersfield.com/</x:v>
      </x:c>
      <x:c r="F244" s="31" t="d">
        <x:v>2026-10-23T00:00:00.000Z</x:v>
      </x:c>
      <x:c r="G244" s="29"/>
      <x:c r="H244" s="29" t="str">
        <x:v>İlgili içerik veya mekân kaydıyla eşleştirilen kaynak notu incelendi. AI öz denetimi; otomatik HTTP erişim sonucu ayrı source-access kayıtlarında tutulur.</x:v>
      </x:c>
      <x:c r="I244" s="29" t="str">
        <x:v>Evet</x:v>
      </x:c>
      <x:c r="J244" s="29"/>
      <x:c r="K244" s="29"/>
    </x:row>
    <x:row r="245" ht="54" customHeight="1">
      <x:c r="A245" s="29" t="str">
        <x:v>bakersfield:src:17805</x:v>
      </x:c>
      <x:c r="B245" s="29" t="str">
        <x:v>bakersfield</x:v>
      </x:c>
      <x:c r="C245" s="29" t="str">
        <x:v>Bakersfield National Cemetery — ziyaret ve program</x:v>
      </x:c>
      <x:c r="D245" s="29" t="str">
        <x:v>Bakersfield National Cemetery</x:v>
      </x:c>
      <x:c r="E245" s="29" t="str">
        <x:v>https://www.cem.va.gov/cems/nchp/bakersfield.asp</x:v>
      </x:c>
      <x:c r="F245" s="31" t="d">
        <x:v>2026-10-23T00:00:00.000Z</x:v>
      </x:c>
      <x:c r="G245" s="29"/>
      <x:c r="H245" s="29" t="str">
        <x:v>İlgili içerik veya mekân kaydıyla eşleştirilen kaynak notu incelendi. AI öz denetimi; otomatik HTTP erişim sonucu ayrı source-access kayıtlarında tutulur.</x:v>
      </x:c>
      <x:c r="I245" s="29" t="str">
        <x:v>Evet</x:v>
      </x:c>
      <x:c r="J245" s="29"/>
      <x:c r="K245" s="29"/>
    </x:row>
    <x:row r="246" ht="54" customHeight="1">
      <x:c r="A246" s="29" t="str">
        <x:v>bakersfield:src:17806</x:v>
      </x:c>
      <x:c r="B246" s="29" t="str">
        <x:v>bakersfield</x:v>
      </x:c>
      <x:c r="C246" s="29" t="str">
        <x:v>Kress Building — ziyaret ve program</x:v>
      </x:c>
      <x:c r="D246" s="29" t="str">
        <x:v>Kress Building</x:v>
      </x:c>
      <x:c r="E246" s="29" t="str">
        <x:v>https://www.visitbakersfield.com/things-to-do/bakersfield-historical-trail/</x:v>
      </x:c>
      <x:c r="F246" s="31" t="d">
        <x:v>2026-10-23T00:00:00.000Z</x:v>
      </x:c>
      <x:c r="G246" s="29"/>
      <x:c r="H246" s="29" t="str">
        <x:v>İlgili içerik veya mekân kaydıyla eşleştirilen kaynak notu incelendi. AI öz denetimi; otomatik HTTP erişim sonucu ayrı source-access kayıtlarında tutulur.</x:v>
      </x:c>
      <x:c r="I246" s="29" t="str">
        <x:v>Evet</x:v>
      </x:c>
      <x:c r="J246" s="29"/>
      <x:c r="K246" s="29"/>
    </x:row>
    <x:row r="247" ht="54" customHeight="1">
      <x:c r="A247" s="29" t="str">
        <x:v>bakersfield:src:17807</x:v>
      </x:c>
      <x:c r="B247" s="29" t="str">
        <x:v>bakersfield</x:v>
      </x:c>
      <x:c r="C247" s="29" t="str">
        <x:v>Bakersfield Californian Building — ziyaret ve program</x:v>
      </x:c>
      <x:c r="D247" s="29" t="str">
        <x:v>Bakersfield Californian Building</x:v>
      </x:c>
      <x:c r="E247" s="29" t="str">
        <x:v>https://npgallery.nps.gov/AssetDetail/NRIS/83001183</x:v>
      </x:c>
      <x:c r="F247" s="31" t="d">
        <x:v>2026-10-23T00:00:00.000Z</x:v>
      </x:c>
      <x:c r="G247" s="29"/>
      <x:c r="H247" s="29" t="str">
        <x:v>İlgili içerik veya mekân kaydıyla eşleştirilen kaynak notu incelendi. AI öz denetimi; otomatik HTTP erişim sonucu ayrı source-access kayıtlarında tutulur.</x:v>
      </x:c>
      <x:c r="I247" s="29" t="str">
        <x:v>Evet</x:v>
      </x:c>
      <x:c r="J247" s="29"/>
      <x:c r="K247" s="29"/>
    </x:row>
    <x:row r="248" ht="54" customHeight="1">
      <x:c r="A248" s="29" t="str">
        <x:v>bakersfield:src:17808</x:v>
      </x:c>
      <x:c r="B248" s="29" t="str">
        <x:v>bakersfield</x:v>
      </x:c>
      <x:c r="C248" s="29" t="str">
        <x:v>Eski Southern Pacific Depot — ziyaret ve program</x:v>
      </x:c>
      <x:c r="D248" s="29" t="str">
        <x:v>Eski Southern Pacific Depot</x:v>
      </x:c>
      <x:c r="E248" s="29" t="str">
        <x:v>https://docs.bakersfieldcity.us/weblink/0/edoc/1572526/HPC%203.15.22%20Agenda%20Packet.pdf</x:v>
      </x:c>
      <x:c r="F248" s="31" t="d">
        <x:v>2026-10-23T00:00:00.000Z</x:v>
      </x:c>
      <x:c r="G248" s="29"/>
      <x:c r="H248" s="29" t="str">
        <x:v>İlgili içerik veya mekân kaydıyla eşleştirilen kaynak notu incelendi. AI öz denetimi; otomatik HTTP erişim sonucu ayrı source-access kayıtlarında tutulur.</x:v>
      </x:c>
      <x:c r="I248" s="29" t="str">
        <x:v>Evet</x:v>
      </x:c>
      <x:c r="J248" s="29"/>
      <x:c r="K248" s="29"/>
    </x:row>
    <x:row r="249" ht="54" customHeight="1">
      <x:c r="A249" s="29" t="str">
        <x:v>bakersfield:src:17809</x:v>
      </x:c>
      <x:c r="B249" s="29" t="str">
        <x:v>bakersfield</x:v>
      </x:c>
      <x:c r="C249" s="29" t="str">
        <x:v>Baker Branch Library — ziyaret ve program</x:v>
      </x:c>
      <x:c r="D249" s="29" t="str">
        <x:v>Baker Branch Library</x:v>
      </x:c>
      <x:c r="E249" s="29" t="str">
        <x:v>https://kerncountylibrary.org/infrastructuregrant/</x:v>
      </x:c>
      <x:c r="F249" s="31" t="d">
        <x:v>2026-10-23T00:00:00.000Z</x:v>
      </x:c>
      <x:c r="G249" s="29"/>
      <x:c r="H249" s="29" t="str">
        <x:v>İlgili içerik veya mekân kaydıyla eşleştirilen kaynak notu incelendi. AI öz denetimi; otomatik HTTP erişim sonucu ayrı source-access kayıtlarında tutulur.</x:v>
      </x:c>
      <x:c r="I249" s="29" t="str">
        <x:v>Evet</x:v>
      </x:c>
      <x:c r="J249" s="29"/>
      <x:c r="K249" s="29"/>
    </x:row>
    <x:row r="250" ht="54" customHeight="1">
      <x:c r="A250" s="29" t="str">
        <x:v>bakersfield:src:17810</x:v>
      </x:c>
      <x:c r="B250" s="29" t="str">
        <x:v>bakersfield</x:v>
      </x:c>
      <x:c r="C250" s="29" t="str">
        <x:v>Kern County Hall of Records — ziyaret ve program</x:v>
      </x:c>
      <x:c r="D250" s="29" t="str">
        <x:v>Kern County Hall of Records</x:v>
      </x:c>
      <x:c r="E250" s="29" t="str">
        <x:v>https://www.kerncounty.com/government/departments/assessor-recorder/records/recorder-faq</x:v>
      </x:c>
      <x:c r="F250" s="31" t="d">
        <x:v>2026-10-23T00:00:00.000Z</x:v>
      </x:c>
      <x:c r="G250" s="29"/>
      <x:c r="H250" s="29" t="str">
        <x:v>İlgili içerik veya mekân kaydıyla eşleştirilen kaynak notu incelendi. AI öz denetimi; otomatik HTTP erişim sonucu ayrı source-access kayıtlarında tutulur.</x:v>
      </x:c>
      <x:c r="I250" s="29" t="str">
        <x:v>Evet</x:v>
      </x:c>
      <x:c r="J250" s="29"/>
      <x:c r="K250" s="29"/>
    </x:row>
    <x:row r="251" ht="54" customHeight="1">
      <x:c r="A251" s="29" t="str">
        <x:v>bakersfield:src:17811</x:v>
      </x:c>
      <x:c r="B251" s="29" t="str">
        <x:v>bakersfield</x:v>
      </x:c>
      <x:c r="C251" s="29" t="str">
        <x:v>Hayden Building — ziyaret ve program</x:v>
      </x:c>
      <x:c r="D251" s="29" t="str">
        <x:v>Hayden Building</x:v>
      </x:c>
      <x:c r="E251" s="29" t="str">
        <x:v>https://www.hmdb.org/m.asp?m=117419</x:v>
      </x:c>
      <x:c r="F251" s="31" t="d">
        <x:v>2026-10-23T00:00:00.000Z</x:v>
      </x:c>
      <x:c r="G251" s="29"/>
      <x:c r="H251" s="29" t="str">
        <x:v>İlgili içerik veya mekân kaydıyla eşleştirilen kaynak notu incelendi. AI öz denetimi; otomatik HTTP erişim sonucu ayrı source-access kayıtlarında tutulur.</x:v>
      </x:c>
      <x:c r="I251" s="29" t="str">
        <x:v>Evet</x:v>
      </x:c>
      <x:c r="J251" s="29"/>
      <x:c r="K251" s="29"/>
    </x:row>
    <x:row r="252" ht="54" customHeight="1">
      <x:c r="A252" s="29" t="str">
        <x:v>bakersfield:src:17812</x:v>
      </x:c>
      <x:c r="B252" s="29" t="str">
        <x:v>bakersfield</x:v>
      </x:c>
      <x:c r="C252" s="29" t="str">
        <x:v>St. Paul's Episcopal Church — ziyaret ve program</x:v>
      </x:c>
      <x:c r="D252" s="29" t="str">
        <x:v>St. Paul's Episcopal Church</x:v>
      </x:c>
      <x:c r="E252" s="29" t="str">
        <x:v>https://www.stpaulsepiscopalbakersfield.org/home.html</x:v>
      </x:c>
      <x:c r="F252" s="31" t="d">
        <x:v>2026-10-23T00:00:00.000Z</x:v>
      </x:c>
      <x:c r="G252" s="29"/>
      <x:c r="H252" s="29" t="str">
        <x:v>İlgili içerik veya mekân kaydıyla eşleştirilen kaynak notu incelendi. AI öz denetimi; otomatik HTTP erişim sonucu ayrı source-access kayıtlarında tutulur.</x:v>
      </x:c>
      <x:c r="I252" s="29" t="str">
        <x:v>Evet</x:v>
      </x:c>
      <x:c r="J252" s="29"/>
      <x:c r="K252" s="29"/>
    </x:row>
    <x:row r="253" ht="54" customHeight="1">
      <x:c r="A253" s="29" t="str">
        <x:v>bakersfield:src:17813</x:v>
      </x:c>
      <x:c r="B253" s="29" t="str">
        <x:v>bakersfield</x:v>
      </x:c>
      <x:c r="C253" s="29" t="str">
        <x:v>Bakersfield Sign — ziyaret ve program</x:v>
      </x:c>
      <x:c r="D253" s="29" t="str">
        <x:v>Bakersfield Sign</x:v>
      </x:c>
      <x:c r="E253" s="29" t="str">
        <x:v>https://www.visitbakersfield.com/blog/the-top-10-snapshot-spots-around-bakersfield/</x:v>
      </x:c>
      <x:c r="F253" s="31" t="d">
        <x:v>2026-10-23T00:00:00.000Z</x:v>
      </x:c>
      <x:c r="G253" s="29"/>
      <x:c r="H253" s="29" t="str">
        <x:v>İlgili içerik veya mekân kaydıyla eşleştirilen kaynak notu incelendi. AI öz denetimi; otomatik HTTP erişim sonucu ayrı source-access kayıtlarında tutulur.</x:v>
      </x:c>
      <x:c r="I253" s="29" t="str">
        <x:v>Evet</x:v>
      </x:c>
      <x:c r="J253" s="29"/>
      <x:c r="K253" s="29"/>
    </x:row>
    <x:row r="254" ht="54" customHeight="1">
      <x:c r="A254" s="29" t="str">
        <x:v>bakersfield:src:17814</x:v>
      </x:c>
      <x:c r="B254" s="29" t="str">
        <x:v>bakersfield</x:v>
      </x:c>
      <x:c r="C254" s="29" t="str">
        <x:v>Bakersfield Federal Courthouse — ziyaret ve program</x:v>
      </x:c>
      <x:c r="D254" s="29" t="str">
        <x:v>Bakersfield Federal Courthouse</x:v>
      </x:c>
      <x:c r="E254" s="29" t="str">
        <x:v>https://www.caed.uscourts.gov/</x:v>
      </x:c>
      <x:c r="F254" s="31" t="d">
        <x:v>2026-10-23T00:00:00.000Z</x:v>
      </x:c>
      <x:c r="G254" s="29"/>
      <x:c r="H254" s="29" t="str">
        <x:v>İlgili içerik veya mekân kaydıyla eşleştirilen kaynak notu incelendi. AI öz denetimi; otomatik HTTP erişim sonucu ayrı source-access kayıtlarında tutulur.</x:v>
      </x:c>
      <x:c r="I254" s="29" t="str">
        <x:v>Evet</x:v>
      </x:c>
      <x:c r="J254" s="29"/>
      <x:c r="K254" s="29"/>
    </x:row>
    <x:row r="255" ht="54" customHeight="1">
      <x:c r="A255" s="29" t="str">
        <x:v>bakersfield:src:17815</x:v>
      </x:c>
      <x:c r="B255" s="29" t="str">
        <x:v>bakersfield</x:v>
      </x:c>
      <x:c r="C255" s="29" t="str">
        <x:v>Arthur S. Crites Building — ziyaret ve program</x:v>
      </x:c>
      <x:c r="D255" s="29" t="str">
        <x:v>Arthur S. Crites Building</x:v>
      </x:c>
      <x:c r="E255" s="29" t="str">
        <x:v>https://www.hmdb.org/m.asp?m=120916</x:v>
      </x:c>
      <x:c r="F255" s="31" t="d">
        <x:v>2026-10-23T00:00:00.000Z</x:v>
      </x:c>
      <x:c r="G255" s="29"/>
      <x:c r="H255" s="29" t="str">
        <x:v>İlgili içerik veya mekân kaydıyla eşleştirilen kaynak notu incelendi. AI öz denetimi; otomatik HTTP erişim sonucu ayrı source-access kayıtlarında tutulur.</x:v>
      </x:c>
      <x:c r="I255" s="29" t="str">
        <x:v>Evet</x:v>
      </x:c>
      <x:c r="J255" s="29"/>
      <x:c r="K255" s="29"/>
    </x:row>
    <x:row r="256" ht="54" customHeight="1">
      <x:c r="A256" s="29" t="str">
        <x:v>bakersfield:src:17816</x:v>
      </x:c>
      <x:c r="B256" s="29" t="str">
        <x:v>bakersfield</x:v>
      </x:c>
      <x:c r="C256" s="29" t="str">
        <x:v>Wind Wolves Preserve — ziyaret ve program</x:v>
      </x:c>
      <x:c r="D256" s="29" t="str">
        <x:v>Wind Wolves Preserve</x:v>
      </x:c>
      <x:c r="E256" s="29" t="str">
        <x:v>https://wildlandsconservancy.org/preserves/windwolves</x:v>
      </x:c>
      <x:c r="F256" s="31" t="d">
        <x:v>2026-10-23T00:00:00.000Z</x:v>
      </x:c>
      <x:c r="G256" s="29"/>
      <x:c r="H256" s="29" t="str">
        <x:v>İlgili içerik veya mekân kaydıyla eşleştirilen kaynak notu incelendi. AI öz denetimi; otomatik HTTP erişim sonucu ayrı source-access kayıtlarında tutulur.</x:v>
      </x:c>
      <x:c r="I256" s="29" t="str">
        <x:v>Evet</x:v>
      </x:c>
      <x:c r="J256" s="29"/>
      <x:c r="K256" s="29"/>
    </x:row>
    <x:row r="257" ht="54" customHeight="1">
      <x:c r="A257" s="29" t="str">
        <x:v>bakersfield:src:17817</x:v>
      </x:c>
      <x:c r="B257" s="29" t="str">
        <x:v>bakersfield</x:v>
      </x:c>
      <x:c r="C257" s="29" t="str">
        <x:v>Tule Elk State Natural Reserve — ziyaret ve program</x:v>
      </x:c>
      <x:c r="D257" s="29" t="str">
        <x:v>Tule Elk State Natural Reserve</x:v>
      </x:c>
      <x:c r="E257" s="29" t="str">
        <x:v>https://www.parks.ca.gov/?page_id=584</x:v>
      </x:c>
      <x:c r="F257" s="31" t="d">
        <x:v>2026-10-23T00:00:00.000Z</x:v>
      </x:c>
      <x:c r="G257" s="29"/>
      <x:c r="H257" s="29" t="str">
        <x:v>İlgili içerik veya mekân kaydıyla eşleştirilen kaynak notu incelendi. AI öz denetimi; otomatik HTTP erişim sonucu ayrı source-access kayıtlarında tutulur.</x:v>
      </x:c>
      <x:c r="I257" s="29" t="str">
        <x:v>Evet</x:v>
      </x:c>
      <x:c r="J257" s="29"/>
      <x:c r="K257" s="29"/>
    </x:row>
    <x:row r="258" ht="54" customHeight="1">
      <x:c r="A258" s="29" t="str">
        <x:v>bakersfield:src:17818</x:v>
      </x:c>
      <x:c r="B258" s="29" t="str">
        <x:v>bakersfield</x:v>
      </x:c>
      <x:c r="C258" s="29" t="str">
        <x:v>Fort Tejon State Historic Park — ziyaret ve program</x:v>
      </x:c>
      <x:c r="D258" s="29" t="str">
        <x:v>Fort Tejon State Historic Park</x:v>
      </x:c>
      <x:c r="E258" s="29" t="str">
        <x:v>https://www.parks.ca.gov/?page_id=585</x:v>
      </x:c>
      <x:c r="F258" s="31" t="d">
        <x:v>2026-10-23T00:00:00.000Z</x:v>
      </x:c>
      <x:c r="G258" s="29"/>
      <x:c r="H258" s="29" t="str">
        <x:v>İlgili içerik veya mekân kaydıyla eşleştirilen kaynak notu incelendi. AI öz denetimi; otomatik HTTP erişim sonucu ayrı source-access kayıtlarında tutulur.</x:v>
      </x:c>
      <x:c r="I258" s="29" t="str">
        <x:v>Evet</x:v>
      </x:c>
      <x:c r="J258" s="29"/>
      <x:c r="K258" s="29"/>
    </x:row>
    <x:row r="259" ht="54" customHeight="1">
      <x:c r="A259" s="29" t="str">
        <x:v>bakersfield:src:17819</x:v>
      </x:c>
      <x:c r="B259" s="29" t="str">
        <x:v>bakersfield</x:v>
      </x:c>
      <x:c r="C259" s="29" t="str">
        <x:v>César E. Chávez National Monument — ziyaret ve program</x:v>
      </x:c>
      <x:c r="D259" s="29" t="str">
        <x:v>César E. Chávez National Monument</x:v>
      </x:c>
      <x:c r="E259" s="29" t="str">
        <x:v>https://www.nps.gov/cech/planyourvisit/index.htm</x:v>
      </x:c>
      <x:c r="F259" s="31" t="d">
        <x:v>2026-10-23T00:00:00.000Z</x:v>
      </x:c>
      <x:c r="G259" s="29"/>
      <x:c r="H259" s="29" t="str">
        <x:v>İlgili içerik veya mekân kaydıyla eşleştirilen kaynak notu incelendi. AI öz denetimi; otomatik HTTP erişim sonucu ayrı source-access kayıtlarında tutulur.</x:v>
      </x:c>
      <x:c r="I259" s="29" t="str">
        <x:v>Evet</x:v>
      </x:c>
      <x:c r="J259" s="29"/>
      <x:c r="K259" s="29"/>
    </x:row>
    <x:row r="260" ht="54" customHeight="1">
      <x:c r="A260" s="29" t="str">
        <x:v>bakersfield:src:17820</x:v>
      </x:c>
      <x:c r="B260" s="29" t="str">
        <x:v>bakersfield</x:v>
      </x:c>
      <x:c r="C260" s="29" t="str">
        <x:v>The Forty Acres — ziyaret ve program</x:v>
      </x:c>
      <x:c r="D260" s="29" t="str">
        <x:v>The Forty Acres</x:v>
      </x:c>
      <x:c r="E260" s="29" t="str">
        <x:v>https://chavezfoundation.org/</x:v>
      </x:c>
      <x:c r="F260" s="31" t="d">
        <x:v>2026-10-23T00:00:00.000Z</x:v>
      </x:c>
      <x:c r="G260" s="29"/>
      <x:c r="H260" s="29" t="str">
        <x:v>İlgili içerik veya mekân kaydıyla eşleştirilen kaynak notu incelendi. AI öz denetimi; otomatik HTTP erişim sonucu ayrı source-access kayıtlarında tutulur.</x:v>
      </x:c>
      <x:c r="I260" s="29" t="str">
        <x:v>Evet</x:v>
      </x:c>
      <x:c r="J260" s="29"/>
      <x:c r="K260" s="29"/>
    </x:row>
    <x:row r="261" ht="54" customHeight="1">
      <x:c r="A261" s="29" t="str">
        <x:v>bakersfield:src:17821</x:v>
      </x:c>
      <x:c r="B261" s="29" t="str">
        <x:v>bakersfield</x:v>
      </x:c>
      <x:c r="C261" s="29" t="str">
        <x:v>Minter Field Air Museum — ziyaret ve program</x:v>
      </x:c>
      <x:c r="D261" s="29" t="str">
        <x:v>Minter Field Air Museum</x:v>
      </x:c>
      <x:c r="E261" s="29" t="str">
        <x:v>https://www.minterfieldairmuseum.com/</x:v>
      </x:c>
      <x:c r="F261" s="31" t="d">
        <x:v>2026-10-23T00:00:00.000Z</x:v>
      </x:c>
      <x:c r="G261" s="29"/>
      <x:c r="H261" s="29" t="str">
        <x:v>İlgili içerik veya mekân kaydıyla eşleştirilen kaynak notu incelendi. AI öz denetimi; otomatik HTTP erişim sonucu ayrı source-access kayıtlarında tutulur.</x:v>
      </x:c>
      <x:c r="I261" s="29" t="str">
        <x:v>Evet</x:v>
      </x:c>
      <x:c r="J261" s="29"/>
      <x:c r="K261" s="29"/>
    </x:row>
    <x:row r="262" ht="54" customHeight="1">
      <x:c r="A262" s="29" t="str">
        <x:v>bakersfield:src:17822</x:v>
      </x:c>
      <x:c r="B262" s="29" t="str">
        <x:v>bakersfield</x:v>
      </x:c>
      <x:c r="C262" s="29" t="str">
        <x:v>Shafter Depot Museum — ziyaret ve program</x:v>
      </x:c>
      <x:c r="D262" s="29" t="str">
        <x:v>Shafter Depot Museum</x:v>
      </x:c>
      <x:c r="E262" s="29" t="str">
        <x:v>https://shafterdepotmuseum.org/</x:v>
      </x:c>
      <x:c r="F262" s="31" t="d">
        <x:v>2026-10-23T00:00:00.000Z</x:v>
      </x:c>
      <x:c r="G262" s="29"/>
      <x:c r="H262" s="29" t="str">
        <x:v>İlgili içerik veya mekân kaydıyla eşleştirilen kaynak notu incelendi. AI öz denetimi; otomatik HTTP erişim sonucu ayrı source-access kayıtlarında tutulur.</x:v>
      </x:c>
      <x:c r="I262" s="29" t="str">
        <x:v>Evet</x:v>
      </x:c>
      <x:c r="J262" s="29"/>
      <x:c r="K262" s="29"/>
    </x:row>
    <x:row r="263" ht="54" customHeight="1">
      <x:c r="A263" s="29" t="str">
        <x:v>bakersfield:src:17823</x:v>
      </x:c>
      <x:c r="B263" s="29" t="str">
        <x:v>bakersfield</x:v>
      </x:c>
      <x:c r="C263" s="29" t="str">
        <x:v>Historic Green Hotel — ziyaret ve program</x:v>
      </x:c>
      <x:c r="D263" s="29" t="str">
        <x:v>Historic Green Hotel</x:v>
      </x:c>
      <x:c r="E263" s="29" t="str">
        <x:v>https://shafterdepotmuseum.org/links-and-resources/</x:v>
      </x:c>
      <x:c r="F263" s="31" t="d">
        <x:v>2026-10-23T00:00:00.000Z</x:v>
      </x:c>
      <x:c r="G263" s="29"/>
      <x:c r="H263" s="29" t="str">
        <x:v>İlgili içerik veya mekân kaydıyla eşleştirilen kaynak notu incelendi. AI öz denetimi; otomatik HTTP erişim sonucu ayrı source-access kayıtlarında tutulur.</x:v>
      </x:c>
      <x:c r="I263" s="29" t="str">
        <x:v>Evet</x:v>
      </x:c>
      <x:c r="J263" s="29"/>
      <x:c r="K263" s="29"/>
    </x:row>
    <x:row r="264" ht="54" customHeight="1">
      <x:c r="A264" s="29" t="str">
        <x:v>bakersfield:src:17824</x:v>
      </x:c>
      <x:c r="B264" s="29" t="str">
        <x:v>bakersfield</x:v>
      </x:c>
      <x:c r="C264" s="29" t="str">
        <x:v>West Kern Oil Museum — ziyaret ve program</x:v>
      </x:c>
      <x:c r="D264" s="29" t="str">
        <x:v>West Kern Oil Museum</x:v>
      </x:c>
      <x:c r="E264" s="29" t="str">
        <x:v>https://www.westkernoilmuseum.org/</x:v>
      </x:c>
      <x:c r="F264" s="31" t="d">
        <x:v>2026-10-23T00:00:00.000Z</x:v>
      </x:c>
      <x:c r="G264" s="29"/>
      <x:c r="H264" s="29" t="str">
        <x:v>İlgili içerik veya mekân kaydıyla eşleştirilen kaynak notu incelendi. AI öz denetimi; otomatik HTTP erişim sonucu ayrı source-access kayıtlarında tutulur.</x:v>
      </x:c>
      <x:c r="I264" s="29" t="str">
        <x:v>Evet</x:v>
      </x:c>
      <x:c r="J264" s="29"/>
      <x:c r="K264" s="29"/>
    </x:row>
    <x:row r="265" ht="54" customHeight="1">
      <x:c r="A265" s="29" t="str">
        <x:v>bakersfield:src:17825</x:v>
      </x:c>
      <x:c r="B265" s="29" t="str">
        <x:v>bakersfield</x:v>
      </x:c>
      <x:c r="C265" s="29" t="str">
        <x:v>The Historic Fort – Taft — ziyaret ve program</x:v>
      </x:c>
      <x:c r="D265" s="29" t="str">
        <x:v>The Historic Fort – Taft</x:v>
      </x:c>
      <x:c r="E265" s="29" t="str">
        <x:v>https://www.cityoftaft.ca.gov/5383/Tafts-Historic-Fort</x:v>
      </x:c>
      <x:c r="F265" s="31" t="d">
        <x:v>2026-10-23T00:00:00.000Z</x:v>
      </x:c>
      <x:c r="G265" s="29"/>
      <x:c r="H265" s="29" t="str">
        <x:v>İlgili içerik veya mekân kaydıyla eşleştirilen kaynak notu incelendi. AI öz denetimi; otomatik HTTP erişim sonucu ayrı source-access kayıtlarında tutulur.</x:v>
      </x:c>
      <x:c r="I265" s="29" t="str">
        <x:v>Evet</x:v>
      </x:c>
      <x:c r="J265" s="29"/>
      <x:c r="K265" s="29"/>
    </x:row>
    <x:row r="266" ht="54" customHeight="1">
      <x:c r="A266" s="29" t="str">
        <x:v>bakersfield:src:17826</x:v>
      </x:c>
      <x:c r="B266" s="29" t="str">
        <x:v>bakersfield</x:v>
      </x:c>
      <x:c r="C266" s="29" t="str">
        <x:v>Taft Fox Theatre — ziyaret ve program</x:v>
      </x:c>
      <x:c r="D266" s="29" t="str">
        <x:v>Taft Fox Theatre</x:v>
      </x:c>
      <x:c r="E266" s="29" t="str">
        <x:v>https://www.taftfoxtheatre.com/</x:v>
      </x:c>
      <x:c r="F266" s="31" t="d">
        <x:v>2026-10-23T00:00:00.000Z</x:v>
      </x:c>
      <x:c r="G266" s="29"/>
      <x:c r="H266" s="29" t="str">
        <x:v>İlgili içerik veya mekân kaydıyla eşleştirilen kaynak notu incelendi. AI öz denetimi; otomatik HTTP erişim sonucu ayrı source-access kayıtlarında tutulur.</x:v>
      </x:c>
      <x:c r="I266" s="29" t="str">
        <x:v>Evet</x:v>
      </x:c>
      <x:c r="J266" s="29"/>
      <x:c r="K266" s="29"/>
    </x:row>
    <x:row r="267" ht="54" customHeight="1">
      <x:c r="A267" s="29" t="str">
        <x:v>bakersfield:src:17827</x:v>
      </x:c>
      <x:c r="B267" s="29" t="str">
        <x:v>bakersfield</x:v>
      </x:c>
      <x:c r="C267" s="29" t="str">
        <x:v>BeeKay Theatre — ziyaret ve program</x:v>
      </x:c>
      <x:c r="D267" s="29" t="str">
        <x:v>BeeKay Theatre</x:v>
      </x:c>
      <x:c r="E267" s="29" t="str">
        <x:v>https://www.tctaonstage.com/renting-the-theater</x:v>
      </x:c>
      <x:c r="F267" s="31" t="d">
        <x:v>2026-10-23T00:00:00.000Z</x:v>
      </x:c>
      <x:c r="G267" s="29"/>
      <x:c r="H267" s="29" t="str">
        <x:v>İlgili içerik veya mekân kaydıyla eşleştirilen kaynak notu incelendi. AI öz denetimi; otomatik HTTP erişim sonucu ayrı source-access kayıtlarında tutulur.</x:v>
      </x:c>
      <x:c r="I267" s="29" t="str">
        <x:v>Evet</x:v>
      </x:c>
      <x:c r="J267" s="29"/>
      <x:c r="K267" s="29"/>
    </x:row>
    <x:row r="268" ht="54" customHeight="1">
      <x:c r="A268" s="29" t="str">
        <x:v>bakersfield:src:17828</x:v>
      </x:c>
      <x:c r="B268" s="29" t="str">
        <x:v>bakersfield</x:v>
      </x:c>
      <x:c r="C268" s="29" t="str">
        <x:v>Errea House Museum — ziyaret ve program</x:v>
      </x:c>
      <x:c r="D268" s="29" t="str">
        <x:v>Errea House Museum</x:v>
      </x:c>
      <x:c r="E268" s="29" t="str">
        <x:v>https://visittehachapi.com/attractions/142</x:v>
      </x:c>
      <x:c r="F268" s="31" t="d">
        <x:v>2026-10-23T00:00:00.000Z</x:v>
      </x:c>
      <x:c r="G268" s="29"/>
      <x:c r="H268" s="29" t="str">
        <x:v>İlgili içerik veya mekân kaydıyla eşleştirilen kaynak notu incelendi. AI öz denetimi; otomatik HTTP erişim sonucu ayrı source-access kayıtlarında tutulur.</x:v>
      </x:c>
      <x:c r="I268" s="29" t="str">
        <x:v>Evet</x:v>
      </x:c>
      <x:c r="J268" s="29"/>
      <x:c r="K268" s="29"/>
    </x:row>
    <x:row r="269" ht="54" customHeight="1">
      <x:c r="A269" s="29" t="str">
        <x:v>bakersfield:src:17829</x:v>
      </x:c>
      <x:c r="B269" s="29" t="str">
        <x:v>bakersfield</x:v>
      </x:c>
      <x:c r="C269" s="29" t="str">
        <x:v>Tehachapi Loop — ziyaret ve program</x:v>
      </x:c>
      <x:c r="D269" s="29" t="str">
        <x:v>Tehachapi Loop</x:v>
      </x:c>
      <x:c r="E269" s="29" t="str">
        <x:v>https://visittehachapi.com/</x:v>
      </x:c>
      <x:c r="F269" s="31" t="d">
        <x:v>2026-10-23T00:00:00.000Z</x:v>
      </x:c>
      <x:c r="G269" s="29"/>
      <x:c r="H269" s="29" t="str">
        <x:v>İlgili içerik veya mekân kaydıyla eşleştirilen kaynak notu incelendi. AI öz denetimi; otomatik HTTP erişim sonucu ayrı source-access kayıtlarında tutulur.</x:v>
      </x:c>
      <x:c r="I269" s="29" t="str">
        <x:v>Evet</x:v>
      </x:c>
      <x:c r="J269" s="29"/>
      <x:c r="K269" s="29"/>
    </x:row>
    <x:row r="270" ht="54" customHeight="1">
      <x:c r="A270" s="29" t="str">
        <x:v>bakersfield:src:17830</x:v>
      </x:c>
      <x:c r="B270" s="29" t="str">
        <x:v>bakersfield</x:v>
      </x:c>
      <x:c r="C270" s="29" t="str">
        <x:v>Silver City Ghost Town — ziyaret ve program</x:v>
      </x:c>
      <x:c r="D270" s="29" t="str">
        <x:v>Silver City Ghost Town</x:v>
      </x:c>
      <x:c r="E270" s="29" t="str">
        <x:v>https://linktr.ee/silvercityghosttown</x:v>
      </x:c>
      <x:c r="F270" s="31" t="d">
        <x:v>2026-10-23T00:00:00.000Z</x:v>
      </x:c>
      <x:c r="G270" s="29"/>
      <x:c r="H270" s="29" t="str">
        <x:v>İlgili içerik veya mekân kaydıyla eşleştirilen kaynak notu incelendi. AI öz denetimi; otomatik HTTP erişim sonucu ayrı source-access kayıtlarında tutulur.</x:v>
      </x:c>
      <x:c r="I270" s="29" t="str">
        <x:v>Evet</x:v>
      </x:c>
      <x:c r="J270" s="29"/>
      <x:c r="K270" s="29"/>
    </x:row>
    <x:row r="271" ht="68" customHeight="1">
      <x:c r="A271" s="29" t="str">
        <x:v>bakersfield:src:17831</x:v>
      </x:c>
      <x:c r="B271" s="29" t="str">
        <x:v>bakersfield</x:v>
      </x:c>
      <x:c r="C271" s="29" t="str">
        <x:v>Nuui Cunni Native American Intertribal Cultural Center — ziyaret ve program</x:v>
      </x:c>
      <x:c r="D271" s="29" t="str">
        <x:v>Nuui Cunni Native American Intertribal Cultural Center</x:v>
      </x:c>
      <x:c r="E271" s="29" t="str">
        <x:v>https://www.kernrivervalley.com/member-directory</x:v>
      </x:c>
      <x:c r="F271" s="31" t="d">
        <x:v>2026-10-23T00:00:00.000Z</x:v>
      </x:c>
      <x:c r="G271" s="29"/>
      <x:c r="H271" s="29" t="str">
        <x:v>İlgili içerik veya mekân kaydıyla eşleştirilen kaynak notu incelendi. AI öz denetimi; otomatik HTTP erişim sonucu ayrı source-access kayıtlarında tutulur.</x:v>
      </x:c>
      <x:c r="I271" s="29" t="str">
        <x:v>Evet</x:v>
      </x:c>
      <x:c r="J271" s="29"/>
      <x:c r="K271" s="29"/>
    </x:row>
    <x:row r="272" ht="54" customHeight="1">
      <x:c r="A272" s="29" t="str">
        <x:v>bakersfield:src:17833</x:v>
      </x:c>
      <x:c r="B272" s="29" t="str">
        <x:v>bakersfield</x:v>
      </x:c>
      <x:c r="C272" s="29" t="str">
        <x:v>Canebrake Ecological Reserve — ziyaret ve program</x:v>
      </x:c>
      <x:c r="D272" s="29" t="str">
        <x:v>Canebrake Ecological Reserve</x:v>
      </x:c>
      <x:c r="E272" s="29" t="str">
        <x:v>https://wildlife.ca.gov/Lands/Places-to-Visit/Canebrake-ER</x:v>
      </x:c>
      <x:c r="F272" s="31" t="d">
        <x:v>2026-10-23T00:00:00.000Z</x:v>
      </x:c>
      <x:c r="G272" s="29"/>
      <x:c r="H272" s="29" t="str">
        <x:v>İlgili içerik veya mekân kaydıyla eşleştirilen kaynak notu incelendi. AI öz denetimi; otomatik HTTP erişim sonucu ayrı source-access kayıtlarında tutulur.</x:v>
      </x:c>
      <x:c r="I272" s="29" t="str">
        <x:v>Evet</x:v>
      </x:c>
      <x:c r="J272" s="29"/>
      <x:c r="K272" s="29"/>
    </x:row>
    <x:row r="273" ht="54" customHeight="1">
      <x:c r="A273" s="29" t="str">
        <x:v>bakersfield:src:17834</x:v>
      </x:c>
      <x:c r="B273" s="29" t="str">
        <x:v>bakersfield</x:v>
      </x:c>
      <x:c r="C273" s="29" t="str">
        <x:v>Kern National Wildlife Refuge — ziyaret ve program</x:v>
      </x:c>
      <x:c r="D273" s="29" t="str">
        <x:v>Kern National Wildlife Refuge</x:v>
      </x:c>
      <x:c r="E273" s="29" t="str">
        <x:v>https://www.fws.gov/refuge/kern</x:v>
      </x:c>
      <x:c r="F273" s="31" t="d">
        <x:v>2026-10-23T00:00:00.000Z</x:v>
      </x:c>
      <x:c r="G273" s="29"/>
      <x:c r="H273" s="29" t="str">
        <x:v>İlgili içerik veya mekân kaydıyla eşleştirilen kaynak notu incelendi. AI öz denetimi; otomatik HTTP erişim sonucu ayrı source-access kayıtlarında tutulur.</x:v>
      </x:c>
      <x:c r="I273" s="29" t="str">
        <x:v>Evet</x:v>
      </x:c>
      <x:c r="J273" s="29"/>
      <x:c r="K273" s="29"/>
    </x:row>
    <x:row r="274" ht="54" customHeight="1">
      <x:c r="A274" s="29" t="str">
        <x:v>bakersfield:src:17835</x:v>
      </x:c>
      <x:c r="B274" s="29" t="str">
        <x:v>bakersfield</x:v>
      </x:c>
      <x:c r="C274" s="29" t="str">
        <x:v>Buttonwillow Raceway Park — ziyaret ve program</x:v>
      </x:c>
      <x:c r="D274" s="29" t="str">
        <x:v>Buttonwillow Raceway Park</x:v>
      </x:c>
      <x:c r="E274" s="29" t="str">
        <x:v>https://buttonwillowraceway.com/</x:v>
      </x:c>
      <x:c r="F274" s="31" t="d">
        <x:v>2026-10-23T00:00:00.000Z</x:v>
      </x:c>
      <x:c r="G274" s="29"/>
      <x:c r="H274" s="29" t="str">
        <x:v>İlgili içerik veya mekân kaydıyla eşleştirilen kaynak notu incelendi. AI öz denetimi; otomatik HTTP erişim sonucu ayrı source-access kayıtlarında tutulur.</x:v>
      </x:c>
      <x:c r="I274" s="29" t="str">
        <x:v>Evet</x:v>
      </x:c>
      <x:c r="J274" s="29"/>
      <x:c r="K274" s="29"/>
    </x:row>
    <x:row r="275" ht="54" customHeight="1">
      <x:c r="A275" s="29" t="str">
        <x:v>bakersfield:src:17836</x:v>
      </x:c>
      <x:c r="B275" s="29" t="str">
        <x:v>bakersfield</x:v>
      </x:c>
      <x:c r="C275" s="29" t="str">
        <x:v>Red Rock Canyon State Park — ziyaret ve program</x:v>
      </x:c>
      <x:c r="D275" s="29" t="str">
        <x:v>Red Rock Canyon State Park</x:v>
      </x:c>
      <x:c r="E275" s="29" t="str">
        <x:v>https://www.parks.ca.gov/?page_id=631</x:v>
      </x:c>
      <x:c r="F275" s="31" t="d">
        <x:v>2026-10-23T00:00:00.000Z</x:v>
      </x:c>
      <x:c r="G275" s="29"/>
      <x:c r="H275" s="29" t="str">
        <x:v>İlgili içerik veya mekân kaydıyla eşleştirilen kaynak notu incelendi. AI öz denetimi; otomatik HTTP erişim sonucu ayrı source-access kayıtlarında tutulur.</x:v>
      </x:c>
      <x:c r="I275" s="29" t="str">
        <x:v>Evet</x:v>
      </x:c>
      <x:c r="J275" s="29"/>
      <x:c r="K275" s="29"/>
    </x:row>
    <x:row r="276" ht="54" customHeight="1">
      <x:c r="A276" s="29" t="str">
        <x:v>bakersfield:src:17837</x:v>
      </x:c>
      <x:c r="B276" s="29" t="str">
        <x:v>bakersfield</x:v>
      </x:c>
      <x:c r="C276" s="29" t="str">
        <x:v>Carrizo Plain National Monument — ziyaret ve program</x:v>
      </x:c>
      <x:c r="D276" s="29" t="str">
        <x:v>Carrizo Plain National Monument</x:v>
      </x:c>
      <x:c r="E276" s="29" t="str">
        <x:v>https://www.blm.gov/visit/carrizo-plain-national-monument</x:v>
      </x:c>
      <x:c r="F276" s="31" t="d">
        <x:v>2026-10-23T00:00:00.000Z</x:v>
      </x:c>
      <x:c r="G276" s="29"/>
      <x:c r="H276" s="29" t="str">
        <x:v>İlgili içerik veya mekân kaydıyla eşleştirilen kaynak notu incelendi. AI öz denetimi; otomatik HTTP erişim sonucu ayrı source-access kayıtlarında tutulur.</x:v>
      </x:c>
      <x:c r="I276" s="29" t="str">
        <x:v>Evet</x:v>
      </x:c>
      <x:c r="J276" s="29"/>
      <x:c r="K276" s="29"/>
    </x:row>
    <x:row r="277" ht="54" customHeight="1">
      <x:c r="A277" s="29" t="str">
        <x:v>bakersfield:src:17838</x:v>
      </x:c>
      <x:c r="B277" s="29" t="str">
        <x:v>bakersfield</x:v>
      </x:c>
      <x:c r="C277" s="29" t="str">
        <x:v>Sunset Labor Camp – Weedpatch — ziyaret ve program</x:v>
      </x:c>
      <x:c r="D277" s="29" t="str">
        <x:v>Sunset Labor Camp – Weedpatch</x:v>
      </x:c>
      <x:c r="E277" s="29" t="str">
        <x:v>https://www.kernha.org/</x:v>
      </x:c>
      <x:c r="F277" s="31" t="d">
        <x:v>2026-10-23T00:00:00.000Z</x:v>
      </x:c>
      <x:c r="G277" s="29"/>
      <x:c r="H277" s="29" t="str">
        <x:v>İlgili içerik veya mekân kaydıyla eşleştirilen kaynak notu incelendi. AI öz denetimi; otomatik HTTP erişim sonucu ayrı source-access kayıtlarında tutulur.</x:v>
      </x:c>
      <x:c r="I277" s="29" t="str">
        <x:v>Evet</x:v>
      </x:c>
      <x:c r="J277" s="29"/>
      <x:c r="K277" s="29"/>
    </x:row>
    <x:row r="278" ht="54" customHeight="1">
      <x:c r="A278" s="29" t="str">
        <x:v>bakersfield:src:17839</x:v>
      </x:c>
      <x:c r="B278" s="29" t="str">
        <x:v>bakersfield</x:v>
      </x:c>
      <x:c r="C278" s="29" t="str">
        <x:v>Maturango Museum — ziyaret ve program</x:v>
      </x:c>
      <x:c r="D278" s="29" t="str">
        <x:v>Maturango Museum</x:v>
      </x:c>
      <x:c r="E278" s="29" t="str">
        <x:v>https://maturango.org/</x:v>
      </x:c>
      <x:c r="F278" s="31" t="d">
        <x:v>2026-10-23T00:00:00.000Z</x:v>
      </x:c>
      <x:c r="G278" s="29"/>
      <x:c r="H278" s="29" t="str">
        <x:v>İlgili içerik veya mekân kaydıyla eşleştirilen kaynak notu incelendi. AI öz denetimi; otomatik HTTP erişim sonucu ayrı source-access kayıtlarında tutulur.</x:v>
      </x:c>
      <x:c r="I278" s="29" t="str">
        <x:v>Evet</x:v>
      </x:c>
      <x:c r="J278" s="29"/>
      <x:c r="K278" s="29"/>
    </x:row>
    <x:row r="279" ht="54" customHeight="1">
      <x:c r="A279" s="29" t="str">
        <x:v>bakersfield:src:17846</x:v>
      </x:c>
      <x:c r="B279" s="29" t="str">
        <x:v>bakersfield</x:v>
      </x:c>
      <x:c r="C279" s="29" t="str">
        <x:v>Downtown — bölge konumu</x:v>
      </x:c>
      <x:c r="D279" s="29" t="str">
        <x:v>Google Haritalar</x:v>
      </x:c>
      <x:c r="E279" s="29" t="str">
        <x:v>https://www.google.com/maps/search/?api=1&amp;query=Downtown%2C+Bakersfield%2C+California%2C+United+States</x:v>
      </x:c>
      <x:c r="F279" s="31" t="d">
        <x:v>2026-10-23T00:00:00.000Z</x:v>
      </x:c>
      <x:c r="G279" s="29"/>
      <x:c r="H279" s="29" t="str">
        <x:v>İlgili içerik veya mekân kaydıyla eşleştirilen kaynak notu incelendi. AI öz denetimi; otomatik HTTP erişim sonucu ayrı source-access kayıtlarında tutulur.</x:v>
      </x:c>
      <x:c r="I279" s="29" t="str">
        <x:v>Evet</x:v>
      </x:c>
      <x:c r="J279" s="29"/>
      <x:c r="K279" s="29"/>
    </x:row>
    <x:row r="280" ht="54" customHeight="1">
      <x:c r="A280" s="29" t="str">
        <x:v>bakersfield:src:17847</x:v>
      </x:c>
      <x:c r="B280" s="29" t="str">
        <x:v>bakersfield</x:v>
      </x:c>
      <x:c r="C280" s="29" t="str">
        <x:v>Mill Creek çevresi — bölge konumu</x:v>
      </x:c>
      <x:c r="D280" s="29" t="str">
        <x:v>Google Haritalar</x:v>
      </x:c>
      <x:c r="E280" s="29" t="str">
        <x:v>https://www.google.com/maps/search/?api=1&amp;query=Mill+Creek+%C3%A7evresi%2C+Bakersfield%2C+California%2C+United+States</x:v>
      </x:c>
      <x:c r="F280" s="31" t="d">
        <x:v>2026-10-23T00:00:00.000Z</x:v>
      </x:c>
      <x:c r="G280" s="29"/>
      <x:c r="H280" s="29" t="str">
        <x:v>İlgili içerik veya mekân kaydıyla eşleştirilen kaynak notu incelendi. AI öz denetimi; otomatik HTTP erişim sonucu ayrı source-access kayıtlarında tutulur.</x:v>
      </x:c>
      <x:c r="I280" s="29" t="str">
        <x:v>Evet</x:v>
      </x:c>
      <x:c r="J280" s="29"/>
      <x:c r="K280" s="29"/>
    </x:row>
    <x:row r="281" ht="54" customHeight="1">
      <x:c r="A281" s="29" t="str">
        <x:v>bakersfield:src:17848</x:v>
      </x:c>
      <x:c r="B281" s="29" t="str">
        <x:v>bakersfield</x:v>
      </x:c>
      <x:c r="C281" s="29" t="str">
        <x:v>Westchester — bölge konumu</x:v>
      </x:c>
      <x:c r="D281" s="29" t="str">
        <x:v>Google Haritalar</x:v>
      </x:c>
      <x:c r="E281" s="29" t="str">
        <x:v>https://www.google.com/maps/search/?api=1&amp;query=Westchester%2C+Bakersfield%2C+California%2C+United+States</x:v>
      </x:c>
      <x:c r="F281" s="31" t="d">
        <x:v>2026-10-23T00:00:00.000Z</x:v>
      </x:c>
      <x:c r="G281" s="29"/>
      <x:c r="H281" s="29" t="str">
        <x:v>İlgili içerik veya mekân kaydıyla eşleştirilen kaynak notu incelendi. AI öz denetimi; otomatik HTTP erişim sonucu ayrı source-access kayıtlarında tutulur.</x:v>
      </x:c>
      <x:c r="I281" s="29" t="str">
        <x:v>Evet</x:v>
      </x:c>
      <x:c r="J281" s="29"/>
      <x:c r="K281" s="29"/>
    </x:row>
    <x:row r="282" ht="68" customHeight="1">
      <x:c r="A282" s="29" t="str">
        <x:v>bakersfield:src:17849</x:v>
      </x:c>
      <x:c r="B282" s="29" t="str">
        <x:v>bakersfield</x:v>
      </x:c>
      <x:c r="C282" s="29" t="str">
        <x:v>Oleander–Sunset / Eye Street çevresi — bölge konumu</x:v>
      </x:c>
      <x:c r="D282" s="29" t="str">
        <x:v>Google Haritalar</x:v>
      </x:c>
      <x:c r="E282" s="29" t="str">
        <x:v>https://www.google.com/maps/search/?api=1&amp;query=Oleander%E2%80%93Sunset+%2F+Eye+Street+%C3%A7evresi%2C+Bakersfield%2C+California%2C+United+States</x:v>
      </x:c>
      <x:c r="F282" s="31" t="d">
        <x:v>2026-10-23T00:00:00.000Z</x:v>
      </x:c>
      <x:c r="G282" s="29"/>
      <x:c r="H282" s="29" t="str">
        <x:v>İlgili içerik veya mekân kaydıyla eşleştirilen kaynak notu incelendi. AI öz denetimi; otomatik HTTP erişim sonucu ayrı source-access kayıtlarında tutulur.</x:v>
      </x:c>
      <x:c r="I282" s="29" t="str">
        <x:v>Evet</x:v>
      </x:c>
      <x:c r="J282" s="29"/>
      <x:c r="K282" s="29"/>
    </x:row>
    <x:row r="283" ht="54" customHeight="1">
      <x:c r="A283" s="29" t="str">
        <x:v>bakersfield:src:17850</x:v>
      </x:c>
      <x:c r="B283" s="29" t="str">
        <x:v>bakersfield</x:v>
      </x:c>
      <x:c r="C283" s="29" t="str">
        <x:v>Old Town Kern / Baker Street — bölge konumu</x:v>
      </x:c>
      <x:c r="D283" s="29" t="str">
        <x:v>Google Haritalar</x:v>
      </x:c>
      <x:c r="E283" s="29" t="str">
        <x:v>https://www.google.com/maps/search/?api=1&amp;query=Old+Town+Kern+%2F+Baker+Street%2C+Bakersfield%2C+California%2C+United+States</x:v>
      </x:c>
      <x:c r="F283" s="31" t="d">
        <x:v>2026-10-23T00:00:00.000Z</x:v>
      </x:c>
      <x:c r="G283" s="29"/>
      <x:c r="H283" s="29" t="str">
        <x:v>İlgili içerik veya mekân kaydıyla eşleştirilen kaynak notu incelendi. AI öz denetimi; otomatik HTTP erişim sonucu ayrı source-access kayıtlarında tutulur.</x:v>
      </x:c>
      <x:c r="I283" s="29" t="str">
        <x:v>Evet</x:v>
      </x:c>
      <x:c r="J283" s="29"/>
      <x:c r="K283" s="29"/>
    </x:row>
    <x:row r="284" ht="68" customHeight="1">
      <x:c r="A284" s="29" t="str">
        <x:v>bakersfield:src:17851</x:v>
      </x:c>
      <x:c r="B284" s="29" t="str">
        <x:v>bakersfield</x:v>
      </x:c>
      <x:c r="C284" s="29" t="str">
        <x:v>Bakersfield College / Panorama çevresi — bölge konumu</x:v>
      </x:c>
      <x:c r="D284" s="29" t="str">
        <x:v>Google Haritalar</x:v>
      </x:c>
      <x:c r="E284" s="29" t="str">
        <x:v>https://www.google.com/maps/search/?api=1&amp;query=Bakersfield+College+%2F+Panorama+%C3%A7evresi%2C+Bakersfield%2C+California%2C+United+States</x:v>
      </x:c>
      <x:c r="F284" s="31" t="d">
        <x:v>2026-10-23T00:00:00.000Z</x:v>
      </x:c>
      <x:c r="G284" s="29"/>
      <x:c r="H284" s="29" t="str">
        <x:v>İlgili içerik veya mekân kaydıyla eşleştirilen kaynak notu incelendi. AI öz denetimi; otomatik HTTP erişim sonucu ayrı source-access kayıtlarında tutulur.</x:v>
      </x:c>
      <x:c r="I284" s="29" t="str">
        <x:v>Evet</x:v>
      </x:c>
      <x:c r="J284" s="29"/>
      <x:c r="K284" s="29"/>
    </x:row>
    <x:row r="285" ht="68" customHeight="1">
      <x:c r="A285" s="29" t="str">
        <x:v>bakersfield:src:17852</x:v>
      </x:c>
      <x:c r="B285" s="29" t="str">
        <x:v>bakersfield</x:v>
      </x:c>
      <x:c r="C285" s="29" t="str">
        <x:v>South Bakersfield / Union çevresi — bölge konumu</x:v>
      </x:c>
      <x:c r="D285" s="29" t="str">
        <x:v>Google Haritalar</x:v>
      </x:c>
      <x:c r="E285" s="29" t="str">
        <x:v>https://www.google.com/maps/search/?api=1&amp;query=South+Bakersfield+%2F+Union+%C3%A7evresi%2C+Bakersfield%2C+California%2C+United+States</x:v>
      </x:c>
      <x:c r="F285" s="31" t="d">
        <x:v>2026-10-23T00:00:00.000Z</x:v>
      </x:c>
      <x:c r="G285" s="29"/>
      <x:c r="H285" s="29" t="str">
        <x:v>İlgili içerik veya mekân kaydıyla eşleştirilen kaynak notu incelendi. AI öz denetimi; otomatik HTTP erişim sonucu ayrı source-access kayıtlarında tutulur.</x:v>
      </x:c>
      <x:c r="I285" s="29" t="str">
        <x:v>Evet</x:v>
      </x:c>
      <x:c r="J285" s="29"/>
      <x:c r="K285" s="29"/>
    </x:row>
    <x:row r="286" ht="68" customHeight="1">
      <x:c r="A286" s="29" t="str">
        <x:v>bakersfield:src:17853</x:v>
      </x:c>
      <x:c r="B286" s="29" t="str">
        <x:v>bakersfield</x:v>
      </x:c>
      <x:c r="C286" s="29" t="str">
        <x:v>Ming Avenue / Valley Plaza çevresi — bölge konumu</x:v>
      </x:c>
      <x:c r="D286" s="29" t="str">
        <x:v>Google Haritalar</x:v>
      </x:c>
      <x:c r="E286" s="29" t="str">
        <x:v>https://www.google.com/maps/search/?api=1&amp;query=Ming+Avenue+%2F+Valley+Plaza+%C3%A7evresi%2C+Bakersfield%2C+California%2C+United+States</x:v>
      </x:c>
      <x:c r="F286" s="31" t="d">
        <x:v>2026-10-23T00:00:00.000Z</x:v>
      </x:c>
      <x:c r="G286" s="29"/>
      <x:c r="H286" s="29" t="str">
        <x:v>İlgili içerik veya mekân kaydıyla eşleştirilen kaynak notu incelendi. AI öz denetimi; otomatik HTTP erişim sonucu ayrı source-access kayıtlarında tutulur.</x:v>
      </x:c>
      <x:c r="I286" s="29" t="str">
        <x:v>Evet</x:v>
      </x:c>
      <x:c r="J286" s="29"/>
      <x:c r="K286" s="29"/>
    </x:row>
    <x:row r="287" ht="68" customHeight="1">
      <x:c r="A287" s="29" t="str">
        <x:v>bakersfield:src:17854</x:v>
      </x:c>
      <x:c r="B287" s="29" t="str">
        <x:v>bakersfield</x:v>
      </x:c>
      <x:c r="C287" s="29" t="str">
        <x:v>Haggin Oaks / Marketplace çevresi — bölge konumu</x:v>
      </x:c>
      <x:c r="D287" s="29" t="str">
        <x:v>Google Haritalar</x:v>
      </x:c>
      <x:c r="E287" s="29" t="str">
        <x:v>https://www.google.com/maps/search/?api=1&amp;query=Haggin+Oaks+%2F+Marketplace+%C3%A7evresi%2C+Bakersfield%2C+California%2C+United+States</x:v>
      </x:c>
      <x:c r="F287" s="31" t="d">
        <x:v>2026-10-23T00:00:00.000Z</x:v>
      </x:c>
      <x:c r="G287" s="29"/>
      <x:c r="H287" s="29" t="str">
        <x:v>İlgili içerik veya mekân kaydıyla eşleştirilen kaynak notu incelendi. AI öz denetimi; otomatik HTTP erişim sonucu ayrı source-access kayıtlarında tutulur.</x:v>
      </x:c>
      <x:c r="I287" s="29" t="str">
        <x:v>Evet</x:v>
      </x:c>
      <x:c r="J287" s="29"/>
      <x:c r="K287" s="29"/>
    </x:row>
    <x:row r="288" ht="68" customHeight="1">
      <x:c r="A288" s="29" t="str">
        <x:v>bakersfield:src:17855</x:v>
      </x:c>
      <x:c r="B288" s="29" t="str">
        <x:v>bakersfield</x:v>
      </x:c>
      <x:c r="C288" s="29" t="str">
        <x:v>Stockdale / CSU Bakersfield çevresi — bölge konumu</x:v>
      </x:c>
      <x:c r="D288" s="29" t="str">
        <x:v>Google Haritalar</x:v>
      </x:c>
      <x:c r="E288" s="29" t="str">
        <x:v>https://www.google.com/maps/search/?api=1&amp;query=Stockdale+%2F+CSU+Bakersfield+%C3%A7evresi%2C+Bakersfield%2C+California%2C+United+States</x:v>
      </x:c>
      <x:c r="F288" s="31" t="d">
        <x:v>2026-10-23T00:00:00.000Z</x:v>
      </x:c>
      <x:c r="G288" s="29"/>
      <x:c r="H288" s="29" t="str">
        <x:v>İlgili içerik veya mekân kaydıyla eşleştirilen kaynak notu incelendi. AI öz denetimi; otomatik HTTP erişim sonucu ayrı source-access kayıtlarında tutulur.</x:v>
      </x:c>
      <x:c r="I288" s="29" t="str">
        <x:v>Evet</x:v>
      </x:c>
      <x:c r="J288" s="29"/>
      <x:c r="K288" s="29"/>
    </x:row>
    <x:row r="289" ht="54" customHeight="1">
      <x:c r="A289" s="29" t="str">
        <x:v>bakersfield:src:17856</x:v>
      </x:c>
      <x:c r="B289" s="29" t="str">
        <x:v>bakersfield</x:v>
      </x:c>
      <x:c r="C289" s="29" t="str">
        <x:v>River Walk çevresi — bölge konumu</x:v>
      </x:c>
      <x:c r="D289" s="29" t="str">
        <x:v>Google Haritalar</x:v>
      </x:c>
      <x:c r="E289" s="29" t="str">
        <x:v>https://www.google.com/maps/search/?api=1&amp;query=River+Walk+%C3%A7evresi%2C+Bakersfield%2C+California%2C+United+States</x:v>
      </x:c>
      <x:c r="F289" s="31" t="d">
        <x:v>2026-10-23T00:00:00.000Z</x:v>
      </x:c>
      <x:c r="G289" s="29"/>
      <x:c r="H289" s="29" t="str">
        <x:v>İlgili içerik veya mekân kaydıyla eşleştirilen kaynak notu incelendi. AI öz denetimi; otomatik HTTP erişim sonucu ayrı source-access kayıtlarında tutulur.</x:v>
      </x:c>
      <x:c r="I289" s="29" t="str">
        <x:v>Evet</x:v>
      </x:c>
      <x:c r="J289" s="29"/>
      <x:c r="K289" s="29"/>
    </x:row>
    <x:row r="290" ht="54" customHeight="1">
      <x:c r="A290" s="29" t="str">
        <x:v>bakersfield:src:17857</x:v>
      </x:c>
      <x:c r="B290" s="29" t="str">
        <x:v>bakersfield</x:v>
      </x:c>
      <x:c r="C290" s="29" t="str">
        <x:v>Silver Creek — bölge konumu</x:v>
      </x:c>
      <x:c r="D290" s="29" t="str">
        <x:v>Google Haritalar</x:v>
      </x:c>
      <x:c r="E290" s="29" t="str">
        <x:v>https://www.google.com/maps/search/?api=1&amp;query=Silver+Creek%2C+Bakersfield%2C+California%2C+United+States</x:v>
      </x:c>
      <x:c r="F290" s="31" t="d">
        <x:v>2026-10-23T00:00:00.000Z</x:v>
      </x:c>
      <x:c r="G290" s="29"/>
      <x:c r="H290" s="29" t="str">
        <x:v>İlgili içerik veya mekân kaydıyla eşleştirilen kaynak notu incelendi. AI öz denetimi; otomatik HTTP erişim sonucu ayrı source-access kayıtlarında tutulur.</x:v>
      </x:c>
      <x:c r="I290" s="29" t="str">
        <x:v>Evet</x:v>
      </x:c>
      <x:c r="J290" s="29"/>
      <x:c r="K290" s="29"/>
    </x:row>
    <x:row r="291" ht="54" customHeight="1">
      <x:c r="A291" s="29" t="str">
        <x:v>bakersfield:src:17858</x:v>
      </x:c>
      <x:c r="B291" s="29" t="str">
        <x:v>bakersfield</x:v>
      </x:c>
      <x:c r="C291" s="29" t="str">
        <x:v>Rio Bravo / doğu etekleri — bölge konumu</x:v>
      </x:c>
      <x:c r="D291" s="29" t="str">
        <x:v>Google Haritalar</x:v>
      </x:c>
      <x:c r="E291" s="29" t="str">
        <x:v>https://www.google.com/maps/search/?api=1&amp;query=Rio+Bravo+%2F+do%C4%9Fu+etekleri%2C+Bakersfield%2C+California%2C+United+States</x:v>
      </x:c>
      <x:c r="F291" s="31" t="d">
        <x:v>2026-10-23T00:00:00.000Z</x:v>
      </x:c>
      <x:c r="G291" s="29"/>
      <x:c r="H291" s="29" t="str">
        <x:v>İlgili içerik veya mekân kaydıyla eşleştirilen kaynak notu incelendi. AI öz denetimi; otomatik HTTP erişim sonucu ayrı source-access kayıtlarında tutulur.</x:v>
      </x:c>
      <x:c r="I291" s="29" t="str">
        <x:v>Evet</x:v>
      </x:c>
      <x:c r="J291" s="29"/>
      <x:c r="K291" s="29"/>
    </x:row>
    <x:row r="292" ht="54" customHeight="1">
      <x:c r="A292" s="29" t="str">
        <x:v>bakersfield:src:17859</x:v>
      </x:c>
      <x:c r="B292" s="29" t="str">
        <x:v>bakersfield</x:v>
      </x:c>
      <x:c r="C292" s="29" t="str">
        <x:v>Meadows Field / Airport çevresi — bölge konumu</x:v>
      </x:c>
      <x:c r="D292" s="29" t="str">
        <x:v>Google Haritalar</x:v>
      </x:c>
      <x:c r="E292" s="29" t="str">
        <x:v>https://www.google.com/maps/search/?api=1&amp;query=Meadows+Field+%2F+Airport+%C3%A7evresi%2C+Bakersfield%2C+California%2C+United+States</x:v>
      </x:c>
      <x:c r="F292" s="31" t="d">
        <x:v>2026-10-23T00:00:00.000Z</x:v>
      </x:c>
      <x:c r="G292" s="29"/>
      <x:c r="H292" s="29" t="str">
        <x:v>İlgili içerik veya mekân kaydıyla eşleştirilen kaynak notu incelendi. AI öz denetimi; otomatik HTTP erişim sonucu ayrı source-access kayıtlarında tutulur.</x:v>
      </x:c>
      <x:c r="I292" s="29" t="str">
        <x:v>Evet</x:v>
      </x:c>
      <x:c r="J292" s="29"/>
      <x:c r="K292" s="29"/>
    </x:row>
    <x:row r="293" ht="54" customHeight="1">
      <x:c r="A293" s="29" t="str">
        <x:v>bakersfield:src:17860</x:v>
      </x:c>
      <x:c r="B293" s="29" t="str">
        <x:v>bakersfield</x:v>
      </x:c>
      <x:c r="C293" s="29" t="str">
        <x:v>Buck Owens Boulevard çevresi — bölge konumu</x:v>
      </x:c>
      <x:c r="D293" s="29" t="str">
        <x:v>Google Haritalar</x:v>
      </x:c>
      <x:c r="E293" s="29" t="str">
        <x:v>https://www.google.com/maps/search/?api=1&amp;query=Buck+Owens+Boulevard+%C3%A7evresi%2C+Bakersfield%2C+California%2C+United+States</x:v>
      </x:c>
      <x:c r="F293" s="31" t="d">
        <x:v>2026-10-23T00:00:00.000Z</x:v>
      </x:c>
      <x:c r="G293" s="29"/>
      <x:c r="H293" s="29" t="str">
        <x:v>İlgili içerik veya mekân kaydıyla eşleştirilen kaynak notu incelendi. AI öz denetimi; otomatik HTTP erişim sonucu ayrı source-access kayıtlarında tutulur.</x:v>
      </x:c>
      <x:c r="I293" s="29" t="str">
        <x:v>Evet</x:v>
      </x:c>
      <x:c r="J293" s="29"/>
      <x:c r="K293" s="29"/>
    </x:row>
    <x:row r="294" ht="68" customHeight="1">
      <x:c r="A294" s="29" t="str">
        <x:v>bakersfield:src:17861</x:v>
      </x:c>
      <x:c r="B294" s="29" t="str">
        <x:v>bakersfield</x:v>
      </x:c>
      <x:c r="C294" s="29" t="str">
        <x:v>Northeast / Kern River County Park çevresi — bölge konumu</x:v>
      </x:c>
      <x:c r="D294" s="29" t="str">
        <x:v>Google Haritalar</x:v>
      </x:c>
      <x:c r="E294" s="29" t="str">
        <x:v>https://www.google.com/maps/search/?api=1&amp;query=Northeast+%2F+Kern+River+County+Park+%C3%A7evresi%2C+Bakersfield%2C+California%2C+United+States</x:v>
      </x:c>
      <x:c r="F294" s="31" t="d">
        <x:v>2026-10-23T00:00:00.000Z</x:v>
      </x:c>
      <x:c r="G294" s="29"/>
      <x:c r="H294" s="29" t="str">
        <x:v>İlgili içerik veya mekân kaydıyla eşleştirilen kaynak notu incelendi. AI öz denetimi; otomatik HTTP erişim sonucu ayrı source-access kayıtlarında tutulur.</x:v>
      </x:c>
      <x:c r="I294" s="29" t="str">
        <x:v>Evet</x:v>
      </x:c>
      <x:c r="J294" s="29"/>
      <x:c r="K294" s="29"/>
    </x:row>
    <x:row r="295" ht="54" customHeight="1">
      <x:c r="A295" s="29" t="str">
        <x:v>bakersfield:src:17862</x:v>
      </x:c>
      <x:c r="B295" s="29" t="str">
        <x:v>bakersfield</x:v>
      </x:c>
      <x:c r="C295" s="29" t="str">
        <x:v>Sürücü belgesi ve kimlik ücretleri</x:v>
      </x:c>
      <x:c r="D295" s="29" t="str">
        <x:v>California DMV</x:v>
      </x:c>
      <x:c r="E295" s="29" t="str">
        <x:v>https://www.dmv.ca.gov/portal/driver-licenses-identification-cards/licensing-fees/</x:v>
      </x:c>
      <x:c r="F295" s="31" t="d">
        <x:v>2026-10-24T00:00:00.000Z</x:v>
      </x:c>
      <x:c r="G295" s="29"/>
      <x:c r="H295" s="29" t="str">
        <x:v>İlgili içerik veya mekân kaydıyla eşleştirilen kaynak notu incelendi. AI öz denetimi; otomatik HTTP erişim sonucu ayrı source-access kayıtlarında tutulur.</x:v>
      </x:c>
      <x:c r="I295" s="29" t="str">
        <x:v>Evet</x:v>
      </x:c>
      <x:c r="J295" s="29"/>
      <x:c r="K295" s="29"/>
    </x:row>
    <x:row r="296" ht="54" customHeight="1">
      <x:c r="A296" s="29" t="str">
        <x:v>bakersfield:src:17863</x:v>
      </x:c>
      <x:c r="B296" s="29" t="str">
        <x:v>bakersfield</x:v>
      </x:c>
      <x:c r="C296" s="29" t="str">
        <x:v>Bakersfield tren ve bağlantı otobüsleri</x:v>
      </x:c>
      <x:c r="D296" s="29" t="str">
        <x:v>Amtrak / Gold Runner</x:v>
      </x:c>
      <x:c r="E296" s="29" t="str">
        <x:v>https://www.amtrak.com/goldrunner</x:v>
      </x:c>
      <x:c r="F296" s="31" t="d">
        <x:v>2026-10-24T00:00:00.000Z</x:v>
      </x:c>
      <x:c r="G296" s="29"/>
      <x:c r="H296" s="29" t="str">
        <x:v>İlgili içerik veya mekân kaydıyla eşleştirilen kaynak notu incelendi. AI öz denetimi; otomatik HTTP erişim sonucu ayrı source-access kayıtlarında tutulur.</x:v>
      </x:c>
      <x:c r="I296" s="29" t="str">
        <x:v>Evet</x:v>
      </x:c>
      <x:c r="J296" s="29"/>
      <x:c r="K296" s="29"/>
    </x:row>
    <x:row r="297" ht="54" customHeight="1">
      <x:c r="A297" s="29" t="str">
        <x:v>bakersfield:src:17864</x:v>
      </x:c>
      <x:c r="B297" s="29" t="str">
        <x:v>bakersfield</x:v>
      </x:c>
      <x:c r="C297" s="29" t="str">
        <x:v>Adres değişikliği için on günlük süre</x:v>
      </x:c>
      <x:c r="D297" s="29" t="str">
        <x:v>California DMV</x:v>
      </x:c>
      <x:c r="E297" s="29" t="str">
        <x:v>https://www.dmv.ca.gov/portal/handbook/california-driver-handbook/changing-replacing-and-renewing-your-drivers-license/</x:v>
      </x:c>
      <x:c r="F297" s="31" t="d">
        <x:v>2026-10-24T00:00:00.000Z</x:v>
      </x:c>
      <x:c r="G297" s="29"/>
      <x:c r="H297" s="29" t="str">
        <x:v>İlgili içerik veya mekân kaydıyla eşleştirilen kaynak notu incelendi. AI öz denetimi; otomatik HTTP erişim sonucu ayrı source-access kayıtlarında tutulur.</x:v>
      </x:c>
      <x:c r="I297" s="29" t="str">
        <x:v>Evet</x:v>
      </x:c>
      <x:c r="J297" s="29"/>
      <x:c r="K297" s="29"/>
    </x:row>
    <x:row r="298" ht="54" customHeight="1">
      <x:c r="A298" s="29" t="str">
        <x:v>bakersfield:src:17865</x:v>
      </x:c>
      <x:c r="B298" s="29" t="str">
        <x:v>bakersfield</x:v>
      </x:c>
      <x:c r="C298" s="29" t="str">
        <x:v>Apostil başvuru formu ve ücretleri</x:v>
      </x:c>
      <x:c r="D298" s="29" t="str">
        <x:v>California Secretary of State</x:v>
      </x:c>
      <x:c r="E298" s="29" t="str">
        <x:v>https://notary.cdn.sos.ca.gov/forms/apostille-request-sac.pdf</x:v>
      </x:c>
      <x:c r="F298" s="31" t="d">
        <x:v>2026-10-24T00:00:00.000Z</x:v>
      </x:c>
      <x:c r="G298" s="29"/>
      <x:c r="H298" s="29" t="str">
        <x:v>İlgili içerik veya mekân kaydıyla eşleştirilen kaynak notu incelendi. AI öz denetimi; otomatik HTTP erişim sonucu ayrı source-access kayıtlarında tutulur.</x:v>
      </x:c>
      <x:c r="I298" s="29" t="str">
        <x:v>Evet</x:v>
      </x:c>
      <x:c r="J298" s="29"/>
      <x:c r="K298" s="29"/>
    </x:row>
    <x:row r="299" ht="54" customHeight="1">
      <x:c r="A299" s="29" t="str">
        <x:v>bakersfield:src:17866</x:v>
      </x:c>
      <x:c r="B299" s="29" t="str">
        <x:v>bakersfield</x:v>
      </x:c>
      <x:c r="C299" s="29" t="str">
        <x:v>AB 628: 2026 ocak ve buzdolabı koşulları</x:v>
      </x:c>
      <x:c r="D299" s="29" t="str">
        <x:v>California Legislature</x:v>
      </x:c>
      <x:c r="E299" s="29" t="str">
        <x:v>https://leginfo.legislature.ca.gov/faces/billNavClient.xhtml?bill_id=202520260AB628</x:v>
      </x:c>
      <x:c r="F299" s="31" t="d">
        <x:v>2026-10-24T00:00:00.000Z</x:v>
      </x:c>
      <x:c r="G299" s="29"/>
      <x:c r="H299" s="29" t="str">
        <x:v>İlgili içerik veya mekân kaydıyla eşleştirilen kaynak notu incelendi. AI öz denetimi; otomatik HTTP erişim sonucu ayrı source-access kayıtlarında tutulur.</x:v>
      </x:c>
      <x:c r="I299" s="29" t="str">
        <x:v>Evet</x:v>
      </x:c>
      <x:c r="J299" s="29"/>
      <x:c r="K299" s="29"/>
    </x:row>
    <x:row r="300" ht="54" customHeight="1">
      <x:c r="A300" s="29" t="str">
        <x:v>bakersfield:src:17867</x:v>
      </x:c>
      <x:c r="B300" s="29" t="str">
        <x:v>bakersfield</x:v>
      </x:c>
      <x:c r="C300" s="29" t="str">
        <x:v>Civil Code 1942.8 internet aboneliğinden çıkma</x:v>
      </x:c>
      <x:c r="D300" s="29" t="str">
        <x:v>California Legislature</x:v>
      </x:c>
      <x:c r="E300" s="29" t="str">
        <x:v>https://leginfo.legislature.ca.gov/faces/codes_displaySection.xhtml?sectionNum=1942.8.&amp;lawCode=CIV</x:v>
      </x:c>
      <x:c r="F300" s="31" t="d">
        <x:v>2026-10-24T00:00:00.000Z</x:v>
      </x:c>
      <x:c r="G300" s="29"/>
      <x:c r="H300" s="29" t="str">
        <x:v>İlgili içerik veya mekân kaydıyla eşleştirilen kaynak notu incelendi. AI öz denetimi; otomatik HTTP erişim sonucu ayrı source-access kayıtlarında tutulur.</x:v>
      </x:c>
      <x:c r="I300" s="29" t="str">
        <x:v>Evet</x:v>
      </x:c>
      <x:c r="J300" s="29"/>
      <x:c r="K300" s="29"/>
    </x:row>
    <x:row r="301" ht="54" customHeight="1">
      <x:c r="A301" s="29" t="str">
        <x:v>bakersfield:src:17868</x:v>
      </x:c>
      <x:c r="B301" s="29" t="str">
        <x:v>bakersfield</x:v>
      </x:c>
      <x:c r="C301" s="29" t="str">
        <x:v>LifeLine 2026–2027 gelir ve hane koşulları</x:v>
      </x:c>
      <x:c r="D301" s="29" t="str">
        <x:v>California Public Utilities Commission</x:v>
      </x:c>
      <x:c r="E301" s="29" t="str">
        <x:v>https://www.cpuc.ca.gov/lifeline</x:v>
      </x:c>
      <x:c r="F301" s="31" t="d">
        <x:v>2026-10-24T00:00:00.000Z</x:v>
      </x:c>
      <x:c r="G301" s="29"/>
      <x:c r="H301" s="29" t="str">
        <x:v>İlgili içerik veya mekân kaydıyla eşleştirilen kaynak notu incelendi. AI öz denetimi; otomatik HTTP erişim sonucu ayrı source-access kayıtlarında tutulur.</x:v>
      </x:c>
      <x:c r="I301" s="29" t="str">
        <x:v>Evet</x:v>
      </x:c>
      <x:c r="J301" s="29"/>
      <x:c r="K301" s="29"/>
    </x:row>
    <x:row r="302" ht="54" customHeight="1">
      <x:c r="A302" s="29" t="str">
        <x:v>bakersfield:src:17869</x:v>
      </x:c>
      <x:c r="B302" s="29" t="str">
        <x:v>bakersfield</x:v>
      </x:c>
      <x:c r="C302" s="29" t="str">
        <x:v>Medical Baseline programının resmi açıklaması</x:v>
      </x:c>
      <x:c r="D302" s="29" t="str">
        <x:v>Pacific Gas and Electric Company</x:v>
      </x:c>
      <x:c r="E302" s="29" t="str">
        <x:v>https://www.pge.com/assets/pge/transcripts/medical-baseline-intro.pdf</x:v>
      </x:c>
      <x:c r="F302" s="31" t="d">
        <x:v>2026-10-24T00:00:00.000Z</x:v>
      </x:c>
      <x:c r="G302" s="29"/>
      <x:c r="H302" s="29" t="str">
        <x:v>İlgili içerik veya mekân kaydıyla eşleştirilen kaynak notu incelendi. AI öz denetimi; otomatik HTTP erişim sonucu ayrı source-access kayıtlarında tutulur.</x:v>
      </x:c>
      <x:c r="I302" s="29" t="str">
        <x:v>Evet</x:v>
      </x:c>
      <x:c r="J302" s="29"/>
      <x:c r="K302" s="29"/>
    </x:row>
    <x:row r="303" ht="54" customHeight="1">
      <x:c r="A303" s="29" t="str">
        <x:v>bakersfield:src:17870</x:v>
      </x:c>
      <x:c r="B303" s="29" t="str">
        <x:v>bakersfield</x:v>
      </x:c>
      <x:c r="C303" s="29" t="str">
        <x:v>Para transferi, iptal ve hata bildirim hakları</x:v>
      </x:c>
      <x:c r="D303" s="29" t="str">
        <x:v>Consumer Financial Protection Bureau</x:v>
      </x:c>
      <x:c r="E303" s="29" t="str">
        <x:v>https://www.consumerfinance.gov/ask-cfpb/what-is-a-remittance-transfer-and-what-are-my-rights-en-1161/</x:v>
      </x:c>
      <x:c r="F303" s="31" t="d">
        <x:v>2026-10-24T00:00:00.000Z</x:v>
      </x:c>
      <x:c r="G303" s="29"/>
      <x:c r="H303" s="29" t="str">
        <x:v>İlgili içerik veya mekân kaydıyla eşleştirilen kaynak notu incelendi. AI öz denetimi; otomatik HTTP erişim sonucu ayrı source-access kayıtlarında tutulur.</x:v>
      </x:c>
      <x:c r="I303" s="29" t="str">
        <x:v>Evet</x:v>
      </x:c>
      <x:c r="J303" s="29"/>
      <x:c r="K303" s="29"/>
    </x:row>
    <x:row r="304" ht="54" customHeight="1">
      <x:c r="A304" s="29" t="str">
        <x:v>bakersfield:src:17871</x:v>
      </x:c>
      <x:c r="B304" s="29" t="str">
        <x:v>bakersfield</x:v>
      </x:c>
      <x:c r="C304" s="29" t="str">
        <x:v>2026 CalFresh vatandaş olmayanların uygunluğu</x:v>
      </x:c>
      <x:c r="D304" s="29" t="str">
        <x:v>Kern County Department of Human Services</x:v>
      </x:c>
      <x:c r="E304" s="29" t="str">
        <x:v>https://www.kcdhs.org/home/showpublisheddocument/23282/639077027017770000</x:v>
      </x:c>
      <x:c r="F304" s="31" t="d">
        <x:v>2026-10-24T00:00:00.000Z</x:v>
      </x:c>
      <x:c r="G304" s="29"/>
      <x:c r="H304" s="29" t="str">
        <x:v>İlgili içerik veya mekân kaydıyla eşleştirilen kaynak notu incelendi. AI öz denetimi; otomatik HTTP erişim sonucu ayrı source-access kayıtlarında tutulur.</x:v>
      </x:c>
      <x:c r="I304" s="29" t="str">
        <x:v>Evet</x:v>
      </x:c>
      <x:c r="J304" s="29"/>
      <x:c r="K304" s="29"/>
    </x:row>
    <x:row r="305" ht="54" customHeight="1">
      <x:c r="A305" s="29" t="str">
        <x:v>bakersfield:src:17872</x:v>
      </x:c>
      <x:c r="B305" s="29" t="str">
        <x:v>bakersfield</x:v>
      </x:c>
      <x:c r="C305" s="29" t="str">
        <x:v>Güncel Medi-Cal diş kapsamı değişiklikleri</x:v>
      </x:c>
      <x:c r="D305" s="29" t="str">
        <x:v>California DHCS</x:v>
      </x:c>
      <x:c r="E305" s="29" t="str">
        <x:v>https://www.dental.dhcs.ca.gov/Providers/Medi_Cal_Dental/BenefitChanges</x:v>
      </x:c>
      <x:c r="F305" s="31" t="d">
        <x:v>2026-10-24T00:00:00.000Z</x:v>
      </x:c>
      <x:c r="G305" s="29"/>
      <x:c r="H305" s="29" t="str">
        <x:v>İlgili içerik veya mekân kaydıyla eşleştirilen kaynak notu incelendi. AI öz denetimi; otomatik HTTP erişim sonucu ayrı source-access kayıtlarında tutulur.</x:v>
      </x:c>
      <x:c r="I305" s="29" t="str">
        <x:v>Evet</x:v>
      </x:c>
      <x:c r="J305" s="29"/>
      <x:c r="K305" s="29"/>
    </x:row>
    <x:row r="306" ht="54" customHeight="1">
      <x:c r="A306" s="29" t="str">
        <x:v>bakersfield:src:17873</x:v>
      </x:c>
      <x:c r="B306" s="29" t="str">
        <x:v>bakersfield</x:v>
      </x:c>
      <x:c r="C306" s="29" t="str">
        <x:v>Explanation of Benefits açıklaması</x:v>
      </x:c>
      <x:c r="D306" s="29" t="str">
        <x:v>Centers for Medicare &amp; Medicaid Services</x:v>
      </x:c>
      <x:c r="E306" s="29" t="str">
        <x:v>https://www.cms.gov/initiatives/your-patient-rights/medical-bill-rights/get-help/guides-resources/read-explanation-benefits</x:v>
      </x:c>
      <x:c r="F306" s="31" t="d">
        <x:v>2026-10-24T00:00:00.000Z</x:v>
      </x:c>
      <x:c r="G306" s="29"/>
      <x:c r="H306" s="29" t="str">
        <x:v>İlgili içerik veya mekân kaydıyla eşleştirilen kaynak notu incelendi. AI öz denetimi; otomatik HTTP erişim sonucu ayrı source-access kayıtlarında tutulur.</x:v>
      </x:c>
      <x:c r="I306" s="29" t="str">
        <x:v>Evet</x:v>
      </x:c>
      <x:c r="J306" s="29"/>
      <x:c r="K306" s="29"/>
    </x:row>
    <x:row r="307" ht="54" customHeight="1">
      <x:c r="A307" s="29" t="str">
        <x:v>bakersfield:src:17874</x:v>
      </x:c>
      <x:c r="B307" s="29" t="str">
        <x:v>bakersfield</x:v>
      </x:c>
      <x:c r="C307" s="29" t="str">
        <x:v>Sigorta ve indirimli ücret programı</x:v>
      </x:c>
      <x:c r="D307" s="29" t="str">
        <x:v>Clinica Sierra Vista</x:v>
      </x:c>
      <x:c r="E307" s="29" t="str">
        <x:v>https://clinicasierravista.org/program/health-insurance-assistance/sliding-fee-scale/</x:v>
      </x:c>
      <x:c r="F307" s="31" t="d">
        <x:v>2026-10-24T00:00:00.000Z</x:v>
      </x:c>
      <x:c r="G307" s="29"/>
      <x:c r="H307" s="29" t="str">
        <x:v>İlgili içerik veya mekân kaydıyla eşleştirilen kaynak notu incelendi. AI öz denetimi; otomatik HTTP erişim sonucu ayrı source-access kayıtlarında tutulur.</x:v>
      </x:c>
      <x:c r="I307" s="29" t="str">
        <x:v>Evet</x:v>
      </x:c>
      <x:c r="J307" s="29"/>
      <x:c r="K307" s="29"/>
    </x:row>
    <x:row r="308" ht="54" customHeight="1">
      <x:c r="A308" s="29" t="str">
        <x:v>bakersfield:src:17875</x:v>
      </x:c>
      <x:c r="B308" s="29" t="str">
        <x:v>bakersfield</x:v>
      </x:c>
      <x:c r="C308" s="29" t="str">
        <x:v>San Joaquins hizmetinin Gold Runner olarak yeniden adlandırılması</x:v>
      </x:c>
      <x:c r="D308" s="29" t="str">
        <x:v>Amtrak</x:v>
      </x:c>
      <x:c r="E308" s="29" t="str">
        <x:v>https://media.amtrak.com/2025/11/amtrak-san-joaquins-becomes-gold-runner-marking-a-new-era-for-california-passenger-rail/</x:v>
      </x:c>
      <x:c r="F308" s="31" t="d">
        <x:v>2026-10-24T00:00:00.000Z</x:v>
      </x:c>
      <x:c r="G308" s="29"/>
      <x:c r="H308" s="29" t="str">
        <x:v>İlgili içerik veya mekân kaydıyla eşleştirilen kaynak notu incelendi. AI öz denetimi; otomatik HTTP erişim sonucu ayrı source-access kayıtlarında tutulur.</x:v>
      </x:c>
      <x:c r="I308" s="29" t="str">
        <x:v>Evet</x:v>
      </x:c>
      <x:c r="J308" s="29"/>
      <x:c r="K308" s="29"/>
    </x:row>
    <x:row r="309" ht="54" customHeight="1">
      <x:c r="A309" s="29" t="str">
        <x:v>bakersfield:src:17876</x:v>
      </x:c>
      <x:c r="B309" s="29" t="str">
        <x:v>bakersfield</x:v>
      </x:c>
      <x:c r="C309" s="29" t="str">
        <x:v>IMR application and complaint instructions</x:v>
      </x:c>
      <x:c r="D309" s="29" t="str">
        <x:v>California DMHC</x:v>
      </x:c>
      <x:c r="E309" s="29" t="str">
        <x:v>https://www.dmhc.ca.gov/Portals/0/Docs/HC/AccessibleIMRFormEnglish.pdf</x:v>
      </x:c>
      <x:c r="F309" s="31" t="d">
        <x:v>2026-10-24T00:00:00.000Z</x:v>
      </x:c>
      <x:c r="G309" s="29"/>
      <x:c r="H309" s="29" t="str">
        <x:v>İlgili içerik veya mekân kaydıyla eşleştirilen kaynak notu incelendi. AI öz denetimi; otomatik HTTP erişim sonucu ayrı source-access kayıtlarında tutulur.</x:v>
      </x:c>
      <x:c r="I309" s="29" t="str">
        <x:v>Evet</x:v>
      </x:c>
      <x:c r="J309" s="29"/>
      <x:c r="K309" s="29"/>
    </x:row>
    <x:row r="310" ht="54" customHeight="1">
      <x:c r="A310" s="29" t="str">
        <x:v>bakersfield:src:17877</x:v>
      </x:c>
      <x:c r="B310" s="29" t="str">
        <x:v>bakersfield</x:v>
      </x:c>
      <x:c r="C310" s="29" t="str">
        <x:v>Independent Medical Review – FAQ</x:v>
      </x:c>
      <x:c r="D310" s="29" t="str">
        <x:v>California DMHC</x:v>
      </x:c>
      <x:c r="E310" s="29" t="str">
        <x:v>https://www.dmhc.ca.gov/FileaComplaint/FrequentlyAskedQuestions.aspx</x:v>
      </x:c>
      <x:c r="F310" s="31" t="d">
        <x:v>2026-10-24T00:00:00.000Z</x:v>
      </x:c>
      <x:c r="G310" s="29"/>
      <x:c r="H310" s="29" t="str">
        <x:v>İlgili içerik veya mekân kaydıyla eşleştirilen kaynak notu incelendi. AI öz denetimi; otomatik HTTP erişim sonucu ayrı source-access kayıtlarında tutulur.</x:v>
      </x:c>
      <x:c r="I310" s="29" t="str">
        <x:v>Evet</x:v>
      </x:c>
      <x:c r="J310" s="29"/>
      <x:c r="K310" s="29"/>
    </x:row>
    <x:row r="311" ht="54" customHeight="1">
      <x:c r="A311" s="29" t="str">
        <x:v>bakersfield:src:17878</x:v>
      </x:c>
      <x:c r="B311" s="29" t="str">
        <x:v>bakersfield</x:v>
      </x:c>
      <x:c r="C311" s="29" t="str">
        <x:v>Hardt Field – CSU Bakersfield — ziyaret ve program</x:v>
      </x:c>
      <x:c r="D311" s="29" t="str">
        <x:v>Hardt Field – CSU Bakersfield</x:v>
      </x:c>
      <x:c r="E311" s="29" t="str">
        <x:v>https://gorunners.com/sports/2026/7/1/gameday-central.aspx</x:v>
      </x:c>
      <x:c r="F311" s="31" t="d">
        <x:v>2026-10-24T00:00:00.000Z</x:v>
      </x:c>
      <x:c r="G311" s="29"/>
      <x:c r="H311" s="29" t="str">
        <x:v>İlgili içerik veya mekân kaydıyla eşleştirilen kaynak notu incelendi. AI öz denetimi; otomatik HTTP erişim sonucu ayrı source-access kayıtlarında tutulur.</x:v>
      </x:c>
      <x:c r="I311" s="29" t="str">
        <x:v>Evet</x:v>
      </x:c>
      <x:c r="J311" s="29"/>
      <x:c r="K311" s="29"/>
    </x:row>
    <x:row r="312" ht="54" customHeight="1">
      <x:c r="A312" s="29" t="str">
        <x:v>bakersfield:src:17879</x:v>
      </x:c>
      <x:c r="B312" s="29" t="str">
        <x:v>bakersfield</x:v>
      </x:c>
      <x:c r="C312" s="29" t="str">
        <x:v>Dignity Health Theater — ziyaret ve program</x:v>
      </x:c>
      <x:c r="D312" s="29" t="str">
        <x:v>Dignity Health Theater</x:v>
      </x:c>
      <x:c r="E312" s="29" t="str">
        <x:v>https://www.dignityhealtharena.com/venue-info/seat-map/</x:v>
      </x:c>
      <x:c r="F312" s="31" t="d">
        <x:v>2026-10-24T00:00:00.000Z</x:v>
      </x:c>
      <x:c r="G312" s="29"/>
      <x:c r="H312" s="29" t="str">
        <x:v>İlgili içerik veya mekân kaydıyla eşleştirilen kaynak notu incelendi. AI öz denetimi; otomatik HTTP erişim sonucu ayrı source-access kayıtlarında tutulur.</x:v>
      </x:c>
      <x:c r="I312" s="29" t="str">
        <x:v>Evet</x:v>
      </x:c>
      <x:c r="J312" s="29"/>
      <x:c r="K312" s="29"/>
    </x:row>
    <x:row r="313" ht="54" customHeight="1">
      <x:c r="A313" s="29" t="str">
        <x:v>bakersfield:src:17880</x:v>
      </x:c>
      <x:c r="B313" s="29" t="str">
        <x:v>bakersfield</x:v>
      </x:c>
      <x:c r="C313" s="29" t="str">
        <x:v>Blackwell’s Corner — ziyaret ve program</x:v>
      </x:c>
      <x:c r="D313" s="29" t="str">
        <x:v>Blackwell’s Corner</x:v>
      </x:c>
      <x:c r="E313" s="29" t="str">
        <x:v>https://blackwells-corner.com/</x:v>
      </x:c>
      <x:c r="F313" s="31" t="d">
        <x:v>2026-10-24T00:00:00.000Z</x:v>
      </x:c>
      <x:c r="G313" s="29"/>
      <x:c r="H313" s="29" t="str">
        <x:v>İlgili içerik veya mekân kaydıyla eşleştirilen kaynak notu incelendi. AI öz denetimi; otomatik HTTP erişim sonucu ayrı source-access kayıtlarında tutulur.</x:v>
      </x:c>
      <x:c r="I313" s="29" t="str">
        <x:v>Evet</x:v>
      </x:c>
      <x:c r="J313" s="29"/>
      <x:c r="K313" s="29"/>
    </x:row>
    <x:row r="314" ht="54" customHeight="1">
      <x:c r="A314" s="29" t="str">
        <x:v>bakersfield:src:17881</x:v>
      </x:c>
      <x:c r="B314" s="29" t="str">
        <x:v>bakersfield</x:v>
      </x:c>
      <x:c r="C314" s="29" t="str">
        <x:v>Buttonwillow Branch Library — ziyaret ve program</x:v>
      </x:c>
      <x:c r="D314" s="29" t="str">
        <x:v>Buttonwillow Branch Library</x:v>
      </x:c>
      <x:c r="E314" s="29" t="str">
        <x:v>https://kerncountylibrary.org/locations/</x:v>
      </x:c>
      <x:c r="F314" s="31" t="d">
        <x:v>2026-10-24T00:00:00.000Z</x:v>
      </x:c>
      <x:c r="G314" s="29"/>
      <x:c r="H314" s="29" t="str">
        <x:v>İlgili içerik veya mekân kaydıyla eşleştirilen kaynak notu incelendi. AI öz denetimi; otomatik HTTP erişim sonucu ayrı source-access kayıtlarında tutulur.</x:v>
      </x:c>
      <x:c r="I314" s="29" t="str">
        <x:v>Evet</x:v>
      </x:c>
      <x:c r="J314" s="29"/>
      <x:c r="K314" s="29"/>
    </x:row>
    <x:row r="315" ht="54" customHeight="1">
      <x:c r="A315" s="29" t="str">
        <x:v>bakersfield:src:17882</x:v>
      </x:c>
      <x:c r="B315" s="29" t="str">
        <x:v>bakersfield</x:v>
      </x:c>
      <x:c r="C315" s="29" t="str">
        <x:v>Colonel Allensworth State Historic Park — ziyaret ve program</x:v>
      </x:c>
      <x:c r="D315" s="29" t="str">
        <x:v>Colonel Allensworth State Historic Park</x:v>
      </x:c>
      <x:c r="E315" s="29" t="str">
        <x:v>https://www.parks.ca.gov/?page_id=583</x:v>
      </x:c>
      <x:c r="F315" s="31" t="d">
        <x:v>2026-10-24T00:00:00.000Z</x:v>
      </x:c>
      <x:c r="G315" s="29"/>
      <x:c r="H315" s="29" t="str">
        <x:v>İlgili içerik veya mekân kaydıyla eşleştirilen kaynak notu incelendi. AI öz denetimi; otomatik HTTP erişim sonucu ayrı source-access kayıtlarında tutulur.</x:v>
      </x:c>
      <x:c r="I315" s="29" t="str">
        <x:v>Evet</x:v>
      </x:c>
      <x:c r="J315" s="29"/>
      <x:c r="K315" s="29"/>
    </x:row>
    <x:row r="316" ht="54" customHeight="1">
      <x:c r="A316" s="29" t="str">
        <x:v>bakersfield:src:17883</x:v>
      </x:c>
      <x:c r="B316" s="29" t="str">
        <x:v>bakersfield</x:v>
      </x:c>
      <x:c r="C316" s="29" t="str">
        <x:v>Pixley National Wildlife Refuge — ziyaret ve program</x:v>
      </x:c>
      <x:c r="D316" s="29" t="str">
        <x:v>Pixley National Wildlife Refuge</x:v>
      </x:c>
      <x:c r="E316" s="29" t="str">
        <x:v>https://www.fws.gov/refuge/pixley/visit-us</x:v>
      </x:c>
      <x:c r="F316" s="31" t="d">
        <x:v>2026-10-24T00:00:00.000Z</x:v>
      </x:c>
      <x:c r="G316" s="29"/>
      <x:c r="H316" s="29" t="str">
        <x:v>İlgili içerik veya mekân kaydıyla eşleştirilen kaynak notu incelendi. AI öz denetimi; otomatik HTTP erişim sonucu ayrı source-access kayıtlarında tutulur.</x:v>
      </x:c>
      <x:c r="I316" s="29" t="str">
        <x:v>Evet</x:v>
      </x:c>
      <x:c r="J316" s="29"/>
      <x:c r="K316" s="29"/>
    </x:row>
    <x:row r="317" ht="54" customHeight="1">
      <x:c r="A317" s="29" t="str">
        <x:v>bakersfield:src:17884</x:v>
      </x:c>
      <x:c r="B317" s="29" t="str">
        <x:v>bakersfield</x:v>
      </x:c>
      <x:c r="C317" s="29" t="str">
        <x:v>Success Lake — ziyaret ve program</x:v>
      </x:c>
      <x:c r="D317" s="29" t="str">
        <x:v>Success Lake</x:v>
      </x:c>
      <x:c r="E317" s="29" t="str">
        <x:v>https://www.spk.usace.army.mil/Missions/Recreation/Success-Lake/</x:v>
      </x:c>
      <x:c r="F317" s="31" t="d">
        <x:v>2026-10-24T00:00:00.000Z</x:v>
      </x:c>
      <x:c r="G317" s="29"/>
      <x:c r="H317" s="29" t="str">
        <x:v>İlgili içerik veya mekân kaydıyla eşleştirilen kaynak notu incelendi. AI öz denetimi; otomatik HTTP erişim sonucu ayrı source-access kayıtlarında tutulur.</x:v>
      </x:c>
      <x:c r="I317" s="29" t="str">
        <x:v>Evet</x:v>
      </x:c>
      <x:c r="J317" s="29"/>
      <x:c r="K317" s="29"/>
    </x:row>
    <x:row r="318" ht="54" customHeight="1">
      <x:c r="A318" s="29" t="str">
        <x:v>bakersfield:src:17885</x:v>
      </x:c>
      <x:c r="B318" s="29" t="str">
        <x:v>bakersfield</x:v>
      </x:c>
      <x:c r="C318" s="29" t="str">
        <x:v>Boron Aerospace Museum — ziyaret ve program</x:v>
      </x:c>
      <x:c r="D318" s="29" t="str">
        <x:v>Boron Aerospace Museum</x:v>
      </x:c>
      <x:c r="E318" s="29" t="str">
        <x:v>https://boronaerospacemuseum.org/home/visit/</x:v>
      </x:c>
      <x:c r="F318" s="31" t="d">
        <x:v>2026-10-24T00:00:00.000Z</x:v>
      </x:c>
      <x:c r="G318" s="29"/>
      <x:c r="H318" s="29" t="str">
        <x:v>İlgili içerik veya mekân kaydıyla eşleştirilen kaynak notu incelendi. AI öz denetimi; otomatik HTTP erişim sonucu ayrı source-access kayıtlarında tutulur.</x:v>
      </x:c>
      <x:c r="I318" s="29" t="str">
        <x:v>Evet</x:v>
      </x:c>
      <x:c r="J318" s="29"/>
      <x:c r="K318" s="29"/>
    </x:row>
    <x:row r="319" ht="54" customHeight="1">
      <x:c r="A319" s="29" t="str">
        <x:v>bakersfield:src:17886</x:v>
      </x:c>
      <x:c r="B319" s="29" t="str">
        <x:v>bakersfield</x:v>
      </x:c>
      <x:c r="C319" s="29" t="str">
        <x:v>Mojave Air &amp; Space Port – Legacy Park — ziyaret ve program</x:v>
      </x:c>
      <x:c r="D319" s="29" t="str">
        <x:v>Mojave Air &amp; Space Port – Legacy Park</x:v>
      </x:c>
      <x:c r="E319" s="29" t="str">
        <x:v>https://www.mojaveairport.com/about-us/page/frequently-asked-questions</x:v>
      </x:c>
      <x:c r="F319" s="31" t="d">
        <x:v>2026-10-24T00:00:00.000Z</x:v>
      </x:c>
      <x:c r="G319" s="29"/>
      <x:c r="H319" s="29" t="str">
        <x:v>İlgili içerik veya mekân kaydıyla eşleştirilen kaynak notu incelendi. AI öz denetimi; otomatik HTTP erişim sonucu ayrı source-access kayıtlarında tutulur.</x:v>
      </x:c>
      <x:c r="I319" s="29" t="str">
        <x:v>Evet</x:v>
      </x:c>
      <x:c r="J319" s="29"/>
      <x:c r="K319" s="29"/>
    </x:row>
    <x:row r="320" ht="54" customHeight="1">
      <x:c r="A320" s="29" t="str">
        <x:v>bakersfield:src:17887</x:v>
      </x:c>
      <x:c r="B320" s="29" t="str">
        <x:v>bakersfield</x:v>
      </x:c>
      <x:c r="C320" s="29" t="str">
        <x:v>Central Park – California City — ziyaret ve program</x:v>
      </x:c>
      <x:c r="D320" s="29" t="str">
        <x:v>Central Park – California City</x:v>
      </x:c>
      <x:c r="E320" s="29" t="str">
        <x:v>https://www.californiacity-ca.gov/CC/community/parks-recmain</x:v>
      </x:c>
      <x:c r="F320" s="31" t="d">
        <x:v>2026-10-24T00:00:00.000Z</x:v>
      </x:c>
      <x:c r="G320" s="29"/>
      <x:c r="H320" s="29" t="str">
        <x:v>İlgili içerik veya mekân kaydıyla eşleştirilen kaynak notu incelendi. AI öz denetimi; otomatik HTTP erişim sonucu ayrı source-access kayıtlarında tutulur.</x:v>
      </x:c>
      <x:c r="I320" s="29" t="str">
        <x:v>Evet</x:v>
      </x:c>
      <x:c r="J320" s="29"/>
      <x:c r="K320" s="29"/>
    </x:row>
    <x:row r="321" ht="54" customHeight="1">
      <x:c r="A321" s="29" t="str">
        <x:v>bakersfield:src:17888</x:v>
      </x:c>
      <x:c r="B321" s="29" t="str">
        <x:v>bakersfield</x:v>
      </x:c>
      <x:c r="C321" s="29" t="str">
        <x:v>Randsburg tarihî ana caddesi — ziyaret ve program</x:v>
      </x:c>
      <x:c r="D321" s="29" t="str">
        <x:v>Randsburg tarihî ana caddesi</x:v>
      </x:c>
      <x:c r="E321" s="29" t="str">
        <x:v>https://www.jawbone.org/rand-mining-district/</x:v>
      </x:c>
      <x:c r="F321" s="31" t="d">
        <x:v>2026-10-24T00:00:00.000Z</x:v>
      </x:c>
      <x:c r="G321" s="29"/>
      <x:c r="H321" s="29" t="str">
        <x:v>İlgili içerik veya mekân kaydıyla eşleştirilen kaynak notu incelendi. AI öz denetimi; otomatik HTTP erişim sonucu ayrı source-access kayıtlarında tutulur.</x:v>
      </x:c>
      <x:c r="I321" s="29" t="str">
        <x:v>Evet</x:v>
      </x:c>
      <x:c r="J321" s="29"/>
      <x:c r="K321" s="29"/>
    </x:row>
    <x:row r="322" ht="54" customHeight="1">
      <x:c r="A322" s="29" t="str">
        <x:v>bakersfield:src:17889</x:v>
      </x:c>
      <x:c r="B322" s="29" t="str">
        <x:v>bakersfield</x:v>
      </x:c>
      <x:c r="C322" s="29" t="str">
        <x:v>Maricopa tarihî demir hapishanesi — ziyaret ve program</x:v>
      </x:c>
      <x:c r="D322" s="29" t="str">
        <x:v>Maricopa tarihî demir hapishanesi</x:v>
      </x:c>
      <x:c r="E322" s="29" t="str">
        <x:v>https://www.hmdb.org/m.asp?m=54788</x:v>
      </x:c>
      <x:c r="F322" s="31" t="d">
        <x:v>2026-10-24T00:00:00.000Z</x:v>
      </x:c>
      <x:c r="G322" s="29"/>
      <x:c r="H322" s="29" t="str">
        <x:v>İlgili içerik veya mekân kaydıyla eşleştirilen kaynak notu incelendi. AI öz denetimi; otomatik HTTP erişim sonucu ayrı source-access kayıtlarında tutulur.</x:v>
      </x:c>
      <x:c r="I322" s="29" t="str">
        <x:v>Evet</x:v>
      </x:c>
      <x:c r="J322" s="29"/>
      <x:c r="K322" s="29"/>
    </x:row>
    <x:row r="323" ht="54" customHeight="1">
      <x:c r="A323" s="29" t="str">
        <x:v>bakersfield:src:17890</x:v>
      </x:c>
      <x:c r="B323" s="29" t="str">
        <x:v>bakersfield</x:v>
      </x:c>
      <x:c r="C323" s="29" t="str">
        <x:v>Wasco Union High School tarihî salonu — ziyaret ve program</x:v>
      </x:c>
      <x:c r="D323" s="29" t="str">
        <x:v>Wasco Union High School tarihî salonu</x:v>
      </x:c>
      <x:c r="E323" s="29" t="str">
        <x:v>https://www.cityofwasco.org/DocumentCenter/View/260/Final-Environmental-Impact-Report-2040-General-Plan-PDF</x:v>
      </x:c>
      <x:c r="F323" s="31" t="d">
        <x:v>2026-10-24T00:00:00.000Z</x:v>
      </x:c>
      <x:c r="G323" s="29"/>
      <x:c r="H323" s="29" t="str">
        <x:v>İlgili içerik veya mekân kaydıyla eşleştirilen kaynak notu incelendi. AI öz denetimi; otomatik HTTP erişim sonucu ayrı source-access kayıtlarında tutulur.</x:v>
      </x:c>
      <x:c r="I323" s="29" t="str">
        <x:v>Evet</x:v>
      </x:c>
      <x:c r="J323" s="29"/>
      <x:c r="K323" s="29"/>
    </x:row>
    <x:row r="324" ht="54" customHeight="1">
      <x:c r="A324" s="29" t="str">
        <x:v>bakersfield:src:17891</x:v>
      </x:c>
      <x:c r="B324" s="29" t="str">
        <x:v>bakersfield</x:v>
      </x:c>
      <x:c r="C324" s="29" t="str">
        <x:v>Mount Pinos — ziyaret ve program</x:v>
      </x:c>
      <x:c r="D324" s="29" t="str">
        <x:v>Mount Pinos</x:v>
      </x:c>
      <x:c r="E324" s="29" t="str">
        <x:v>https://www.recreation.gov/camping/campgrounds/273875</x:v>
      </x:c>
      <x:c r="F324" s="31" t="d">
        <x:v>2026-10-24T00:00:00.000Z</x:v>
      </x:c>
      <x:c r="G324" s="29"/>
      <x:c r="H324" s="29" t="str">
        <x:v>İlgili içerik veya mekân kaydıyla eşleştirilen kaynak notu incelendi. AI öz denetimi; otomatik HTTP erişim sonucu ayrı source-access kayıtlarında tutulur.</x:v>
      </x:c>
      <x:c r="I324" s="29" t="str">
        <x:v>Evet</x:v>
      </x:c>
      <x:c r="J324" s="29"/>
      <x:c r="K324" s="29"/>
    </x:row>
    <x:row r="325" ht="54" customHeight="1">
      <x:c r="A325" s="29" t="str">
        <x:v>bakersfield:src:17892</x:v>
      </x:c>
      <x:c r="B325" s="29" t="str">
        <x:v>bakersfield</x:v>
      </x:c>
      <x:c r="C325" s="29" t="str">
        <x:v>Tomo-Kahni State Historic Park — ziyaret ve program</x:v>
      </x:c>
      <x:c r="D325" s="29" t="str">
        <x:v>Tomo-Kahni State Historic Park</x:v>
      </x:c>
      <x:c r="E325" s="29" t="str">
        <x:v>https://parks.ca.gov/?page_id=24580</x:v>
      </x:c>
      <x:c r="F325" s="31" t="d">
        <x:v>2026-10-24T00:00:00.000Z</x:v>
      </x:c>
      <x:c r="G325" s="29"/>
      <x:c r="H325" s="29" t="str">
        <x:v>İlgili içerik veya mekân kaydıyla eşleştirilen kaynak notu incelendi. AI öz denetimi; otomatik HTTP erişim sonucu ayrı source-access kayıtlarında tutulur.</x:v>
      </x:c>
      <x:c r="I325" s="29" t="str">
        <x:v>Evet</x:v>
      </x:c>
      <x:c r="J325" s="29"/>
      <x:c r="K325" s="29"/>
    </x:row>
    <x:row r="326" ht="54" customHeight="1">
      <x:c r="A326" s="29" t="str">
        <x:v>bakersfield:src:17893</x:v>
      </x:c>
      <x:c r="B326" s="29" t="str">
        <x:v>bakersfield</x:v>
      </x:c>
      <x:c r="C326" s="29" t="str">
        <x:v>Trail of 100 Giants — ziyaret ve program</x:v>
      </x:c>
      <x:c r="D326" s="29" t="str">
        <x:v>Trail of 100 Giants</x:v>
      </x:c>
      <x:c r="E326" s="29" t="str">
        <x:v>https://www.fs.usda.gov/r05/sequoia/recreation/giant-sequoia-national-monument-south-0</x:v>
      </x:c>
      <x:c r="F326" s="31" t="d">
        <x:v>2026-10-24T00:00:00.000Z</x:v>
      </x:c>
      <x:c r="G326" s="29"/>
      <x:c r="H326" s="29" t="str">
        <x:v>İlgili içerik veya mekân kaydıyla eşleştirilen kaynak notu incelendi. AI öz denetimi; otomatik HTTP erişim sonucu ayrı source-access kayıtlarında tutulur.</x:v>
      </x:c>
      <x:c r="I326" s="29" t="str">
        <x:v>Evet</x:v>
      </x:c>
      <x:c r="J326" s="29"/>
      <x:c r="K326" s="29"/>
    </x:row>
    <x:row r="327" ht="54" customHeight="1">
      <x:c r="A327" s="29" t="str">
        <x:v>bakersfield:src:17894</x:v>
      </x:c>
      <x:c r="B327" s="29" t="str">
        <x:v>bakersfield</x:v>
      </x:c>
      <x:c r="C327" s="29" t="str">
        <x:v>Willow Springs International Raceway — ziyaret ve program</x:v>
      </x:c>
      <x:c r="D327" s="29" t="str">
        <x:v>Willow Springs International Raceway</x:v>
      </x:c>
      <x:c r="E327" s="29" t="str">
        <x:v>https://willowspringsraceway.com/events-experiences/</x:v>
      </x:c>
      <x:c r="F327" s="31" t="d">
        <x:v>2026-10-24T00:00:00.000Z</x:v>
      </x:c>
      <x:c r="G327" s="29"/>
      <x:c r="H327" s="29" t="str">
        <x:v>İlgili içerik veya mekân kaydıyla eşleştirilen kaynak notu incelendi. AI öz denetimi; otomatik HTTP erişim sonucu ayrı source-access kayıtlarında tutulur.</x:v>
      </x:c>
      <x:c r="I327" s="29" t="str">
        <x:v>Evet</x:v>
      </x:c>
      <x:c r="J327" s="29"/>
      <x:c r="K327" s="29"/>
    </x:row>
    <x:row r="328" ht="54" customHeight="1">
      <x:c r="A328" s="29" t="str">
        <x:v>bakersfield:src:17895</x:v>
      </x:c>
      <x:c r="B328" s="29" t="str">
        <x:v>bakersfield</x:v>
      </x:c>
      <x:c r="C328" s="29" t="str">
        <x:v>Frog Meadow — ziyaret ve program</x:v>
      </x:c>
      <x:c r="D328" s="29" t="str">
        <x:v>Frog Meadow</x:v>
      </x:c>
      <x:c r="E328" s="29" t="str">
        <x:v>https://www.fs.usda.gov/media/232392</x:v>
      </x:c>
      <x:c r="F328" s="31" t="d">
        <x:v>2026-10-24T00:00:00.000Z</x:v>
      </x:c>
      <x:c r="G328" s="29"/>
      <x:c r="H328" s="29" t="str">
        <x:v>İlgili içerik veya mekân kaydıyla eşleştirilen kaynak notu incelendi. AI öz denetimi; otomatik HTTP erişim sonucu ayrı source-access kayıtlarında tutulur.</x:v>
      </x:c>
      <x:c r="I328" s="29" t="str">
        <x:v>Evet</x:v>
      </x:c>
      <x:c r="J328" s="29"/>
      <x:c r="K328" s="29"/>
    </x:row>
    <x:row r="329" ht="54" customHeight="1">
      <x:c r="A329" s="29" t="str">
        <x:v>bakersfield:src:17896</x:v>
      </x:c>
      <x:c r="B329" s="29" t="str">
        <x:v>bakersfield</x:v>
      </x:c>
      <x:c r="C329" s="29" t="str">
        <x:v>Owens Peak Wilderness – Short Canyon çevresi — ziyaret ve program</x:v>
      </x:c>
      <x:c r="D329" s="29" t="str">
        <x:v>Owens Peak Wilderness – Short Canyon çevresi</x:v>
      </x:c>
      <x:c r="E329" s="29" t="str">
        <x:v>https://www.blm.gov/visit/owens-peak-wilderness-short-canyon</x:v>
      </x:c>
      <x:c r="F329" s="31" t="d">
        <x:v>2026-10-24T00:00:00.000Z</x:v>
      </x:c>
      <x:c r="G329" s="29"/>
      <x:c r="H329" s="29" t="str">
        <x:v>İlgili içerik veya mekân kaydıyla eşleştirilen kaynak notu incelendi. AI öz denetimi; otomatik HTTP erişim sonucu ayrı source-access kayıtlarında tutulur.</x:v>
      </x:c>
      <x:c r="I329" s="29" t="str">
        <x:v>Evet</x:v>
      </x:c>
      <x:c r="J329" s="29"/>
      <x:c r="K329" s="29"/>
    </x:row>
    <x:row r="330" ht="54" customHeight="1">
      <x:c r="A330" s="29" t="str">
        <x:v>bakersfield:src:17897</x:v>
      </x:c>
      <x:c r="B330" s="29" t="str">
        <x:v>bakersfield</x:v>
      </x:c>
      <x:c r="C330" s="29" t="str">
        <x:v>Last Chance Canyon — ziyaret ve program</x:v>
      </x:c>
      <x:c r="D330" s="29" t="str">
        <x:v>Last Chance Canyon</x:v>
      </x:c>
      <x:c r="E330" s="29" t="str">
        <x:v>https://www.jawbone.org/</x:v>
      </x:c>
      <x:c r="F330" s="31" t="d">
        <x:v>2026-10-24T00:00:00.000Z</x:v>
      </x:c>
      <x:c r="G330" s="29"/>
      <x:c r="H330" s="29" t="str">
        <x:v>İlgili içerik veya mekân kaydıyla eşleştirilen kaynak notu incelendi. AI öz denetimi; otomatik HTTP erişim sonucu ayrı source-access kayıtlarında tutulur.</x:v>
      </x:c>
      <x:c r="I330" s="29" t="str">
        <x:v>Evet</x:v>
      </x:c>
      <x:c r="J330" s="29"/>
      <x:c r="K330" s="29"/>
    </x:row>
    <x:row r="331" ht="54" customHeight="1">
      <x:c r="A331" s="29" t="str">
        <x:v>bakersfield:src:17898</x:v>
      </x:c>
      <x:c r="B331" s="29" t="str">
        <x:v>bakersfield</x:v>
      </x:c>
      <x:c r="C331" s="29" t="str">
        <x:v>Riverside Park – Kernville — ziyaret ve program</x:v>
      </x:c>
      <x:c r="D331" s="29" t="str">
        <x:v>Riverside Park – Kernville</x:v>
      </x:c>
      <x:c r="E331" s="29" t="str">
        <x:v>https://www.kerncounty.com/government/parks/facilities/neighborhood-parks</x:v>
      </x:c>
      <x:c r="F331" s="31" t="d">
        <x:v>2026-10-24T00:00:00.000Z</x:v>
      </x:c>
      <x:c r="G331" s="29"/>
      <x:c r="H331" s="29" t="str">
        <x:v>İlgili içerik veya mekân kaydıyla eşleştirilen kaynak notu incelendi. AI öz denetimi; otomatik HTTP erişim sonucu ayrı source-access kayıtlarında tutulur.</x:v>
      </x:c>
      <x:c r="I331" s="29" t="str">
        <x:v>Evet</x:v>
      </x:c>
      <x:c r="J331" s="29"/>
      <x:c r="K331" s="29"/>
    </x:row>
    <x:row r="332" ht="54" customHeight="1">
      <x:c r="A332" s="29" t="str">
        <x:v>bakersfield:src:17899</x:v>
      </x:c>
      <x:c r="B332" s="29" t="str">
        <x:v>bakersfield</x:v>
      </x:c>
      <x:c r="C332" s="29" t="str">
        <x:v>Desert Tortoise Research Natural Area — ziyaret ve program</x:v>
      </x:c>
      <x:c r="D332" s="29" t="str">
        <x:v>Desert Tortoise Research Natural Area</x:v>
      </x:c>
      <x:c r="E332" s="29" t="str">
        <x:v>https://tortoise-tracks.org/dtrna/</x:v>
      </x:c>
      <x:c r="F332" s="31" t="d">
        <x:v>2026-10-24T00:00:00.000Z</x:v>
      </x:c>
      <x:c r="G332" s="29"/>
      <x:c r="H332" s="29" t="str">
        <x:v>İlgili içerik veya mekân kaydıyla eşleştirilen kaynak notu incelendi. AI öz denetimi; otomatik HTTP erişim sonucu ayrı source-access kayıtlarında tutulur.</x:v>
      </x:c>
      <x:c r="I332" s="29" t="str">
        <x:v>Evet</x:v>
      </x:c>
      <x:c r="J332" s="29"/>
      <x:c r="K332" s="29"/>
    </x:row>
    <x:row r="333" ht="54" customHeight="1">
      <x:c r="A333" s="29" t="str">
        <x:v>bakersfield:src:17900</x:v>
      </x:c>
      <x:c r="B333" s="29" t="str">
        <x:v>bakersfield</x:v>
      </x:c>
      <x:c r="C333" s="29" t="str">
        <x:v>Walker Pass Campground ve PCT bağlantısı — ziyaret ve program</x:v>
      </x:c>
      <x:c r="D333" s="29" t="str">
        <x:v>Walker Pass Campground ve PCT bağlantısı</x:v>
      </x:c>
      <x:c r="E333" s="29" t="str">
        <x:v>https://www.blm.gov/visit/walker-pass-campground</x:v>
      </x:c>
      <x:c r="F333" s="31" t="d">
        <x:v>2026-10-24T00:00:00.000Z</x:v>
      </x:c>
      <x:c r="G333" s="29"/>
      <x:c r="H333" s="29" t="str">
        <x:v>İlgili içerik veya mekân kaydıyla eşleştirilen kaynak notu incelendi. AI öz denetimi; otomatik HTTP erişim sonucu ayrı source-access kayıtlarında tutulur.</x:v>
      </x:c>
      <x:c r="I333" s="29" t="str">
        <x:v>Evet</x:v>
      </x:c>
      <x:c r="J333" s="29"/>
      <x:c r="K333" s="29"/>
    </x:row>
    <x:row r="334" ht="54" customHeight="1">
      <x:c r="A334" s="29" t="str">
        <x:v>bakersfield:src:17901</x:v>
      </x:c>
      <x:c r="B334" s="29" t="str">
        <x:v>bakersfield</x:v>
      </x:c>
      <x:c r="C334" s="29" t="str">
        <x:v>Jawbone Canyon OHV Area — ziyaret ve program</x:v>
      </x:c>
      <x:c r="D334" s="29" t="str">
        <x:v>Jawbone Canyon OHV Area</x:v>
      </x:c>
      <x:c r="E334" s="29" t="str">
        <x:v>https://www.blm.gov/visit/jawbone-canyon-ohv-area</x:v>
      </x:c>
      <x:c r="F334" s="31" t="d">
        <x:v>2026-10-24T00:00:00.000Z</x:v>
      </x:c>
      <x:c r="G334" s="29"/>
      <x:c r="H334" s="29" t="str">
        <x:v>İlgili içerik veya mekân kaydıyla eşleştirilen kaynak notu incelendi. AI öz denetimi; otomatik HTTP erişim sonucu ayrı source-access kayıtlarında tutulur.</x:v>
      </x:c>
      <x:c r="I334" s="29" t="str">
        <x:v>Evet</x:v>
      </x:c>
      <x:c r="J334" s="29"/>
      <x:c r="K334" s="29"/>
    </x:row>
    <x:row r="335" ht="54" customHeight="1">
      <x:c r="A335" s="29" t="str">
        <x:v>bakersfield:src:17902</x:v>
      </x:c>
      <x:c r="B335" s="29" t="str">
        <x:v>bakersfield</x:v>
      </x:c>
      <x:c r="C335" s="29" t="str">
        <x:v>Dove Springs OHV Area — ziyaret ve program</x:v>
      </x:c>
      <x:c r="D335" s="29" t="str">
        <x:v>Dove Springs OHV Area</x:v>
      </x:c>
      <x:c r="E335" s="29" t="str">
        <x:v>https://www.blm.gov/visit/dove-springs-ohv-area</x:v>
      </x:c>
      <x:c r="F335" s="31" t="d">
        <x:v>2026-10-24T00:00:00.000Z</x:v>
      </x:c>
      <x:c r="G335" s="29"/>
      <x:c r="H335" s="29" t="str">
        <x:v>İlgili içerik veya mekân kaydıyla eşleştirilen kaynak notu incelendi. AI öz denetimi; otomatik HTTP erişim sonucu ayrı source-access kayıtlarında tutulur.</x:v>
      </x:c>
      <x:c r="I335" s="29" t="str">
        <x:v>Evet</x:v>
      </x:c>
      <x:c r="J335" s="29"/>
      <x:c r="K335" s="29"/>
    </x:row>
    <x:row r="336" ht="54" customHeight="1">
      <x:c r="A336" s="29" t="str">
        <x:v>bakersfield:src:17903</x:v>
      </x:c>
      <x:c r="B336" s="29" t="str">
        <x:v>bakersfield</x:v>
      </x:c>
      <x:c r="C336" s="29" t="str">
        <x:v>Bickel Camp — ziyaret ve program</x:v>
      </x:c>
      <x:c r="D336" s="29" t="str">
        <x:v>Bickel Camp</x:v>
      </x:c>
      <x:c r="E336" s="29" t="str">
        <x:v>https://www.jawbone.org/bickel-camp/</x:v>
      </x:c>
      <x:c r="F336" s="31" t="d">
        <x:v>2026-10-24T00:00:00.000Z</x:v>
      </x:c>
      <x:c r="G336" s="29"/>
      <x:c r="H336" s="29" t="str">
        <x:v>İlgili içerik veya mekân kaydıyla eşleştirilen kaynak notu incelendi. AI öz denetimi; otomatik HTTP erişim sonucu ayrı source-access kayıtlarında tutulur.</x:v>
      </x:c>
      <x:c r="I336" s="29" t="str">
        <x:v>Evet</x:v>
      </x:c>
      <x:c r="J336" s="29"/>
      <x:c r="K336" s="29"/>
    </x:row>
    <x:row r="337" ht="54" customHeight="1">
      <x:c r="A337" s="29" t="str">
        <x:v>bakersfield:src:17904</x:v>
      </x:c>
      <x:c r="B337" s="29" t="str">
        <x:v>bakersfield</x:v>
      </x:c>
      <x:c r="C337" s="29" t="str">
        <x:v>Burro Schmidt Tunnel çevresi — ziyaret ve program</x:v>
      </x:c>
      <x:c r="D337" s="29" t="str">
        <x:v>Burro Schmidt Tunnel çevresi</x:v>
      </x:c>
      <x:c r="E337" s="29" t="str">
        <x:v>https://www.jawbone.org/temp/burro-schmidts-tunnel/</x:v>
      </x:c>
      <x:c r="F337" s="31" t="d">
        <x:v>2026-10-24T00:00:00.000Z</x:v>
      </x:c>
      <x:c r="G337" s="29"/>
      <x:c r="H337" s="29" t="str">
        <x:v>İlgili içerik veya mekân kaydıyla eşleştirilen kaynak notu incelendi. AI öz denetimi; otomatik HTTP erişim sonucu ayrı source-access kayıtlarında tutulur.</x:v>
      </x:c>
      <x:c r="I337" s="29" t="str">
        <x:v>Evet</x:v>
      </x:c>
      <x:c r="J337" s="29"/>
      <x:c r="K337" s="29"/>
    </x:row>
    <x:row r="338" ht="54" customHeight="1">
      <x:c r="A338" s="29" t="str">
        <x:v>bakersfield:src:17905</x:v>
      </x:c>
      <x:c r="B338" s="29" t="str">
        <x:v>bakersfield</x:v>
      </x:c>
      <x:c r="C338" s="29" t="str">
        <x:v>Tehachapi rüzgâr enerjisi peyzajı — ziyaret ve program</x:v>
      </x:c>
      <x:c r="D338" s="29" t="str">
        <x:v>Tehachapi rüzgâr enerjisi peyzajı</x:v>
      </x:c>
      <x:c r="E338" s="29" t="str">
        <x:v>https://www.eia.gov/energyexplained/wind/where-wind-power-is-harnessed.php</x:v>
      </x:c>
      <x:c r="F338" s="31" t="d">
        <x:v>2026-10-24T00:00:00.000Z</x:v>
      </x:c>
      <x:c r="G338" s="29"/>
      <x:c r="H338" s="29" t="str">
        <x:v>İlgili içerik veya mekân kaydıyla eşleştirilen kaynak notu incelendi. AI öz denetimi; otomatik HTTP erişim sonucu ayrı source-access kayıtlarında tutulur.</x:v>
      </x:c>
      <x:c r="I338" s="29" t="str">
        <x:v>Evet</x:v>
      </x:c>
      <x:c r="J338" s="29"/>
      <x:c r="K338" s="29"/>
    </x:row>
    <x:row r="339" ht="54" customHeight="1">
      <x:c r="A339" s="29" t="str">
        <x:v>bakersfield:src:17906</x:v>
      </x:c>
      <x:c r="B339" s="29" t="str">
        <x:v>bakersfield</x:v>
      </x:c>
      <x:c r="C339" s="29" t="str">
        <x:v>Mt. Pinos Ranger Station – Chuchupate — ziyaret ve program</x:v>
      </x:c>
      <x:c r="D339" s="29" t="str">
        <x:v>Mt. Pinos Ranger Station – Chuchupate</x:v>
      </x:c>
      <x:c r="E339" s="29" t="str">
        <x:v>https://www.fs.usda.gov/r05/lospadres/recreation/mt-pinos-ranger-district-0</x:v>
      </x:c>
      <x:c r="F339" s="31" t="d">
        <x:v>2026-10-24T00:00:00.000Z</x:v>
      </x:c>
      <x:c r="G339" s="29"/>
      <x:c r="H339" s="29" t="str">
        <x:v>İlgili içerik veya mekân kaydıyla eşleştirilen kaynak notu incelendi. AI öz denetimi; otomatik HTTP erişim sonucu ayrı source-access kayıtlarında tutulur.</x:v>
      </x:c>
      <x:c r="I339" s="29" t="str">
        <x:v>Evet</x:v>
      </x:c>
      <x:c r="J339" s="29"/>
      <x:c r="K339" s="29"/>
    </x:row>
    <x:row r="340" ht="54" customHeight="1">
      <x:c r="A340" s="29" t="str">
        <x:v>bakersfield:src:17907</x:v>
      </x:c>
      <x:c r="B340" s="29" t="str">
        <x:v>bakersfield</x:v>
      </x:c>
      <x:c r="C340" s="29" t="str">
        <x:v>Avoid Immigration Scams – official brochure</x:v>
      </x:c>
      <x:c r="D340" s="29" t="str">
        <x:v>USCIS</x:v>
      </x:c>
      <x:c r="E340" s="29" t="str">
        <x:v>https://www.uscis.gov/sites/default/files/document/brochures/UPIL_Brochure_English.pdf</x:v>
      </x:c>
      <x:c r="F340" s="31" t="d">
        <x:v>2026-10-24T00:00:00.000Z</x:v>
      </x:c>
      <x:c r="G340" s="29"/>
      <x:c r="H340" s="29" t="str">
        <x:v>İlgili içerik veya mekân kaydıyla eşleştirilen kaynak notu incelendi. AI öz denetimi; otomatik HTTP erişim sonucu ayrı source-access kayıtlarında tutulur.</x:v>
      </x:c>
      <x:c r="I340" s="29" t="str">
        <x:v>Evet</x:v>
      </x:c>
      <x:c r="J340" s="29"/>
      <x:c r="K340" s="29"/>
    </x:row>
    <x:row r="341" ht="54" customHeight="1">
      <x:c r="A341" s="29" t="str">
        <x:v>bakersfield:src:17908</x:v>
      </x:c>
      <x:c r="B341" s="29" t="str">
        <x:v>bakersfield</x:v>
      </x:c>
      <x:c r="C341" s="29" t="str">
        <x:v>Rental scams – December 2025 data spotlight</x:v>
      </x:c>
      <x:c r="D341" s="29" t="str">
        <x:v>Federal Trade Commission</x:v>
      </x:c>
      <x:c r="E341" s="29" t="str">
        <x:v>https://www.ftc.gov/system/files/ftc_gov/pdf/rental-scams-spotlight-2025.pdf</x:v>
      </x:c>
      <x:c r="F341" s="31" t="d">
        <x:v>2026-10-24T00:00:00.000Z</x:v>
      </x:c>
      <x:c r="G341" s="29"/>
      <x:c r="H341" s="29" t="str">
        <x:v>İlgili içerik veya mekân kaydıyla eşleştirilen kaynak notu incelendi. AI öz denetimi; otomatik HTTP erişim sonucu ayrı source-access kayıtlarında tutulur.</x:v>
      </x:c>
      <x:c r="I341" s="29" t="str">
        <x:v>Evet</x:v>
      </x:c>
      <x:c r="J341" s="29"/>
      <x:c r="K341" s="29"/>
    </x:row>
    <x:row r="342" ht="54" customHeight="1">
      <x:c r="A342" s="29" t="str">
        <x:v>bakersfield:src:17909</x:v>
      </x:c>
      <x:c r="B342" s="29" t="str">
        <x:v>bakersfield</x:v>
      </x:c>
      <x:c r="C342" s="29" t="str">
        <x:v>Checking your credit report</x:v>
      </x:c>
      <x:c r="D342" s="29" t="str">
        <x:v>Federal Trade Commission / consumer.gov</x:v>
      </x:c>
      <x:c r="E342" s="29" t="str">
        <x:v>https://consumer.gov/credit/checking-your-credit-report</x:v>
      </x:c>
      <x:c r="F342" s="31" t="d">
        <x:v>2026-10-24T00:00:00.000Z</x:v>
      </x:c>
      <x:c r="G342" s="29"/>
      <x:c r="H342" s="29" t="str">
        <x:v>İlgili içerik veya mekân kaydıyla eşleştirilen kaynak notu incelendi. AI öz denetimi; otomatik HTTP erişim sonucu ayrı source-access kayıtlarında tutulur.</x:v>
      </x:c>
      <x:c r="I342" s="29" t="str">
        <x:v>Evet</x:v>
      </x:c>
      <x:c r="J342" s="29"/>
      <x:c r="K342" s="29"/>
    </x:row>
    <x:row r="343" ht="54" customHeight="1">
      <x:c r="A343" s="29" t="str">
        <x:v>bakersfield:src:17910</x:v>
      </x:c>
      <x:c r="B343" s="29" t="str">
        <x:v>bakersfield</x:v>
      </x:c>
      <x:c r="C343" s="29" t="str">
        <x:v>Security freezes and timing</x:v>
      </x:c>
      <x:c r="D343" s="29" t="str">
        <x:v>Consumer Financial Protection Bureau</x:v>
      </x:c>
      <x:c r="E343" s="29" t="str">
        <x:v>https://www.consumerfinance.gov/ask-cfpb/what-is-a-credit-freeze-or-security-freeze-on-my-credit-report-en-1341/</x:v>
      </x:c>
      <x:c r="F343" s="31" t="d">
        <x:v>2026-10-24T00:00:00.000Z</x:v>
      </x:c>
      <x:c r="G343" s="29"/>
      <x:c r="H343" s="29" t="str">
        <x:v>İlgili içerik veya mekân kaydıyla eşleştirilen kaynak notu incelendi. AI öz denetimi; otomatik HTTP erişim sonucu ayrı source-access kayıtlarında tutulur.</x:v>
      </x:c>
      <x:c r="I343" s="29" t="str">
        <x:v>Evet</x:v>
      </x:c>
      <x:c r="J343" s="29"/>
      <x:c r="K343" s="29"/>
    </x:row>
    <x:row r="344" ht="54" customHeight="1">
      <x:c r="A344" s="29" t="str">
        <x:v>bakersfield:src:17911</x:v>
      </x:c>
      <x:c r="B344" s="29" t="str">
        <x:v>bakersfield</x:v>
      </x:c>
      <x:c r="C344" s="29" t="str">
        <x:v>California Automatic Renewal Law - tüketici hakları</x:v>
      </x:c>
      <x:c r="D344" s="29" t="str">
        <x:v>California Department of Justice</x:v>
      </x:c>
      <x:c r="E344" s="29" t="str">
        <x:v>https://www.oag.ca.gov/news/press-releases/attorney-general-bonta-issues-consumer-alert-california%E2%80%99s-automatic-renewal-law</x:v>
      </x:c>
      <x:c r="F344" s="31" t="d">
        <x:v>2026-10-24T00:00:00.000Z</x:v>
      </x:c>
      <x:c r="G344" s="29"/>
      <x:c r="H344" s="29" t="str">
        <x:v>İlgili içerik veya mekân kaydıyla eşleştirilen kaynak notu incelendi. AI öz denetimi; otomatik HTTP erişim sonucu ayrı source-access kayıtlarında tutulur.</x:v>
      </x:c>
      <x:c r="I344" s="29" t="str">
        <x:v>Evet</x:v>
      </x:c>
      <x:c r="J344" s="29"/>
      <x:c r="K344" s="29"/>
    </x:row>
    <x:row r="345" ht="54" customHeight="1">
      <x:c r="A345" s="29"/>
      <x:c r="B345" s="29"/>
      <x:c r="C345" s="29"/>
      <x:c r="D345" s="29"/>
      <x:c r="E345" s="29"/>
      <x:c r="F345" s="31"/>
      <x:c r="G345" s="29"/>
      <x:c r="H345" s="29"/>
      <x:c r="I345" s="29"/>
      <x:c r="J345" s="29"/>
      <x:c r="K345" s="29"/>
    </x:row>
    <x:row r="346" ht="54" customHeight="1">
      <x:c r="A346" s="29"/>
      <x:c r="B346" s="29"/>
      <x:c r="C346" s="29"/>
      <x:c r="D346" s="29"/>
      <x:c r="E346" s="29"/>
      <x:c r="F346" s="31"/>
      <x:c r="G346" s="29"/>
      <x:c r="H346" s="29"/>
      <x:c r="I346" s="29"/>
      <x:c r="J346" s="29"/>
      <x:c r="K346" s="29"/>
    </x:row>
  </x:sheetData>
  <x:mergeCells>
    <x:mergeCell ref="A3:H3"/>
  </x:mergeCells>
  <x:conditionalFormatting sqref="A8:A346">
    <x:cfRule type="expression" dxfId="107" priority="1">
      <x:formula>AND($A8&lt;&gt;"",ISBLANK(A8))</x:formula>
    </x:cfRule>
  </x:conditionalFormatting>
  <x:conditionalFormatting sqref="B8:B346">
    <x:cfRule type="expression" dxfId="108" priority="2">
      <x:formula>AND($A8&lt;&gt;"",ISBLANK(B8))</x:formula>
    </x:cfRule>
  </x:conditionalFormatting>
  <x:conditionalFormatting sqref="C8:C346">
    <x:cfRule type="expression" dxfId="109" priority="3">
      <x:formula>AND($A8&lt;&gt;"",ISBLANK(C8))</x:formula>
    </x:cfRule>
  </x:conditionalFormatting>
  <x:conditionalFormatting sqref="D8:D346">
    <x:cfRule type="expression" dxfId="110" priority="4">
      <x:formula>AND($A8&lt;&gt;"",ISBLANK(D8))</x:formula>
    </x:cfRule>
  </x:conditionalFormatting>
  <x:conditionalFormatting sqref="E8:E346">
    <x:cfRule type="expression" dxfId="111" priority="5">
      <x:formula>AND($A8&lt;&gt;"",ISBLANK(E8))</x:formula>
    </x:cfRule>
  </x:conditionalFormatting>
  <x:conditionalFormatting sqref="F8:F346">
    <x:cfRule type="expression" dxfId="112" priority="6">
      <x:formula>AND($A8&lt;&gt;"",ISBLANK(F8))</x:formula>
    </x:cfRule>
  </x:conditionalFormatting>
  <x:conditionalFormatting sqref="I8:I346">
    <x:cfRule type="expression" dxfId="113" priority="7">
      <x:formula>AND($A8&lt;&gt;"",ISBLANK(I8))</x:formula>
    </x:cfRule>
  </x:conditionalFormatting>
  <x:dataValidations count="1">
    <x:dataValidation type="list" sqref="I8:I346">
      <x:formula1>"Evet,Hayır"</x:formula1>
    </x:dataValidation>
  </x:dataValidations>
  <x:pageMargins left="0.7" right="0.7" top="0.75" bottom="0.75" header="0.3" footer="0.3"/>
  <x:tableParts count="1">
    <x:tablePart xmlns:r="http://schemas.openxmlformats.org/officeDocument/2006/relationships" r:id="R6197eba4eba04efc"/>
  </x:tableParts>
</x:worksheet>
</file>

<file path=xl/worksheets/sheet1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32" hidden="0" customWidth="1"/>
    <x:col min="5" max="5" width="28" hidden="0" customWidth="1"/>
    <x:col min="6" max="6" width="32" hidden="0" customWidth="1"/>
    <x:col min="7" max="7" width="28" hidden="0" customWidth="1"/>
    <x:col min="8" max="8" width="28" hidden="0" customWidth="1"/>
    <x:col min="9" max="9" width="28" hidden="0" customWidth="1"/>
    <x:col min="10" max="10" width="48" hidden="0" customWidth="1"/>
    <x:col min="11" max="11" width="48" hidden="0" customWidth="1"/>
    <x:col min="12" max="12" width="20" hidden="0" customWidth="1"/>
    <x:col min="13" max="13" width="20" hidden="0" customWidth="1"/>
    <x:col min="14" max="14" width="58" hidden="0" customWidth="1"/>
    <x:col min="15" max="15" width="32" hidden="0" customWidth="1"/>
    <x:col min="16" max="16" width="28" hidden="0" customWidth="1"/>
    <x:col min="17" max="17" width="28" hidden="0" customWidth="1"/>
    <x:col min="18" max="18" width="28" hidden="0" customWidth="1"/>
    <x:col min="19" max="19" width="26" hidden="0" customWidth="1"/>
    <x:col min="20" max="20" width="26" hidden="0" customWidth="1"/>
  </x:cols>
  <x:sheetData>
    <x:row r="1" ht="30" customHeight="1">
      <x:c r="A1" s="2"/>
      <x:c r="B1" s="2"/>
      <x:c r="C1" s="2"/>
      <x:c r="D1" s="2"/>
      <x:c r="E1" s="2"/>
      <x:c r="F1" s="2"/>
      <x:c r="G1" s="2"/>
      <x:c r="H1" s="2"/>
      <x:c r="I1" s="2"/>
      <x:c r="J1" s="2"/>
      <x:c r="K1" s="2"/>
      <x:c r="L1" s="2"/>
      <x:c r="M1" s="2"/>
      <x:c r="N1" s="2"/>
      <x:c r="O1" s="2"/>
      <x:c r="P1" s="2"/>
      <x:c r="Q1" s="2"/>
      <x:c r="R1" s="2"/>
      <x:c r="S1" s="2"/>
      <x:c r="T1" s="2"/>
    </x:row>
    <x:row r="2" ht="30" customHeight="1">
      <x:c r="A2" s="19" t="str">
        <x:v>Corteqs · Gerçek fotoğraf teslimi</x:v>
      </x:c>
      <x:c r="B2" s="2"/>
      <x:c r="C2" s="2"/>
      <x:c r="D2" s="2"/>
      <x:c r="E2" s="2"/>
      <x:c r="F2" s="2"/>
      <x:c r="G2" s="2"/>
      <x:c r="H2" s="2"/>
      <x:c r="I2" s="2"/>
      <x:c r="J2" s="2"/>
      <x:c r="K2" s="2"/>
      <x:c r="L2" s="2"/>
      <x:c r="M2" s="2"/>
      <x:c r="N2" s="2"/>
      <x:c r="O2" s="2"/>
      <x:c r="P2" s="2"/>
      <x:c r="Q2" s="2"/>
      <x:c r="R2" s="2"/>
      <x:c r="S2" s="2"/>
      <x:c r="T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c r="M3" s="2"/>
      <x:c r="N3" s="2"/>
      <x:c r="O3" s="2"/>
      <x:c r="P3" s="2"/>
      <x:c r="Q3" s="2"/>
      <x:c r="R3" s="2"/>
      <x:c r="S3" s="2"/>
      <x:c r="T3" s="2"/>
    </x:row>
    <x:row r="4" ht="30" customHeight="1">
      <x:c r="A4" s="21"/>
      <x:c r="B4" s="21"/>
      <x:c r="C4" s="21"/>
      <x:c r="D4" s="21"/>
      <x:c r="E4" s="21"/>
      <x:c r="F4" s="21"/>
      <x:c r="G4" s="21"/>
      <x:c r="H4" s="21"/>
      <x:c r="I4" s="21"/>
      <x:c r="J4" s="21"/>
      <x:c r="K4" s="21"/>
      <x:c r="L4" s="21"/>
      <x:c r="M4" s="21"/>
      <x:c r="N4" s="21"/>
      <x:c r="O4" s="21"/>
      <x:c r="P4" s="21"/>
      <x:c r="Q4" s="21"/>
      <x:c r="R4" s="21"/>
      <x:c r="S4" s="21"/>
      <x:c r="T4" s="21"/>
    </x:row>
    <x:row r="5" ht="26" customHeight="1">
      <x:c r="A5" s="22" t="str">
        <x:v>Zorunlu</x:v>
      </x:c>
      <x:c r="B5" s="22" t="str">
        <x:v>Zorunlu</x:v>
      </x:c>
      <x:c r="C5" s="22" t="str">
        <x:v>Zorunlu</x:v>
      </x:c>
      <x:c r="D5" s="22" t="str">
        <x:v>İsteğe bağlı</x:v>
      </x:c>
      <x:c r="E5" s="22" t="str">
        <x:v>Zorunlu</x:v>
      </x:c>
      <x:c r="F5" s="22" t="str">
        <x:v>Zorunlu</x:v>
      </x:c>
      <x:c r="G5" s="22" t="str">
        <x:v>Zorunlu</x:v>
      </x:c>
      <x:c r="H5" s="22" t="str">
        <x:v>Zorunlu</x:v>
      </x:c>
      <x:c r="I5" s="22" t="str">
        <x:v>Zorunlu</x:v>
      </x:c>
      <x:c r="J5" s="22" t="str">
        <x:v>Zorunlu</x:v>
      </x:c>
      <x:c r="K5" s="22" t="str">
        <x:v>Zorunlu</x:v>
      </x:c>
      <x:c r="L5" s="22" t="str">
        <x:v>İsteğe bağlı · tarih</x:v>
      </x:c>
      <x:c r="M5" s="22" t="str">
        <x:v>Zorunlu · tarih</x:v>
      </x:c>
      <x:c r="N5" s="22" t="str">
        <x:v>Zorunlu</x:v>
      </x:c>
      <x:c r="O5" s="22" t="str">
        <x:v>Zorunlu</x:v>
      </x:c>
      <x:c r="P5" s="22" t="str">
        <x:v>Zorunlu</x:v>
      </x:c>
      <x:c r="Q5" s="22" t="str">
        <x:v>Zorunlu</x:v>
      </x:c>
      <x:c r="R5" s="22" t="str">
        <x:v>Zorunlu</x:v>
      </x:c>
      <x:c r="S5" s="22" t="str">
        <x:v>Hesap · değiştirmeyin</x:v>
      </x:c>
      <x:c r="T5" s="22" t="str">
        <x:v>Hesap · değiştirmeyin</x:v>
      </x:c>
    </x:row>
    <x:row r="6" ht="44" customHeight="1">
      <x:c r="A6" s="25" t="str">
        <x:v>Fotoğraf kimliği</x:v>
      </x:c>
      <x:c r="B6" s="25" t="str">
        <x:v>Şehir kimliği</x:v>
      </x:c>
      <x:c r="C6" s="25" t="str">
        <x:v>Kullanım</x:v>
      </x:c>
      <x:c r="D6" s="25" t="str">
        <x:v>Mekân / mahalle kimliği</x:v>
      </x:c>
      <x:c r="E6" s="25" t="str">
        <x:v>Görsel dosyası</x:v>
      </x:c>
      <x:c r="F6" s="25" t="str">
        <x:v>Görsel SHA-256</x:v>
      </x:c>
      <x:c r="G6" s="25" t="str">
        <x:v>Türkçe açıklama</x:v>
      </x:c>
      <x:c r="H6" s="25" t="str">
        <x:v>Fotoğrafçı / atıf</x:v>
      </x:c>
      <x:c r="I6" s="25" t="str">
        <x:v>Ücretsiz ticari lisans</x:v>
      </x:c>
      <x:c r="J6" s="25" t="str">
        <x:v>Lisans bağlantısı</x:v>
      </x:c>
      <x:c r="K6" s="25" t="str">
        <x:v>Fotoğraf kaynak sayfası</x:v>
      </x:c>
      <x:c r="L6" s="25" t="str">
        <x:v>Varsa çekim tarihi</x:v>
      </x:c>
      <x:c r="M6" s="25" t="str">
        <x:v>Hak / kaynak kontrol tarihi</x:v>
      </x:c>
      <x:c r="N6" s="25" t="str">
        <x:v>Yapılan değişiklikler</x:v>
      </x:c>
      <x:c r="O6" s="25" t="str">
        <x:v>Kanıt kimliği</x:v>
      </x:c>
      <x:c r="P6" s="25" t="str">
        <x:v>Sayımda kullanılabilir</x:v>
      </x:c>
      <x:c r="Q6" s="25" t="str">
        <x:v>Galeri sırası</x:v>
      </x:c>
      <x:c r="R6" s="25" t="str">
        <x:v>Editör durumu</x:v>
      </x:c>
      <x:c r="S6" s="25" t="str">
        <x:v>Farklı mekân fotoğrafı (hesap)</x:v>
      </x:c>
      <x:c r="T6" s="25" t="str">
        <x:v>Farklı kapak fotoğrafı (hesap)</x:v>
      </x:c>
    </x:row>
    <x:row r="7" ht="32" customHeight="1">
      <x:c r="A7" s="28" t="str">
        <x:v>photo_id</x:v>
      </x:c>
      <x:c r="B7" s="28" t="str">
        <x:v>city_id</x:v>
      </x:c>
      <x:c r="C7" s="28" t="str">
        <x:v>role</x:v>
      </x:c>
      <x:c r="D7" s="28" t="str">
        <x:v>entry_id</x:v>
      </x:c>
      <x:c r="E7" s="28" t="str">
        <x:v>file</x:v>
      </x:c>
      <x:c r="F7" s="28" t="str">
        <x:v>sha256</x:v>
      </x:c>
      <x:c r="G7" s="28" t="str">
        <x:v>caption</x:v>
      </x:c>
      <x:c r="H7" s="28" t="str">
        <x:v>author</x:v>
      </x:c>
      <x:c r="I7" s="28" t="str">
        <x:v>license</x:v>
      </x:c>
      <x:c r="J7" s="28" t="str">
        <x:v>license_url</x:v>
      </x:c>
      <x:c r="K7" s="28" t="str">
        <x:v>source_url</x:v>
      </x:c>
      <x:c r="L7" s="28" t="str">
        <x:v>capture_date</x:v>
      </x:c>
      <x:c r="M7" s="28" t="str">
        <x:v>source_checked_on</x:v>
      </x:c>
      <x:c r="N7" s="28" t="str">
        <x:v>modifications</x:v>
      </x:c>
      <x:c r="O7" s="28" t="str">
        <x:v>evidence_id</x:v>
      </x:c>
      <x:c r="P7" s="28" t="str">
        <x:v>completion_credit</x:v>
      </x:c>
      <x:c r="Q7" s="28" t="str">
        <x:v>order</x:v>
      </x:c>
      <x:c r="R7" s="28" t="str">
        <x:v>editorial_status</x:v>
      </x:c>
      <x:c r="S7" s="28" t="str">
        <x:v>unique_venue_count</x:v>
      </x:c>
      <x:c r="T7" s="28" t="str">
        <x:v>unique_hero_count</x:v>
      </x:c>
    </x:row>
    <x:row r="8" ht="54" customHeight="1">
      <x:c r="A8" s="29" t="str">
        <x:v>bakersfield:photo:venue-21973</x:v>
      </x:c>
      <x:c r="B8" s="29" t="str">
        <x:v>bakersfield</x:v>
      </x:c>
      <x:c r="C8" s="29" t="str">
        <x:v>Mekân</x:v>
      </x:c>
      <x:c r="D8" s="29" t="str">
        <x:v>bakersfield:yer-local-bakersfield-kern-county-museum</x:v>
      </x:c>
      <x:c r="E8" s="29" t="str">
        <x:v>Fotoğraflar/bk-d384836a02f2593d26fc127f.webp</x:v>
      </x:c>
      <x:c r="F8" s="29" t="str">
        <x:v>d384836a02f2593d26fc127f1095201e1b445512ceb4b37e8c7c390802ad3923</x:v>
      </x:c>
      <x:c r="G8" s="29" t="str">
        <x:v>Kern County Museum · 2011 tarihli fotoğraf</x:v>
      </x:c>
      <x:c r="H8" s="29" t="str">
        <x:v>Skyman9999</x:v>
      </x:c>
      <x:c r="I8" s="29" t="str">
        <x:v>CC0 1.0</x:v>
      </x:c>
      <x:c r="J8" s="29" t="str">
        <x:v>https://creativecommons.org/publicdomain/zero/1.0/</x:v>
      </x:c>
      <x:c r="K8" s="29" t="str">
        <x:v>https://commons.wikimedia.org/wiki/File:Kern_County_Chamber_of_Commerce_Building_Facing_West.jpg</x:v>
      </x:c>
      <x:c r="L8" s="31" t="d">
        <x:v>2011-08-30T00:00:00.000Z</x:v>
      </x:c>
      <x:c r="M8" s="31" t="d">
        <x:v>2026-10-24T00:00:00.000Z</x:v>
      </x:c>
      <x:c r="N8" s="29" t="str">
        <x:v>EXIF yönü uygulandı; boyut küçültülüp WebP biçimine dönüştürüldü.</x:v>
      </x:c>
      <x:c r="O8" s="29" t="str">
        <x:v>bakersfield:evidence:venue-21973</x:v>
      </x:c>
      <x:c r="P8" s="29" t="str">
        <x:v>Evet</x:v>
      </x:c>
      <x:c r="Q8" s="35" t="n">
        <x:v>0</x:v>
      </x:c>
      <x:c r="R8" s="29" t="str">
        <x:v>İnceleme</x:v>
      </x:c>
      <x:c r="S8" s="36" t="n">
        <x:f>IF(OR(A8="",C8&lt;&gt;"Mekân",P8&lt;&gt;"Evet"),0,IF(COUNTIFS($F$8:F8,F8,$C$8:C8,"Mekân",$P$8:P8,"Evet")=1,1,0))</x:f>
        <x:v>1</x:v>
      </x:c>
      <x:c r="T8" s="36" t="n">
        <x:f>IF(OR(A8="",C8&lt;&gt;"Kapak",P8&lt;&gt;"Evet"),0,IF(COUNTIFS($F$8:F8,F8,$C$8:C8,"Kapak",$P$8:P8,"Evet")=1,1,0))</x:f>
        <x:v>0</x:v>
      </x:c>
    </x:row>
    <x:row r="9" ht="54" customHeight="1">
      <x:c r="A9" s="29" t="str">
        <x:v>bakersfield:photo:venue-21974</x:v>
      </x:c>
      <x:c r="B9" s="29" t="str">
        <x:v>bakersfield</x:v>
      </x:c>
      <x:c r="C9" s="29" t="str">
        <x:v>Mekân</x:v>
      </x:c>
      <x:c r="D9" s="29" t="str">
        <x:v>bakersfield:yer-local-bakersfield-kern-county-museum</x:v>
      </x:c>
      <x:c r="E9" s="29" t="str">
        <x:v>Fotoğraflar/bk-82cc4976c480ad7f9cd93ef3.webp</x:v>
      </x:c>
      <x:c r="F9" s="29" t="str">
        <x:v>82cc4976c480ad7f9cd93ef3032dfa919b462c4ff347af78277ffaace33b3a3c</x:v>
      </x:c>
      <x:c r="G9" s="29" t="str">
        <x:v>Kern County Museum · 2011 tarihli fotoğraf</x:v>
      </x:c>
      <x:c r="H9" s="29" t="str">
        <x:v>Skyman9999</x:v>
      </x:c>
      <x:c r="I9" s="29" t="str">
        <x:v>CC0 1.0</x:v>
      </x:c>
      <x:c r="J9" s="29" t="str">
        <x:v>https://creativecommons.org/publicdomain/zero/1.0/</x:v>
      </x:c>
      <x:c r="K9" s="29" t="str">
        <x:v>https://commons.wikimedia.org/wiki/File:Kern_County_Chamber_of_Commerce_Building_South_Entrance_(cropped).jpg</x:v>
      </x:c>
      <x:c r="L9" s="31" t="d">
        <x:v>2011-08-30T00:00:00.000Z</x:v>
      </x:c>
      <x:c r="M9" s="31" t="d">
        <x:v>2026-10-24T00:00:00.000Z</x:v>
      </x:c>
      <x:c r="N9" s="29" t="str">
        <x:v>EXIF yönü uygulandı; boyut küçültülüp WebP biçimine dönüştürüldü.</x:v>
      </x:c>
      <x:c r="O9" s="29" t="str">
        <x:v>bakersfield:evidence:venue-21974</x:v>
      </x:c>
      <x:c r="P9" s="29" t="str">
        <x:v>Evet</x:v>
      </x:c>
      <x:c r="Q9" s="35" t="n">
        <x:v>1</x:v>
      </x:c>
      <x:c r="R9" s="29" t="str">
        <x:v>İnceleme</x:v>
      </x:c>
      <x:c r="S9" s="36" t="n">
        <x:f>IF(OR(A9="",C9&lt;&gt;"Mekân",P9&lt;&gt;"Evet"),0,IF(COUNTIFS($F$8:F9,F9,$C$8:C9,"Mekân",$P$8:P9,"Evet")=1,1,0))</x:f>
        <x:v>1</x:v>
      </x:c>
      <x:c r="T9" s="36" t="n">
        <x:f>IF(OR(A9="",C9&lt;&gt;"Kapak",P9&lt;&gt;"Evet"),0,IF(COUNTIFS($F$8:F9,F9,$C$8:C9,"Kapak",$P$8:P9,"Evet")=1,1,0))</x:f>
        <x:v>0</x:v>
      </x:c>
    </x:row>
    <x:row r="10" ht="54" customHeight="1">
      <x:c r="A10" s="29" t="str">
        <x:v>bakersfield:photo:venue-21975</x:v>
      </x:c>
      <x:c r="B10" s="29" t="str">
        <x:v>bakersfield</x:v>
      </x:c>
      <x:c r="C10" s="29" t="str">
        <x:v>Mekân</x:v>
      </x:c>
      <x:c r="D10" s="29" t="str">
        <x:v>bakersfield:yer-local-bakersfield-kern-county-museum</x:v>
      </x:c>
      <x:c r="E10" s="29" t="str">
        <x:v>Fotoğraflar/bk-bbe6541f71a03b54835f48d5.webp</x:v>
      </x:c>
      <x:c r="F10" s="29" t="str">
        <x:v>bbe6541f71a03b54835f48d5d5a906f0e93193cfe33e22b0614f74bd41a1db79</x:v>
      </x:c>
      <x:c r="G10" s="29" t="str">
        <x:v>Kern County Museum · 2006 tarihli fotoğraf</x:v>
      </x:c>
      <x:c r="H10" s="29" t="str">
        <x:v>(WT-de) Mistoffeles</x:v>
      </x:c>
      <x:c r="I10" s="29" t="str">
        <x:v>CC BY-SA 4.0</x:v>
      </x:c>
      <x:c r="J10" s="29" t="str">
        <x:v>https://creativecommons.org/licenses/by-sa/4.0</x:v>
      </x:c>
      <x:c r="K10" s="29" t="str">
        <x:v>https://commons.wikimedia.org/wiki/File:Kern_County_Museum-2.jpg</x:v>
      </x:c>
      <x:c r="L10" s="31" t="d">
        <x:v>2006-08-13T00:00:00.000Z</x:v>
      </x:c>
      <x:c r="M10" s="31" t="d">
        <x:v>2026-10-24T00:00:00.000Z</x:v>
      </x:c>
      <x:c r="N10" s="29" t="str">
        <x:v>EXIF yönü uygulandı; boyut küçültülüp WebP biçimine dönüştürüldü.</x:v>
      </x:c>
      <x:c r="O10" s="29" t="str">
        <x:v>bakersfield:evidence:venue-21975</x:v>
      </x:c>
      <x:c r="P10" s="29" t="str">
        <x:v>Evet</x:v>
      </x:c>
      <x:c r="Q10" s="35" t="n">
        <x:v>2</x:v>
      </x:c>
      <x:c r="R10" s="29" t="str">
        <x:v>İnceleme</x:v>
      </x:c>
      <x:c r="S10" s="36" t="n">
        <x:f>IF(OR(A10="",C10&lt;&gt;"Mekân",P10&lt;&gt;"Evet"),0,IF(COUNTIFS($F$8:F10,F10,$C$8:C10,"Mekân",$P$8:P10,"Evet")=1,1,0))</x:f>
        <x:v>1</x:v>
      </x:c>
      <x:c r="T10" s="36" t="n">
        <x:f>IF(OR(A10="",C10&lt;&gt;"Kapak",P10&lt;&gt;"Evet"),0,IF(COUNTIFS($F$8:F10,F10,$C$8:C10,"Kapak",$P$8:P10,"Evet")=1,1,0))</x:f>
        <x:v>0</x:v>
      </x:c>
    </x:row>
    <x:row r="11" ht="54" customHeight="1">
      <x:c r="A11" s="29" t="str">
        <x:v>bakersfield:photo:venue-21976</x:v>
      </x:c>
      <x:c r="B11" s="29" t="str">
        <x:v>bakersfield</x:v>
      </x:c>
      <x:c r="C11" s="29" t="str">
        <x:v>Mekân</x:v>
      </x:c>
      <x:c r="D11" s="29" t="str">
        <x:v>bakersfield:yer-local-bakersfield-kern-county-museum</x:v>
      </x:c>
      <x:c r="E11" s="29" t="str">
        <x:v>Fotoğraflar/bk-97a030123641ef81799b73cd.webp</x:v>
      </x:c>
      <x:c r="F11" s="29" t="str">
        <x:v>97a030123641ef81799b73cdafe82330e12dc3045f290fba32572262e828dd77</x:v>
      </x:c>
      <x:c r="G11" s="29" t="str">
        <x:v>Kern County Museum · 2006 tarihli fotoğraf</x:v>
      </x:c>
      <x:c r="H11" s="29" t="str">
        <x:v>(WT-de) Mistoffeles</x:v>
      </x:c>
      <x:c r="I11" s="29" t="str">
        <x:v>CC BY-SA 4.0</x:v>
      </x:c>
      <x:c r="J11" s="29" t="str">
        <x:v>https://creativecommons.org/licenses/by-sa/4.0</x:v>
      </x:c>
      <x:c r="K11" s="29" t="str">
        <x:v>https://commons.wikimedia.org/wiki/File:Kern_County_Museum-5.jpg</x:v>
      </x:c>
      <x:c r="L11" s="31" t="d">
        <x:v>2006-08-13T00:00:00.000Z</x:v>
      </x:c>
      <x:c r="M11" s="31" t="d">
        <x:v>2026-10-24T00:00:00.000Z</x:v>
      </x:c>
      <x:c r="N11" s="29" t="str">
        <x:v>EXIF yönü uygulandı; boyut küçültülüp WebP biçimine dönüştürüldü.</x:v>
      </x:c>
      <x:c r="O11" s="29" t="str">
        <x:v>bakersfield:evidence:venue-21976</x:v>
      </x:c>
      <x:c r="P11" s="29" t="str">
        <x:v>Evet</x:v>
      </x:c>
      <x:c r="Q11" s="35" t="n">
        <x:v>3</x:v>
      </x:c>
      <x:c r="R11" s="29" t="str">
        <x:v>İnceleme</x:v>
      </x:c>
      <x:c r="S11" s="36" t="n">
        <x:f>IF(OR(A11="",C11&lt;&gt;"Mekân",P11&lt;&gt;"Evet"),0,IF(COUNTIFS($F$8:F11,F11,$C$8:C11,"Mekân",$P$8:P11,"Evet")=1,1,0))</x:f>
        <x:v>1</x:v>
      </x:c>
      <x:c r="T11" s="36" t="n">
        <x:f>IF(OR(A11="",C11&lt;&gt;"Kapak",P11&lt;&gt;"Evet"),0,IF(COUNTIFS($F$8:F11,F11,$C$8:C11,"Kapak",$P$8:P11,"Evet")=1,1,0))</x:f>
        <x:v>0</x:v>
      </x:c>
    </x:row>
    <x:row r="12" ht="54" customHeight="1">
      <x:c r="A12" s="29" t="str">
        <x:v>bakersfield:photo:venue-21977</x:v>
      </x:c>
      <x:c r="B12" s="29" t="str">
        <x:v>bakersfield</x:v>
      </x:c>
      <x:c r="C12" s="29" t="str">
        <x:v>Mekân</x:v>
      </x:c>
      <x:c r="D12" s="29" t="str">
        <x:v>bakersfield:yer-local-bakersfield-kern-county-museum</x:v>
      </x:c>
      <x:c r="E12" s="29" t="str">
        <x:v>Fotoğraflar/bk-fd6cc0110a1a7124077246f8.webp</x:v>
      </x:c>
      <x:c r="F12" s="29" t="str">
        <x:v>fd6cc0110a1a7124077246f8ca7192d7a2e5ffd6dcaf8db50a20d24b653d7703</x:v>
      </x:c>
      <x:c r="G12" s="29" t="str">
        <x:v>Kern County Museum · 2006 tarihli fotoğraf</x:v>
      </x:c>
      <x:c r="H12" s="29" t="str">
        <x:v>(WT-de) Mistoffeles</x:v>
      </x:c>
      <x:c r="I12" s="29" t="str">
        <x:v>CC BY-SA 4.0</x:v>
      </x:c>
      <x:c r="J12" s="29" t="str">
        <x:v>https://creativecommons.org/licenses/by-sa/4.0</x:v>
      </x:c>
      <x:c r="K12" s="29" t="str">
        <x:v>https://commons.wikimedia.org/wiki/File:Kern_County_Museum-7.jpg</x:v>
      </x:c>
      <x:c r="L12" s="31" t="d">
        <x:v>2006-08-13T00:00:00.000Z</x:v>
      </x:c>
      <x:c r="M12" s="31" t="d">
        <x:v>2026-10-24T00:00:00.000Z</x:v>
      </x:c>
      <x:c r="N12" s="29" t="str">
        <x:v>EXIF yönü uygulandı; boyut küçültülüp WebP biçimine dönüştürüldü.</x:v>
      </x:c>
      <x:c r="O12" s="29" t="str">
        <x:v>bakersfield:evidence:venue-21977</x:v>
      </x:c>
      <x:c r="P12" s="29" t="str">
        <x:v>Evet</x:v>
      </x:c>
      <x:c r="Q12" s="35" t="n">
        <x:v>4</x:v>
      </x:c>
      <x:c r="R12" s="29" t="str">
        <x:v>İnceleme</x:v>
      </x:c>
      <x:c r="S12" s="36" t="n">
        <x:f>IF(OR(A12="",C12&lt;&gt;"Mekân",P12&lt;&gt;"Evet"),0,IF(COUNTIFS($F$8:F12,F12,$C$8:C12,"Mekân",$P$8:P12,"Evet")=1,1,0))</x:f>
        <x:v>1</x:v>
      </x:c>
      <x:c r="T12" s="36" t="n">
        <x:f>IF(OR(A12="",C12&lt;&gt;"Kapak",P12&lt;&gt;"Evet"),0,IF(COUNTIFS($F$8:F12,F12,$C$8:C12,"Kapak",$P$8:P12,"Evet")=1,1,0))</x:f>
        <x:v>0</x:v>
      </x:c>
    </x:row>
    <x:row r="13" ht="54" customHeight="1">
      <x:c r="A13" s="29" t="str">
        <x:v>bakersfield:photo:venue-21978</x:v>
      </x:c>
      <x:c r="B13" s="29" t="str">
        <x:v>bakersfield</x:v>
      </x:c>
      <x:c r="C13" s="29" t="str">
        <x:v>Mekân</x:v>
      </x:c>
      <x:c r="D13" s="29" t="str">
        <x:v>bakersfield:yer-local-bakersfield-kern-county-museum</x:v>
      </x:c>
      <x:c r="E13" s="29" t="str">
        <x:v>Fotoğraflar/bk-fa2317c28f5a489d59027499.webp</x:v>
      </x:c>
      <x:c r="F13" s="29" t="str">
        <x:v>fa2317c28f5a489d5902749986736dda23c01764b1d26fad39a7da5bc1683a42</x:v>
      </x:c>
      <x:c r="G13" s="29" t="str">
        <x:v>Kern County Museum · 2006 tarihli fotoğraf</x:v>
      </x:c>
      <x:c r="H13" s="29" t="str">
        <x:v>(WT-de) Mistoffeles</x:v>
      </x:c>
      <x:c r="I13" s="29" t="str">
        <x:v>CC BY-SA 4.0</x:v>
      </x:c>
      <x:c r="J13" s="29" t="str">
        <x:v>https://creativecommons.org/licenses/by-sa/4.0</x:v>
      </x:c>
      <x:c r="K13" s="29" t="str">
        <x:v>https://commons.wikimedia.org/wiki/File:Kern_County_Museum-8.jpg</x:v>
      </x:c>
      <x:c r="L13" s="31" t="d">
        <x:v>2006-08-13T00:00:00.000Z</x:v>
      </x:c>
      <x:c r="M13" s="31" t="d">
        <x:v>2026-10-24T00:00:00.000Z</x:v>
      </x:c>
      <x:c r="N13" s="29" t="str">
        <x:v>EXIF yönü uygulandı; boyut küçültülüp WebP biçimine dönüştürüldü.</x:v>
      </x:c>
      <x:c r="O13" s="29" t="str">
        <x:v>bakersfield:evidence:venue-21978</x:v>
      </x:c>
      <x:c r="P13" s="29" t="str">
        <x:v>Evet</x:v>
      </x:c>
      <x:c r="Q13" s="35" t="n">
        <x:v>5</x:v>
      </x:c>
      <x:c r="R13" s="29" t="str">
        <x:v>İnceleme</x:v>
      </x:c>
      <x:c r="S13" s="36" t="n">
        <x:f>IF(OR(A13="",C13&lt;&gt;"Mekân",P13&lt;&gt;"Evet"),0,IF(COUNTIFS($F$8:F13,F13,$C$8:C13,"Mekân",$P$8:P13,"Evet")=1,1,0))</x:f>
        <x:v>1</x:v>
      </x:c>
      <x:c r="T13" s="36" t="n">
        <x:f>IF(OR(A13="",C13&lt;&gt;"Kapak",P13&lt;&gt;"Evet"),0,IF(COUNTIFS($F$8:F13,F13,$C$8:C13,"Kapak",$P$8:P13,"Evet")=1,1,0))</x:f>
        <x:v>0</x:v>
      </x:c>
    </x:row>
    <x:row r="14" ht="54" customHeight="1">
      <x:c r="A14" s="29" t="str">
        <x:v>bakersfield:photo:venue-21979</x:v>
      </x:c>
      <x:c r="B14" s="29" t="str">
        <x:v>bakersfield</x:v>
      </x:c>
      <x:c r="C14" s="29" t="str">
        <x:v>Mekân</x:v>
      </x:c>
      <x:c r="D14" s="29" t="str">
        <x:v>bakersfield:yer-local-bakersfield-kern-county-museum</x:v>
      </x:c>
      <x:c r="E14" s="29" t="str">
        <x:v>Fotoğraflar/bk-929de6221f8fbefa7199049c.webp</x:v>
      </x:c>
      <x:c r="F14" s="29" t="str">
        <x:v>929de6221f8fbefa7199049cd4c710c1c6677680ede14696e3d525de79868e03</x:v>
      </x:c>
      <x:c r="G14" s="29" t="str">
        <x:v>Kern County Museum · 2006 tarihli fotoğraf</x:v>
      </x:c>
      <x:c r="H14" s="29" t="str">
        <x:v>(WT-de) Mistoffeles</x:v>
      </x:c>
      <x:c r="I14" s="29" t="str">
        <x:v>CC BY-SA 4.0</x:v>
      </x:c>
      <x:c r="J14" s="29" t="str">
        <x:v>https://creativecommons.org/licenses/by-sa/4.0</x:v>
      </x:c>
      <x:c r="K14" s="29" t="str">
        <x:v>https://commons.wikimedia.org/wiki/File:Kern_County_Museum-9.jpg</x:v>
      </x:c>
      <x:c r="L14" s="31" t="d">
        <x:v>2006-08-13T00:00:00.000Z</x:v>
      </x:c>
      <x:c r="M14" s="31" t="d">
        <x:v>2026-10-24T00:00:00.000Z</x:v>
      </x:c>
      <x:c r="N14" s="29" t="str">
        <x:v>EXIF yönü uygulandı; boyut küçültülüp WebP biçimine dönüştürüldü.</x:v>
      </x:c>
      <x:c r="O14" s="29" t="str">
        <x:v>bakersfield:evidence:venue-21979</x:v>
      </x:c>
      <x:c r="P14" s="29" t="str">
        <x:v>Evet</x:v>
      </x:c>
      <x:c r="Q14" s="35" t="n">
        <x:v>6</x:v>
      </x:c>
      <x:c r="R14" s="29" t="str">
        <x:v>İnceleme</x:v>
      </x:c>
      <x:c r="S14" s="36" t="n">
        <x:f>IF(OR(A14="",C14&lt;&gt;"Mekân",P14&lt;&gt;"Evet"),0,IF(COUNTIFS($F$8:F14,F14,$C$8:C14,"Mekân",$P$8:P14,"Evet")=1,1,0))</x:f>
        <x:v>1</x:v>
      </x:c>
      <x:c r="T14" s="36" t="n">
        <x:f>IF(OR(A14="",C14&lt;&gt;"Kapak",P14&lt;&gt;"Evet"),0,IF(COUNTIFS($F$8:F14,F14,$C$8:C14,"Kapak",$P$8:P14,"Evet")=1,1,0))</x:f>
        <x:v>0</x:v>
      </x:c>
    </x:row>
    <x:row r="15" ht="54" customHeight="1">
      <x:c r="A15" s="29" t="str">
        <x:v>bakersfield:photo:venue-21980</x:v>
      </x:c>
      <x:c r="B15" s="29" t="str">
        <x:v>bakersfield</x:v>
      </x:c>
      <x:c r="C15" s="29" t="str">
        <x:v>Mekân</x:v>
      </x:c>
      <x:c r="D15" s="29" t="str">
        <x:v>bakersfield:yer-local-bakersfield-kern-county-museum</x:v>
      </x:c>
      <x:c r="E15" s="29" t="str">
        <x:v>Fotoğraflar/bk-dc277be30f48022956131e89.webp</x:v>
      </x:c>
      <x:c r="F15" s="29" t="str">
        <x:v>dc277be30f48022956131e89931b72556e947f718cb4bf953692e6f111e6c380</x:v>
      </x:c>
      <x:c r="G15" s="29" t="str">
        <x:v>Kern County Museum · 2010 tarihli fotoğraf</x:v>
      </x:c>
      <x:c r="H15" s="29" t="str">
        <x:v>David~O</x:v>
      </x:c>
      <x:c r="I15" s="29" t="str">
        <x:v>CC BY 2.0</x:v>
      </x:c>
      <x:c r="J15" s="29" t="str">
        <x:v>https://creativecommons.org/licenses/by/2.0/</x:v>
      </x:c>
      <x:c r="K15" s="29" t="str">
        <x:v>https://www.flickr.com/photos/8106459@N07/4400701762/</x:v>
      </x:c>
      <x:c r="L15" s="31" t="d">
        <x:v>2010-02-27T00:00:00.000Z</x:v>
      </x:c>
      <x:c r="M15" s="31" t="d">
        <x:v>2026-10-24T00:00:00.000Z</x:v>
      </x:c>
      <x:c r="N15" s="29" t="str">
        <x:v>EXIF yönü uygulandı; boyut küçültülüp WebP biçimine dönüştürüldü.</x:v>
      </x:c>
      <x:c r="O15" s="29" t="str">
        <x:v>bakersfield:evidence:venue-21980</x:v>
      </x:c>
      <x:c r="P15" s="29" t="str">
        <x:v>Evet</x:v>
      </x:c>
      <x:c r="Q15" s="35" t="n">
        <x:v>7</x:v>
      </x:c>
      <x:c r="R15" s="29" t="str">
        <x:v>İnceleme</x:v>
      </x:c>
      <x:c r="S15" s="36" t="n">
        <x:f>IF(OR(A15="",C15&lt;&gt;"Mekân",P15&lt;&gt;"Evet"),0,IF(COUNTIFS($F$8:F15,F15,$C$8:C15,"Mekân",$P$8:P15,"Evet")=1,1,0))</x:f>
        <x:v>1</x:v>
      </x:c>
      <x:c r="T15" s="36" t="n">
        <x:f>IF(OR(A15="",C15&lt;&gt;"Kapak",P15&lt;&gt;"Evet"),0,IF(COUNTIFS($F$8:F15,F15,$C$8:C15,"Kapak",$P$8:P15,"Evet")=1,1,0))</x:f>
        <x:v>0</x:v>
      </x:c>
    </x:row>
    <x:row r="16" ht="54" customHeight="1">
      <x:c r="A16" s="29" t="str">
        <x:v>bakersfield:photo:venue-21981</x:v>
      </x:c>
      <x:c r="B16" s="29" t="str">
        <x:v>bakersfield</x:v>
      </x:c>
      <x:c r="C16" s="29" t="str">
        <x:v>Mekân</x:v>
      </x:c>
      <x:c r="D16" s="29" t="str">
        <x:v>bakersfield:yer-local-bakersfield-kern-county-museum</x:v>
      </x:c>
      <x:c r="E16" s="29" t="str">
        <x:v>Fotoğraflar/bk-ab378a1e4e7a825931a77ba3.webp</x:v>
      </x:c>
      <x:c r="F16" s="29" t="str">
        <x:v>ab378a1e4e7a825931a77ba3eef98c8f2bb1d023bd21e393082b96513164fa72</x:v>
      </x:c>
      <x:c r="G16" s="29" t="str">
        <x:v>Kern County Museum · 2017 tarihli fotoğraf</x:v>
      </x:c>
      <x:c r="H16" s="29" t="str">
        <x:v>Danny Chia</x:v>
      </x:c>
      <x:c r="I16" s="29" t="str">
        <x:v>CC BY-SA 2.0</x:v>
      </x:c>
      <x:c r="J16" s="29" t="str">
        <x:v>https://creativecommons.org/licenses/by-sa/2.0/</x:v>
      </x:c>
      <x:c r="K16" s="29" t="str">
        <x:v>https://www.flickr.com/photos/64978778@N00/46829101044/</x:v>
      </x:c>
      <x:c r="L16" s="31" t="d">
        <x:v>2017-12-28T00:00:00.000Z</x:v>
      </x:c>
      <x:c r="M16" s="31" t="d">
        <x:v>2026-10-24T00:00:00.000Z</x:v>
      </x:c>
      <x:c r="N16" s="29" t="str">
        <x:v>EXIF yönü uygulandı; boyut küçültülüp WebP biçimine dönüştürüldü.</x:v>
      </x:c>
      <x:c r="O16" s="29" t="str">
        <x:v>bakersfield:evidence:venue-21981</x:v>
      </x:c>
      <x:c r="P16" s="29" t="str">
        <x:v>Evet</x:v>
      </x:c>
      <x:c r="Q16" s="35" t="n">
        <x:v>8</x:v>
      </x:c>
      <x:c r="R16" s="29" t="str">
        <x:v>İnceleme</x:v>
      </x:c>
      <x:c r="S16" s="36" t="n">
        <x:f>IF(OR(A16="",C16&lt;&gt;"Mekân",P16&lt;&gt;"Evet"),0,IF(COUNTIFS($F$8:F16,F16,$C$8:C16,"Mekân",$P$8:P16,"Evet")=1,1,0))</x:f>
        <x:v>1</x:v>
      </x:c>
      <x:c r="T16" s="36" t="n">
        <x:f>IF(OR(A16="",C16&lt;&gt;"Kapak",P16&lt;&gt;"Evet"),0,IF(COUNTIFS($F$8:F16,F16,$C$8:C16,"Kapak",$P$8:P16,"Evet")=1,1,0))</x:f>
        <x:v>0</x:v>
      </x:c>
    </x:row>
    <x:row r="17" ht="54" customHeight="1">
      <x:c r="A17" s="29" t="str">
        <x:v>bakersfield:photo:venue-21982</x:v>
      </x:c>
      <x:c r="B17" s="29" t="str">
        <x:v>bakersfield</x:v>
      </x:c>
      <x:c r="C17" s="29" t="str">
        <x:v>Mekân</x:v>
      </x:c>
      <x:c r="D17" s="29" t="str">
        <x:v>bakersfield:yer-local-bakersfield-kern-county-museum</x:v>
      </x:c>
      <x:c r="E17" s="29" t="str">
        <x:v>Fotoğraflar/bk-594a8b54728ee6a03dfc0f4f.webp</x:v>
      </x:c>
      <x:c r="F17" s="29" t="str">
        <x:v>594a8b54728ee6a03dfc0f4f649f70df7d0be0b8c59c8925c71cb6e17dbacd55</x:v>
      </x:c>
      <x:c r="G17" s="29" t="str">
        <x:v>Kern County Museum · 2009 tarihli fotoğraf</x:v>
      </x:c>
      <x:c r="H17" s="29" t="str">
        <x:v>Allie Towers Rice</x:v>
      </x:c>
      <x:c r="I17" s="29" t="str">
        <x:v>CC BY-SA 2.0</x:v>
      </x:c>
      <x:c r="J17" s="29" t="str">
        <x:v>https://creativecommons.org/licenses/by-sa/2.0/</x:v>
      </x:c>
      <x:c r="K17" s="29" t="str">
        <x:v>https://www.flickr.com/photos/67501253@N00/4006795182/</x:v>
      </x:c>
      <x:c r="L17" s="31" t="d">
        <x:v>2009-09-12T00:00:00.000Z</x:v>
      </x:c>
      <x:c r="M17" s="31" t="d">
        <x:v>2026-10-24T00:00:00.000Z</x:v>
      </x:c>
      <x:c r="N17" s="29" t="str">
        <x:v>EXIF yönü uygulandı; boyut küçültülüp WebP biçimine dönüştürüldü.</x:v>
      </x:c>
      <x:c r="O17" s="29" t="str">
        <x:v>bakersfield:evidence:venue-21982</x:v>
      </x:c>
      <x:c r="P17" s="29" t="str">
        <x:v>Evet</x:v>
      </x:c>
      <x:c r="Q17" s="35" t="n">
        <x:v>9</x:v>
      </x:c>
      <x:c r="R17" s="29" t="str">
        <x:v>İnceleme</x:v>
      </x:c>
      <x:c r="S17" s="36" t="n">
        <x:f>IF(OR(A17="",C17&lt;&gt;"Mekân",P17&lt;&gt;"Evet"),0,IF(COUNTIFS($F$8:F17,F17,$C$8:C17,"Mekân",$P$8:P17,"Evet")=1,1,0))</x:f>
        <x:v>1</x:v>
      </x:c>
      <x:c r="T17" s="36" t="n">
        <x:f>IF(OR(A17="",C17&lt;&gt;"Kapak",P17&lt;&gt;"Evet"),0,IF(COUNTIFS($F$8:F17,F17,$C$8:C17,"Kapak",$P$8:P17,"Evet")=1,1,0))</x:f>
        <x:v>0</x:v>
      </x:c>
    </x:row>
    <x:row r="18" ht="54" customHeight="1">
      <x:c r="A18" s="29" t="str">
        <x:v>bakersfield:photo:venue-21983</x:v>
      </x:c>
      <x:c r="B18" s="29" t="str">
        <x:v>bakersfield</x:v>
      </x:c>
      <x:c r="C18" s="29" t="str">
        <x:v>Mekân</x:v>
      </x:c>
      <x:c r="D18" s="29" t="str">
        <x:v>bakersfield:yer-local-bakersfield-bakersfield-museum-art</x:v>
      </x:c>
      <x:c r="E18" s="29" t="str">
        <x:v>Fotoğraflar/bk-1af73c7f3d448d09d27875de.webp</x:v>
      </x:c>
      <x:c r="F18" s="29" t="str">
        <x:v>1af73c7f3d448d09d27875de669d7da9e30e04e85ed7b7b021d7b3cedbcfcb31</x:v>
      </x:c>
      <x:c r="G18" s="29" t="str">
        <x:v>Bakersfield Museum of Art · 2012 tarihli fotoğraf</x:v>
      </x:c>
      <x:c r="H18" s="29" t="str">
        <x:v>Julie Jordan Scott</x:v>
      </x:c>
      <x:c r="I18" s="29" t="str">
        <x:v>CC BY 2.0</x:v>
      </x:c>
      <x:c r="J18" s="29" t="str">
        <x:v>https://creativecommons.org/licenses/by/2.0/</x:v>
      </x:c>
      <x:c r="K18" s="29" t="str">
        <x:v>https://www.flickr.com/photos/98609821@N00/7137059327/</x:v>
      </x:c>
      <x:c r="L18" s="31" t="d">
        <x:v>2012-05-02T00:00:00.000Z</x:v>
      </x:c>
      <x:c r="M18" s="31" t="d">
        <x:v>2026-10-24T00:00:00.000Z</x:v>
      </x:c>
      <x:c r="N18" s="29" t="str">
        <x:v>EXIF yönü uygulandı; boyut küçültülüp WebP biçimine dönüştürüldü.</x:v>
      </x:c>
      <x:c r="O18" s="29" t="str">
        <x:v>bakersfield:evidence:venue-21983</x:v>
      </x:c>
      <x:c r="P18" s="29" t="str">
        <x:v>Evet</x:v>
      </x:c>
      <x:c r="Q18" s="35" t="n">
        <x:v>0</x:v>
      </x:c>
      <x:c r="R18" s="29" t="str">
        <x:v>İnceleme</x:v>
      </x:c>
      <x:c r="S18" s="36" t="n">
        <x:f>IF(OR(A18="",C18&lt;&gt;"Mekân",P18&lt;&gt;"Evet"),0,IF(COUNTIFS($F$8:F18,F18,$C$8:C18,"Mekân",$P$8:P18,"Evet")=1,1,0))</x:f>
        <x:v>1</x:v>
      </x:c>
      <x:c r="T18" s="36" t="n">
        <x:f>IF(OR(A18="",C18&lt;&gt;"Kapak",P18&lt;&gt;"Evet"),0,IF(COUNTIFS($F$8:F18,F18,$C$8:C18,"Kapak",$P$8:P18,"Evet")=1,1,0))</x:f>
        <x:v>0</x:v>
      </x:c>
    </x:row>
    <x:row r="19" ht="54" customHeight="1">
      <x:c r="A19" s="29" t="str">
        <x:v>bakersfield:photo:venue-21984</x:v>
      </x:c>
      <x:c r="B19" s="29" t="str">
        <x:v>bakersfield</x:v>
      </x:c>
      <x:c r="C19" s="29" t="str">
        <x:v>Mekân</x:v>
      </x:c>
      <x:c r="D19" s="29" t="str">
        <x:v>bakersfield:yer-local-bakersfield-bakersfield-museum-art</x:v>
      </x:c>
      <x:c r="E19" s="29" t="str">
        <x:v>Fotoğraflar/bk-76cf4f6889fa591ec6355fed.webp</x:v>
      </x:c>
      <x:c r="F19" s="29" t="str">
        <x:v>76cf4f6889fa591ec6355fed392cabfb1dbb518536d717d37a8f5b988979b29b</x:v>
      </x:c>
      <x:c r="G19" s="29" t="str">
        <x:v>Bakersfield Museum of Art · 2012 tarihli fotoğraf</x:v>
      </x:c>
      <x:c r="H19" s="29" t="str">
        <x:v>Julie Jordan Scott</x:v>
      </x:c>
      <x:c r="I19" s="29" t="str">
        <x:v>CC BY 2.0</x:v>
      </x:c>
      <x:c r="J19" s="29" t="str">
        <x:v>https://creativecommons.org/licenses/by/2.0/</x:v>
      </x:c>
      <x:c r="K19" s="29" t="str">
        <x:v>https://www.flickr.com/photos/98609821@N00/7137060287/</x:v>
      </x:c>
      <x:c r="L19" s="31" t="d">
        <x:v>2012-05-02T00:00:00.000Z</x:v>
      </x:c>
      <x:c r="M19" s="31" t="d">
        <x:v>2026-10-24T00:00:00.000Z</x:v>
      </x:c>
      <x:c r="N19" s="29" t="str">
        <x:v>EXIF yönü uygulandı; boyut küçültülüp WebP biçimine dönüştürüldü.</x:v>
      </x:c>
      <x:c r="O19" s="29" t="str">
        <x:v>bakersfield:evidence:venue-21984</x:v>
      </x:c>
      <x:c r="P19" s="29" t="str">
        <x:v>Evet</x:v>
      </x:c>
      <x:c r="Q19" s="35" t="n">
        <x:v>1</x:v>
      </x:c>
      <x:c r="R19" s="29" t="str">
        <x:v>İnceleme</x:v>
      </x:c>
      <x:c r="S19" s="36" t="n">
        <x:f>IF(OR(A19="",C19&lt;&gt;"Mekân",P19&lt;&gt;"Evet"),0,IF(COUNTIFS($F$8:F19,F19,$C$8:C19,"Mekân",$P$8:P19,"Evet")=1,1,0))</x:f>
        <x:v>1</x:v>
      </x:c>
      <x:c r="T19" s="36" t="n">
        <x:f>IF(OR(A19="",C19&lt;&gt;"Kapak",P19&lt;&gt;"Evet"),0,IF(COUNTIFS($F$8:F19,F19,$C$8:C19,"Kapak",$P$8:P19,"Evet")=1,1,0))</x:f>
        <x:v>0</x:v>
      </x:c>
    </x:row>
    <x:row r="20" ht="54" customHeight="1">
      <x:c r="A20" s="29" t="str">
        <x:v>bakersfield:photo:venue-21985</x:v>
      </x:c>
      <x:c r="B20" s="29" t="str">
        <x:v>bakersfield</x:v>
      </x:c>
      <x:c r="C20" s="29" t="str">
        <x:v>Mekân</x:v>
      </x:c>
      <x:c r="D20" s="29" t="str">
        <x:v>bakersfield:yer-local-bakersfield-hardt-field</x:v>
      </x:c>
      <x:c r="E20" s="29" t="str">
        <x:v>Fotoğraflar/bk-633ea999a10b050e5f538cf9.webp</x:v>
      </x:c>
      <x:c r="F20" s="29" t="str">
        <x:v>633ea999a10b050e5f538cf90cf4e63efc6bb823f7816135c125f9e98de89c81</x:v>
      </x:c>
      <x:c r="G20" s="29" t="str">
        <x:v>Hardt Field – CSU Bakersfield · 2017 tarihli fotoğraf</x:v>
      </x:c>
      <x:c r="H20" s="29" t="str">
        <x:v>Spatms</x:v>
      </x:c>
      <x:c r="I20" s="29" t="str">
        <x:v>CC BY-SA 4.0</x:v>
      </x:c>
      <x:c r="J20" s="29" t="str">
        <x:v>https://creativecommons.org/licenses/by-sa/4.0</x:v>
      </x:c>
      <x:c r="K20" s="29" t="str">
        <x:v>https://commons.wikimedia.org/wiki/File:Hardt_Field_(CSU_Bakersfield).jpg</x:v>
      </x:c>
      <x:c r="L20" s="31"/>
      <x:c r="M20" s="31" t="d">
        <x:v>2026-10-24T00:00:00.000Z</x:v>
      </x:c>
      <x:c r="N20" s="29" t="str">
        <x:v>EXIF yönü uygulandı; boyut küçültülüp WebP biçimine dönüştürüldü.</x:v>
      </x:c>
      <x:c r="O20" s="29" t="str">
        <x:v>bakersfield:evidence:venue-21985</x:v>
      </x:c>
      <x:c r="P20" s="29" t="str">
        <x:v>Evet</x:v>
      </x:c>
      <x:c r="Q20" s="35" t="n">
        <x:v>0</x:v>
      </x:c>
      <x:c r="R20" s="29" t="str">
        <x:v>İnceleme</x:v>
      </x:c>
      <x:c r="S20" s="36" t="n">
        <x:f>IF(OR(A20="",C20&lt;&gt;"Mekân",P20&lt;&gt;"Evet"),0,IF(COUNTIFS($F$8:F20,F20,$C$8:C20,"Mekân",$P$8:P20,"Evet")=1,1,0))</x:f>
        <x:v>1</x:v>
      </x:c>
      <x:c r="T20" s="36" t="n">
        <x:f>IF(OR(A20="",C20&lt;&gt;"Kapak",P20&lt;&gt;"Evet"),0,IF(COUNTIFS($F$8:F20,F20,$C$8:C20,"Kapak",$P$8:P20,"Evet")=1,1,0))</x:f>
        <x:v>0</x:v>
      </x:c>
    </x:row>
    <x:row r="21" ht="54" customHeight="1">
      <x:c r="A21" s="29" t="str">
        <x:v>bakersfield:photo:venue-21986</x:v>
      </x:c>
      <x:c r="B21" s="29" t="str">
        <x:v>bakersfield</x:v>
      </x:c>
      <x:c r="C21" s="29" t="str">
        <x:v>Mekân</x:v>
      </x:c>
      <x:c r="D21" s="29" t="str">
        <x:v>bakersfield:yer-local-bakersfield-hardt-field</x:v>
      </x:c>
      <x:c r="E21" s="29" t="str">
        <x:v>Fotoğraflar/bk-b1bcc3869e6691dc05cd93df.webp</x:v>
      </x:c>
      <x:c r="F21" s="29" t="str">
        <x:v>b1bcc3869e6691dc05cd93df1b8d40a68b0a4b050b188e966574bb81df3f341f</x:v>
      </x:c>
      <x:c r="G21" s="29" t="str">
        <x:v>Hardt Field – CSU Bakersfield · 2017 tarihli fotoğraf</x:v>
      </x:c>
      <x:c r="H21" s="29" t="str">
        <x:v>Spatms</x:v>
      </x:c>
      <x:c r="I21" s="29" t="str">
        <x:v>CC BY-SA 4.0</x:v>
      </x:c>
      <x:c r="J21" s="29" t="str">
        <x:v>https://creativecommons.org/licenses/by-sa/4.0</x:v>
      </x:c>
      <x:c r="K21" s="29" t="str">
        <x:v>https://commons.wikimedia.org/wiki/File:Hardt_Field_(Cal_State_Bakersfield).jpg</x:v>
      </x:c>
      <x:c r="L21" s="31"/>
      <x:c r="M21" s="31" t="d">
        <x:v>2026-10-24T00:00:00.000Z</x:v>
      </x:c>
      <x:c r="N21" s="29" t="str">
        <x:v>EXIF yönü uygulandı; boyut küçültülüp WebP biçimine dönüştürüldü.</x:v>
      </x:c>
      <x:c r="O21" s="29" t="str">
        <x:v>bakersfield:evidence:venue-21986</x:v>
      </x:c>
      <x:c r="P21" s="29" t="str">
        <x:v>Evet</x:v>
      </x:c>
      <x:c r="Q21" s="35" t="n">
        <x:v>1</x:v>
      </x:c>
      <x:c r="R21" s="29" t="str">
        <x:v>İnceleme</x:v>
      </x:c>
      <x:c r="S21" s="36" t="n">
        <x:f>IF(OR(A21="",C21&lt;&gt;"Mekân",P21&lt;&gt;"Evet"),0,IF(COUNTIFS($F$8:F21,F21,$C$8:C21,"Mekân",$P$8:P21,"Evet")=1,1,0))</x:f>
        <x:v>1</x:v>
      </x:c>
      <x:c r="T21" s="36" t="n">
        <x:f>IF(OR(A21="",C21&lt;&gt;"Kapak",P21&lt;&gt;"Evet"),0,IF(COUNTIFS($F$8:F21,F21,$C$8:C21,"Kapak",$P$8:P21,"Evet")=1,1,0))</x:f>
        <x:v>0</x:v>
      </x:c>
    </x:row>
    <x:row r="22" ht="54" customHeight="1">
      <x:c r="A22" s="29" t="str">
        <x:v>bakersfield:photo:venue-21987</x:v>
      </x:c>
      <x:c r="B22" s="29" t="str">
        <x:v>bakersfield</x:v>
      </x:c>
      <x:c r="C22" s="29" t="str">
        <x:v>Mekân</x:v>
      </x:c>
      <x:c r="D22" s="29" t="str">
        <x:v>bakersfield:yer-local-bakersfield-calm</x:v>
      </x:c>
      <x:c r="E22" s="29" t="str">
        <x:v>Fotoğraflar/bk-6be601578f3a7b7eeba2fcfa.webp</x:v>
      </x:c>
      <x:c r="F22" s="29" t="str">
        <x:v>6be601578f3a7b7eeba2fcfa5694d12d13caa9697bc52e173c966dde1a415c17</x:v>
      </x:c>
      <x:c r="G22" s="29" t="str">
        <x:v>CALM – California Living Museum · 2009 tarihli fotoğraf</x:v>
      </x:c>
      <x:c r="H22" s="29" t="str">
        <x:v>David~O</x:v>
      </x:c>
      <x:c r="I22" s="29" t="str">
        <x:v>CC BY 2.0</x:v>
      </x:c>
      <x:c r="J22" s="29" t="str">
        <x:v>https://creativecommons.org/licenses/by/2.0/</x:v>
      </x:c>
      <x:c r="K22" s="29" t="str">
        <x:v>https://www.flickr.com/photos/8106459@N07/4104376453/</x:v>
      </x:c>
      <x:c r="L22" s="31" t="d">
        <x:v>2009-11-14T00:00:00.000Z</x:v>
      </x:c>
      <x:c r="M22" s="31" t="d">
        <x:v>2026-10-24T00:00:00.000Z</x:v>
      </x:c>
      <x:c r="N22" s="29" t="str">
        <x:v>EXIF yönü uygulandı; boyut küçültülüp WebP biçimine dönüştürüldü.</x:v>
      </x:c>
      <x:c r="O22" s="29" t="str">
        <x:v>bakersfield:evidence:venue-21987</x:v>
      </x:c>
      <x:c r="P22" s="29" t="str">
        <x:v>Evet</x:v>
      </x:c>
      <x:c r="Q22" s="35" t="n">
        <x:v>0</x:v>
      </x:c>
      <x:c r="R22" s="29" t="str">
        <x:v>İnceleme</x:v>
      </x:c>
      <x:c r="S22" s="36" t="n">
        <x:f>IF(OR(A22="",C22&lt;&gt;"Mekân",P22&lt;&gt;"Evet"),0,IF(COUNTIFS($F$8:F22,F22,$C$8:C22,"Mekân",$P$8:P22,"Evet")=1,1,0))</x:f>
        <x:v>1</x:v>
      </x:c>
      <x:c r="T22" s="36" t="n">
        <x:f>IF(OR(A22="",C22&lt;&gt;"Kapak",P22&lt;&gt;"Evet"),0,IF(COUNTIFS($F$8:F22,F22,$C$8:C22,"Kapak",$P$8:P22,"Evet")=1,1,0))</x:f>
        <x:v>0</x:v>
      </x:c>
    </x:row>
    <x:row r="23" ht="54" customHeight="1">
      <x:c r="A23" s="29" t="str">
        <x:v>bakersfield:photo:venue-21988</x:v>
      </x:c>
      <x:c r="B23" s="29" t="str">
        <x:v>bakersfield</x:v>
      </x:c>
      <x:c r="C23" s="29" t="str">
        <x:v>Mekân</x:v>
      </x:c>
      <x:c r="D23" s="29" t="str">
        <x:v>bakersfield:yer-local-bakersfield-calm</x:v>
      </x:c>
      <x:c r="E23" s="29" t="str">
        <x:v>Fotoğraflar/bk-c38b25516c6550e9f415e60f.webp</x:v>
      </x:c>
      <x:c r="F23" s="29" t="str">
        <x:v>c38b25516c6550e9f415e60ffc28fa426b94dc05f75dd9adc935d9204e59cce4</x:v>
      </x:c>
      <x:c r="G23" s="29" t="str">
        <x:v>CALM – California Living Museum · 2009 tarihli fotoğraf</x:v>
      </x:c>
      <x:c r="H23" s="29" t="str">
        <x:v>David~O</x:v>
      </x:c>
      <x:c r="I23" s="29" t="str">
        <x:v>CC BY 2.0</x:v>
      </x:c>
      <x:c r="J23" s="29" t="str">
        <x:v>https://creativecommons.org/licenses/by/2.0/</x:v>
      </x:c>
      <x:c r="K23" s="29" t="str">
        <x:v>https://www.flickr.com/photos/8106459@N07/4104376365/</x:v>
      </x:c>
      <x:c r="L23" s="31" t="d">
        <x:v>2009-11-14T00:00:00.000Z</x:v>
      </x:c>
      <x:c r="M23" s="31" t="d">
        <x:v>2026-10-24T00:00:00.000Z</x:v>
      </x:c>
      <x:c r="N23" s="29" t="str">
        <x:v>EXIF yönü uygulandı; boyut küçültülüp WebP biçimine dönüştürüldü.</x:v>
      </x:c>
      <x:c r="O23" s="29" t="str">
        <x:v>bakersfield:evidence:venue-21988</x:v>
      </x:c>
      <x:c r="P23" s="29" t="str">
        <x:v>Evet</x:v>
      </x:c>
      <x:c r="Q23" s="35" t="n">
        <x:v>1</x:v>
      </x:c>
      <x:c r="R23" s="29" t="str">
        <x:v>İnceleme</x:v>
      </x:c>
      <x:c r="S23" s="36" t="n">
        <x:f>IF(OR(A23="",C23&lt;&gt;"Mekân",P23&lt;&gt;"Evet"),0,IF(COUNTIFS($F$8:F23,F23,$C$8:C23,"Mekân",$P$8:P23,"Evet")=1,1,0))</x:f>
        <x:v>1</x:v>
      </x:c>
      <x:c r="T23" s="36" t="n">
        <x:f>IF(OR(A23="",C23&lt;&gt;"Kapak",P23&lt;&gt;"Evet"),0,IF(COUNTIFS($F$8:F23,F23,$C$8:C23,"Kapak",$P$8:P23,"Evet")=1,1,0))</x:f>
        <x:v>0</x:v>
      </x:c>
    </x:row>
    <x:row r="24" ht="54" customHeight="1">
      <x:c r="A24" s="29" t="str">
        <x:v>bakersfield:photo:venue-21989</x:v>
      </x:c>
      <x:c r="B24" s="29" t="str">
        <x:v>bakersfield</x:v>
      </x:c>
      <x:c r="C24" s="29" t="str">
        <x:v>Mekân</x:v>
      </x:c>
      <x:c r="D24" s="29" t="str">
        <x:v>bakersfield:yer-local-bakersfield-calm</x:v>
      </x:c>
      <x:c r="E24" s="29" t="str">
        <x:v>Fotoğraflar/bk-6e34a339a50a0631adc17384.webp</x:v>
      </x:c>
      <x:c r="F24" s="29" t="str">
        <x:v>6e34a339a50a0631adc17384776c6e42feaed2124322d15e877d35364a13e436</x:v>
      </x:c>
      <x:c r="G24" s="29" t="str">
        <x:v>CALM – California Living Museum · 2009 tarihli fotoğraf</x:v>
      </x:c>
      <x:c r="H24" s="29" t="str">
        <x:v>David~O</x:v>
      </x:c>
      <x:c r="I24" s="29" t="str">
        <x:v>CC BY 2.0</x:v>
      </x:c>
      <x:c r="J24" s="29" t="str">
        <x:v>https://creativecommons.org/licenses/by/2.0/</x:v>
      </x:c>
      <x:c r="K24" s="29" t="str">
        <x:v>https://www.flickr.com/photos/8106459@N07/4105142556/</x:v>
      </x:c>
      <x:c r="L24" s="31" t="d">
        <x:v>2009-11-14T00:00:00.000Z</x:v>
      </x:c>
      <x:c r="M24" s="31" t="d">
        <x:v>2026-10-24T00:00:00.000Z</x:v>
      </x:c>
      <x:c r="N24" s="29" t="str">
        <x:v>EXIF yönü uygulandı; boyut küçültülüp WebP biçimine dönüştürüldü.</x:v>
      </x:c>
      <x:c r="O24" s="29" t="str">
        <x:v>bakersfield:evidence:venue-21989</x:v>
      </x:c>
      <x:c r="P24" s="29" t="str">
        <x:v>Evet</x:v>
      </x:c>
      <x:c r="Q24" s="35" t="n">
        <x:v>2</x:v>
      </x:c>
      <x:c r="R24" s="29" t="str">
        <x:v>İnceleme</x:v>
      </x:c>
      <x:c r="S24" s="36" t="n">
        <x:f>IF(OR(A24="",C24&lt;&gt;"Mekân",P24&lt;&gt;"Evet"),0,IF(COUNTIFS($F$8:F24,F24,$C$8:C24,"Mekân",$P$8:P24,"Evet")=1,1,0))</x:f>
        <x:v>1</x:v>
      </x:c>
      <x:c r="T24" s="36" t="n">
        <x:f>IF(OR(A24="",C24&lt;&gt;"Kapak",P24&lt;&gt;"Evet"),0,IF(COUNTIFS($F$8:F24,F24,$C$8:C24,"Kapak",$P$8:P24,"Evet")=1,1,0))</x:f>
        <x:v>0</x:v>
      </x:c>
    </x:row>
    <x:row r="25" ht="54" customHeight="1">
      <x:c r="A25" s="29" t="str">
        <x:v>bakersfield:photo:venue-21990</x:v>
      </x:c>
      <x:c r="B25" s="29" t="str">
        <x:v>bakersfield</x:v>
      </x:c>
      <x:c r="C25" s="29" t="str">
        <x:v>Mekân</x:v>
      </x:c>
      <x:c r="D25" s="29" t="str">
        <x:v>bakersfield:yer-local-bakersfield-fox-theater</x:v>
      </x:c>
      <x:c r="E25" s="29" t="str">
        <x:v>Fotoğraflar/bk-6349205a7e370536e7a3f979.webp</x:v>
      </x:c>
      <x:c r="F25" s="29" t="str">
        <x:v>6349205a7e370536e7a3f97964462f0021b160d7f3a6e2e8d1d459a2e26335a8</x:v>
      </x:c>
      <x:c r="G25" s="29" t="str">
        <x:v>Historic Bakersfield Fox Theater · 2026 tarihli fotoğraf</x:v>
      </x:c>
      <x:c r="H25" s="29" t="str">
        <x:v>Daderot</x:v>
      </x:c>
      <x:c r="I25" s="29" t="str">
        <x:v>CC0 1.0</x:v>
      </x:c>
      <x:c r="J25" s="29" t="str">
        <x:v>https://creativecommons.org/publicdomain/zero/1.0/</x:v>
      </x:c>
      <x:c r="K25" s="29" t="str">
        <x:v>https://commons.wikimedia.org/wiki/File:Fox_Theater_-_Bakersfield,_CA_-_DSC00462.jpg</x:v>
      </x:c>
      <x:c r="L25" s="31"/>
      <x:c r="M25" s="31" t="d">
        <x:v>2026-10-24T00:00:00.000Z</x:v>
      </x:c>
      <x:c r="N25" s="29" t="str">
        <x:v>EXIF yönü uygulandı; boyut küçültülüp WebP biçimine dönüştürüldü.</x:v>
      </x:c>
      <x:c r="O25" s="29" t="str">
        <x:v>bakersfield:evidence:venue-21990</x:v>
      </x:c>
      <x:c r="P25" s="29" t="str">
        <x:v>Evet</x:v>
      </x:c>
      <x:c r="Q25" s="35" t="n">
        <x:v>0</x:v>
      </x:c>
      <x:c r="R25" s="29" t="str">
        <x:v>İnceleme</x:v>
      </x:c>
      <x:c r="S25" s="36" t="n">
        <x:f>IF(OR(A25="",C25&lt;&gt;"Mekân",P25&lt;&gt;"Evet"),0,IF(COUNTIFS($F$8:F25,F25,$C$8:C25,"Mekân",$P$8:P25,"Evet")=1,1,0))</x:f>
        <x:v>1</x:v>
      </x:c>
      <x:c r="T25" s="36" t="n">
        <x:f>IF(OR(A25="",C25&lt;&gt;"Kapak",P25&lt;&gt;"Evet"),0,IF(COUNTIFS($F$8:F25,F25,$C$8:C25,"Kapak",$P$8:P25,"Evet")=1,1,0))</x:f>
        <x:v>0</x:v>
      </x:c>
    </x:row>
    <x:row r="26" ht="54" customHeight="1">
      <x:c r="A26" s="29" t="str">
        <x:v>bakersfield:photo:venue-21991</x:v>
      </x:c>
      <x:c r="B26" s="29" t="str">
        <x:v>bakersfield</x:v>
      </x:c>
      <x:c r="C26" s="29" t="str">
        <x:v>Mekân</x:v>
      </x:c>
      <x:c r="D26" s="29" t="str">
        <x:v>bakersfield:yer-local-bakersfield-fox-theater</x:v>
      </x:c>
      <x:c r="E26" s="29" t="str">
        <x:v>Fotoğraflar/bk-3257ed8051d8126f90970ee6.webp</x:v>
      </x:c>
      <x:c r="F26" s="29" t="str">
        <x:v>3257ed8051d8126f90970ee6c1690390e7c53240eba4d6d20fc4c90a9675b9ac</x:v>
      </x:c>
      <x:c r="G26" s="29" t="str">
        <x:v>Historic Bakersfield Fox Theater · 2026 tarihli fotoğraf</x:v>
      </x:c>
      <x:c r="H26" s="29" t="str">
        <x:v>Daderot</x:v>
      </x:c>
      <x:c r="I26" s="29" t="str">
        <x:v>CC0 1.0</x:v>
      </x:c>
      <x:c r="J26" s="29" t="str">
        <x:v>https://creativecommons.org/publicdomain/zero/1.0/</x:v>
      </x:c>
      <x:c r="K26" s="29" t="str">
        <x:v>https://commons.wikimedia.org/wiki/File:Fox_Theater_-_Bakersfield,_CA_-_DSC00466.jpg</x:v>
      </x:c>
      <x:c r="L26" s="31"/>
      <x:c r="M26" s="31" t="d">
        <x:v>2026-10-24T00:00:00.000Z</x:v>
      </x:c>
      <x:c r="N26" s="29" t="str">
        <x:v>EXIF yönü uygulandı; boyut küçültülüp WebP biçimine dönüştürüldü.</x:v>
      </x:c>
      <x:c r="O26" s="29" t="str">
        <x:v>bakersfield:evidence:venue-21991</x:v>
      </x:c>
      <x:c r="P26" s="29" t="str">
        <x:v>Evet</x:v>
      </x:c>
      <x:c r="Q26" s="35" t="n">
        <x:v>1</x:v>
      </x:c>
      <x:c r="R26" s="29" t="str">
        <x:v>İnceleme</x:v>
      </x:c>
      <x:c r="S26" s="36" t="n">
        <x:f>IF(OR(A26="",C26&lt;&gt;"Mekân",P26&lt;&gt;"Evet"),0,IF(COUNTIFS($F$8:F26,F26,$C$8:C26,"Mekân",$P$8:P26,"Evet")=1,1,0))</x:f>
        <x:v>1</x:v>
      </x:c>
      <x:c r="T26" s="36" t="n">
        <x:f>IF(OR(A26="",C26&lt;&gt;"Kapak",P26&lt;&gt;"Evet"),0,IF(COUNTIFS($F$8:F26,F26,$C$8:C26,"Kapak",$P$8:P26,"Evet")=1,1,0))</x:f>
        <x:v>0</x:v>
      </x:c>
    </x:row>
    <x:row r="27" ht="54" customHeight="1">
      <x:c r="A27" s="29" t="str">
        <x:v>bakersfield:photo:venue-21992</x:v>
      </x:c>
      <x:c r="B27" s="29" t="str">
        <x:v>bakersfield</x:v>
      </x:c>
      <x:c r="C27" s="29" t="str">
        <x:v>Mekân</x:v>
      </x:c>
      <x:c r="D27" s="29" t="str">
        <x:v>bakersfield:yer-local-bakersfield-fox-theater</x:v>
      </x:c>
      <x:c r="E27" s="29" t="str">
        <x:v>Fotoğraflar/bk-0d35fe7603a2eaea2aa36b87.webp</x:v>
      </x:c>
      <x:c r="F27" s="29" t="str">
        <x:v>0d35fe7603a2eaea2aa36b87adc43c1477e5d3efdc6c31dace486993f9b821e2</x:v>
      </x:c>
      <x:c r="G27" s="29" t="str">
        <x:v>Historic Bakersfield Fox Theater · 2026 tarihli fotoğraf</x:v>
      </x:c>
      <x:c r="H27" s="29" t="str">
        <x:v>Daderot</x:v>
      </x:c>
      <x:c r="I27" s="29" t="str">
        <x:v>CC0 1.0</x:v>
      </x:c>
      <x:c r="J27" s="29" t="str">
        <x:v>https://creativecommons.org/publicdomain/zero/1.0/</x:v>
      </x:c>
      <x:c r="K27" s="29" t="str">
        <x:v>https://commons.wikimedia.org/wiki/File:Fox_Theater_-_Bakersfield,_CA_-_DSC00484.jpg</x:v>
      </x:c>
      <x:c r="L27" s="31"/>
      <x:c r="M27" s="31" t="d">
        <x:v>2026-10-24T00:00:00.000Z</x:v>
      </x:c>
      <x:c r="N27" s="29" t="str">
        <x:v>EXIF yönü uygulandı; boyut küçültülüp WebP biçimine dönüştürüldü.</x:v>
      </x:c>
      <x:c r="O27" s="29" t="str">
        <x:v>bakersfield:evidence:venue-21992</x:v>
      </x:c>
      <x:c r="P27" s="29" t="str">
        <x:v>Evet</x:v>
      </x:c>
      <x:c r="Q27" s="35" t="n">
        <x:v>2</x:v>
      </x:c>
      <x:c r="R27" s="29" t="str">
        <x:v>İnceleme</x:v>
      </x:c>
      <x:c r="S27" s="36" t="n">
        <x:f>IF(OR(A27="",C27&lt;&gt;"Mekân",P27&lt;&gt;"Evet"),0,IF(COUNTIFS($F$8:F27,F27,$C$8:C27,"Mekân",$P$8:P27,"Evet")=1,1,0))</x:f>
        <x:v>1</x:v>
      </x:c>
      <x:c r="T27" s="36" t="n">
        <x:f>IF(OR(A27="",C27&lt;&gt;"Kapak",P27&lt;&gt;"Evet"),0,IF(COUNTIFS($F$8:F27,F27,$C$8:C27,"Kapak",$P$8:P27,"Evet")=1,1,0))</x:f>
        <x:v>0</x:v>
      </x:c>
    </x:row>
    <x:row r="28" ht="54" customHeight="1">
      <x:c r="A28" s="29" t="str">
        <x:v>bakersfield:photo:venue-21993</x:v>
      </x:c>
      <x:c r="B28" s="29" t="str">
        <x:v>bakersfield</x:v>
      </x:c>
      <x:c r="C28" s="29" t="str">
        <x:v>Mekân</x:v>
      </x:c>
      <x:c r="D28" s="29" t="str">
        <x:v>bakersfield:yer-local-bakersfield-fox-theater</x:v>
      </x:c>
      <x:c r="E28" s="29" t="str">
        <x:v>Fotoğraflar/bk-bf07c561ea7a7d4f6f0ba42c.webp</x:v>
      </x:c>
      <x:c r="F28" s="29" t="str">
        <x:v>bf07c561ea7a7d4f6f0ba42c5de35c2682343055207c7c014e50bc99474f6a0b</x:v>
      </x:c>
      <x:c r="G28" s="29" t="str">
        <x:v>Historic Bakersfield Fox Theater · 2024 tarihli fotoğraf</x:v>
      </x:c>
      <x:c r="H28" s="29" t="str">
        <x:v>David Brossard</x:v>
      </x:c>
      <x:c r="I28" s="29" t="str">
        <x:v>CC BY-SA 2.0</x:v>
      </x:c>
      <x:c r="J28" s="29" t="str">
        <x:v>https://creativecommons.org/licenses/by-sa/2.0/</x:v>
      </x:c>
      <x:c r="K28" s="29" t="str">
        <x:v>https://www.flickr.com/photos/16069488@N00/53701353758/</x:v>
      </x:c>
      <x:c r="L28" s="31" t="d">
        <x:v>2024-03-29T00:00:00.000Z</x:v>
      </x:c>
      <x:c r="M28" s="31" t="d">
        <x:v>2026-10-24T00:00:00.000Z</x:v>
      </x:c>
      <x:c r="N28" s="29" t="str">
        <x:v>EXIF yönü uygulandı; boyut küçültülüp WebP biçimine dönüştürüldü.</x:v>
      </x:c>
      <x:c r="O28" s="29" t="str">
        <x:v>bakersfield:evidence:venue-21993</x:v>
      </x:c>
      <x:c r="P28" s="29" t="str">
        <x:v>Evet</x:v>
      </x:c>
      <x:c r="Q28" s="35" t="n">
        <x:v>3</x:v>
      </x:c>
      <x:c r="R28" s="29" t="str">
        <x:v>İnceleme</x:v>
      </x:c>
      <x:c r="S28" s="36" t="n">
        <x:f>IF(OR(A28="",C28&lt;&gt;"Mekân",P28&lt;&gt;"Evet"),0,IF(COUNTIFS($F$8:F28,F28,$C$8:C28,"Mekân",$P$8:P28,"Evet")=1,1,0))</x:f>
        <x:v>1</x:v>
      </x:c>
      <x:c r="T28" s="36" t="n">
        <x:f>IF(OR(A28="",C28&lt;&gt;"Kapak",P28&lt;&gt;"Evet"),0,IF(COUNTIFS($F$8:F28,F28,$C$8:C28,"Kapak",$P$8:P28,"Evet")=1,1,0))</x:f>
        <x:v>0</x:v>
      </x:c>
    </x:row>
    <x:row r="29" ht="54" customHeight="1">
      <x:c r="A29" s="29" t="str">
        <x:v>bakersfield:photo:venue-21994</x:v>
      </x:c>
      <x:c r="B29" s="29" t="str">
        <x:v>bakersfield</x:v>
      </x:c>
      <x:c r="C29" s="29" t="str">
        <x:v>Mekân</x:v>
      </x:c>
      <x:c r="D29" s="29" t="str">
        <x:v>bakersfield:yer-local-bakersfield-nile-theater</x:v>
      </x:c>
      <x:c r="E29" s="29" t="str">
        <x:v>Fotoğraflar/bk-964cace68d7450f0461131e9.webp</x:v>
      </x:c>
      <x:c r="F29" s="29" t="str">
        <x:v>964cace68d7450f0461131e9c195f19b3dcf8852769d220582743227edb9d8da</x:v>
      </x:c>
      <x:c r="G29" s="29" t="str">
        <x:v>The Nile Theater · 2026 tarihli fotoğraf</x:v>
      </x:c>
      <x:c r="H29" s="29" t="str">
        <x:v>Daderot</x:v>
      </x:c>
      <x:c r="I29" s="29" t="str">
        <x:v>CC0 1.0</x:v>
      </x:c>
      <x:c r="J29" s="29" t="str">
        <x:v>https://creativecommons.org/publicdomain/zero/1.0/</x:v>
      </x:c>
      <x:c r="K29" s="29" t="str">
        <x:v>https://commons.wikimedia.org/wiki/File:Nile_Theatre_-_Bakersfield,_CA_-_DSC00458.jpg</x:v>
      </x:c>
      <x:c r="L29" s="31"/>
      <x:c r="M29" s="31" t="d">
        <x:v>2026-10-24T00:00:00.000Z</x:v>
      </x:c>
      <x:c r="N29" s="29" t="str">
        <x:v>EXIF yönü uygulandı; boyut küçültülüp WebP biçimine dönüştürüldü.</x:v>
      </x:c>
      <x:c r="O29" s="29" t="str">
        <x:v>bakersfield:evidence:venue-21994</x:v>
      </x:c>
      <x:c r="P29" s="29" t="str">
        <x:v>Evet</x:v>
      </x:c>
      <x:c r="Q29" s="35" t="n">
        <x:v>0</x:v>
      </x:c>
      <x:c r="R29" s="29" t="str">
        <x:v>İnceleme</x:v>
      </x:c>
      <x:c r="S29" s="36" t="n">
        <x:f>IF(OR(A29="",C29&lt;&gt;"Mekân",P29&lt;&gt;"Evet"),0,IF(COUNTIFS($F$8:F29,F29,$C$8:C29,"Mekân",$P$8:P29,"Evet")=1,1,0))</x:f>
        <x:v>1</x:v>
      </x:c>
      <x:c r="T29" s="36" t="n">
        <x:f>IF(OR(A29="",C29&lt;&gt;"Kapak",P29&lt;&gt;"Evet"),0,IF(COUNTIFS($F$8:F29,F29,$C$8:C29,"Kapak",$P$8:P29,"Evet")=1,1,0))</x:f>
        <x:v>0</x:v>
      </x:c>
    </x:row>
    <x:row r="30" ht="54" customHeight="1">
      <x:c r="A30" s="29" t="str">
        <x:v>bakersfield:photo:venue-21995</x:v>
      </x:c>
      <x:c r="B30" s="29" t="str">
        <x:v>bakersfield</x:v>
      </x:c>
      <x:c r="C30" s="29" t="str">
        <x:v>Mekân</x:v>
      </x:c>
      <x:c r="D30" s="29" t="str">
        <x:v>bakersfield:yer-local-bakersfield-nile-theater</x:v>
      </x:c>
      <x:c r="E30" s="29" t="str">
        <x:v>Fotoğraflar/bk-1143b58f19467ca281e63a2f.webp</x:v>
      </x:c>
      <x:c r="F30" s="29" t="str">
        <x:v>1143b58f19467ca281e63a2f2033b5bd72940f5b4ddebbf770b422eeebb6d264</x:v>
      </x:c>
      <x:c r="G30" s="29" t="str">
        <x:v>The Nile Theater · 2026 tarihli fotoğraf</x:v>
      </x:c>
      <x:c r="H30" s="29" t="str">
        <x:v>Daderot</x:v>
      </x:c>
      <x:c r="I30" s="29" t="str">
        <x:v>CC0 1.0</x:v>
      </x:c>
      <x:c r="J30" s="29" t="str">
        <x:v>https://creativecommons.org/publicdomain/zero/1.0/</x:v>
      </x:c>
      <x:c r="K30" s="29" t="str">
        <x:v>https://commons.wikimedia.org/wiki/File:Nile_Theatre_-_Bakersfield,_CA_-_DSC00480.jpg</x:v>
      </x:c>
      <x:c r="L30" s="31"/>
      <x:c r="M30" s="31" t="d">
        <x:v>2026-10-24T00:00:00.000Z</x:v>
      </x:c>
      <x:c r="N30" s="29" t="str">
        <x:v>EXIF yönü uygulandı; boyut küçültülüp WebP biçimine dönüştürüldü.</x:v>
      </x:c>
      <x:c r="O30" s="29" t="str">
        <x:v>bakersfield:evidence:venue-21995</x:v>
      </x:c>
      <x:c r="P30" s="29" t="str">
        <x:v>Evet</x:v>
      </x:c>
      <x:c r="Q30" s="35" t="n">
        <x:v>1</x:v>
      </x:c>
      <x:c r="R30" s="29" t="str">
        <x:v>İnceleme</x:v>
      </x:c>
      <x:c r="S30" s="36" t="n">
        <x:f>IF(OR(A30="",C30&lt;&gt;"Mekân",P30&lt;&gt;"Evet"),0,IF(COUNTIFS($F$8:F30,F30,$C$8:C30,"Mekân",$P$8:P30,"Evet")=1,1,0))</x:f>
        <x:v>1</x:v>
      </x:c>
      <x:c r="T30" s="36" t="n">
        <x:f>IF(OR(A30="",C30&lt;&gt;"Kapak",P30&lt;&gt;"Evet"),0,IF(COUNTIFS($F$8:F30,F30,$C$8:C30,"Kapak",$P$8:P30,"Evet")=1,1,0))</x:f>
        <x:v>0</x:v>
      </x:c>
    </x:row>
    <x:row r="31" ht="54" customHeight="1">
      <x:c r="A31" s="29" t="str">
        <x:v>bakersfield:photo:venue-21996</x:v>
      </x:c>
      <x:c r="B31" s="29" t="str">
        <x:v>bakersfield</x:v>
      </x:c>
      <x:c r="C31" s="29" t="str">
        <x:v>Mekân</x:v>
      </x:c>
      <x:c r="D31" s="29" t="str">
        <x:v>bakersfield:yer-local-bakersfield-dignity-theater</x:v>
      </x:c>
      <x:c r="E31" s="29" t="str">
        <x:v>Fotoğraflar/bk-6369a658e20f90066a0147f9.webp</x:v>
      </x:c>
      <x:c r="F31" s="29" t="str">
        <x:v>6369a658e20f90066a0147f92783d070362fc269f0f8892032d64f821c6f89cc</x:v>
      </x:c>
      <x:c r="G31" s="29" t="str">
        <x:v>Dignity Health Theater · 2025 tarihli fotoğraf</x:v>
      </x:c>
      <x:c r="H31" s="29" t="str">
        <x:v>Xnatedawgx</x:v>
      </x:c>
      <x:c r="I31" s="29" t="str">
        <x:v>CC BY-SA 4.0</x:v>
      </x:c>
      <x:c r="J31" s="29" t="str">
        <x:v>https://creativecommons.org/licenses/by-sa/4.0</x:v>
      </x:c>
      <x:c r="K31" s="29" t="str">
        <x:v>https://commons.wikimedia.org/wiki/File:Dignity_Health_Theater,_Bakersfield,_CA,_SE_side_2025-12-22.jpg</x:v>
      </x:c>
      <x:c r="L31" s="31"/>
      <x:c r="M31" s="31" t="d">
        <x:v>2026-10-24T00:00:00.000Z</x:v>
      </x:c>
      <x:c r="N31" s="29" t="str">
        <x:v>EXIF yönü uygulandı; boyut küçültülüp WebP biçimine dönüştürüldü.</x:v>
      </x:c>
      <x:c r="O31" s="29" t="str">
        <x:v>bakersfield:evidence:venue-21996</x:v>
      </x:c>
      <x:c r="P31" s="29" t="str">
        <x:v>Evet</x:v>
      </x:c>
      <x:c r="Q31" s="35" t="n">
        <x:v>0</x:v>
      </x:c>
      <x:c r="R31" s="29" t="str">
        <x:v>İnceleme</x:v>
      </x:c>
      <x:c r="S31" s="36" t="n">
        <x:f>IF(OR(A31="",C31&lt;&gt;"Mekân",P31&lt;&gt;"Evet"),0,IF(COUNTIFS($F$8:F31,F31,$C$8:C31,"Mekân",$P$8:P31,"Evet")=1,1,0))</x:f>
        <x:v>1</x:v>
      </x:c>
      <x:c r="T31" s="36" t="n">
        <x:f>IF(OR(A31="",C31&lt;&gt;"Kapak",P31&lt;&gt;"Evet"),0,IF(COUNTIFS($F$8:F31,F31,$C$8:C31,"Kapak",$P$8:P31,"Evet")=1,1,0))</x:f>
        <x:v>0</x:v>
      </x:c>
    </x:row>
    <x:row r="32" ht="54" customHeight="1">
      <x:c r="A32" s="29" t="str">
        <x:v>bakersfield:photo:venue-21997</x:v>
      </x:c>
      <x:c r="B32" s="29" t="str">
        <x:v>bakersfield</x:v>
      </x:c>
      <x:c r="C32" s="29" t="str">
        <x:v>Mekân</x:v>
      </x:c>
      <x:c r="D32" s="29" t="str">
        <x:v>bakersfield:yer-local-bakersfield-meadows-terminal</x:v>
      </x:c>
      <x:c r="E32" s="29" t="str">
        <x:v>Fotoğraflar/bk-ace6b4b0601759aafee62798.webp</x:v>
      </x:c>
      <x:c r="F32" s="29" t="str">
        <x:v>ace6b4b0601759aafee627988ebcc45ae8c9f13d94e25e5236aaaf938d09e0b7</x:v>
      </x:c>
      <x:c r="G32" s="29" t="str">
        <x:v>Meadows Field – William M. Thomas Terminal · 2008 tarihli fotoğraf</x:v>
      </x:c>
      <x:c r="H32" s="29" t="str">
        <x:v>Antiporda Productions LV, LLC</x:v>
      </x:c>
      <x:c r="I32" s="29" t="str">
        <x:v>CC BY 2.0</x:v>
      </x:c>
      <x:c r="J32" s="29" t="str">
        <x:v>https://creativecommons.org/licenses/by/2.0/</x:v>
      </x:c>
      <x:c r="K32" s="29" t="str">
        <x:v>https://www.flickr.com/photos/9153440@N06/3141393185/</x:v>
      </x:c>
      <x:c r="L32" s="31" t="d">
        <x:v>2008-08-23T00:00:00.000Z</x:v>
      </x:c>
      <x:c r="M32" s="31" t="d">
        <x:v>2026-10-24T00:00:00.000Z</x:v>
      </x:c>
      <x:c r="N32" s="29" t="str">
        <x:v>EXIF yönü uygulandı; boyut küçültülüp WebP biçimine dönüştürüldü.</x:v>
      </x:c>
      <x:c r="O32" s="29" t="str">
        <x:v>bakersfield:evidence:venue-21997</x:v>
      </x:c>
      <x:c r="P32" s="29" t="str">
        <x:v>Evet</x:v>
      </x:c>
      <x:c r="Q32" s="35" t="n">
        <x:v>0</x:v>
      </x:c>
      <x:c r="R32" s="29" t="str">
        <x:v>İnceleme</x:v>
      </x:c>
      <x:c r="S32" s="36" t="n">
        <x:f>IF(OR(A32="",C32&lt;&gt;"Mekân",P32&lt;&gt;"Evet"),0,IF(COUNTIFS($F$8:F32,F32,$C$8:C32,"Mekân",$P$8:P32,"Evet")=1,1,0))</x:f>
        <x:v>1</x:v>
      </x:c>
      <x:c r="T32" s="36" t="n">
        <x:f>IF(OR(A32="",C32&lt;&gt;"Kapak",P32&lt;&gt;"Evet"),0,IF(COUNTIFS($F$8:F32,F32,$C$8:C32,"Kapak",$P$8:P32,"Evet")=1,1,0))</x:f>
        <x:v>0</x:v>
      </x:c>
    </x:row>
    <x:row r="33" ht="54" customHeight="1">
      <x:c r="A33" s="29" t="str">
        <x:v>bakersfield:photo:venue-21998</x:v>
      </x:c>
      <x:c r="B33" s="29" t="str">
        <x:v>bakersfield</x:v>
      </x:c>
      <x:c r="C33" s="29" t="str">
        <x:v>Mekân</x:v>
      </x:c>
      <x:c r="D33" s="29" t="str">
        <x:v>bakersfield:yer-local-bakersfield-blackwells-corner</x:v>
      </x:c>
      <x:c r="E33" s="29" t="str">
        <x:v>Fotoğraflar/bk-ae0bb225cfa14453e113d829.webp</x:v>
      </x:c>
      <x:c r="F33" s="29" t="str">
        <x:v>ae0bb225cfa14453e113d8298b2d2e1bae9787299626d147dc57aa65cd7b6ca5</x:v>
      </x:c>
      <x:c r="G33" s="29" t="str">
        <x:v>Blackwell’s Corner · 2021 tarihli fotoğraf</x:v>
      </x:c>
      <x:c r="H33" s="29" t="str">
        <x:v>Gsarmiento</x:v>
      </x:c>
      <x:c r="I33" s="29" t="str">
        <x:v>CC BY-SA 4.0</x:v>
      </x:c>
      <x:c r="J33" s="29" t="str">
        <x:v>https://creativecommons.org/licenses/by-sa/4.0</x:v>
      </x:c>
      <x:c r="K33" s="29" t="str">
        <x:v>https://commons.wikimedia.org/wiki/File:Blackwell%E2%80%99s_Corner_2021.jpg</x:v>
      </x:c>
      <x:c r="L33" s="31" t="d">
        <x:v>2021-03-24T00:00:00.000Z</x:v>
      </x:c>
      <x:c r="M33" s="31" t="d">
        <x:v>2026-10-24T00:00:00.000Z</x:v>
      </x:c>
      <x:c r="N33" s="29" t="str">
        <x:v>EXIF yönü uygulandı; boyut küçültülüp WebP biçimine dönüştürüldü.</x:v>
      </x:c>
      <x:c r="O33" s="29" t="str">
        <x:v>bakersfield:evidence:venue-21998</x:v>
      </x:c>
      <x:c r="P33" s="29" t="str">
        <x:v>Evet</x:v>
      </x:c>
      <x:c r="Q33" s="35" t="n">
        <x:v>0</x:v>
      </x:c>
      <x:c r="R33" s="29" t="str">
        <x:v>İnceleme</x:v>
      </x:c>
      <x:c r="S33" s="36" t="n">
        <x:f>IF(OR(A33="",C33&lt;&gt;"Mekân",P33&lt;&gt;"Evet"),0,IF(COUNTIFS($F$8:F33,F33,$C$8:C33,"Mekân",$P$8:P33,"Evet")=1,1,0))</x:f>
        <x:v>1</x:v>
      </x:c>
      <x:c r="T33" s="36" t="n">
        <x:f>IF(OR(A33="",C33&lt;&gt;"Kapak",P33&lt;&gt;"Evet"),0,IF(COUNTIFS($F$8:F33,F33,$C$8:C33,"Kapak",$P$8:P33,"Evet")=1,1,0))</x:f>
        <x:v>0</x:v>
      </x:c>
    </x:row>
    <x:row r="34" ht="54" customHeight="1">
      <x:c r="A34" s="29" t="str">
        <x:v>bakersfield:photo:venue-21999</x:v>
      </x:c>
      <x:c r="B34" s="29" t="str">
        <x:v>bakersfield</x:v>
      </x:c>
      <x:c r="C34" s="29" t="str">
        <x:v>Mekân</x:v>
      </x:c>
      <x:c r="D34" s="29" t="str">
        <x:v>bakersfield:yer-local-bakersfield-buttonwillow-library</x:v>
      </x:c>
      <x:c r="E34" s="29" t="str">
        <x:v>Fotoğraflar/bk-f7295e6a191a6305fe9de78e.webp</x:v>
      </x:c>
      <x:c r="F34" s="29" t="str">
        <x:v>f7295e6a191a6305fe9de78edd898dae27cb5c2b3260062933048aabbb28c760</x:v>
      </x:c>
      <x:c r="G34" s="29" t="str">
        <x:v>Buttonwillow Branch Library · 2011 tarihli fotoğraf</x:v>
      </x:c>
      <x:c r="H34" s="29" t="str">
        <x:v>GeorgeLouis</x:v>
      </x:c>
      <x:c r="I34" s="29" t="str">
        <x:v>CC BY-SA 3.0</x:v>
      </x:c>
      <x:c r="J34" s="29" t="str">
        <x:v>https://creativecommons.org/licenses/by-sa/3.0</x:v>
      </x:c>
      <x:c r="K34" s="29" t="str">
        <x:v>https://commons.wikimedia.org/wiki/File:Buttonwillow,_California,_public_library,_2011.jpg</x:v>
      </x:c>
      <x:c r="L34" s="31" t="d">
        <x:v>2011-04-12T00:00:00.000Z</x:v>
      </x:c>
      <x:c r="M34" s="31" t="d">
        <x:v>2026-10-24T00:00:00.000Z</x:v>
      </x:c>
      <x:c r="N34" s="29" t="str">
        <x:v>EXIF yönü uygulandı; boyut küçültülüp WebP biçimine dönüştürüldü.</x:v>
      </x:c>
      <x:c r="O34" s="29" t="str">
        <x:v>bakersfield:evidence:venue-21999</x:v>
      </x:c>
      <x:c r="P34" s="29" t="str">
        <x:v>Evet</x:v>
      </x:c>
      <x:c r="Q34" s="35" t="n">
        <x:v>0</x:v>
      </x:c>
      <x:c r="R34" s="29" t="str">
        <x:v>İnceleme</x:v>
      </x:c>
      <x:c r="S34" s="36" t="n">
        <x:f>IF(OR(A34="",C34&lt;&gt;"Mekân",P34&lt;&gt;"Evet"),0,IF(COUNTIFS($F$8:F34,F34,$C$8:C34,"Mekân",$P$8:P34,"Evet")=1,1,0))</x:f>
        <x:v>1</x:v>
      </x:c>
      <x:c r="T34" s="36" t="n">
        <x:f>IF(OR(A34="",C34&lt;&gt;"Kapak",P34&lt;&gt;"Evet"),0,IF(COUNTIFS($F$8:F34,F34,$C$8:C34,"Kapak",$P$8:P34,"Evet")=1,1,0))</x:f>
        <x:v>0</x:v>
      </x:c>
    </x:row>
    <x:row r="35" ht="54" customHeight="1">
      <x:c r="A35" s="29" t="str">
        <x:v>bakersfield:photo:venue-22000</x:v>
      </x:c>
      <x:c r="B35" s="29" t="str">
        <x:v>bakersfield</x:v>
      </x:c>
      <x:c r="C35" s="29" t="str">
        <x:v>Mekân</x:v>
      </x:c>
      <x:c r="D35" s="29" t="str">
        <x:v>bakersfield:yer-local-bakersfield-frazier-library</x:v>
      </x:c>
      <x:c r="E35" s="29" t="str">
        <x:v>Fotoğraflar/bk-8ff277422834dc4fa4264d51.webp</x:v>
      </x:c>
      <x:c r="F35" s="29" t="str">
        <x:v>8ff277422834dc4fa4264d5138f27a77f933a220e37ae7efee1b78bbf245cb82</x:v>
      </x:c>
      <x:c r="G35" s="29" t="str">
        <x:v>Frazier Park Branch Library · 2011 tarihli fotoğraf</x:v>
      </x:c>
      <x:c r="H35" s="29" t="str">
        <x:v>Skyman9999</x:v>
      </x:c>
      <x:c r="I35" s="29" t="str">
        <x:v>CC0 1.0</x:v>
      </x:c>
      <x:c r="J35" s="29" t="str">
        <x:v>https://creativecommons.org/publicdomain/zero/1.0/</x:v>
      </x:c>
      <x:c r="K35" s="29" t="str">
        <x:v>https://commons.wikimedia.org/wiki/File:Frazier_Park_Library_East_Side.jpg</x:v>
      </x:c>
      <x:c r="L35" s="31" t="d">
        <x:v>2011-09-08T00:00:00.000Z</x:v>
      </x:c>
      <x:c r="M35" s="31" t="d">
        <x:v>2026-10-24T00:00:00.000Z</x:v>
      </x:c>
      <x:c r="N35" s="29" t="str">
        <x:v>EXIF yönü uygulandı; boyut küçültülüp WebP biçimine dönüştürüldü.</x:v>
      </x:c>
      <x:c r="O35" s="29" t="str">
        <x:v>bakersfield:evidence:venue-22000</x:v>
      </x:c>
      <x:c r="P35" s="29" t="str">
        <x:v>Evet</x:v>
      </x:c>
      <x:c r="Q35" s="35" t="n">
        <x:v>0</x:v>
      </x:c>
      <x:c r="R35" s="29" t="str">
        <x:v>İnceleme</x:v>
      </x:c>
      <x:c r="S35" s="36" t="n">
        <x:f>IF(OR(A35="",C35&lt;&gt;"Mekân",P35&lt;&gt;"Evet"),0,IF(COUNTIFS($F$8:F35,F35,$C$8:C35,"Mekân",$P$8:P35,"Evet")=1,1,0))</x:f>
        <x:v>1</x:v>
      </x:c>
      <x:c r="T35" s="36" t="n">
        <x:f>IF(OR(A35="",C35&lt;&gt;"Kapak",P35&lt;&gt;"Evet"),0,IF(COUNTIFS($F$8:F35,F35,$C$8:C35,"Kapak",$P$8:P35,"Evet")=1,1,0))</x:f>
        <x:v>0</x:v>
      </x:c>
    </x:row>
    <x:row r="36" ht="54" customHeight="1">
      <x:c r="A36" s="29" t="str">
        <x:v>bakersfield:photo:venue-22001</x:v>
      </x:c>
      <x:c r="B36" s="29" t="str">
        <x:v>bakersfield</x:v>
      </x:c>
      <x:c r="C36" s="29" t="str">
        <x:v>Mekân</x:v>
      </x:c>
      <x:c r="D36" s="29" t="str">
        <x:v>bakersfield:yer-local-bakersfield-frazier-library</x:v>
      </x:c>
      <x:c r="E36" s="29" t="str">
        <x:v>Fotoğraflar/bk-4b8ebe06d8327f304b7d2792.webp</x:v>
      </x:c>
      <x:c r="F36" s="29" t="str">
        <x:v>4b8ebe06d8327f304b7d2792f750a3bde0f28990a133f43ad6b8c8b554c17cff</x:v>
      </x:c>
      <x:c r="G36" s="29" t="str">
        <x:v>Frazier Park Branch Library · 2011 tarihli fotoğraf</x:v>
      </x:c>
      <x:c r="H36" s="29" t="str">
        <x:v>Skyman9999</x:v>
      </x:c>
      <x:c r="I36" s="29" t="str">
        <x:v>CC0 1.0</x:v>
      </x:c>
      <x:c r="J36" s="29" t="str">
        <x:v>https://creativecommons.org/publicdomain/zero/1.0/</x:v>
      </x:c>
      <x:c r="K36" s="29" t="str">
        <x:v>https://commons.wikimedia.org/wiki/File:Frazier_Park_Library_North_Side.jpg</x:v>
      </x:c>
      <x:c r="L36" s="31" t="d">
        <x:v>2011-09-08T00:00:00.000Z</x:v>
      </x:c>
      <x:c r="M36" s="31" t="d">
        <x:v>2026-10-24T00:00:00.000Z</x:v>
      </x:c>
      <x:c r="N36" s="29" t="str">
        <x:v>EXIF yönü uygulandı; boyut küçültülüp WebP biçimine dönüştürüldü.</x:v>
      </x:c>
      <x:c r="O36" s="29" t="str">
        <x:v>bakersfield:evidence:venue-22001</x:v>
      </x:c>
      <x:c r="P36" s="29" t="str">
        <x:v>Evet</x:v>
      </x:c>
      <x:c r="Q36" s="35" t="n">
        <x:v>1</x:v>
      </x:c>
      <x:c r="R36" s="29" t="str">
        <x:v>İnceleme</x:v>
      </x:c>
      <x:c r="S36" s="36" t="n">
        <x:f>IF(OR(A36="",C36&lt;&gt;"Mekân",P36&lt;&gt;"Evet"),0,IF(COUNTIFS($F$8:F36,F36,$C$8:C36,"Mekân",$P$8:P36,"Evet")=1,1,0))</x:f>
        <x:v>1</x:v>
      </x:c>
      <x:c r="T36" s="36" t="n">
        <x:f>IF(OR(A36="",C36&lt;&gt;"Kapak",P36&lt;&gt;"Evet"),0,IF(COUNTIFS($F$8:F36,F36,$C$8:C36,"Kapak",$P$8:P36,"Evet")=1,1,0))</x:f>
        <x:v>0</x:v>
      </x:c>
    </x:row>
    <x:row r="37" ht="54" customHeight="1">
      <x:c r="A37" s="29" t="str">
        <x:v>bakersfield:photo:venue-22002</x:v>
      </x:c>
      <x:c r="B37" s="29" t="str">
        <x:v>bakersfield</x:v>
      </x:c>
      <x:c r="C37" s="29" t="str">
        <x:v>Mekân</x:v>
      </x:c>
      <x:c r="D37" s="29" t="str">
        <x:v>bakersfield:yer-local-bakersfield-allensworth</x:v>
      </x:c>
      <x:c r="E37" s="29" t="str">
        <x:v>Fotoğraflar/bk-d6bafbb3920fac6073ad7d8e.webp</x:v>
      </x:c>
      <x:c r="F37" s="29" t="str">
        <x:v>d6bafbb3920fac6073ad7d8eefa633f270334e1f0df1f88b0112e5fda4f233bd</x:v>
      </x:c>
      <x:c r="G37" s="29" t="str">
        <x:v>Colonel Allensworth State Historic Park · 2009 tarihli fotoğraf</x:v>
      </x:c>
      <x:c r="H37" s="29" t="str">
        <x:v>Bobak Ha'Eri</x:v>
      </x:c>
      <x:c r="I37" s="29" t="str">
        <x:v>CC BY 3.0</x:v>
      </x:c>
      <x:c r="J37" s="29" t="str">
        <x:v>https://creativecommons.org/licenses/by/3.0</x:v>
      </x:c>
      <x:c r="K37" s="29" t="str">
        <x:v>https://commons.wikimedia.org/wiki/File:2009-0725-CA-Allensworth-1stBap.jpg</x:v>
      </x:c>
      <x:c r="L37" s="31" t="d">
        <x:v>2009-07-25T00:00:00.000Z</x:v>
      </x:c>
      <x:c r="M37" s="31" t="d">
        <x:v>2026-10-24T00:00:00.000Z</x:v>
      </x:c>
      <x:c r="N37" s="29" t="str">
        <x:v>EXIF yönü uygulandı; boyut küçültülüp WebP biçimine dönüştürüldü.</x:v>
      </x:c>
      <x:c r="O37" s="29" t="str">
        <x:v>bakersfield:evidence:venue-22002</x:v>
      </x:c>
      <x:c r="P37" s="29" t="str">
        <x:v>Evet</x:v>
      </x:c>
      <x:c r="Q37" s="35" t="n">
        <x:v>0</x:v>
      </x:c>
      <x:c r="R37" s="29" t="str">
        <x:v>İnceleme</x:v>
      </x:c>
      <x:c r="S37" s="36" t="n">
        <x:f>IF(OR(A37="",C37&lt;&gt;"Mekân",P37&lt;&gt;"Evet"),0,IF(COUNTIFS($F$8:F37,F37,$C$8:C37,"Mekân",$P$8:P37,"Evet")=1,1,0))</x:f>
        <x:v>1</x:v>
      </x:c>
      <x:c r="T37" s="36" t="n">
        <x:f>IF(OR(A37="",C37&lt;&gt;"Kapak",P37&lt;&gt;"Evet"),0,IF(COUNTIFS($F$8:F37,F37,$C$8:C37,"Kapak",$P$8:P37,"Evet")=1,1,0))</x:f>
        <x:v>0</x:v>
      </x:c>
    </x:row>
    <x:row r="38" ht="54" customHeight="1">
      <x:c r="A38" s="29" t="str">
        <x:v>bakersfield:photo:venue-22003</x:v>
      </x:c>
      <x:c r="B38" s="29" t="str">
        <x:v>bakersfield</x:v>
      </x:c>
      <x:c r="C38" s="29" t="str">
        <x:v>Mekân</x:v>
      </x:c>
      <x:c r="D38" s="29" t="str">
        <x:v>bakersfield:yer-local-bakersfield-allensworth</x:v>
      </x:c>
      <x:c r="E38" s="29" t="str">
        <x:v>Fotoğraflar/bk-98dc185dade75410f62f410f.webp</x:v>
      </x:c>
      <x:c r="F38" s="29" t="str">
        <x:v>98dc185dade75410f62f410f18b8a8320099ed4844dc77a121dddb6682750a22</x:v>
      </x:c>
      <x:c r="G38" s="29" t="str">
        <x:v>Colonel Allensworth State Historic Park · 2009 tarihli fotoğraf</x:v>
      </x:c>
      <x:c r="H38" s="29" t="str">
        <x:v>Bobak Ha'Eri</x:v>
      </x:c>
      <x:c r="I38" s="29" t="str">
        <x:v>CC BY 3.0</x:v>
      </x:c>
      <x:c r="J38" s="29" t="str">
        <x:v>https://creativecommons.org/licenses/by/3.0</x:v>
      </x:c>
      <x:c r="K38" s="29" t="str">
        <x:v>https://commons.wikimedia.org/wiki/File:2009-0725-CA-Allensworth-Dodson.jpg</x:v>
      </x:c>
      <x:c r="L38" s="31" t="d">
        <x:v>2009-07-25T00:00:00.000Z</x:v>
      </x:c>
      <x:c r="M38" s="31" t="d">
        <x:v>2026-10-24T00:00:00.000Z</x:v>
      </x:c>
      <x:c r="N38" s="29" t="str">
        <x:v>EXIF yönü uygulandı; boyut küçültülüp WebP biçimine dönüştürüldü.</x:v>
      </x:c>
      <x:c r="O38" s="29" t="str">
        <x:v>bakersfield:evidence:venue-22003</x:v>
      </x:c>
      <x:c r="P38" s="29" t="str">
        <x:v>Evet</x:v>
      </x:c>
      <x:c r="Q38" s="35" t="n">
        <x:v>1</x:v>
      </x:c>
      <x:c r="R38" s="29" t="str">
        <x:v>İnceleme</x:v>
      </x:c>
      <x:c r="S38" s="36" t="n">
        <x:f>IF(OR(A38="",C38&lt;&gt;"Mekân",P38&lt;&gt;"Evet"),0,IF(COUNTIFS($F$8:F38,F38,$C$8:C38,"Mekân",$P$8:P38,"Evet")=1,1,0))</x:f>
        <x:v>1</x:v>
      </x:c>
      <x:c r="T38" s="36" t="n">
        <x:f>IF(OR(A38="",C38&lt;&gt;"Kapak",P38&lt;&gt;"Evet"),0,IF(COUNTIFS($F$8:F38,F38,$C$8:C38,"Kapak",$P$8:P38,"Evet")=1,1,0))</x:f>
        <x:v>0</x:v>
      </x:c>
    </x:row>
    <x:row r="39" ht="54" customHeight="1">
      <x:c r="A39" s="29" t="str">
        <x:v>bakersfield:photo:venue-22004</x:v>
      </x:c>
      <x:c r="B39" s="29" t="str">
        <x:v>bakersfield</x:v>
      </x:c>
      <x:c r="C39" s="29" t="str">
        <x:v>Mekân</x:v>
      </x:c>
      <x:c r="D39" s="29" t="str">
        <x:v>bakersfield:yer-local-bakersfield-allensworth</x:v>
      </x:c>
      <x:c r="E39" s="29" t="str">
        <x:v>Fotoğraflar/bk-b6855d9ba1d34c47a64e94e8.webp</x:v>
      </x:c>
      <x:c r="F39" s="29" t="str">
        <x:v>b6855d9ba1d34c47a64e94e81a94b9e9fc943b182d5669f0bc45a0d74c16cbbe</x:v>
      </x:c>
      <x:c r="G39" s="29" t="str">
        <x:v>Colonel Allensworth State Historic Park · 2009 tarihli fotoğraf</x:v>
      </x:c>
      <x:c r="H39" s="29" t="str">
        <x:v>Bobak Ha'Eri</x:v>
      </x:c>
      <x:c r="I39" s="29" t="str">
        <x:v>CC BY 3.0</x:v>
      </x:c>
      <x:c r="J39" s="29" t="str">
        <x:v>https://creativecommons.org/licenses/by/3.0</x:v>
      </x:c>
      <x:c r="K39" s="29" t="str">
        <x:v>https://commons.wikimedia.org/wiki/File:2009-0725-CA-Allensworth-Elementary.jpg</x:v>
      </x:c>
      <x:c r="L39" s="31" t="d">
        <x:v>2009-07-25T00:00:00.000Z</x:v>
      </x:c>
      <x:c r="M39" s="31" t="d">
        <x:v>2026-10-24T00:00:00.000Z</x:v>
      </x:c>
      <x:c r="N39" s="29" t="str">
        <x:v>EXIF yönü uygulandı; boyut küçültülüp WebP biçimine dönüştürüldü.</x:v>
      </x:c>
      <x:c r="O39" s="29" t="str">
        <x:v>bakersfield:evidence:venue-22004</x:v>
      </x:c>
      <x:c r="P39" s="29" t="str">
        <x:v>Evet</x:v>
      </x:c>
      <x:c r="Q39" s="35" t="n">
        <x:v>2</x:v>
      </x:c>
      <x:c r="R39" s="29" t="str">
        <x:v>İnceleme</x:v>
      </x:c>
      <x:c r="S39" s="36" t="n">
        <x:f>IF(OR(A39="",C39&lt;&gt;"Mekân",P39&lt;&gt;"Evet"),0,IF(COUNTIFS($F$8:F39,F39,$C$8:C39,"Mekân",$P$8:P39,"Evet")=1,1,0))</x:f>
        <x:v>1</x:v>
      </x:c>
      <x:c r="T39" s="36" t="n">
        <x:f>IF(OR(A39="",C39&lt;&gt;"Kapak",P39&lt;&gt;"Evet"),0,IF(COUNTIFS($F$8:F39,F39,$C$8:C39,"Kapak",$P$8:P39,"Evet")=1,1,0))</x:f>
        <x:v>0</x:v>
      </x:c>
    </x:row>
    <x:row r="40" ht="54" customHeight="1">
      <x:c r="A40" s="29" t="str">
        <x:v>bakersfield:photo:venue-22005</x:v>
      </x:c>
      <x:c r="B40" s="29" t="str">
        <x:v>bakersfield</x:v>
      </x:c>
      <x:c r="C40" s="29" t="str">
        <x:v>Mekân</x:v>
      </x:c>
      <x:c r="D40" s="29" t="str">
        <x:v>bakersfield:yer-local-bakersfield-allensworth</x:v>
      </x:c>
      <x:c r="E40" s="29" t="str">
        <x:v>Fotoğraflar/bk-8c4f8b413f2ddef3fbcee242.webp</x:v>
      </x:c>
      <x:c r="F40" s="29" t="str">
        <x:v>8c4f8b413f2ddef3fbcee242683324be00af691514d9d8a30782699cb69d0beb</x:v>
      </x:c>
      <x:c r="G40" s="29" t="str">
        <x:v>Colonel Allensworth State Historic Park · 2009 tarihli fotoğraf</x:v>
      </x:c>
      <x:c r="H40" s="29" t="str">
        <x:v>Bobak Ha'Eri</x:v>
      </x:c>
      <x:c r="I40" s="29" t="str">
        <x:v>CC BY 3.0</x:v>
      </x:c>
      <x:c r="J40" s="29" t="str">
        <x:v>https://creativecommons.org/licenses/by/3.0</x:v>
      </x:c>
      <x:c r="K40" s="29" t="str">
        <x:v>https://commons.wikimedia.org/wiki/File:2009-0725-CA-Allensworth-Hotel.jpg</x:v>
      </x:c>
      <x:c r="L40" s="31" t="d">
        <x:v>2009-07-25T00:00:00.000Z</x:v>
      </x:c>
      <x:c r="M40" s="31" t="d">
        <x:v>2026-10-24T00:00:00.000Z</x:v>
      </x:c>
      <x:c r="N40" s="29" t="str">
        <x:v>EXIF yönü uygulandı; boyut küçültülüp WebP biçimine dönüştürüldü.</x:v>
      </x:c>
      <x:c r="O40" s="29" t="str">
        <x:v>bakersfield:evidence:venue-22005</x:v>
      </x:c>
      <x:c r="P40" s="29" t="str">
        <x:v>Evet</x:v>
      </x:c>
      <x:c r="Q40" s="35" t="n">
        <x:v>3</x:v>
      </x:c>
      <x:c r="R40" s="29" t="str">
        <x:v>İnceleme</x:v>
      </x:c>
      <x:c r="S40" s="36" t="n">
        <x:f>IF(OR(A40="",C40&lt;&gt;"Mekân",P40&lt;&gt;"Evet"),0,IF(COUNTIFS($F$8:F40,F40,$C$8:C40,"Mekân",$P$8:P40,"Evet")=1,1,0))</x:f>
        <x:v>1</x:v>
      </x:c>
      <x:c r="T40" s="36" t="n">
        <x:f>IF(OR(A40="",C40&lt;&gt;"Kapak",P40&lt;&gt;"Evet"),0,IF(COUNTIFS($F$8:F40,F40,$C$8:C40,"Kapak",$P$8:P40,"Evet")=1,1,0))</x:f>
        <x:v>0</x:v>
      </x:c>
    </x:row>
    <x:row r="41" ht="54" customHeight="1">
      <x:c r="A41" s="29" t="str">
        <x:v>bakersfield:photo:venue-22006</x:v>
      </x:c>
      <x:c r="B41" s="29" t="str">
        <x:v>bakersfield</x:v>
      </x:c>
      <x:c r="C41" s="29" t="str">
        <x:v>Mekân</x:v>
      </x:c>
      <x:c r="D41" s="29" t="str">
        <x:v>bakersfield:yer-local-bakersfield-allensworth</x:v>
      </x:c>
      <x:c r="E41" s="29" t="str">
        <x:v>Fotoğraflar/bk-f6c076ae007ab56b013d0de6.webp</x:v>
      </x:c>
      <x:c r="F41" s="29" t="str">
        <x:v>f6c076ae007ab56b013d0de61e7749dfc42051d624d78a4ec587fcba4665e829</x:v>
      </x:c>
      <x:c r="G41" s="29" t="str">
        <x:v>Colonel Allensworth State Historic Park · 2009 tarihli fotoğraf</x:v>
      </x:c>
      <x:c r="H41" s="29" t="str">
        <x:v>Bobak Ha'Eri</x:v>
      </x:c>
      <x:c r="I41" s="29" t="str">
        <x:v>CC BY 3.0</x:v>
      </x:c>
      <x:c r="J41" s="29" t="str">
        <x:v>https://creativecommons.org/licenses/by/3.0</x:v>
      </x:c>
      <x:c r="K41" s="29" t="str">
        <x:v>https://commons.wikimedia.org/wiki/File:2009-0725-CA-Allensworth-House.jpg</x:v>
      </x:c>
      <x:c r="L41" s="31" t="d">
        <x:v>2009-07-25T00:00:00.000Z</x:v>
      </x:c>
      <x:c r="M41" s="31" t="d">
        <x:v>2026-10-24T00:00:00.000Z</x:v>
      </x:c>
      <x:c r="N41" s="29" t="str">
        <x:v>EXIF yönü uygulandı; boyut küçültülüp WebP biçimine dönüştürüldü.</x:v>
      </x:c>
      <x:c r="O41" s="29" t="str">
        <x:v>bakersfield:evidence:venue-22006</x:v>
      </x:c>
      <x:c r="P41" s="29" t="str">
        <x:v>Evet</x:v>
      </x:c>
      <x:c r="Q41" s="35" t="n">
        <x:v>4</x:v>
      </x:c>
      <x:c r="R41" s="29" t="str">
        <x:v>İnceleme</x:v>
      </x:c>
      <x:c r="S41" s="36" t="n">
        <x:f>IF(OR(A41="",C41&lt;&gt;"Mekân",P41&lt;&gt;"Evet"),0,IF(COUNTIFS($F$8:F41,F41,$C$8:C41,"Mekân",$P$8:P41,"Evet")=1,1,0))</x:f>
        <x:v>1</x:v>
      </x:c>
      <x:c r="T41" s="36" t="n">
        <x:f>IF(OR(A41="",C41&lt;&gt;"Kapak",P41&lt;&gt;"Evet"),0,IF(COUNTIFS($F$8:F41,F41,$C$8:C41,"Kapak",$P$8:P41,"Evet")=1,1,0))</x:f>
        <x:v>0</x:v>
      </x:c>
    </x:row>
    <x:row r="42" ht="54" customHeight="1">
      <x:c r="A42" s="29" t="str">
        <x:v>bakersfield:photo:venue-22007</x:v>
      </x:c>
      <x:c r="B42" s="29" t="str">
        <x:v>bakersfield</x:v>
      </x:c>
      <x:c r="C42" s="29" t="str">
        <x:v>Mekân</x:v>
      </x:c>
      <x:c r="D42" s="29" t="str">
        <x:v>bakersfield:yer-local-bakersfield-allensworth</x:v>
      </x:c>
      <x:c r="E42" s="29" t="str">
        <x:v>Fotoğraflar/bk-172111edce0477393e213321.webp</x:v>
      </x:c>
      <x:c r="F42" s="29" t="str">
        <x:v>172111edce0477393e2133216e89478766652c8b8d9b4ff6cb286bb45f4d6101</x:v>
      </x:c>
      <x:c r="G42" s="29" t="str">
        <x:v>Colonel Allensworth State Historic Park · 2009 tarihli fotoğraf</x:v>
      </x:c>
      <x:c r="H42" s="29" t="str">
        <x:v>Bobak Ha'Eri</x:v>
      </x:c>
      <x:c r="I42" s="29" t="str">
        <x:v>CC BY 3.0</x:v>
      </x:c>
      <x:c r="J42" s="29" t="str">
        <x:v>https://creativecommons.org/licenses/by/3.0</x:v>
      </x:c>
      <x:c r="K42" s="29" t="str">
        <x:v>https://commons.wikimedia.org/wiki/File:2009-0725-CA-Allensworth.jpg</x:v>
      </x:c>
      <x:c r="L42" s="31" t="d">
        <x:v>2009-07-25T00:00:00.000Z</x:v>
      </x:c>
      <x:c r="M42" s="31" t="d">
        <x:v>2026-10-24T00:00:00.000Z</x:v>
      </x:c>
      <x:c r="N42" s="29" t="str">
        <x:v>EXIF yönü uygulandı; boyut küçültülüp WebP biçimine dönüştürüldü.</x:v>
      </x:c>
      <x:c r="O42" s="29" t="str">
        <x:v>bakersfield:evidence:venue-22007</x:v>
      </x:c>
      <x:c r="P42" s="29" t="str">
        <x:v>Evet</x:v>
      </x:c>
      <x:c r="Q42" s="35" t="n">
        <x:v>5</x:v>
      </x:c>
      <x:c r="R42" s="29" t="str">
        <x:v>İnceleme</x:v>
      </x:c>
      <x:c r="S42" s="36" t="n">
        <x:f>IF(OR(A42="",C42&lt;&gt;"Mekân",P42&lt;&gt;"Evet"),0,IF(COUNTIFS($F$8:F42,F42,$C$8:C42,"Mekân",$P$8:P42,"Evet")=1,1,0))</x:f>
        <x:v>1</x:v>
      </x:c>
      <x:c r="T42" s="36" t="n">
        <x:f>IF(OR(A42="",C42&lt;&gt;"Kapak",P42&lt;&gt;"Evet"),0,IF(COUNTIFS($F$8:F42,F42,$C$8:C42,"Kapak",$P$8:P42,"Evet")=1,1,0))</x:f>
        <x:v>0</x:v>
      </x:c>
    </x:row>
    <x:row r="43" ht="54" customHeight="1">
      <x:c r="A43" s="29" t="str">
        <x:v>bakersfield:photo:venue-22008</x:v>
      </x:c>
      <x:c r="B43" s="29" t="str">
        <x:v>bakersfield</x:v>
      </x:c>
      <x:c r="C43" s="29" t="str">
        <x:v>Mekân</x:v>
      </x:c>
      <x:c r="D43" s="29" t="str">
        <x:v>bakersfield:yer-local-bakersfield-pixley-refuge</x:v>
      </x:c>
      <x:c r="E43" s="29" t="str">
        <x:v>Fotoğraflar/bk-942106368e29e616243d3c12.webp</x:v>
      </x:c>
      <x:c r="F43" s="29" t="str">
        <x:v>942106368e29e616243d3c12ade7dad569b8fe043dc7067d43d4543d85eb1187</x:v>
      </x:c>
      <x:c r="G43" s="29" t="str">
        <x:v>Pixley National Wildlife Refuge · loggerhead shrike · 2024</x:v>
      </x:c>
      <x:c r="H43" s="29" t="str">
        <x:v>Don Green</x:v>
      </x:c>
      <x:c r="I43" s="29" t="str">
        <x:v>CC BY 2.0</x:v>
      </x:c>
      <x:c r="J43" s="29" t="str">
        <x:v>https://creativecommons.org/licenses/by/2.0/</x:v>
      </x:c>
      <x:c r="K43" s="29" t="str">
        <x:v>https://www.flickr.com/photos/135081788@N03/54210738283/</x:v>
      </x:c>
      <x:c r="L43" s="31" t="d">
        <x:v>2024-12-15T00:00:00.000Z</x:v>
      </x:c>
      <x:c r="M43" s="31" t="d">
        <x:v>2026-10-24T00:00:00.000Z</x:v>
      </x:c>
      <x:c r="N43" s="29" t="str">
        <x:v>EXIF yönü uygulandı; boyut küçültülüp WebP biçimine dönüştürüldü.</x:v>
      </x:c>
      <x:c r="O43" s="29" t="str">
        <x:v>bakersfield:evidence:venue-22008</x:v>
      </x:c>
      <x:c r="P43" s="29" t="str">
        <x:v>Evet</x:v>
      </x:c>
      <x:c r="Q43" s="35" t="n">
        <x:v>0</x:v>
      </x:c>
      <x:c r="R43" s="29" t="str">
        <x:v>İnceleme</x:v>
      </x:c>
      <x:c r="S43" s="36" t="n">
        <x:f>IF(OR(A43="",C43&lt;&gt;"Mekân",P43&lt;&gt;"Evet"),0,IF(COUNTIFS($F$8:F43,F43,$C$8:C43,"Mekân",$P$8:P43,"Evet")=1,1,0))</x:f>
        <x:v>1</x:v>
      </x:c>
      <x:c r="T43" s="36" t="n">
        <x:f>IF(OR(A43="",C43&lt;&gt;"Kapak",P43&lt;&gt;"Evet"),0,IF(COUNTIFS($F$8:F43,F43,$C$8:C43,"Kapak",$P$8:P43,"Evet")=1,1,0))</x:f>
        <x:v>0</x:v>
      </x:c>
    </x:row>
    <x:row r="44" ht="54" customHeight="1">
      <x:c r="A44" s="29" t="str">
        <x:v>bakersfield:photo:venue-22009</x:v>
      </x:c>
      <x:c r="B44" s="29" t="str">
        <x:v>bakersfield</x:v>
      </x:c>
      <x:c r="C44" s="29" t="str">
        <x:v>Mekân</x:v>
      </x:c>
      <x:c r="D44" s="29" t="str">
        <x:v>bakersfield:yer-local-bakersfield-pixley-refuge</x:v>
      </x:c>
      <x:c r="E44" s="29" t="str">
        <x:v>Fotoğraflar/bk-00b8707b6f5206ce1087f4e1.webp</x:v>
      </x:c>
      <x:c r="F44" s="29" t="str">
        <x:v>00b8707b6f5206ce1087f4e10a8ffe9c13d67e3914c5791d7328c32cfcdd01e8</x:v>
      </x:c>
      <x:c r="G44" s="29" t="str">
        <x:v>Pixley National Wildlife Refuge · long-billed dowitcher · 2024</x:v>
      </x:c>
      <x:c r="H44" s="29" t="str">
        <x:v>Don Green</x:v>
      </x:c>
      <x:c r="I44" s="29" t="str">
        <x:v>CC BY 2.0</x:v>
      </x:c>
      <x:c r="J44" s="29" t="str">
        <x:v>https://creativecommons.org/licenses/by/2.0/</x:v>
      </x:c>
      <x:c r="K44" s="29" t="str">
        <x:v>https://www.flickr.com/photos/135081788@N03/54210739973/</x:v>
      </x:c>
      <x:c r="L44" s="31" t="d">
        <x:v>2024-12-16T00:00:00.000Z</x:v>
      </x:c>
      <x:c r="M44" s="31" t="d">
        <x:v>2026-10-24T00:00:00.000Z</x:v>
      </x:c>
      <x:c r="N44" s="29" t="str">
        <x:v>EXIF yönü uygulandı; boyut küçültülüp WebP biçimine dönüştürüldü.</x:v>
      </x:c>
      <x:c r="O44" s="29" t="str">
        <x:v>bakersfield:evidence:venue-22009</x:v>
      </x:c>
      <x:c r="P44" s="29" t="str">
        <x:v>Evet</x:v>
      </x:c>
      <x:c r="Q44" s="35" t="n">
        <x:v>1</x:v>
      </x:c>
      <x:c r="R44" s="29" t="str">
        <x:v>İnceleme</x:v>
      </x:c>
      <x:c r="S44" s="36" t="n">
        <x:f>IF(OR(A44="",C44&lt;&gt;"Mekân",P44&lt;&gt;"Evet"),0,IF(COUNTIFS($F$8:F44,F44,$C$8:C44,"Mekân",$P$8:P44,"Evet")=1,1,0))</x:f>
        <x:v>1</x:v>
      </x:c>
      <x:c r="T44" s="36" t="n">
        <x:f>IF(OR(A44="",C44&lt;&gt;"Kapak",P44&lt;&gt;"Evet"),0,IF(COUNTIFS($F$8:F44,F44,$C$8:C44,"Kapak",$P$8:P44,"Evet")=1,1,0))</x:f>
        <x:v>0</x:v>
      </x:c>
    </x:row>
    <x:row r="45" ht="54" customHeight="1">
      <x:c r="A45" s="29" t="str">
        <x:v>bakersfield:photo:venue-22010</x:v>
      </x:c>
      <x:c r="B45" s="29" t="str">
        <x:v>bakersfield</x:v>
      </x:c>
      <x:c r="C45" s="29" t="str">
        <x:v>Mekân</x:v>
      </x:c>
      <x:c r="D45" s="29" t="str">
        <x:v>bakersfield:yer-local-bakersfield-success-lake</x:v>
      </x:c>
      <x:c r="E45" s="29" t="str">
        <x:v>Fotoğraflar/bk-1be322898493329084d18651.webp</x:v>
      </x:c>
      <x:c r="F45" s="29" t="str">
        <x:v>1be322898493329084d1865131e0ad957c63a14ab8ba8338a51910f73f5fe0a1</x:v>
      </x:c>
      <x:c r="G45" s="29" t="str">
        <x:v>Success Lake · 2007 tarihli fotoğraf</x:v>
      </x:c>
      <x:c r="H45" s="29" t="str">
        <x:v>Michael J. Nevins / U.S. Army Corps of Engineers</x:v>
      </x:c>
      <x:c r="I45" s="29" t="str">
        <x:v>Public domain</x:v>
      </x:c>
      <x:c r="J45" s="29" t="str">
        <x:v>https://commons.wikimedia.org/wiki/File:Success_Dam_(8435901371).jpg#Licensing</x:v>
      </x:c>
      <x:c r="K45" s="29" t="str">
        <x:v>https://commons.wikimedia.org/wiki/File:Success_Dam_(8435901371).jpg</x:v>
      </x:c>
      <x:c r="L45" s="31"/>
      <x:c r="M45" s="31" t="d">
        <x:v>2026-10-24T00:00:00.000Z</x:v>
      </x:c>
      <x:c r="N45" s="29" t="str">
        <x:v>EXIF yönü uygulandı; boyut küçültülüp WebP biçimine dönüştürüldü.</x:v>
      </x:c>
      <x:c r="O45" s="29" t="str">
        <x:v>bakersfield:evidence:venue-22010</x:v>
      </x:c>
      <x:c r="P45" s="29" t="str">
        <x:v>Evet</x:v>
      </x:c>
      <x:c r="Q45" s="35" t="n">
        <x:v>0</x:v>
      </x:c>
      <x:c r="R45" s="29" t="str">
        <x:v>İnceleme</x:v>
      </x:c>
      <x:c r="S45" s="36" t="n">
        <x:f>IF(OR(A45="",C45&lt;&gt;"Mekân",P45&lt;&gt;"Evet"),0,IF(COUNTIFS($F$8:F45,F45,$C$8:C45,"Mekân",$P$8:P45,"Evet")=1,1,0))</x:f>
        <x:v>1</x:v>
      </x:c>
      <x:c r="T45" s="36" t="n">
        <x:f>IF(OR(A45="",C45&lt;&gt;"Kapak",P45&lt;&gt;"Evet"),0,IF(COUNTIFS($F$8:F45,F45,$C$8:C45,"Kapak",$P$8:P45,"Evet")=1,1,0))</x:f>
        <x:v>0</x:v>
      </x:c>
    </x:row>
    <x:row r="46" ht="54" customHeight="1">
      <x:c r="A46" s="29" t="str">
        <x:v>bakersfield:photo:venue-22011</x:v>
      </x:c>
      <x:c r="B46" s="29" t="str">
        <x:v>bakersfield</x:v>
      </x:c>
      <x:c r="C46" s="29" t="str">
        <x:v>Mekân</x:v>
      </x:c>
      <x:c r="D46" s="29" t="str">
        <x:v>bakersfield:yer-local-bakersfield-success-lake</x:v>
      </x:c>
      <x:c r="E46" s="29" t="str">
        <x:v>Fotoğraflar/bk-27bc1fea1209a0df69c0c761.webp</x:v>
      </x:c>
      <x:c r="F46" s="29" t="str">
        <x:v>27bc1fea1209a0df69c0c761bf32f455af53b6b69bc3d540909a0b4d9da2fb07</x:v>
      </x:c>
      <x:c r="G46" s="29" t="str">
        <x:v>Success Lake · 2004 tarihli fotoğraf</x:v>
      </x:c>
      <x:c r="H46" s="29" t="str">
        <x:v>Michael J. Nevins / U.S. Army Corps of Engineers</x:v>
      </x:c>
      <x:c r="I46" s="29" t="str">
        <x:v>Public domain</x:v>
      </x:c>
      <x:c r="J46" s="29" t="str">
        <x:v>https://commons.wikimedia.org/wiki/File:Success_Dam_(8435901823).jpg#Licensing</x:v>
      </x:c>
      <x:c r="K46" s="29" t="str">
        <x:v>https://commons.wikimedia.org/wiki/File:Success_Dam_(8435901823).jpg</x:v>
      </x:c>
      <x:c r="L46" s="31"/>
      <x:c r="M46" s="31" t="d">
        <x:v>2026-10-24T00:00:00.000Z</x:v>
      </x:c>
      <x:c r="N46" s="29" t="str">
        <x:v>EXIF yönü uygulandı; boyut küçültülüp WebP biçimine dönüştürüldü.</x:v>
      </x:c>
      <x:c r="O46" s="29" t="str">
        <x:v>bakersfield:evidence:venue-22011</x:v>
      </x:c>
      <x:c r="P46" s="29" t="str">
        <x:v>Evet</x:v>
      </x:c>
      <x:c r="Q46" s="35" t="n">
        <x:v>1</x:v>
      </x:c>
      <x:c r="R46" s="29" t="str">
        <x:v>İnceleme</x:v>
      </x:c>
      <x:c r="S46" s="36" t="n">
        <x:f>IF(OR(A46="",C46&lt;&gt;"Mekân",P46&lt;&gt;"Evet"),0,IF(COUNTIFS($F$8:F46,F46,$C$8:C46,"Mekân",$P$8:P46,"Evet")=1,1,0))</x:f>
        <x:v>1</x:v>
      </x:c>
      <x:c r="T46" s="36" t="n">
        <x:f>IF(OR(A46="",C46&lt;&gt;"Kapak",P46&lt;&gt;"Evet"),0,IF(COUNTIFS($F$8:F46,F46,$C$8:C46,"Kapak",$P$8:P46,"Evet")=1,1,0))</x:f>
        <x:v>0</x:v>
      </x:c>
    </x:row>
    <x:row r="47" ht="54" customHeight="1">
      <x:c r="A47" s="29" t="str">
        <x:v>bakersfield:photo:venue-22012</x:v>
      </x:c>
      <x:c r="B47" s="29" t="str">
        <x:v>bakersfield</x:v>
      </x:c>
      <x:c r="C47" s="29" t="str">
        <x:v>Mekân</x:v>
      </x:c>
      <x:c r="D47" s="29" t="str">
        <x:v>bakersfield:yer-local-bakersfield-success-lake</x:v>
      </x:c>
      <x:c r="E47" s="29" t="str">
        <x:v>Fotoğraflar/bk-d59547d073e3294febc7504b.webp</x:v>
      </x:c>
      <x:c r="F47" s="29" t="str">
        <x:v>d59547d073e3294febc7504b859a3f1aa55de1bbdba56bd294e5d571c3c1540a</x:v>
      </x:c>
      <x:c r="G47" s="29" t="str">
        <x:v>Success Lake · 2004 tarihli fotoğraf</x:v>
      </x:c>
      <x:c r="H47" s="29" t="str">
        <x:v>Michael J. Nevins / U.S. Army Corps of Engineers</x:v>
      </x:c>
      <x:c r="I47" s="29" t="str">
        <x:v>Public domain</x:v>
      </x:c>
      <x:c r="J47" s="29" t="str">
        <x:v>https://commons.wikimedia.org/wiki/File:Success_Dam_(8436986346).jpg#Licensing</x:v>
      </x:c>
      <x:c r="K47" s="29" t="str">
        <x:v>https://commons.wikimedia.org/wiki/File:Success_Dam_(8436986346).jpg</x:v>
      </x:c>
      <x:c r="L47" s="31"/>
      <x:c r="M47" s="31" t="d">
        <x:v>2026-10-24T00:00:00.000Z</x:v>
      </x:c>
      <x:c r="N47" s="29" t="str">
        <x:v>EXIF yönü uygulandı; boyut küçültülüp WebP biçimine dönüştürüldü.</x:v>
      </x:c>
      <x:c r="O47" s="29" t="str">
        <x:v>bakersfield:evidence:venue-22012</x:v>
      </x:c>
      <x:c r="P47" s="29" t="str">
        <x:v>Evet</x:v>
      </x:c>
      <x:c r="Q47" s="35" t="n">
        <x:v>2</x:v>
      </x:c>
      <x:c r="R47" s="29" t="str">
        <x:v>İnceleme</x:v>
      </x:c>
      <x:c r="S47" s="36" t="n">
        <x:f>IF(OR(A47="",C47&lt;&gt;"Mekân",P47&lt;&gt;"Evet"),0,IF(COUNTIFS($F$8:F47,F47,$C$8:C47,"Mekân",$P$8:P47,"Evet")=1,1,0))</x:f>
        <x:v>1</x:v>
      </x:c>
      <x:c r="T47" s="36" t="n">
        <x:f>IF(OR(A47="",C47&lt;&gt;"Kapak",P47&lt;&gt;"Evet"),0,IF(COUNTIFS($F$8:F47,F47,$C$8:C47,"Kapak",$P$8:P47,"Evet")=1,1,0))</x:f>
        <x:v>0</x:v>
      </x:c>
    </x:row>
    <x:row r="48" ht="54" customHeight="1">
      <x:c r="A48" s="29" t="str">
        <x:v>bakersfield:photo:venue-22013</x:v>
      </x:c>
      <x:c r="B48" s="29" t="str">
        <x:v>bakersfield</x:v>
      </x:c>
      <x:c r="C48" s="29" t="str">
        <x:v>Mekân</x:v>
      </x:c>
      <x:c r="D48" s="29" t="str">
        <x:v>bakersfield:yer-local-bakersfield-boron-aerospace</x:v>
      </x:c>
      <x:c r="E48" s="29" t="str">
        <x:v>Fotoğraflar/bk-85cd569d80eb77cd710d4bb9.webp</x:v>
      </x:c>
      <x:c r="F48" s="29" t="str">
        <x:v>85cd569d80eb77cd710d4bb9ced69e9d616f559eb0e0dc1b223be6692b69eca0</x:v>
      </x:c>
      <x:c r="G48" s="29" t="str">
        <x:v>Boron Aerospace Museum · Take tarihli fotoğraf</x:v>
      </x:c>
      <x:c r="H48" s="29" t="str">
        <x:v>Missvain</x:v>
      </x:c>
      <x:c r="I48" s="29" t="str">
        <x:v>CC BY 4.0</x:v>
      </x:c>
      <x:c r="J48" s="29" t="str">
        <x:v>https://creativecommons.org/licenses/by/4.0</x:v>
      </x:c>
      <x:c r="K48" s="29" t="str">
        <x:v>https://commons.wikimedia.org/wiki/File:Saxon_Aerospace_Museum_-_March_2022_-_Sarah_Stierch_02.jpg</x:v>
      </x:c>
      <x:c r="L48" s="31"/>
      <x:c r="M48" s="31" t="d">
        <x:v>2026-10-24T00:00:00.000Z</x:v>
      </x:c>
      <x:c r="N48" s="29" t="str">
        <x:v>EXIF yönü uygulandı; boyut küçültülüp WebP biçimine dönüştürüldü.</x:v>
      </x:c>
      <x:c r="O48" s="29" t="str">
        <x:v>bakersfield:evidence:venue-22013</x:v>
      </x:c>
      <x:c r="P48" s="29" t="str">
        <x:v>Evet</x:v>
      </x:c>
      <x:c r="Q48" s="35" t="n">
        <x:v>0</x:v>
      </x:c>
      <x:c r="R48" s="29" t="str">
        <x:v>İnceleme</x:v>
      </x:c>
      <x:c r="S48" s="36" t="n">
        <x:f>IF(OR(A48="",C48&lt;&gt;"Mekân",P48&lt;&gt;"Evet"),0,IF(COUNTIFS($F$8:F48,F48,$C$8:C48,"Mekân",$P$8:P48,"Evet")=1,1,0))</x:f>
        <x:v>1</x:v>
      </x:c>
      <x:c r="T48" s="36" t="n">
        <x:f>IF(OR(A48="",C48&lt;&gt;"Kapak",P48&lt;&gt;"Evet"),0,IF(COUNTIFS($F$8:F48,F48,$C$8:C48,"Kapak",$P$8:P48,"Evet")=1,1,0))</x:f>
        <x:v>0</x:v>
      </x:c>
    </x:row>
    <x:row r="49" ht="54" customHeight="1">
      <x:c r="A49" s="29" t="str">
        <x:v>bakersfield:photo:venue-22014</x:v>
      </x:c>
      <x:c r="B49" s="29" t="str">
        <x:v>bakersfield</x:v>
      </x:c>
      <x:c r="C49" s="29" t="str">
        <x:v>Mekân</x:v>
      </x:c>
      <x:c r="D49" s="29" t="str">
        <x:v>bakersfield:yer-local-bakersfield-boron-aerospace</x:v>
      </x:c>
      <x:c r="E49" s="29" t="str">
        <x:v>Fotoğraflar/bk-534015578050c8dcd3b09dc3.webp</x:v>
      </x:c>
      <x:c r="F49" s="29" t="str">
        <x:v>534015578050c8dcd3b09dc3f2b22dd3e78a74b6886254faf6b939d4dc7fa52d</x:v>
      </x:c>
      <x:c r="G49" s="29" t="str">
        <x:v>Boron Aerospace Museum · 2010 tarihli fotoğraf</x:v>
      </x:c>
      <x:c r="H49" s="29" t="str">
        <x:v>Elf</x:v>
      </x:c>
      <x:c r="I49" s="29" t="str">
        <x:v>CC BY-SA 3.0</x:v>
      </x:c>
      <x:c r="J49" s="29" t="str">
        <x:v>https://creativecommons.org/licenses/by-sa/3.0</x:v>
      </x:c>
      <x:c r="K49" s="29" t="str">
        <x:v>https://commons.wikimedia.org/wiki/File:SaxonAerospaceMuseum_8653.jpg</x:v>
      </x:c>
      <x:c r="L49" s="31" t="d">
        <x:v>2010-06-04T00:00:00.000Z</x:v>
      </x:c>
      <x:c r="M49" s="31" t="d">
        <x:v>2026-10-24T00:00:00.000Z</x:v>
      </x:c>
      <x:c r="N49" s="29" t="str">
        <x:v>EXIF yönü uygulandı; boyut küçültülüp WebP biçimine dönüştürüldü.</x:v>
      </x:c>
      <x:c r="O49" s="29" t="str">
        <x:v>bakersfield:evidence:venue-22014</x:v>
      </x:c>
      <x:c r="P49" s="29" t="str">
        <x:v>Evet</x:v>
      </x:c>
      <x:c r="Q49" s="35" t="n">
        <x:v>1</x:v>
      </x:c>
      <x:c r="R49" s="29" t="str">
        <x:v>İnceleme</x:v>
      </x:c>
      <x:c r="S49" s="36" t="n">
        <x:f>IF(OR(A49="",C49&lt;&gt;"Mekân",P49&lt;&gt;"Evet"),0,IF(COUNTIFS($F$8:F49,F49,$C$8:C49,"Mekân",$P$8:P49,"Evet")=1,1,0))</x:f>
        <x:v>1</x:v>
      </x:c>
      <x:c r="T49" s="36" t="n">
        <x:f>IF(OR(A49="",C49&lt;&gt;"Kapak",P49&lt;&gt;"Evet"),0,IF(COUNTIFS($F$8:F49,F49,$C$8:C49,"Kapak",$P$8:P49,"Evet")=1,1,0))</x:f>
        <x:v>0</x:v>
      </x:c>
    </x:row>
    <x:row r="50" ht="54" customHeight="1">
      <x:c r="A50" s="29" t="str">
        <x:v>bakersfield:photo:venue-22015</x:v>
      </x:c>
      <x:c r="B50" s="29" t="str">
        <x:v>bakersfield</x:v>
      </x:c>
      <x:c r="C50" s="29" t="str">
        <x:v>Mekân</x:v>
      </x:c>
      <x:c r="D50" s="29" t="str">
        <x:v>bakersfield:yer-local-bakersfield-mojave-legacy</x:v>
      </x:c>
      <x:c r="E50" s="29" t="str">
        <x:v>Fotoğraflar/bk-e4289a04cc505142d7cf7a84.webp</x:v>
      </x:c>
      <x:c r="F50" s="29" t="str">
        <x:v>e4289a04cc505142d7cf7a8464a51f7f928fd4a8bab19a4977f69b9137fe9226</x:v>
      </x:c>
      <x:c r="G50" s="29" t="str">
        <x:v>Mojave Legacy Park · Roton ve SpaceShipOne replikası · 2008</x:v>
      </x:c>
      <x:c r="H50" s="29" t="str">
        <x:v>Jeff Foust</x:v>
      </x:c>
      <x:c r="I50" s="29" t="str">
        <x:v>CC BY-SA 2.0</x:v>
      </x:c>
      <x:c r="J50" s="29" t="str">
        <x:v>https://creativecommons.org/licenses/by-sa/2.0/</x:v>
      </x:c>
      <x:c r="K50" s="29" t="str">
        <x:v>https://www.flickr.com/photos/82234502@N00/3071870771/</x:v>
      </x:c>
      <x:c r="L50" s="31" t="d">
        <x:v>2008-11-18T00:00:00.000Z</x:v>
      </x:c>
      <x:c r="M50" s="31" t="d">
        <x:v>2026-10-24T00:00:00.000Z</x:v>
      </x:c>
      <x:c r="N50" s="29" t="str">
        <x:v>EXIF yönü uygulandı; boyut küçültülüp WebP biçimine dönüştürüldü.</x:v>
      </x:c>
      <x:c r="O50" s="29" t="str">
        <x:v>bakersfield:evidence:venue-22015</x:v>
      </x:c>
      <x:c r="P50" s="29" t="str">
        <x:v>Evet</x:v>
      </x:c>
      <x:c r="Q50" s="35" t="n">
        <x:v>0</x:v>
      </x:c>
      <x:c r="R50" s="29" t="str">
        <x:v>İnceleme</x:v>
      </x:c>
      <x:c r="S50" s="36" t="n">
        <x:f>IF(OR(A50="",C50&lt;&gt;"Mekân",P50&lt;&gt;"Evet"),0,IF(COUNTIFS($F$8:F50,F50,$C$8:C50,"Mekân",$P$8:P50,"Evet")=1,1,0))</x:f>
        <x:v>1</x:v>
      </x:c>
      <x:c r="T50" s="36" t="n">
        <x:f>IF(OR(A50="",C50&lt;&gt;"Kapak",P50&lt;&gt;"Evet"),0,IF(COUNTIFS($F$8:F50,F50,$C$8:C50,"Kapak",$P$8:P50,"Evet")=1,1,0))</x:f>
        <x:v>0</x:v>
      </x:c>
    </x:row>
    <x:row r="51" ht="54" customHeight="1">
      <x:c r="A51" s="29" t="str">
        <x:v>bakersfield:photo:venue-22016</x:v>
      </x:c>
      <x:c r="B51" s="29" t="str">
        <x:v>bakersfield</x:v>
      </x:c>
      <x:c r="C51" s="29" t="str">
        <x:v>Mekân</x:v>
      </x:c>
      <x:c r="D51" s="29" t="str">
        <x:v>bakersfield:yer-local-bakersfield-mojave-legacy</x:v>
      </x:c>
      <x:c r="E51" s="29" t="str">
        <x:v>Fotoğraflar/bk-6a7bdd10b3be05ea98265b2e.webp</x:v>
      </x:c>
      <x:c r="F51" s="29" t="str">
        <x:v>6a7bdd10b3be05ea98265b2e76d9ff60d60affa98721f98ebbff0f9774679d14</x:v>
      </x:c>
      <x:c r="G51" s="29" t="str">
        <x:v>Mojave Air &amp; Space Port – Legacy Park · 2008 tarihli fotoğraf</x:v>
      </x:c>
      <x:c r="H51" s="29" t="str">
        <x:v>Ikluft</x:v>
      </x:c>
      <x:c r="I51" s="29" t="str">
        <x:v>CC BY-SA 3.0</x:v>
      </x:c>
      <x:c r="J51" s="29" t="str">
        <x:v>https://creativecommons.org/licenses/by-sa/3.0</x:v>
      </x:c>
      <x:c r="K51" s="29" t="str">
        <x:v>https://commons.wikimedia.org/wiki/File:Kluft-photo-Mojave-airport-bldg-Aug-2008-Img_1494.jpg</x:v>
      </x:c>
      <x:c r="L51" s="31" t="d">
        <x:v>2008-08-12T00:00:00.000Z</x:v>
      </x:c>
      <x:c r="M51" s="31" t="d">
        <x:v>2026-10-24T00:00:00.000Z</x:v>
      </x:c>
      <x:c r="N51" s="29" t="str">
        <x:v>EXIF yönü uygulandı; boyut küçültülüp WebP biçimine dönüştürüldü.</x:v>
      </x:c>
      <x:c r="O51" s="29" t="str">
        <x:v>bakersfield:evidence:venue-22016</x:v>
      </x:c>
      <x:c r="P51" s="29" t="str">
        <x:v>Evet</x:v>
      </x:c>
      <x:c r="Q51" s="35" t="n">
        <x:v>1</x:v>
      </x:c>
      <x:c r="R51" s="29" t="str">
        <x:v>İnceleme</x:v>
      </x:c>
      <x:c r="S51" s="36" t="n">
        <x:f>IF(OR(A51="",C51&lt;&gt;"Mekân",P51&lt;&gt;"Evet"),0,IF(COUNTIFS($F$8:F51,F51,$C$8:C51,"Mekân",$P$8:P51,"Evet")=1,1,0))</x:f>
        <x:v>1</x:v>
      </x:c>
      <x:c r="T51" s="36" t="n">
        <x:f>IF(OR(A51="",C51&lt;&gt;"Kapak",P51&lt;&gt;"Evet"),0,IF(COUNTIFS($F$8:F51,F51,$C$8:C51,"Kapak",$P$8:P51,"Evet")=1,1,0))</x:f>
        <x:v>0</x:v>
      </x:c>
    </x:row>
    <x:row r="52" ht="54" customHeight="1">
      <x:c r="A52" s="29" t="str">
        <x:v>bakersfield:photo:venue-22017</x:v>
      </x:c>
      <x:c r="B52" s="29" t="str">
        <x:v>bakersfield</x:v>
      </x:c>
      <x:c r="C52" s="29" t="str">
        <x:v>Mekân</x:v>
      </x:c>
      <x:c r="D52" s="29" t="str">
        <x:v>bakersfield:yer-local-bakersfield-mojave-legacy</x:v>
      </x:c>
      <x:c r="E52" s="29" t="str">
        <x:v>Fotoğraflar/bk-c3b80071035b3ea2e3e7ee95.webp</x:v>
      </x:c>
      <x:c r="F52" s="29" t="str">
        <x:v>c3b80071035b3ea2e3e7ee95495e45b8dfbad75b94d4db2c4452e8cb483c934e</x:v>
      </x:c>
      <x:c r="G52" s="29" t="str">
        <x:v>Mojave Air &amp; Space Port – Legacy Park</x:v>
      </x:c>
      <x:c r="H52" s="29" t="str">
        <x:v>Ikluft</x:v>
      </x:c>
      <x:c r="I52" s="29" t="str">
        <x:v>CC BY-SA 3.0</x:v>
      </x:c>
      <x:c r="J52" s="29" t="str">
        <x:v>https://creativecommons.org/licenses/by-sa/3.0</x:v>
      </x:c>
      <x:c r="K52" s="29" t="str">
        <x:v>https://commons.wikimedia.org/wiki/File:Kluft-photo-aerial-Mojave-Spaceport-Sept-2009-Img_0227.jpg</x:v>
      </x:c>
      <x:c r="L52" s="31"/>
      <x:c r="M52" s="31" t="d">
        <x:v>2026-10-24T00:00:00.000Z</x:v>
      </x:c>
      <x:c r="N52" s="29" t="str">
        <x:v>EXIF yönü uygulandı; boyut küçültülüp WebP biçimine dönüştürüldü.</x:v>
      </x:c>
      <x:c r="O52" s="29" t="str">
        <x:v>bakersfield:evidence:venue-22017</x:v>
      </x:c>
      <x:c r="P52" s="29" t="str">
        <x:v>Evet</x:v>
      </x:c>
      <x:c r="Q52" s="35" t="n">
        <x:v>2</x:v>
      </x:c>
      <x:c r="R52" s="29" t="str">
        <x:v>İnceleme</x:v>
      </x:c>
      <x:c r="S52" s="36" t="n">
        <x:f>IF(OR(A52="",C52&lt;&gt;"Mekân",P52&lt;&gt;"Evet"),0,IF(COUNTIFS($F$8:F52,F52,$C$8:C52,"Mekân",$P$8:P52,"Evet")=1,1,0))</x:f>
        <x:v>1</x:v>
      </x:c>
      <x:c r="T52" s="36" t="n">
        <x:f>IF(OR(A52="",C52&lt;&gt;"Kapak",P52&lt;&gt;"Evet"),0,IF(COUNTIFS($F$8:F52,F52,$C$8:C52,"Kapak",$P$8:P52,"Evet")=1,1,0))</x:f>
        <x:v>0</x:v>
      </x:c>
    </x:row>
    <x:row r="53" ht="54" customHeight="1">
      <x:c r="A53" s="29" t="str">
        <x:v>bakersfield:photo:venue-22018</x:v>
      </x:c>
      <x:c r="B53" s="29" t="str">
        <x:v>bakersfield</x:v>
      </x:c>
      <x:c r="C53" s="29" t="str">
        <x:v>Mekân</x:v>
      </x:c>
      <x:c r="D53" s="29" t="str">
        <x:v>bakersfield:yer-local-bakersfield-california-city-park</x:v>
      </x:c>
      <x:c r="E53" s="29" t="str">
        <x:v>Fotoğraflar/bk-7a22c4b94b984177d976eb73.webp</x:v>
      </x:c>
      <x:c r="F53" s="29" t="str">
        <x:v>7a22c4b94b984177d976eb73ab9f6120f45c02afa73a774e85e8ffbd8b4eb307</x:v>
      </x:c>
      <x:c r="G53" s="29" t="str">
        <x:v>Central Park – California City · 2023 tarihli fotoğraf</x:v>
      </x:c>
      <x:c r="H53" s="29" t="str">
        <x:v>Tedder</x:v>
      </x:c>
      <x:c r="I53" s="29" t="str">
        <x:v>CC BY-SA 4.0</x:v>
      </x:c>
      <x:c r="J53" s="29" t="str">
        <x:v>https://creativecommons.org/licenses/by-sa/4.0</x:v>
      </x:c>
      <x:c r="K53" s="29" t="str">
        <x:v>https://commons.wikimedia.org/wiki/File:California_City_Central_Park.jpg</x:v>
      </x:c>
      <x:c r="L53" s="31"/>
      <x:c r="M53" s="31" t="d">
        <x:v>2026-10-24T00:00:00.000Z</x:v>
      </x:c>
      <x:c r="N53" s="29" t="str">
        <x:v>EXIF yönü uygulandı; boyut küçültülüp WebP biçimine dönüştürüldü.</x:v>
      </x:c>
      <x:c r="O53" s="29" t="str">
        <x:v>bakersfield:evidence:venue-22018</x:v>
      </x:c>
      <x:c r="P53" s="29" t="str">
        <x:v>Evet</x:v>
      </x:c>
      <x:c r="Q53" s="35" t="n">
        <x:v>0</x:v>
      </x:c>
      <x:c r="R53" s="29" t="str">
        <x:v>İnceleme</x:v>
      </x:c>
      <x:c r="S53" s="36" t="n">
        <x:f>IF(OR(A53="",C53&lt;&gt;"Mekân",P53&lt;&gt;"Evet"),0,IF(COUNTIFS($F$8:F53,F53,$C$8:C53,"Mekân",$P$8:P53,"Evet")=1,1,0))</x:f>
        <x:v>1</x:v>
      </x:c>
      <x:c r="T53" s="36" t="n">
        <x:f>IF(OR(A53="",C53&lt;&gt;"Kapak",P53&lt;&gt;"Evet"),0,IF(COUNTIFS($F$8:F53,F53,$C$8:C53,"Kapak",$P$8:P53,"Evet")=1,1,0))</x:f>
        <x:v>0</x:v>
      </x:c>
    </x:row>
    <x:row r="54" ht="54" customHeight="1">
      <x:c r="A54" s="29" t="str">
        <x:v>bakersfield:photo:venue-22019</x:v>
      </x:c>
      <x:c r="B54" s="29" t="str">
        <x:v>bakersfield</x:v>
      </x:c>
      <x:c r="C54" s="29" t="str">
        <x:v>Mekân</x:v>
      </x:c>
      <x:c r="D54" s="29" t="str">
        <x:v>bakersfield:yer-local-bakersfield-california-city-park</x:v>
      </x:c>
      <x:c r="E54" s="29" t="str">
        <x:v>Fotoğraflar/bk-2cf50a7e51deb7f61e711279.webp</x:v>
      </x:c>
      <x:c r="F54" s="29" t="str">
        <x:v>2cf50a7e51deb7f61e71127969e8b4ee627632c239140ea18ed904784303ba8d</x:v>
      </x:c>
      <x:c r="G54" s="29" t="str">
        <x:v>Central Park – California City · 2012 tarihli fotoğraf</x:v>
      </x:c>
      <x:c r="H54" s="29" t="str">
        <x:v>Craig Dietrich</x:v>
      </x:c>
      <x:c r="I54" s="29" t="str">
        <x:v>CC BY 2.0</x:v>
      </x:c>
      <x:c r="J54" s="29" t="str">
        <x:v>https://creativecommons.org/licenses/by/2.0</x:v>
      </x:c>
      <x:c r="K54" s="29" t="str">
        <x:v>https://commons.wikimedia.org/wiki/File:Central_Park,_California_City,_California.jpg</x:v>
      </x:c>
      <x:c r="L54" s="31"/>
      <x:c r="M54" s="31" t="d">
        <x:v>2026-10-24T00:00:00.000Z</x:v>
      </x:c>
      <x:c r="N54" s="29" t="str">
        <x:v>EXIF yönü uygulandı; boyut küçültülüp WebP biçimine dönüştürüldü.</x:v>
      </x:c>
      <x:c r="O54" s="29" t="str">
        <x:v>bakersfield:evidence:venue-22019</x:v>
      </x:c>
      <x:c r="P54" s="29" t="str">
        <x:v>Evet</x:v>
      </x:c>
      <x:c r="Q54" s="35" t="n">
        <x:v>1</x:v>
      </x:c>
      <x:c r="R54" s="29" t="str">
        <x:v>İnceleme</x:v>
      </x:c>
      <x:c r="S54" s="36" t="n">
        <x:f>IF(OR(A54="",C54&lt;&gt;"Mekân",P54&lt;&gt;"Evet"),0,IF(COUNTIFS($F$8:F54,F54,$C$8:C54,"Mekân",$P$8:P54,"Evet")=1,1,0))</x:f>
        <x:v>1</x:v>
      </x:c>
      <x:c r="T54" s="36" t="n">
        <x:f>IF(OR(A54="",C54&lt;&gt;"Kapak",P54&lt;&gt;"Evet"),0,IF(COUNTIFS($F$8:F54,F54,$C$8:C54,"Kapak",$P$8:P54,"Evet")=1,1,0))</x:f>
        <x:v>0</x:v>
      </x:c>
    </x:row>
    <x:row r="55" ht="54" customHeight="1">
      <x:c r="A55" s="29" t="str">
        <x:v>bakersfield:photo:venue-22020</x:v>
      </x:c>
      <x:c r="B55" s="29" t="str">
        <x:v>bakersfield</x:v>
      </x:c>
      <x:c r="C55" s="29" t="str">
        <x:v>Mekân</x:v>
      </x:c>
      <x:c r="D55" s="29" t="str">
        <x:v>bakersfield:yer-local-bakersfield-dignity-arena</x:v>
      </x:c>
      <x:c r="E55" s="29" t="str">
        <x:v>Fotoğraflar/bk-b9bcaa3b9379c4a2c9a643e7.webp</x:v>
      </x:c>
      <x:c r="F55" s="29" t="str">
        <x:v>b9bcaa3b9379c4a2c9a643e73c32b7b30c4e1ab7c6bb731b12496719ada086dd</x:v>
      </x:c>
      <x:c r="G55" s="29" t="str">
        <x:v>Dignity Health Arena · 2011 tarihli fotoğraf</x:v>
      </x:c>
      <x:c r="H55" s="29" t="str">
        <x:v>Skyman9999</x:v>
      </x:c>
      <x:c r="I55" s="29" t="str">
        <x:v>CC0 1.0</x:v>
      </x:c>
      <x:c r="J55" s="29" t="str">
        <x:v>https://creativecommons.org/publicdomain/zero/1.0/</x:v>
      </x:c>
      <x:c r="K55" s="29" t="str">
        <x:v>https://commons.wikimedia.org/wiki/File:Bakersfield_Convention_Center_Entrance.jpg</x:v>
      </x:c>
      <x:c r="L55" s="31" t="d">
        <x:v>2011-08-30T00:00:00.000Z</x:v>
      </x:c>
      <x:c r="M55" s="31" t="d">
        <x:v>2026-10-24T00:00:00.000Z</x:v>
      </x:c>
      <x:c r="N55" s="29" t="str">
        <x:v>EXIF yönü uygulandı; boyut küçültülüp WebP biçimine dönüştürüldü.</x:v>
      </x:c>
      <x:c r="O55" s="29" t="str">
        <x:v>bakersfield:evidence:venue-22020</x:v>
      </x:c>
      <x:c r="P55" s="29" t="str">
        <x:v>Evet</x:v>
      </x:c>
      <x:c r="Q55" s="35" t="n">
        <x:v>0</x:v>
      </x:c>
      <x:c r="R55" s="29" t="str">
        <x:v>İnceleme</x:v>
      </x:c>
      <x:c r="S55" s="36" t="n">
        <x:f>IF(OR(A55="",C55&lt;&gt;"Mekân",P55&lt;&gt;"Evet"),0,IF(COUNTIFS($F$8:F55,F55,$C$8:C55,"Mekân",$P$8:P55,"Evet")=1,1,0))</x:f>
        <x:v>1</x:v>
      </x:c>
      <x:c r="T55" s="36" t="n">
        <x:f>IF(OR(A55="",C55&lt;&gt;"Kapak",P55&lt;&gt;"Evet"),0,IF(COUNTIFS($F$8:F55,F55,$C$8:C55,"Kapak",$P$8:P55,"Evet")=1,1,0))</x:f>
        <x:v>0</x:v>
      </x:c>
    </x:row>
    <x:row r="56" ht="54" customHeight="1">
      <x:c r="A56" s="29" t="str">
        <x:v>bakersfield:photo:venue-22021</x:v>
      </x:c>
      <x:c r="B56" s="29" t="str">
        <x:v>bakersfield</x:v>
      </x:c>
      <x:c r="C56" s="29" t="str">
        <x:v>Mekân</x:v>
      </x:c>
      <x:c r="D56" s="29" t="str">
        <x:v>bakersfield:yer-local-bakersfield-dignity-arena</x:v>
      </x:c>
      <x:c r="E56" s="29" t="str">
        <x:v>Fotoğraflar/bk-994d5b44b196d4ee25b7e2af.webp</x:v>
      </x:c>
      <x:c r="F56" s="29" t="str">
        <x:v>994d5b44b196d4ee25b7e2af94c0236ed0086fde0384514c4ccfc16cba112b49</x:v>
      </x:c>
      <x:c r="G56" s="29" t="str">
        <x:v>Dignity Health Arena · 2008 tarihli fotoğraf</x:v>
      </x:c>
      <x:c r="H56" s="29" t="str">
        <x:v>mark6mauno</x:v>
      </x:c>
      <x:c r="I56" s="29" t="str">
        <x:v>CC BY 2.0</x:v>
      </x:c>
      <x:c r="J56" s="29" t="str">
        <x:v>https://creativecommons.org/licenses/by/2.0</x:v>
      </x:c>
      <x:c r="K56" s="29" t="str">
        <x:v>https://commons.wikimedia.org/wiki/File:Rabobank_Arena_(2338756009).jpg</x:v>
      </x:c>
      <x:c r="L56" s="31"/>
      <x:c r="M56" s="31" t="d">
        <x:v>2026-10-24T00:00:00.000Z</x:v>
      </x:c>
      <x:c r="N56" s="29" t="str">
        <x:v>EXIF yönü uygulandı; boyut küçültülüp WebP biçimine dönüştürüldü.</x:v>
      </x:c>
      <x:c r="O56" s="29" t="str">
        <x:v>bakersfield:evidence:venue-22021</x:v>
      </x:c>
      <x:c r="P56" s="29" t="str">
        <x:v>Evet</x:v>
      </x:c>
      <x:c r="Q56" s="35" t="n">
        <x:v>1</x:v>
      </x:c>
      <x:c r="R56" s="29" t="str">
        <x:v>İnceleme</x:v>
      </x:c>
      <x:c r="S56" s="36" t="n">
        <x:f>IF(OR(A56="",C56&lt;&gt;"Mekân",P56&lt;&gt;"Evet"),0,IF(COUNTIFS($F$8:F56,F56,$C$8:C56,"Mekân",$P$8:P56,"Evet")=1,1,0))</x:f>
        <x:v>1</x:v>
      </x:c>
      <x:c r="T56" s="36" t="n">
        <x:f>IF(OR(A56="",C56&lt;&gt;"Kapak",P56&lt;&gt;"Evet"),0,IF(COUNTIFS($F$8:F56,F56,$C$8:C56,"Kapak",$P$8:P56,"Evet")=1,1,0))</x:f>
        <x:v>0</x:v>
      </x:c>
    </x:row>
    <x:row r="57" ht="54" customHeight="1">
      <x:c r="A57" s="29" t="str">
        <x:v>bakersfield:photo:venue-22022</x:v>
      </x:c>
      <x:c r="B57" s="29" t="str">
        <x:v>bakersfield</x:v>
      </x:c>
      <x:c r="C57" s="29" t="str">
        <x:v>Mekân</x:v>
      </x:c>
      <x:c r="D57" s="29" t="str">
        <x:v>bakersfield:yer-local-bakersfield-dignity-arena</x:v>
      </x:c>
      <x:c r="E57" s="29" t="str">
        <x:v>Fotoğraflar/bk-2b9035128c3f573d66fe6fd5.webp</x:v>
      </x:c>
      <x:c r="F57" s="29" t="str">
        <x:v>2b9035128c3f573d66fe6fd5a1e333ac7ae01ad343777b8ba2ebba5152de06b4</x:v>
      </x:c>
      <x:c r="G57" s="29" t="str">
        <x:v>Dignity Health Arena · 2007 tarihli fotoğraf</x:v>
      </x:c>
      <x:c r="H57" s="29" t="str">
        <x:v>mark6mauno</x:v>
      </x:c>
      <x:c r="I57" s="29" t="str">
        <x:v>CC BY 2.0</x:v>
      </x:c>
      <x:c r="J57" s="29" t="str">
        <x:v>https://creativecommons.org/licenses/by/2.0</x:v>
      </x:c>
      <x:c r="K57" s="29" t="str">
        <x:v>https://commons.wikimedia.org/wiki/File:Rabobank_Arena_(476044847).jpg</x:v>
      </x:c>
      <x:c r="L57" s="31"/>
      <x:c r="M57" s="31" t="d">
        <x:v>2026-10-24T00:00:00.000Z</x:v>
      </x:c>
      <x:c r="N57" s="29" t="str">
        <x:v>EXIF yönü uygulandı; boyut küçültülüp WebP biçimine dönüştürüldü.</x:v>
      </x:c>
      <x:c r="O57" s="29" t="str">
        <x:v>bakersfield:evidence:venue-22022</x:v>
      </x:c>
      <x:c r="P57" s="29" t="str">
        <x:v>Evet</x:v>
      </x:c>
      <x:c r="Q57" s="35" t="n">
        <x:v>2</x:v>
      </x:c>
      <x:c r="R57" s="29" t="str">
        <x:v>İnceleme</x:v>
      </x:c>
      <x:c r="S57" s="36" t="n">
        <x:f>IF(OR(A57="",C57&lt;&gt;"Mekân",P57&lt;&gt;"Evet"),0,IF(COUNTIFS($F$8:F57,F57,$C$8:C57,"Mekân",$P$8:P57,"Evet")=1,1,0))</x:f>
        <x:v>1</x:v>
      </x:c>
      <x:c r="T57" s="36" t="n">
        <x:f>IF(OR(A57="",C57&lt;&gt;"Kapak",P57&lt;&gt;"Evet"),0,IF(COUNTIFS($F$8:F57,F57,$C$8:C57,"Kapak",$P$8:P57,"Evet")=1,1,0))</x:f>
        <x:v>0</x:v>
      </x:c>
    </x:row>
    <x:row r="58" ht="54" customHeight="1">
      <x:c r="A58" s="29" t="str">
        <x:v>bakersfield:photo:venue-22023</x:v>
      </x:c>
      <x:c r="B58" s="29" t="str">
        <x:v>bakersfield</x:v>
      </x:c>
      <x:c r="C58" s="29" t="str">
        <x:v>Mekân</x:v>
      </x:c>
      <x:c r="D58" s="29" t="str">
        <x:v>bakersfield:yer-local-bakersfield-dignity-arena</x:v>
      </x:c>
      <x:c r="E58" s="29" t="str">
        <x:v>Fotoğraflar/bk-4177ef3e918c29561936df0c.webp</x:v>
      </x:c>
      <x:c r="F58" s="29" t="str">
        <x:v>4177ef3e918c29561936df0ccf5125809d20782ae5e7c65275810ce4b161c83e</x:v>
      </x:c>
      <x:c r="G58" s="29" t="str">
        <x:v>Dignity Health Arena · 2007 tarihli fotoğraf</x:v>
      </x:c>
      <x:c r="H58" s="29" t="str">
        <x:v>mark6mauno</x:v>
      </x:c>
      <x:c r="I58" s="29" t="str">
        <x:v>CC BY 2.0</x:v>
      </x:c>
      <x:c r="J58" s="29" t="str">
        <x:v>https://creativecommons.org/licenses/by/2.0</x:v>
      </x:c>
      <x:c r="K58" s="29" t="str">
        <x:v>https://commons.wikimedia.org/wiki/File:Rabobank_Arena_plaza_(476209362).jpg</x:v>
      </x:c>
      <x:c r="L58" s="31"/>
      <x:c r="M58" s="31" t="d">
        <x:v>2026-10-24T00:00:00.000Z</x:v>
      </x:c>
      <x:c r="N58" s="29" t="str">
        <x:v>EXIF yönü uygulandı; boyut küçültülüp WebP biçimine dönüştürüldü.</x:v>
      </x:c>
      <x:c r="O58" s="29" t="str">
        <x:v>bakersfield:evidence:venue-22023</x:v>
      </x:c>
      <x:c r="P58" s="29" t="str">
        <x:v>Evet</x:v>
      </x:c>
      <x:c r="Q58" s="35" t="n">
        <x:v>3</x:v>
      </x:c>
      <x:c r="R58" s="29" t="str">
        <x:v>İnceleme</x:v>
      </x:c>
      <x:c r="S58" s="36" t="n">
        <x:f>IF(OR(A58="",C58&lt;&gt;"Mekân",P58&lt;&gt;"Evet"),0,IF(COUNTIFS($F$8:F58,F58,$C$8:C58,"Mekân",$P$8:P58,"Evet")=1,1,0))</x:f>
        <x:v>1</x:v>
      </x:c>
      <x:c r="T58" s="36" t="n">
        <x:f>IF(OR(A58="",C58&lt;&gt;"Kapak",P58&lt;&gt;"Evet"),0,IF(COUNTIFS($F$8:F58,F58,$C$8:C58,"Kapak",$P$8:P58,"Evet")=1,1,0))</x:f>
        <x:v>0</x:v>
      </x:c>
    </x:row>
    <x:row r="59" ht="54" customHeight="1">
      <x:c r="A59" s="29" t="str">
        <x:v>bakersfield:photo:venue-22024</x:v>
      </x:c>
      <x:c r="B59" s="29" t="str">
        <x:v>bakersfield</x:v>
      </x:c>
      <x:c r="C59" s="29" t="str">
        <x:v>Mekân</x:v>
      </x:c>
      <x:c r="D59" s="29" t="str">
        <x:v>bakersfield:yer-local-bakersfield-riverwalk-amphitheatre</x:v>
      </x:c>
      <x:c r="E59" s="29" t="str">
        <x:v>Fotoğraflar/bk-e676229083fbbffc0a739e1a.webp</x:v>
      </x:c>
      <x:c r="F59" s="29" t="str">
        <x:v>e676229083fbbffc0a739e1acf2e55bb26d356004cace97e2ca395ad6f1ca6c1</x:v>
      </x:c>
      <x:c r="G59" s="29" t="str">
        <x:v>Dignity Health Amphitheatre · 2012 tarihli fotoğraf</x:v>
      </x:c>
      <x:c r="H59" s="29" t="str">
        <x:v>Randall Degges</x:v>
      </x:c>
      <x:c r="I59" s="29" t="str">
        <x:v>CC BY 2.0</x:v>
      </x:c>
      <x:c r="J59" s="29" t="str">
        <x:v>https://creativecommons.org/licenses/by/2.0/</x:v>
      </x:c>
      <x:c r="K59" s="29" t="str">
        <x:v>https://www.flickr.com/photos/59834630@N07/7624937820/</x:v>
      </x:c>
      <x:c r="L59" s="31" t="d">
        <x:v>2012-06-28T00:00:00.000Z</x:v>
      </x:c>
      <x:c r="M59" s="31" t="d">
        <x:v>2026-10-24T00:00:00.000Z</x:v>
      </x:c>
      <x:c r="N59" s="29" t="str">
        <x:v>EXIF yönü uygulandı; boyut küçültülüp WebP biçimine dönüştürüldü.</x:v>
      </x:c>
      <x:c r="O59" s="29" t="str">
        <x:v>bakersfield:evidence:venue-22024</x:v>
      </x:c>
      <x:c r="P59" s="29" t="str">
        <x:v>Evet</x:v>
      </x:c>
      <x:c r="Q59" s="35" t="n">
        <x:v>0</x:v>
      </x:c>
      <x:c r="R59" s="29" t="str">
        <x:v>İnceleme</x:v>
      </x:c>
      <x:c r="S59" s="36" t="n">
        <x:f>IF(OR(A59="",C59&lt;&gt;"Mekân",P59&lt;&gt;"Evet"),0,IF(COUNTIFS($F$8:F59,F59,$C$8:C59,"Mekân",$P$8:P59,"Evet")=1,1,0))</x:f>
        <x:v>1</x:v>
      </x:c>
      <x:c r="T59" s="36" t="n">
        <x:f>IF(OR(A59="",C59&lt;&gt;"Kapak",P59&lt;&gt;"Evet"),0,IF(COUNTIFS($F$8:F59,F59,$C$8:C59,"Kapak",$P$8:P59,"Evet")=1,1,0))</x:f>
        <x:v>0</x:v>
      </x:c>
    </x:row>
    <x:row r="60" ht="54" customHeight="1">
      <x:c r="A60" s="29" t="str">
        <x:v>bakersfield:photo:venue-22025</x:v>
      </x:c>
      <x:c r="B60" s="29" t="str">
        <x:v>bakersfield</x:v>
      </x:c>
      <x:c r="C60" s="29" t="str">
        <x:v>Mekân</x:v>
      </x:c>
      <x:c r="D60" s="29" t="str">
        <x:v>bakersfield:yer-local-bakersfield-riverwalk-amphitheatre</x:v>
      </x:c>
      <x:c r="E60" s="29" t="str">
        <x:v>Fotoğraflar/bk-2d3eb048f5d488c33e5eee41.webp</x:v>
      </x:c>
      <x:c r="F60" s="29" t="str">
        <x:v>2d3eb048f5d488c33e5eee41cc06d7f001f5166889a9b6d177ea832ada465173</x:v>
      </x:c>
      <x:c r="G60" s="29" t="str">
        <x:v>Dignity Health Amphitheatre · 2012 tarihli fotoğraf</x:v>
      </x:c>
      <x:c r="H60" s="29" t="str">
        <x:v>Randall Degges</x:v>
      </x:c>
      <x:c r="I60" s="29" t="str">
        <x:v>CC BY 2.0</x:v>
      </x:c>
      <x:c r="J60" s="29" t="str">
        <x:v>https://creativecommons.org/licenses/by/2.0/</x:v>
      </x:c>
      <x:c r="K60" s="29" t="str">
        <x:v>https://www.flickr.com/photos/59834630@N07/7625890998/</x:v>
      </x:c>
      <x:c r="L60" s="31" t="d">
        <x:v>2012-06-28T00:00:00.000Z</x:v>
      </x:c>
      <x:c r="M60" s="31" t="d">
        <x:v>2026-10-24T00:00:00.000Z</x:v>
      </x:c>
      <x:c r="N60" s="29" t="str">
        <x:v>EXIF yönü uygulandı; boyut küçültülüp WebP biçimine dönüştürüldü.</x:v>
      </x:c>
      <x:c r="O60" s="29" t="str">
        <x:v>bakersfield:evidence:venue-22025</x:v>
      </x:c>
      <x:c r="P60" s="29" t="str">
        <x:v>Evet</x:v>
      </x:c>
      <x:c r="Q60" s="35" t="n">
        <x:v>1</x:v>
      </x:c>
      <x:c r="R60" s="29" t="str">
        <x:v>İnceleme</x:v>
      </x:c>
      <x:c r="S60" s="36" t="n">
        <x:f>IF(OR(A60="",C60&lt;&gt;"Mekân",P60&lt;&gt;"Evet"),0,IF(COUNTIFS($F$8:F60,F60,$C$8:C60,"Mekân",$P$8:P60,"Evet")=1,1,0))</x:f>
        <x:v>1</x:v>
      </x:c>
      <x:c r="T60" s="36" t="n">
        <x:f>IF(OR(A60="",C60&lt;&gt;"Kapak",P60&lt;&gt;"Evet"),0,IF(COUNTIFS($F$8:F60,F60,$C$8:C60,"Kapak",$P$8:P60,"Evet")=1,1,0))</x:f>
        <x:v>0</x:v>
      </x:c>
    </x:row>
    <x:row r="61" ht="54" customHeight="1">
      <x:c r="A61" s="29" t="str">
        <x:v>bakersfield:photo:venue-22026</x:v>
      </x:c>
      <x:c r="B61" s="29" t="str">
        <x:v>bakersfield</x:v>
      </x:c>
      <x:c r="C61" s="29" t="str">
        <x:v>Mekân</x:v>
      </x:c>
      <x:c r="D61" s="29" t="str">
        <x:v>bakersfield:yer-local-bakersfield-riverwalk-amphitheatre</x:v>
      </x:c>
      <x:c r="E61" s="29" t="str">
        <x:v>Fotoğraflar/bk-e66e719e970080e7f5aef31a.webp</x:v>
      </x:c>
      <x:c r="F61" s="29" t="str">
        <x:v>e66e719e970080e7f5aef31a7964dbd31cd7b583b58037446650128c792d3e73</x:v>
      </x:c>
      <x:c r="G61" s="29" t="str">
        <x:v>Dignity Health Amphitheatre · 2012 tarihli fotoğraf</x:v>
      </x:c>
      <x:c r="H61" s="29" t="str">
        <x:v>Randall Degges</x:v>
      </x:c>
      <x:c r="I61" s="29" t="str">
        <x:v>CC BY 2.0</x:v>
      </x:c>
      <x:c r="J61" s="29" t="str">
        <x:v>https://creativecommons.org/licenses/by/2.0/</x:v>
      </x:c>
      <x:c r="K61" s="29" t="str">
        <x:v>https://www.flickr.com/photos/59834630@N07/7625054134/</x:v>
      </x:c>
      <x:c r="L61" s="31" t="d">
        <x:v>2012-06-28T00:00:00.000Z</x:v>
      </x:c>
      <x:c r="M61" s="31" t="d">
        <x:v>2026-10-24T00:00:00.000Z</x:v>
      </x:c>
      <x:c r="N61" s="29" t="str">
        <x:v>EXIF yönü uygulandı; boyut küçültülüp WebP biçimine dönüştürüldü.</x:v>
      </x:c>
      <x:c r="O61" s="29" t="str">
        <x:v>bakersfield:evidence:venue-22026</x:v>
      </x:c>
      <x:c r="P61" s="29" t="str">
        <x:v>Evet</x:v>
      </x:c>
      <x:c r="Q61" s="35" t="n">
        <x:v>2</x:v>
      </x:c>
      <x:c r="R61" s="29" t="str">
        <x:v>İnceleme</x:v>
      </x:c>
      <x:c r="S61" s="36" t="n">
        <x:f>IF(OR(A61="",C61&lt;&gt;"Mekân",P61&lt;&gt;"Evet"),0,IF(COUNTIFS($F$8:F61,F61,$C$8:C61,"Mekân",$P$8:P61,"Evet")=1,1,0))</x:f>
        <x:v>1</x:v>
      </x:c>
      <x:c r="T61" s="36" t="n">
        <x:f>IF(OR(A61="",C61&lt;&gt;"Kapak",P61&lt;&gt;"Evet"),0,IF(COUNTIFS($F$8:F61,F61,$C$8:C61,"Kapak",$P$8:P61,"Evet")=1,1,0))</x:f>
        <x:v>0</x:v>
      </x:c>
    </x:row>
    <x:row r="62" ht="54" customHeight="1">
      <x:c r="A62" s="29" t="str">
        <x:v>bakersfield:photo:venue-22027</x:v>
      </x:c>
      <x:c r="B62" s="29" t="str">
        <x:v>bakersfield</x:v>
      </x:c>
      <x:c r="C62" s="29" t="str">
        <x:v>Mekân</x:v>
      </x:c>
      <x:c r="D62" s="29" t="str">
        <x:v>bakersfield:yer-local-bakersfield-mcmurtrey</x:v>
      </x:c>
      <x:c r="E62" s="29" t="str">
        <x:v>Fotoğraflar/bk-265df7d3773dfc4e61be3761.webp</x:v>
      </x:c>
      <x:c r="F62" s="29" t="str">
        <x:v>265df7d3773dfc4e61be3761d955df27690c429f7a56e7fdce93b4b519ef755e</x:v>
      </x:c>
      <x:c r="G62" s="29" t="str">
        <x:v>McMurtrey Aquatic Center · 2011 tarihli fotoğraf</x:v>
      </x:c>
      <x:c r="H62" s="29" t="str">
        <x:v>Skyman9999</x:v>
      </x:c>
      <x:c r="I62" s="29" t="str">
        <x:v>CC0 1.0</x:v>
      </x:c>
      <x:c r="J62" s="29" t="str">
        <x:v>https://creativecommons.org/publicdomain/zero/1.0/</x:v>
      </x:c>
      <x:c r="K62" s="29" t="str">
        <x:v>https://commons.wikimedia.org/wiki/File:Mc_Murtrey_Aquatics_Center_Facing_South.jpg</x:v>
      </x:c>
      <x:c r="L62" s="31" t="d">
        <x:v>2011-08-30T00:00:00.000Z</x:v>
      </x:c>
      <x:c r="M62" s="31" t="d">
        <x:v>2026-10-24T00:00:00.000Z</x:v>
      </x:c>
      <x:c r="N62" s="29" t="str">
        <x:v>EXIF yönü uygulandı; boyut küçültülüp WebP biçimine dönüştürüldü.</x:v>
      </x:c>
      <x:c r="O62" s="29" t="str">
        <x:v>bakersfield:evidence:venue-22027</x:v>
      </x:c>
      <x:c r="P62" s="29" t="str">
        <x:v>Evet</x:v>
      </x:c>
      <x:c r="Q62" s="35" t="n">
        <x:v>0</x:v>
      </x:c>
      <x:c r="R62" s="29" t="str">
        <x:v>İnceleme</x:v>
      </x:c>
      <x:c r="S62" s="36" t="n">
        <x:f>IF(OR(A62="",C62&lt;&gt;"Mekân",P62&lt;&gt;"Evet"),0,IF(COUNTIFS($F$8:F62,F62,$C$8:C62,"Mekân",$P$8:P62,"Evet")=1,1,0))</x:f>
        <x:v>1</x:v>
      </x:c>
      <x:c r="T62" s="36" t="n">
        <x:f>IF(OR(A62="",C62&lt;&gt;"Kapak",P62&lt;&gt;"Evet"),0,IF(COUNTIFS($F$8:F62,F62,$C$8:C62,"Kapak",$P$8:P62,"Evet")=1,1,0))</x:f>
        <x:v>0</x:v>
      </x:c>
    </x:row>
    <x:row r="63" ht="54" customHeight="1">
      <x:c r="A63" s="29" t="str">
        <x:v>bakersfield:photo:venue-22028</x:v>
      </x:c>
      <x:c r="B63" s="29" t="str">
        <x:v>bakersfield</x:v>
      </x:c>
      <x:c r="C63" s="29" t="str">
        <x:v>Mekân</x:v>
      </x:c>
      <x:c r="D63" s="29" t="str">
        <x:v>bakersfield:yer-local-bakersfield-randsburg-main-street</x:v>
      </x:c>
      <x:c r="E63" s="29" t="str">
        <x:v>Fotoğraflar/bk-0b7743300a06f678b7cc67fb.webp</x:v>
      </x:c>
      <x:c r="F63" s="29" t="str">
        <x:v>0b7743300a06f678b7cc67fb0acd133c8d762188881cac22e18b3ecb653b6cd9</x:v>
      </x:c>
      <x:c r="G63" s="29" t="str">
        <x:v>Randsburg tarihî ana caddesi · 2015 tarihli fotoğraf</x:v>
      </x:c>
      <x:c r="H63" s="29" t="str">
        <x:v>specchio.nero</x:v>
      </x:c>
      <x:c r="I63" s="29" t="str">
        <x:v>CC BY-SA 2.0</x:v>
      </x:c>
      <x:c r="J63" s="29" t="str">
        <x:v>https://creativecommons.org/licenses/by-sa/2.0</x:v>
      </x:c>
      <x:c r="K63" s="29" t="str">
        <x:v>https://commons.wikimedia.org/wiki/File:Randsburg_(24304968146).jpg</x:v>
      </x:c>
      <x:c r="L63" s="31"/>
      <x:c r="M63" s="31" t="d">
        <x:v>2026-10-24T00:00:00.000Z</x:v>
      </x:c>
      <x:c r="N63" s="29" t="str">
        <x:v>EXIF yönü uygulandı; boyut küçültülüp WebP biçimine dönüştürüldü.</x:v>
      </x:c>
      <x:c r="O63" s="29" t="str">
        <x:v>bakersfield:evidence:venue-22028</x:v>
      </x:c>
      <x:c r="P63" s="29" t="str">
        <x:v>Evet</x:v>
      </x:c>
      <x:c r="Q63" s="35" t="n">
        <x:v>0</x:v>
      </x:c>
      <x:c r="R63" s="29" t="str">
        <x:v>İnceleme</x:v>
      </x:c>
      <x:c r="S63" s="36" t="n">
        <x:f>IF(OR(A63="",C63&lt;&gt;"Mekân",P63&lt;&gt;"Evet"),0,IF(COUNTIFS($F$8:F63,F63,$C$8:C63,"Mekân",$P$8:P63,"Evet")=1,1,0))</x:f>
        <x:v>1</x:v>
      </x:c>
      <x:c r="T63" s="36" t="n">
        <x:f>IF(OR(A63="",C63&lt;&gt;"Kapak",P63&lt;&gt;"Evet"),0,IF(COUNTIFS($F$8:F63,F63,$C$8:C63,"Kapak",$P$8:P63,"Evet")=1,1,0))</x:f>
        <x:v>0</x:v>
      </x:c>
    </x:row>
    <x:row r="64" ht="54" customHeight="1">
      <x:c r="A64" s="29" t="str">
        <x:v>bakersfield:photo:venue-22029</x:v>
      </x:c>
      <x:c r="B64" s="29" t="str">
        <x:v>bakersfield</x:v>
      </x:c>
      <x:c r="C64" s="29" t="str">
        <x:v>Mekân</x:v>
      </x:c>
      <x:c r="D64" s="29" t="str">
        <x:v>bakersfield:yer-local-bakersfield-randsburg-main-street</x:v>
      </x:c>
      <x:c r="E64" s="29" t="str">
        <x:v>Fotoğraflar/bk-8e840a9c0fa8ac6df296845b.webp</x:v>
      </x:c>
      <x:c r="F64" s="29" t="str">
        <x:v>8e840a9c0fa8ac6df296845bda125dd49a7193640cf0e23e58e4d23f7efb6cbe</x:v>
      </x:c>
      <x:c r="G64" s="29" t="str">
        <x:v>Randsburg tarihî ana caddesi · 2015 tarihli fotoğraf</x:v>
      </x:c>
      <x:c r="H64" s="29" t="str">
        <x:v>inkknife_2000 (7.5 million views +)</x:v>
      </x:c>
      <x:c r="I64" s="29" t="str">
        <x:v>CC BY-SA 2.0</x:v>
      </x:c>
      <x:c r="J64" s="29" t="str">
        <x:v>https://creativecommons.org/licenses/by-sa/2.0</x:v>
      </x:c>
      <x:c r="K64" s="29" t="str">
        <x:v>https://commons.wikimedia.org/wiki/File:Randsburg_Ghost_Town,_CA_5-19-15d_(17941329260).jpg</x:v>
      </x:c>
      <x:c r="L64" s="31"/>
      <x:c r="M64" s="31" t="d">
        <x:v>2026-10-24T00:00:00.000Z</x:v>
      </x:c>
      <x:c r="N64" s="29" t="str">
        <x:v>EXIF yönü uygulandı; boyut küçültülüp WebP biçimine dönüştürüldü.</x:v>
      </x:c>
      <x:c r="O64" s="29" t="str">
        <x:v>bakersfield:evidence:venue-22029</x:v>
      </x:c>
      <x:c r="P64" s="29" t="str">
        <x:v>Evet</x:v>
      </x:c>
      <x:c r="Q64" s="35" t="n">
        <x:v>1</x:v>
      </x:c>
      <x:c r="R64" s="29" t="str">
        <x:v>İnceleme</x:v>
      </x:c>
      <x:c r="S64" s="36" t="n">
        <x:f>IF(OR(A64="",C64&lt;&gt;"Mekân",P64&lt;&gt;"Evet"),0,IF(COUNTIFS($F$8:F64,F64,$C$8:C64,"Mekân",$P$8:P64,"Evet")=1,1,0))</x:f>
        <x:v>1</x:v>
      </x:c>
      <x:c r="T64" s="36" t="n">
        <x:f>IF(OR(A64="",C64&lt;&gt;"Kapak",P64&lt;&gt;"Evet"),0,IF(COUNTIFS($F$8:F64,F64,$C$8:C64,"Kapak",$P$8:P64,"Evet")=1,1,0))</x:f>
        <x:v>0</x:v>
      </x:c>
    </x:row>
    <x:row r="65" ht="54" customHeight="1">
      <x:c r="A65" s="29" t="str">
        <x:v>bakersfield:photo:venue-22030</x:v>
      </x:c>
      <x:c r="B65" s="29" t="str">
        <x:v>bakersfield</x:v>
      </x:c>
      <x:c r="C65" s="29" t="str">
        <x:v>Mekân</x:v>
      </x:c>
      <x:c r="D65" s="29" t="str">
        <x:v>bakersfield:yer-local-bakersfield-randsburg-main-street</x:v>
      </x:c>
      <x:c r="E65" s="29" t="str">
        <x:v>Fotoğraflar/bk-85611ffd1899b836e50f9a3c.webp</x:v>
      </x:c>
      <x:c r="F65" s="29" t="str">
        <x:v>85611ffd1899b836e50f9a3c6aff69435dc3904be7a039ef11ad8da4333896ed</x:v>
      </x:c>
      <x:c r="G65" s="29" t="str">
        <x:v>Randsburg tarihî ana caddesi · 2015 tarihli fotoğraf</x:v>
      </x:c>
      <x:c r="H65" s="29" t="str">
        <x:v>inkknife_2000 (7.5 million views +)</x:v>
      </x:c>
      <x:c r="I65" s="29" t="str">
        <x:v>CC BY-SA 2.0</x:v>
      </x:c>
      <x:c r="J65" s="29" t="str">
        <x:v>https://creativecommons.org/licenses/by-sa/2.0</x:v>
      </x:c>
      <x:c r="K65" s="29" t="str">
        <x:v>https://commons.wikimedia.org/wiki/File:Randsburg_Ghost_Town,_CA_5-19-15g_(18608123272).jpg</x:v>
      </x:c>
      <x:c r="L65" s="31"/>
      <x:c r="M65" s="31" t="d">
        <x:v>2026-10-24T00:00:00.000Z</x:v>
      </x:c>
      <x:c r="N65" s="29" t="str">
        <x:v>EXIF yönü uygulandı; boyut küçültülüp WebP biçimine dönüştürüldü.</x:v>
      </x:c>
      <x:c r="O65" s="29" t="str">
        <x:v>bakersfield:evidence:venue-22030</x:v>
      </x:c>
      <x:c r="P65" s="29" t="str">
        <x:v>Evet</x:v>
      </x:c>
      <x:c r="Q65" s="35" t="n">
        <x:v>2</x:v>
      </x:c>
      <x:c r="R65" s="29" t="str">
        <x:v>İnceleme</x:v>
      </x:c>
      <x:c r="S65" s="36" t="n">
        <x:f>IF(OR(A65="",C65&lt;&gt;"Mekân",P65&lt;&gt;"Evet"),0,IF(COUNTIFS($F$8:F65,F65,$C$8:C65,"Mekân",$P$8:P65,"Evet")=1,1,0))</x:f>
        <x:v>1</x:v>
      </x:c>
      <x:c r="T65" s="36" t="n">
        <x:f>IF(OR(A65="",C65&lt;&gt;"Kapak",P65&lt;&gt;"Evet"),0,IF(COUNTIFS($F$8:F65,F65,$C$8:C65,"Kapak",$P$8:P65,"Evet")=1,1,0))</x:f>
        <x:v>0</x:v>
      </x:c>
    </x:row>
    <x:row r="66" ht="54" customHeight="1">
      <x:c r="A66" s="29" t="str">
        <x:v>bakersfield:photo:venue-22031</x:v>
      </x:c>
      <x:c r="B66" s="29" t="str">
        <x:v>bakersfield</x:v>
      </x:c>
      <x:c r="C66" s="29" t="str">
        <x:v>Mekân</x:v>
      </x:c>
      <x:c r="D66" s="29" t="str">
        <x:v>bakersfield:yer-local-bakersfield-randsburg-main-street</x:v>
      </x:c>
      <x:c r="E66" s="29" t="str">
        <x:v>Fotoğraflar/bk-6f16cf97279556c6b9d60578.webp</x:v>
      </x:c>
      <x:c r="F66" s="29" t="str">
        <x:v>6f16cf97279556c6b9d605783d520be054377effa287d57eb9fec1e929c33efc</x:v>
      </x:c>
      <x:c r="G66" s="29" t="str">
        <x:v>Randsburg tarihî ana caddesi · 2015 tarihli fotoğraf</x:v>
      </x:c>
      <x:c r="H66" s="29" t="str">
        <x:v>inkknife_2000 (7.5 million views +)</x:v>
      </x:c>
      <x:c r="I66" s="29" t="str">
        <x:v>CC BY-SA 2.0</x:v>
      </x:c>
      <x:c r="J66" s="29" t="str">
        <x:v>https://creativecommons.org/licenses/by-sa/2.0</x:v>
      </x:c>
      <x:c r="K66" s="29" t="str">
        <x:v>https://commons.wikimedia.org/wiki/File:Randsburg_Ghost_Town,_CA_5-19-15l_(18612669945).jpg</x:v>
      </x:c>
      <x:c r="L66" s="31"/>
      <x:c r="M66" s="31" t="d">
        <x:v>2026-10-24T00:00:00.000Z</x:v>
      </x:c>
      <x:c r="N66" s="29" t="str">
        <x:v>EXIF yönü uygulandı; boyut küçültülüp WebP biçimine dönüştürüldü.</x:v>
      </x:c>
      <x:c r="O66" s="29" t="str">
        <x:v>bakersfield:evidence:venue-22031</x:v>
      </x:c>
      <x:c r="P66" s="29" t="str">
        <x:v>Evet</x:v>
      </x:c>
      <x:c r="Q66" s="35" t="n">
        <x:v>3</x:v>
      </x:c>
      <x:c r="R66" s="29" t="str">
        <x:v>İnceleme</x:v>
      </x:c>
      <x:c r="S66" s="36" t="n">
        <x:f>IF(OR(A66="",C66&lt;&gt;"Mekân",P66&lt;&gt;"Evet"),0,IF(COUNTIFS($F$8:F66,F66,$C$8:C66,"Mekân",$P$8:P66,"Evet")=1,1,0))</x:f>
        <x:v>1</x:v>
      </x:c>
      <x:c r="T66" s="36" t="n">
        <x:f>IF(OR(A66="",C66&lt;&gt;"Kapak",P66&lt;&gt;"Evet"),0,IF(COUNTIFS($F$8:F66,F66,$C$8:C66,"Kapak",$P$8:P66,"Evet")=1,1,0))</x:f>
        <x:v>0</x:v>
      </x:c>
    </x:row>
    <x:row r="67" ht="54" customHeight="1">
      <x:c r="A67" s="29" t="str">
        <x:v>bakersfield:photo:venue-22032</x:v>
      </x:c>
      <x:c r="B67" s="29" t="str">
        <x:v>bakersfield</x:v>
      </x:c>
      <x:c r="C67" s="29" t="str">
        <x:v>Mekân</x:v>
      </x:c>
      <x:c r="D67" s="29" t="str">
        <x:v>bakersfield:yer-local-bakersfield-kern-fairgrounds</x:v>
      </x:c>
      <x:c r="E67" s="29" t="str">
        <x:v>Fotoğraflar/bk-5dd06836ab9c40ff0895c493.webp</x:v>
      </x:c>
      <x:c r="F67" s="29" t="str">
        <x:v>5dd06836ab9c40ff0895c49399976f9cd58a27f47fc8bcd79ff161cc440d8f62</x:v>
      </x:c>
      <x:c r="G67" s="29" t="str">
        <x:v>Kern County Fairgrounds içindeki şapka biçimli izci büfesi · 2017</x:v>
      </x:c>
      <x:c r="H67" s="29" t="str">
        <x:v>Bruce Andersen</x:v>
      </x:c>
      <x:c r="I67" s="29" t="str">
        <x:v>CC BY 2.0</x:v>
      </x:c>
      <x:c r="J67" s="29" t="str">
        <x:v>https://creativecommons.org/licenses/by/2.0</x:v>
      </x:c>
      <x:c r="K67" s="29" t="str">
        <x:v>https://commons.wikimedia.org/wiki/File:Boy_Scout_Troop_188_-_Kern_County_Fairgrounds_-_%22The_Hat%22_(37090004113).jpg</x:v>
      </x:c>
      <x:c r="L67" s="31"/>
      <x:c r="M67" s="31" t="d">
        <x:v>2026-10-24T00:00:00.000Z</x:v>
      </x:c>
      <x:c r="N67" s="29" t="str">
        <x:v>EXIF yönü uygulandı; boyut küçültülüp WebP biçimine dönüştürüldü.</x:v>
      </x:c>
      <x:c r="O67" s="29" t="str">
        <x:v>bakersfield:evidence:venue-22032</x:v>
      </x:c>
      <x:c r="P67" s="29" t="str">
        <x:v>Evet</x:v>
      </x:c>
      <x:c r="Q67" s="35" t="n">
        <x:v>0</x:v>
      </x:c>
      <x:c r="R67" s="29" t="str">
        <x:v>İnceleme</x:v>
      </x:c>
      <x:c r="S67" s="36" t="n">
        <x:f>IF(OR(A67="",C67&lt;&gt;"Mekân",P67&lt;&gt;"Evet"),0,IF(COUNTIFS($F$8:F67,F67,$C$8:C67,"Mekân",$P$8:P67,"Evet")=1,1,0))</x:f>
        <x:v>1</x:v>
      </x:c>
      <x:c r="T67" s="36" t="n">
        <x:f>IF(OR(A67="",C67&lt;&gt;"Kapak",P67&lt;&gt;"Evet"),0,IF(COUNTIFS($F$8:F67,F67,$C$8:C67,"Kapak",$P$8:P67,"Evet")=1,1,0))</x:f>
        <x:v>0</x:v>
      </x:c>
    </x:row>
    <x:row r="68" ht="54" customHeight="1">
      <x:c r="A68" s="29" t="str">
        <x:v>bakersfield:photo:venue-22033</x:v>
      </x:c>
      <x:c r="B68" s="29" t="str">
        <x:v>bakersfield</x:v>
      </x:c>
      <x:c r="C68" s="29" t="str">
        <x:v>Mekân</x:v>
      </x:c>
      <x:c r="D68" s="29" t="str">
        <x:v>bakersfield:yer-local-bakersfield-maricopa-jail</x:v>
      </x:c>
      <x:c r="E68" s="29" t="str">
        <x:v>Fotoğraflar/bk-17f80ca8c1622d1de51b6873.webp</x:v>
      </x:c>
      <x:c r="F68" s="29" t="str">
        <x:v>17f80ca8c1622d1de51b6873616976791c986edf082f2550e6b53f9207192d61</x:v>
      </x:c>
      <x:c r="G68" s="29" t="str">
        <x:v>Maricopa tarihî demir hapishanesi · 2009 tarihli fotoğraf</x:v>
      </x:c>
      <x:c r="H68" s="29" t="str">
        <x:v>Konrad Summers from Santa Clarita (Valencia) , California, USA</x:v>
      </x:c>
      <x:c r="I68" s="29" t="str">
        <x:v>CC BY-SA 2.0</x:v>
      </x:c>
      <x:c r="J68" s="29" t="str">
        <x:v>https://creativecommons.org/licenses/by-sa/2.0</x:v>
      </x:c>
      <x:c r="K68" s="29" t="str">
        <x:v>https://commons.wikimedia.org/wiki/File:City_of_Maricopa_Jail_House_-_Maricopa,_CA.jpg</x:v>
      </x:c>
      <x:c r="L68" s="31"/>
      <x:c r="M68" s="31" t="d">
        <x:v>2026-10-24T00:00:00.000Z</x:v>
      </x:c>
      <x:c r="N68" s="29" t="str">
        <x:v>EXIF yönü uygulandı; boyut küçültülüp WebP biçimine dönüştürüldü.</x:v>
      </x:c>
      <x:c r="O68" s="29" t="str">
        <x:v>bakersfield:evidence:venue-22033</x:v>
      </x:c>
      <x:c r="P68" s="29" t="str">
        <x:v>Evet</x:v>
      </x:c>
      <x:c r="Q68" s="35" t="n">
        <x:v>0</x:v>
      </x:c>
      <x:c r="R68" s="29" t="str">
        <x:v>İnceleme</x:v>
      </x:c>
      <x:c r="S68" s="36" t="n">
        <x:f>IF(OR(A68="",C68&lt;&gt;"Mekân",P68&lt;&gt;"Evet"),0,IF(COUNTIFS($F$8:F68,F68,$C$8:C68,"Mekân",$P$8:P68,"Evet")=1,1,0))</x:f>
        <x:v>1</x:v>
      </x:c>
      <x:c r="T68" s="36" t="n">
        <x:f>IF(OR(A68="",C68&lt;&gt;"Kapak",P68&lt;&gt;"Evet"),0,IF(COUNTIFS($F$8:F68,F68,$C$8:C68,"Kapak",$P$8:P68,"Evet")=1,1,0))</x:f>
        <x:v>0</x:v>
      </x:c>
    </x:row>
    <x:row r="69" ht="54" customHeight="1">
      <x:c r="A69" s="29" t="str">
        <x:v>bakersfield:photo:venue-22034</x:v>
      </x:c>
      <x:c r="B69" s="29" t="str">
        <x:v>bakersfield</x:v>
      </x:c>
      <x:c r="C69" s="29" t="str">
        <x:v>Mekân</x:v>
      </x:c>
      <x:c r="D69" s="29" t="str">
        <x:v>bakersfield:yer-local-bakersfield-wasco-auditorium</x:v>
      </x:c>
      <x:c r="E69" s="29" t="str">
        <x:v>Fotoğraflar/bk-d56a40b0cca10d10ee5f7fae.webp</x:v>
      </x:c>
      <x:c r="F69" s="29" t="str">
        <x:v>d56a40b0cca10d10ee5f7fae365d4f8b465c1c52be188b38fb871efd11e70d95</x:v>
      </x:c>
      <x:c r="G69" s="29" t="str">
        <x:v>Wasco Union High School tarihî salonu · 2010 tarihli fotoğraf</x:v>
      </x:c>
      <x:c r="H69" s="29" t="str">
        <x:v>Bobak Ha'Eri</x:v>
      </x:c>
      <x:c r="I69" s="29" t="str">
        <x:v>CC BY 3.0</x:v>
      </x:c>
      <x:c r="J69" s="29" t="str">
        <x:v>https://creativecommons.org/licenses/by/3.0</x:v>
      </x:c>
      <x:c r="K69" s="29" t="str">
        <x:v>https://commons.wikimedia.org/wiki/File:2010-1227-WascoUHSAud.jpg</x:v>
      </x:c>
      <x:c r="L69" s="31" t="d">
        <x:v>2010-12-27T00:00:00.000Z</x:v>
      </x:c>
      <x:c r="M69" s="31" t="d">
        <x:v>2026-10-24T00:00:00.000Z</x:v>
      </x:c>
      <x:c r="N69" s="29" t="str">
        <x:v>EXIF yönü uygulandı; boyut küçültülüp WebP biçimine dönüştürüldü.</x:v>
      </x:c>
      <x:c r="O69" s="29" t="str">
        <x:v>bakersfield:evidence:venue-22034</x:v>
      </x:c>
      <x:c r="P69" s="29" t="str">
        <x:v>Evet</x:v>
      </x:c>
      <x:c r="Q69" s="35" t="n">
        <x:v>0</x:v>
      </x:c>
      <x:c r="R69" s="29" t="str">
        <x:v>İnceleme</x:v>
      </x:c>
      <x:c r="S69" s="36" t="n">
        <x:f>IF(OR(A69="",C69&lt;&gt;"Mekân",P69&lt;&gt;"Evet"),0,IF(COUNTIFS($F$8:F69,F69,$C$8:C69,"Mekân",$P$8:P69,"Evet")=1,1,0))</x:f>
        <x:v>1</x:v>
      </x:c>
      <x:c r="T69" s="36" t="n">
        <x:f>IF(OR(A69="",C69&lt;&gt;"Kapak",P69&lt;&gt;"Evet"),0,IF(COUNTIFS($F$8:F69,F69,$C$8:C69,"Kapak",$P$8:P69,"Evet")=1,1,0))</x:f>
        <x:v>0</x:v>
      </x:c>
    </x:row>
    <x:row r="70" ht="54" customHeight="1">
      <x:c r="A70" s="29" t="str">
        <x:v>bakersfield:photo:venue-22035</x:v>
      </x:c>
      <x:c r="B70" s="29" t="str">
        <x:v>bakersfield</x:v>
      </x:c>
      <x:c r="C70" s="29" t="str">
        <x:v>Mekân</x:v>
      </x:c>
      <x:c r="D70" s="29" t="str">
        <x:v>bakersfield:yer-local-bakersfield-padre-hotel</x:v>
      </x:c>
      <x:c r="E70" s="29" t="str">
        <x:v>Fotoğraflar/bk-1d09279412ce5af775910e7b.webp</x:v>
      </x:c>
      <x:c r="F70" s="29" t="str">
        <x:v>1d09279412ce5af775910e7bb1c5292062308bf2db295b39660300f5e29f4387</x:v>
      </x:c>
      <x:c r="G70" s="29" t="str">
        <x:v>The Padre Hotel · 2011 tarihli fotoğraf</x:v>
      </x:c>
      <x:c r="H70" s="29" t="str">
        <x:v>David Brossard</x:v>
      </x:c>
      <x:c r="I70" s="29" t="str">
        <x:v>CC BY-SA 2.0</x:v>
      </x:c>
      <x:c r="J70" s="29" t="str">
        <x:v>https://creativecommons.org/licenses/by-sa/2.0/</x:v>
      </x:c>
      <x:c r="K70" s="29" t="str">
        <x:v>https://www.flickr.com/photos/16069488@N00/7359702674/</x:v>
      </x:c>
      <x:c r="L70" s="31" t="d">
        <x:v>2011-03-04T00:00:00.000Z</x:v>
      </x:c>
      <x:c r="M70" s="31" t="d">
        <x:v>2026-10-24T00:00:00.000Z</x:v>
      </x:c>
      <x:c r="N70" s="29" t="str">
        <x:v>EXIF yönü uygulandı; boyut küçültülüp WebP biçimine dönüştürüldü.</x:v>
      </x:c>
      <x:c r="O70" s="29" t="str">
        <x:v>bakersfield:evidence:venue-22035</x:v>
      </x:c>
      <x:c r="P70" s="29" t="str">
        <x:v>Evet</x:v>
      </x:c>
      <x:c r="Q70" s="35" t="n">
        <x:v>0</x:v>
      </x:c>
      <x:c r="R70" s="29" t="str">
        <x:v>İnceleme</x:v>
      </x:c>
      <x:c r="S70" s="36" t="n">
        <x:f>IF(OR(A70="",C70&lt;&gt;"Mekân",P70&lt;&gt;"Evet"),0,IF(COUNTIFS($F$8:F70,F70,$C$8:C70,"Mekân",$P$8:P70,"Evet")=1,1,0))</x:f>
        <x:v>1</x:v>
      </x:c>
      <x:c r="T70" s="36" t="n">
        <x:f>IF(OR(A70="",C70&lt;&gt;"Kapak",P70&lt;&gt;"Evet"),0,IF(COUNTIFS($F$8:F70,F70,$C$8:C70,"Kapak",$P$8:P70,"Evet")=1,1,0))</x:f>
        <x:v>0</x:v>
      </x:c>
    </x:row>
    <x:row r="71" ht="54" customHeight="1">
      <x:c r="A71" s="29" t="str">
        <x:v>bakersfield:photo:venue-22036</x:v>
      </x:c>
      <x:c r="B71" s="29" t="str">
        <x:v>bakersfield</x:v>
      </x:c>
      <x:c r="C71" s="29" t="str">
        <x:v>Mekân</x:v>
      </x:c>
      <x:c r="D71" s="29" t="str">
        <x:v>bakersfield:yer-local-bakersfield-padre-hotel</x:v>
      </x:c>
      <x:c r="E71" s="29" t="str">
        <x:v>Fotoğraflar/bk-181687f5292809e725a7125c.webp</x:v>
      </x:c>
      <x:c r="F71" s="29" t="str">
        <x:v>181687f5292809e725a7125cea0bc71584f2d523146f1ff51643794d7a2352e6</x:v>
      </x:c>
      <x:c r="G71" s="29" t="str">
        <x:v>The Padre Hotel · 2011 tarihli fotoğraf</x:v>
      </x:c>
      <x:c r="H71" s="29" t="str">
        <x:v>David Brossard</x:v>
      </x:c>
      <x:c r="I71" s="29" t="str">
        <x:v>CC BY-SA 2.0</x:v>
      </x:c>
      <x:c r="J71" s="29" t="str">
        <x:v>https://creativecommons.org/licenses/by-sa/2.0/</x:v>
      </x:c>
      <x:c r="K71" s="29" t="str">
        <x:v>https://www.flickr.com/photos/16069488@N00/7231697834/</x:v>
      </x:c>
      <x:c r="L71" s="31" t="d">
        <x:v>2011-03-04T00:00:00.000Z</x:v>
      </x:c>
      <x:c r="M71" s="31" t="d">
        <x:v>2026-10-24T00:00:00.000Z</x:v>
      </x:c>
      <x:c r="N71" s="29" t="str">
        <x:v>EXIF yönü uygulandı; boyut küçültülüp WebP biçimine dönüştürüldü.</x:v>
      </x:c>
      <x:c r="O71" s="29" t="str">
        <x:v>bakersfield:evidence:venue-22036</x:v>
      </x:c>
      <x:c r="P71" s="29" t="str">
        <x:v>Evet</x:v>
      </x:c>
      <x:c r="Q71" s="35" t="n">
        <x:v>1</x:v>
      </x:c>
      <x:c r="R71" s="29" t="str">
        <x:v>İnceleme</x:v>
      </x:c>
      <x:c r="S71" s="36" t="n">
        <x:f>IF(OR(A71="",C71&lt;&gt;"Mekân",P71&lt;&gt;"Evet"),0,IF(COUNTIFS($F$8:F71,F71,$C$8:C71,"Mekân",$P$8:P71,"Evet")=1,1,0))</x:f>
        <x:v>1</x:v>
      </x:c>
      <x:c r="T71" s="36" t="n">
        <x:f>IF(OR(A71="",C71&lt;&gt;"Kapak",P71&lt;&gt;"Evet"),0,IF(COUNTIFS($F$8:F71,F71,$C$8:C71,"Kapak",$P$8:P71,"Evet")=1,1,0))</x:f>
        <x:v>0</x:v>
      </x:c>
    </x:row>
    <x:row r="72" ht="54" customHeight="1">
      <x:c r="A72" s="29" t="str">
        <x:v>bakersfield:photo:venue-22037</x:v>
      </x:c>
      <x:c r="B72" s="29" t="str">
        <x:v>bakersfield</x:v>
      </x:c>
      <x:c r="C72" s="29" t="str">
        <x:v>Mekân</x:v>
      </x:c>
      <x:c r="D72" s="29" t="str">
        <x:v>bakersfield:yer-local-bakersfield-padre-hotel</x:v>
      </x:c>
      <x:c r="E72" s="29" t="str">
        <x:v>Fotoğraflar/bk-6fe9cec7596a884127938bdd.webp</x:v>
      </x:c>
      <x:c r="F72" s="29" t="str">
        <x:v>6fe9cec7596a884127938bdd5b27cb50e227ed8a5000b33fbc7fc6f0d67c7109</x:v>
      </x:c>
      <x:c r="G72" s="29" t="str">
        <x:v>The Padre Hotel · Take tarihli fotoğraf</x:v>
      </x:c>
      <x:c r="H72" s="29" t="str">
        <x:v>Missvain</x:v>
      </x:c>
      <x:c r="I72" s="29" t="str">
        <x:v>CC BY 4.0</x:v>
      </x:c>
      <x:c r="J72" s="29" t="str">
        <x:v>https://creativecommons.org/licenses/by/4.0</x:v>
      </x:c>
      <x:c r="K72" s="29" t="str">
        <x:v>https://commons.wikimedia.org/wiki/File:The_Padre_Hotel_-_March_2022_-_Sarah_Stierch_01.jpg</x:v>
      </x:c>
      <x:c r="L72" s="31"/>
      <x:c r="M72" s="31" t="d">
        <x:v>2026-10-24T00:00:00.000Z</x:v>
      </x:c>
      <x:c r="N72" s="29" t="str">
        <x:v>EXIF yönü uygulandı; boyut küçültülüp WebP biçimine dönüştürüldü.</x:v>
      </x:c>
      <x:c r="O72" s="29" t="str">
        <x:v>bakersfield:evidence:venue-22037</x:v>
      </x:c>
      <x:c r="P72" s="29" t="str">
        <x:v>Evet</x:v>
      </x:c>
      <x:c r="Q72" s="35" t="n">
        <x:v>2</x:v>
      </x:c>
      <x:c r="R72" s="29" t="str">
        <x:v>İnceleme</x:v>
      </x:c>
      <x:c r="S72" s="36" t="n">
        <x:f>IF(OR(A72="",C72&lt;&gt;"Mekân",P72&lt;&gt;"Evet"),0,IF(COUNTIFS($F$8:F72,F72,$C$8:C72,"Mekân",$P$8:P72,"Evet")=1,1,0))</x:f>
        <x:v>1</x:v>
      </x:c>
      <x:c r="T72" s="36" t="n">
        <x:f>IF(OR(A72="",C72&lt;&gt;"Kapak",P72&lt;&gt;"Evet"),0,IF(COUNTIFS($F$8:F72,F72,$C$8:C72,"Kapak",$P$8:P72,"Evet")=1,1,0))</x:f>
        <x:v>0</x:v>
      </x:c>
    </x:row>
    <x:row r="73" ht="54" customHeight="1">
      <x:c r="A73" s="29" t="str">
        <x:v>bakersfield:photo:venue-22038</x:v>
      </x:c>
      <x:c r="B73" s="29" t="str">
        <x:v>bakersfield</x:v>
      </x:c>
      <x:c r="C73" s="29" t="str">
        <x:v>Mekân</x:v>
      </x:c>
      <x:c r="D73" s="29" t="str">
        <x:v>bakersfield:yer-local-bakersfield-24th-cafe</x:v>
      </x:c>
      <x:c r="E73" s="29" t="str">
        <x:v>Fotoğraflar/bk-c77c0fca4bc8c74fc5091b6f.webp</x:v>
      </x:c>
      <x:c r="F73" s="29" t="str">
        <x:v>c77c0fca4bc8c74fc5091b6f6ebaa047e42f5553d69d0199965715f384681bc3</x:v>
      </x:c>
      <x:c r="G73" s="29" t="str">
        <x:v>24th Street Café · 2011 tarihli fotoğraf</x:v>
      </x:c>
      <x:c r="H73" s="29" t="str">
        <x:v>Tom Ipri</x:v>
      </x:c>
      <x:c r="I73" s="29" t="str">
        <x:v>CC BY-SA 2.0</x:v>
      </x:c>
      <x:c r="J73" s="29" t="str">
        <x:v>https://creativecommons.org/licenses/by-sa/2.0/</x:v>
      </x:c>
      <x:c r="K73" s="29" t="str">
        <x:v>https://www.flickr.com/photos/34989799@N00/6059367295/</x:v>
      </x:c>
      <x:c r="L73" s="31" t="d">
        <x:v>2011-08-14T00:00:00.000Z</x:v>
      </x:c>
      <x:c r="M73" s="31" t="d">
        <x:v>2026-10-24T00:00:00.000Z</x:v>
      </x:c>
      <x:c r="N73" s="29" t="str">
        <x:v>EXIF yönü uygulandı; boyut küçültülüp WebP biçimine dönüştürüldü.</x:v>
      </x:c>
      <x:c r="O73" s="29" t="str">
        <x:v>bakersfield:evidence:venue-22038</x:v>
      </x:c>
      <x:c r="P73" s="29" t="str">
        <x:v>Evet</x:v>
      </x:c>
      <x:c r="Q73" s="35" t="n">
        <x:v>0</x:v>
      </x:c>
      <x:c r="R73" s="29" t="str">
        <x:v>İnceleme</x:v>
      </x:c>
      <x:c r="S73" s="36" t="n">
        <x:f>IF(OR(A73="",C73&lt;&gt;"Mekân",P73&lt;&gt;"Evet"),0,IF(COUNTIFS($F$8:F73,F73,$C$8:C73,"Mekân",$P$8:P73,"Evet")=1,1,0))</x:f>
        <x:v>1</x:v>
      </x:c>
      <x:c r="T73" s="36" t="n">
        <x:f>IF(OR(A73="",C73&lt;&gt;"Kapak",P73&lt;&gt;"Evet"),0,IF(COUNTIFS($F$8:F73,F73,$C$8:C73,"Kapak",$P$8:P73,"Evet")=1,1,0))</x:f>
        <x:v>0</x:v>
      </x:c>
    </x:row>
    <x:row r="74" ht="54" customHeight="1">
      <x:c r="A74" s="29" t="str">
        <x:v>bakersfield:photo:venue-22039</x:v>
      </x:c>
      <x:c r="B74" s="29" t="str">
        <x:v>bakersfield</x:v>
      </x:c>
      <x:c r="C74" s="29" t="str">
        <x:v>Mekân</x:v>
      </x:c>
      <x:c r="D74" s="29" t="str">
        <x:v>bakersfield:yer-local-bakersfield-24th-cafe</x:v>
      </x:c>
      <x:c r="E74" s="29" t="str">
        <x:v>Fotoğraflar/bk-ac8c5952b3adcccfb5357f95.webp</x:v>
      </x:c>
      <x:c r="F74" s="29" t="str">
        <x:v>ac8c5952b3adcccfb5357f952baf220261e4ea154448f031fdcc0f3082b4da51</x:v>
      </x:c>
      <x:c r="G74" s="29" t="str">
        <x:v>24th Street Café · 2011 tarihli fotoğraf</x:v>
      </x:c>
      <x:c r="H74" s="29" t="str">
        <x:v>Tom Ipri</x:v>
      </x:c>
      <x:c r="I74" s="29" t="str">
        <x:v>CC BY-SA 2.0</x:v>
      </x:c>
      <x:c r="J74" s="29" t="str">
        <x:v>https://creativecommons.org/licenses/by-sa/2.0/</x:v>
      </x:c>
      <x:c r="K74" s="29" t="str">
        <x:v>https://www.flickr.com/photos/34989799@N00/6059367445/</x:v>
      </x:c>
      <x:c r="L74" s="31" t="d">
        <x:v>2011-08-14T00:00:00.000Z</x:v>
      </x:c>
      <x:c r="M74" s="31" t="d">
        <x:v>2026-10-24T00:00:00.000Z</x:v>
      </x:c>
      <x:c r="N74" s="29" t="str">
        <x:v>EXIF yönü uygulandı; boyut küçültülüp WebP biçimine dönüştürüldü.</x:v>
      </x:c>
      <x:c r="O74" s="29" t="str">
        <x:v>bakersfield:evidence:venue-22039</x:v>
      </x:c>
      <x:c r="P74" s="29" t="str">
        <x:v>Evet</x:v>
      </x:c>
      <x:c r="Q74" s="35" t="n">
        <x:v>1</x:v>
      </x:c>
      <x:c r="R74" s="29" t="str">
        <x:v>İnceleme</x:v>
      </x:c>
      <x:c r="S74" s="36" t="n">
        <x:f>IF(OR(A74="",C74&lt;&gt;"Mekân",P74&lt;&gt;"Evet"),0,IF(COUNTIFS($F$8:F74,F74,$C$8:C74,"Mekân",$P$8:P74,"Evet")=1,1,0))</x:f>
        <x:v>1</x:v>
      </x:c>
      <x:c r="T74" s="36" t="n">
        <x:f>IF(OR(A74="",C74&lt;&gt;"Kapak",P74&lt;&gt;"Evet"),0,IF(COUNTIFS($F$8:F74,F74,$C$8:C74,"Kapak",$P$8:P74,"Evet")=1,1,0))</x:f>
        <x:v>0</x:v>
      </x:c>
    </x:row>
    <x:row r="75" ht="54" customHeight="1">
      <x:c r="A75" s="29" t="str">
        <x:v>bakersfield:photo:venue-22040</x:v>
      </x:c>
      <x:c r="B75" s="29" t="str">
        <x:v>bakersfield</x:v>
      </x:c>
      <x:c r="C75" s="29" t="str">
        <x:v>Mekân</x:v>
      </x:c>
      <x:c r="D75" s="29" t="str">
        <x:v>bakersfield:yer-local-bakersfield-mount-pinos</x:v>
      </x:c>
      <x:c r="E75" s="29" t="str">
        <x:v>Fotoğraflar/bk-51836f540e3521179257e8b2.webp</x:v>
      </x:c>
      <x:c r="F75" s="29" t="str">
        <x:v>51836f540e3521179257e8b2a0ae92cfef0a9ed68b8c836481ded53e7600d5c7</x:v>
      </x:c>
      <x:c r="G75" s="29" t="str">
        <x:v>Mount Pinos · 2015 tarihli fotoğraf</x:v>
      </x:c>
      <x:c r="H75" s="29" t="str">
        <x:v>David Prasad</x:v>
      </x:c>
      <x:c r="I75" s="29" t="str">
        <x:v>CC BY-SA 2.0</x:v>
      </x:c>
      <x:c r="J75" s="29" t="str">
        <x:v>https://creativecommons.org/licenses/by-sa/2.0</x:v>
      </x:c>
      <x:c r="K75" s="29" t="str">
        <x:v>https://commons.wikimedia.org/wiki/File:Detail_of_Lockwood_Valley_from_Mount_Pinos.jpg</x:v>
      </x:c>
      <x:c r="L75" s="31"/>
      <x:c r="M75" s="31" t="d">
        <x:v>2026-10-24T00:00:00.000Z</x:v>
      </x:c>
      <x:c r="N75" s="29" t="str">
        <x:v>EXIF yönü uygulandı; boyut küçültülüp WebP biçimine dönüştürüldü.</x:v>
      </x:c>
      <x:c r="O75" s="29" t="str">
        <x:v>bakersfield:evidence:venue-22040</x:v>
      </x:c>
      <x:c r="P75" s="29" t="str">
        <x:v>Evet</x:v>
      </x:c>
      <x:c r="Q75" s="35" t="n">
        <x:v>0</x:v>
      </x:c>
      <x:c r="R75" s="29" t="str">
        <x:v>İnceleme</x:v>
      </x:c>
      <x:c r="S75" s="36" t="n">
        <x:f>IF(OR(A75="",C75&lt;&gt;"Mekân",P75&lt;&gt;"Evet"),0,IF(COUNTIFS($F$8:F75,F75,$C$8:C75,"Mekân",$P$8:P75,"Evet")=1,1,0))</x:f>
        <x:v>1</x:v>
      </x:c>
      <x:c r="T75" s="36" t="n">
        <x:f>IF(OR(A75="",C75&lt;&gt;"Kapak",P75&lt;&gt;"Evet"),0,IF(COUNTIFS($F$8:F75,F75,$C$8:C75,"Kapak",$P$8:P75,"Evet")=1,1,0))</x:f>
        <x:v>0</x:v>
      </x:c>
    </x:row>
    <x:row r="76" ht="54" customHeight="1">
      <x:c r="A76" s="29" t="str">
        <x:v>bakersfield:photo:venue-22041</x:v>
      </x:c>
      <x:c r="B76" s="29" t="str">
        <x:v>bakersfield</x:v>
      </x:c>
      <x:c r="C76" s="29" t="str">
        <x:v>Mekân</x:v>
      </x:c>
      <x:c r="D76" s="29" t="str">
        <x:v>bakersfield:yer-local-bakersfield-mount-pinos</x:v>
      </x:c>
      <x:c r="E76" s="29" t="str">
        <x:v>Fotoğraflar/bk-efffb585642726b91bc81187.webp</x:v>
      </x:c>
      <x:c r="F76" s="29" t="str">
        <x:v>efffb585642726b91bc811870707189a64a17f224d47f52be974823396da1410</x:v>
      </x:c>
      <x:c r="G76" s="29" t="str">
        <x:v>Mount Pinos · 2017 tarihli fotoğraf</x:v>
      </x:c>
      <x:c r="H76" s="29" t="str">
        <x:v>Vahe Martirosyan</x:v>
      </x:c>
      <x:c r="I76" s="29" t="str">
        <x:v>CC BY-SA 2.0</x:v>
      </x:c>
      <x:c r="J76" s="29" t="str">
        <x:v>https://creativecommons.org/licenses/by-sa/2.0</x:v>
      </x:c>
      <x:c r="K76" s="29" t="str">
        <x:v>https://commons.wikimedia.org/wiki/File:Forest_and_meadow_atop_Mount_Pinos.jpg</x:v>
      </x:c>
      <x:c r="L76" s="31"/>
      <x:c r="M76" s="31" t="d">
        <x:v>2026-10-24T00:00:00.000Z</x:v>
      </x:c>
      <x:c r="N76" s="29" t="str">
        <x:v>EXIF yönü uygulandı; boyut küçültülüp WebP biçimine dönüştürüldü.</x:v>
      </x:c>
      <x:c r="O76" s="29" t="str">
        <x:v>bakersfield:evidence:venue-22041</x:v>
      </x:c>
      <x:c r="P76" s="29" t="str">
        <x:v>Evet</x:v>
      </x:c>
      <x:c r="Q76" s="35" t="n">
        <x:v>1</x:v>
      </x:c>
      <x:c r="R76" s="29" t="str">
        <x:v>İnceleme</x:v>
      </x:c>
      <x:c r="S76" s="36" t="n">
        <x:f>IF(OR(A76="",C76&lt;&gt;"Mekân",P76&lt;&gt;"Evet"),0,IF(COUNTIFS($F$8:F76,F76,$C$8:C76,"Mekân",$P$8:P76,"Evet")=1,1,0))</x:f>
        <x:v>1</x:v>
      </x:c>
      <x:c r="T76" s="36" t="n">
        <x:f>IF(OR(A76="",C76&lt;&gt;"Kapak",P76&lt;&gt;"Evet"),0,IF(COUNTIFS($F$8:F76,F76,$C$8:C76,"Kapak",$P$8:P76,"Evet")=1,1,0))</x:f>
        <x:v>0</x:v>
      </x:c>
    </x:row>
    <x:row r="77" ht="54" customHeight="1">
      <x:c r="A77" s="29" t="str">
        <x:v>bakersfield:photo:venue-22042</x:v>
      </x:c>
      <x:c r="B77" s="29" t="str">
        <x:v>bakersfield</x:v>
      </x:c>
      <x:c r="C77" s="29" t="str">
        <x:v>Mekân</x:v>
      </x:c>
      <x:c r="D77" s="29" t="str">
        <x:v>bakersfield:yer-local-bakersfield-mount-pinos</x:v>
      </x:c>
      <x:c r="E77" s="29" t="str">
        <x:v>Fotoğraflar/bk-5ff3de4313ede10ff7977bd0.webp</x:v>
      </x:c>
      <x:c r="F77" s="29" t="str">
        <x:v>5ff3de4313ede10ff7977bd0bb9741cd785c0b58c01d7a25a3628284026e81c4</x:v>
      </x:c>
      <x:c r="G77" s="29" t="str">
        <x:v>Mount Pinos · 2015 tarihli fotoğraf</x:v>
      </x:c>
      <x:c r="H77" s="29" t="str">
        <x:v>David Prasad</x:v>
      </x:c>
      <x:c r="I77" s="29" t="str">
        <x:v>CC BY-SA 2.0</x:v>
      </x:c>
      <x:c r="J77" s="29" t="str">
        <x:v>https://creativecommons.org/licenses/by-sa/2.0</x:v>
      </x:c>
      <x:c r="K77" s="29" t="str">
        <x:v>https://commons.wikimedia.org/wiki/File:Mount_Pinos_Ski_Patrol_Nordic_Base.jpg</x:v>
      </x:c>
      <x:c r="L77" s="31"/>
      <x:c r="M77" s="31" t="d">
        <x:v>2026-10-24T00:00:00.000Z</x:v>
      </x:c>
      <x:c r="N77" s="29" t="str">
        <x:v>EXIF yönü uygulandı; boyut küçültülüp WebP biçimine dönüştürüldü.</x:v>
      </x:c>
      <x:c r="O77" s="29" t="str">
        <x:v>bakersfield:evidence:venue-22042</x:v>
      </x:c>
      <x:c r="P77" s="29" t="str">
        <x:v>Evet</x:v>
      </x:c>
      <x:c r="Q77" s="35" t="n">
        <x:v>2</x:v>
      </x:c>
      <x:c r="R77" s="29" t="str">
        <x:v>İnceleme</x:v>
      </x:c>
      <x:c r="S77" s="36" t="n">
        <x:f>IF(OR(A77="",C77&lt;&gt;"Mekân",P77&lt;&gt;"Evet"),0,IF(COUNTIFS($F$8:F77,F77,$C$8:C77,"Mekân",$P$8:P77,"Evet")=1,1,0))</x:f>
        <x:v>1</x:v>
      </x:c>
      <x:c r="T77" s="36" t="n">
        <x:f>IF(OR(A77="",C77&lt;&gt;"Kapak",P77&lt;&gt;"Evet"),0,IF(COUNTIFS($F$8:F77,F77,$C$8:C77,"Kapak",$P$8:P77,"Evet")=1,1,0))</x:f>
        <x:v>0</x:v>
      </x:c>
    </x:row>
    <x:row r="78" ht="54" customHeight="1">
      <x:c r="A78" s="29" t="str">
        <x:v>bakersfield:photo:venue-22043</x:v>
      </x:c>
      <x:c r="B78" s="29" t="str">
        <x:v>bakersfield</x:v>
      </x:c>
      <x:c r="C78" s="29" t="str">
        <x:v>Mekân</x:v>
      </x:c>
      <x:c r="D78" s="29" t="str">
        <x:v>bakersfield:yer-local-bakersfield-mount-pinos</x:v>
      </x:c>
      <x:c r="E78" s="29" t="str">
        <x:v>Fotoğraflar/bk-bc1de8dadb5d7065e1c7bf10.webp</x:v>
      </x:c>
      <x:c r="F78" s="29" t="str">
        <x:v>bc1de8dadb5d7065e1c7bf10b55b5aeab141a337235dfe706f382faeddb0fe45</x:v>
      </x:c>
      <x:c r="G78" s="29" t="str">
        <x:v>Mount Pinos · Take tarihli fotoğraf</x:v>
      </x:c>
      <x:c r="H78" s="29" t="str">
        <x:v>John D. from Pasadena, USA</x:v>
      </x:c>
      <x:c r="I78" s="29" t="str">
        <x:v>CC BY 2.0</x:v>
      </x:c>
      <x:c r="J78" s="29" t="str">
        <x:v>https://creativecommons.org/licenses/by/2.0</x:v>
      </x:c>
      <x:c r="K78" s="29" t="str">
        <x:v>https://commons.wikimedia.org/wiki/File:Mount_Pinos_morning_(53282784768).jpg</x:v>
      </x:c>
      <x:c r="L78" s="31"/>
      <x:c r="M78" s="31" t="d">
        <x:v>2026-10-24T00:00:00.000Z</x:v>
      </x:c>
      <x:c r="N78" s="29" t="str">
        <x:v>EXIF yönü uygulandı; boyut küçültülüp WebP biçimine dönüştürüldü.</x:v>
      </x:c>
      <x:c r="O78" s="29" t="str">
        <x:v>bakersfield:evidence:venue-22043</x:v>
      </x:c>
      <x:c r="P78" s="29" t="str">
        <x:v>Evet</x:v>
      </x:c>
      <x:c r="Q78" s="35" t="n">
        <x:v>3</x:v>
      </x:c>
      <x:c r="R78" s="29" t="str">
        <x:v>İnceleme</x:v>
      </x:c>
      <x:c r="S78" s="36" t="n">
        <x:f>IF(OR(A78="",C78&lt;&gt;"Mekân",P78&lt;&gt;"Evet"),0,IF(COUNTIFS($F$8:F78,F78,$C$8:C78,"Mekân",$P$8:P78,"Evet")=1,1,0))</x:f>
        <x:v>1</x:v>
      </x:c>
      <x:c r="T78" s="36" t="n">
        <x:f>IF(OR(A78="",C78&lt;&gt;"Kapak",P78&lt;&gt;"Evet"),0,IF(COUNTIFS($F$8:F78,F78,$C$8:C78,"Kapak",$P$8:P78,"Evet")=1,1,0))</x:f>
        <x:v>0</x:v>
      </x:c>
    </x:row>
    <x:row r="79" ht="54" customHeight="1">
      <x:c r="A79" s="29" t="str">
        <x:v>bakersfield:photo:venue-22044</x:v>
      </x:c>
      <x:c r="B79" s="29" t="str">
        <x:v>bakersfield</x:v>
      </x:c>
      <x:c r="C79" s="29" t="str">
        <x:v>Mekân</x:v>
      </x:c>
      <x:c r="D79" s="29" t="str">
        <x:v>bakersfield:yer-local-bakersfield-mount-pinos</x:v>
      </x:c>
      <x:c r="E79" s="29" t="str">
        <x:v>Fotoğraflar/bk-4fb7bd572f58cac053c5bfa8.webp</x:v>
      </x:c>
      <x:c r="F79" s="29" t="str">
        <x:v>4fb7bd572f58cac053c5bfa8000a310919c7af7fc2b12f599b66a02dd9a9b85e</x:v>
      </x:c>
      <x:c r="G79" s="29" t="str">
        <x:v>Mount Pinos · 2017 tarihli fotoğraf</x:v>
      </x:c>
      <x:c r="H79" s="29" t="str">
        <x:v>Vahe Martirosyan</x:v>
      </x:c>
      <x:c r="I79" s="29" t="str">
        <x:v>CC BY-SA 2.0</x:v>
      </x:c>
      <x:c r="J79" s="29" t="str">
        <x:v>https://creativecommons.org/licenses/by-sa/2.0</x:v>
      </x:c>
      <x:c r="K79" s="29" t="str">
        <x:v>https://commons.wikimedia.org/wiki/File:Summit_of_Mount_Pinos.jpg</x:v>
      </x:c>
      <x:c r="L79" s="31"/>
      <x:c r="M79" s="31" t="d">
        <x:v>2026-10-24T00:00:00.000Z</x:v>
      </x:c>
      <x:c r="N79" s="29" t="str">
        <x:v>EXIF yönü uygulandı; boyut küçültülüp WebP biçimine dönüştürüldü.</x:v>
      </x:c>
      <x:c r="O79" s="29" t="str">
        <x:v>bakersfield:evidence:venue-22044</x:v>
      </x:c>
      <x:c r="P79" s="29" t="str">
        <x:v>Evet</x:v>
      </x:c>
      <x:c r="Q79" s="35" t="n">
        <x:v>4</x:v>
      </x:c>
      <x:c r="R79" s="29" t="str">
        <x:v>İnceleme</x:v>
      </x:c>
      <x:c r="S79" s="36" t="n">
        <x:f>IF(OR(A79="",C79&lt;&gt;"Mekân",P79&lt;&gt;"Evet"),0,IF(COUNTIFS($F$8:F79,F79,$C$8:C79,"Mekân",$P$8:P79,"Evet")=1,1,0))</x:f>
        <x:v>1</x:v>
      </x:c>
      <x:c r="T79" s="36" t="n">
        <x:f>IF(OR(A79="",C79&lt;&gt;"Kapak",P79&lt;&gt;"Evet"),0,IF(COUNTIFS($F$8:F79,F79,$C$8:C79,"Kapak",$P$8:P79,"Evet")=1,1,0))</x:f>
        <x:v>0</x:v>
      </x:c>
    </x:row>
    <x:row r="80" ht="54" customHeight="1">
      <x:c r="A80" s="29" t="str">
        <x:v>bakersfield:photo:venue-22045</x:v>
      </x:c>
      <x:c r="B80" s="29" t="str">
        <x:v>bakersfield</x:v>
      </x:c>
      <x:c r="C80" s="29" t="str">
        <x:v>Mekân</x:v>
      </x:c>
      <x:c r="D80" s="29" t="str">
        <x:v>bakersfield:yer-local-bakersfield-mount-pinos</x:v>
      </x:c>
      <x:c r="E80" s="29" t="str">
        <x:v>Fotoğraflar/bk-0c5fb2d8cf9708be3ef4d9f7.webp</x:v>
      </x:c>
      <x:c r="F80" s="29" t="str">
        <x:v>0c5fb2d8cf9708be3ef4d9f7394d91169fc63d14dc888a027ca0f9bfa113e996</x:v>
      </x:c>
      <x:c r="G80" s="29" t="str">
        <x:v>Mount Pinos · 2015 tarihli fotoğraf</x:v>
      </x:c>
      <x:c r="H80" s="29" t="str">
        <x:v>David Prasad</x:v>
      </x:c>
      <x:c r="I80" s="29" t="str">
        <x:v>CC BY-SA 2.0</x:v>
      </x:c>
      <x:c r="J80" s="29" t="str">
        <x:v>https://creativecommons.org/licenses/by-sa/2.0</x:v>
      </x:c>
      <x:c r="K80" s="29" t="str">
        <x:v>https://commons.wikimedia.org/wiki/File:Transverse_Ranges_from_Mount_Pinos.jpg</x:v>
      </x:c>
      <x:c r="L80" s="31"/>
      <x:c r="M80" s="31" t="d">
        <x:v>2026-10-24T00:00:00.000Z</x:v>
      </x:c>
      <x:c r="N80" s="29" t="str">
        <x:v>EXIF yönü uygulandı; boyut küçültülüp WebP biçimine dönüştürüldü.</x:v>
      </x:c>
      <x:c r="O80" s="29" t="str">
        <x:v>bakersfield:evidence:venue-22045</x:v>
      </x:c>
      <x:c r="P80" s="29" t="str">
        <x:v>Evet</x:v>
      </x:c>
      <x:c r="Q80" s="35" t="n">
        <x:v>5</x:v>
      </x:c>
      <x:c r="R80" s="29" t="str">
        <x:v>İnceleme</x:v>
      </x:c>
      <x:c r="S80" s="36" t="n">
        <x:f>IF(OR(A80="",C80&lt;&gt;"Mekân",P80&lt;&gt;"Evet"),0,IF(COUNTIFS($F$8:F80,F80,$C$8:C80,"Mekân",$P$8:P80,"Evet")=1,1,0))</x:f>
        <x:v>1</x:v>
      </x:c>
      <x:c r="T80" s="36" t="n">
        <x:f>IF(OR(A80="",C80&lt;&gt;"Kapak",P80&lt;&gt;"Evet"),0,IF(COUNTIFS($F$8:F80,F80,$C$8:C80,"Kapak",$P$8:P80,"Evet")=1,1,0))</x:f>
        <x:v>0</x:v>
      </x:c>
    </x:row>
    <x:row r="81" ht="54" customHeight="1">
      <x:c r="A81" s="29" t="str">
        <x:v>bakersfield:photo:venue-22046</x:v>
      </x:c>
      <x:c r="B81" s="29" t="str">
        <x:v>bakersfield</x:v>
      </x:c>
      <x:c r="C81" s="29" t="str">
        <x:v>Mekân</x:v>
      </x:c>
      <x:c r="D81" s="29" t="str">
        <x:v>bakersfield:yer-local-bakersfield-tomo-kahni</x:v>
      </x:c>
      <x:c r="E81" s="29" t="str">
        <x:v>Fotoğraflar/bk-8101dc865944bf676536789a.webp</x:v>
      </x:c>
      <x:c r="F81" s="29" t="str">
        <x:v>8101dc865944bf676536789a562fba68cb61351f385ebbae0de5102f989cf51b</x:v>
      </x:c>
      <x:c r="G81" s="29" t="str">
        <x:v>Tomo-Kahni State Historic Park · 2023 tarihli fotoğraf</x:v>
      </x:c>
      <x:c r="H81" s="29" t="str">
        <x:v>Tyutyika</x:v>
      </x:c>
      <x:c r="I81" s="29" t="str">
        <x:v>CC BY-SA 4.0</x:v>
      </x:c>
      <x:c r="J81" s="29" t="str">
        <x:v>https://creativecommons.org/licenses/by-sa/4.0</x:v>
      </x:c>
      <x:c r="K81" s="29" t="str">
        <x:v>https://commons.wikimedia.org/wiki/File:Rock_canyon_at_Tomo-Kahni.jpg</x:v>
      </x:c>
      <x:c r="L81" s="31" t="d">
        <x:v>2023-10-14T00:00:00.000Z</x:v>
      </x:c>
      <x:c r="M81" s="31" t="d">
        <x:v>2026-10-24T00:00:00.000Z</x:v>
      </x:c>
      <x:c r="N81" s="29" t="str">
        <x:v>EXIF yönü uygulandı; boyut küçültülüp WebP biçimine dönüştürüldü.</x:v>
      </x:c>
      <x:c r="O81" s="29" t="str">
        <x:v>bakersfield:evidence:venue-22046</x:v>
      </x:c>
      <x:c r="P81" s="29" t="str">
        <x:v>Evet</x:v>
      </x:c>
      <x:c r="Q81" s="35" t="n">
        <x:v>0</x:v>
      </x:c>
      <x:c r="R81" s="29" t="str">
        <x:v>İnceleme</x:v>
      </x:c>
      <x:c r="S81" s="36" t="n">
        <x:f>IF(OR(A81="",C81&lt;&gt;"Mekân",P81&lt;&gt;"Evet"),0,IF(COUNTIFS($F$8:F81,F81,$C$8:C81,"Mekân",$P$8:P81,"Evet")=1,1,0))</x:f>
        <x:v>1</x:v>
      </x:c>
      <x:c r="T81" s="36" t="n">
        <x:f>IF(OR(A81="",C81&lt;&gt;"Kapak",P81&lt;&gt;"Evet"),0,IF(COUNTIFS($F$8:F81,F81,$C$8:C81,"Kapak",$P$8:P81,"Evet")=1,1,0))</x:f>
        <x:v>0</x:v>
      </x:c>
    </x:row>
    <x:row r="82" ht="54" customHeight="1">
      <x:c r="A82" s="29" t="str">
        <x:v>bakersfield:photo:venue-22047</x:v>
      </x:c>
      <x:c r="B82" s="29" t="str">
        <x:v>bakersfield</x:v>
      </x:c>
      <x:c r="C82" s="29" t="str">
        <x:v>Mekân</x:v>
      </x:c>
      <x:c r="D82" s="29" t="str">
        <x:v>bakersfield:yer-local-bakersfield-cafe-smitten</x:v>
      </x:c>
      <x:c r="E82" s="29" t="str">
        <x:v>Fotoğraflar/bk-9f9290eb7c9de2f08e49e09d.webp</x:v>
      </x:c>
      <x:c r="F82" s="29" t="str">
        <x:v>9f9290eb7c9de2f08e49e09d7a135ef6adca55f8d608734af288690b0e938142</x:v>
      </x:c>
      <x:c r="G82" s="29" t="str">
        <x:v>Café Smitten</x:v>
      </x:c>
      <x:c r="H82" s="29" t="str">
        <x:v>Julie Jordan Scott</x:v>
      </x:c>
      <x:c r="I82" s="29" t="str">
        <x:v>CC BY 2.0</x:v>
      </x:c>
      <x:c r="J82" s="29" t="str">
        <x:v>https://creativecommons.org/licenses/by/2.0/</x:v>
      </x:c>
      <x:c r="K82" s="29" t="str">
        <x:v>https://www.flickr.com/photos/98609821@N00/46791389041/</x:v>
      </x:c>
      <x:c r="L82" s="31"/>
      <x:c r="M82" s="31" t="d">
        <x:v>2026-10-24T00:00:00.000Z</x:v>
      </x:c>
      <x:c r="N82" s="29" t="str">
        <x:v>EXIF yönü uygulandı; boyut küçültülüp WebP biçimine dönüştürüldü.</x:v>
      </x:c>
      <x:c r="O82" s="29" t="str">
        <x:v>bakersfield:evidence:venue-22047</x:v>
      </x:c>
      <x:c r="P82" s="29" t="str">
        <x:v>Evet</x:v>
      </x:c>
      <x:c r="Q82" s="35" t="n">
        <x:v>0</x:v>
      </x:c>
      <x:c r="R82" s="29" t="str">
        <x:v>İnceleme</x:v>
      </x:c>
      <x:c r="S82" s="36" t="n">
        <x:f>IF(OR(A82="",C82&lt;&gt;"Mekân",P82&lt;&gt;"Evet"),0,IF(COUNTIFS($F$8:F82,F82,$C$8:C82,"Mekân",$P$8:P82,"Evet")=1,1,0))</x:f>
        <x:v>1</x:v>
      </x:c>
      <x:c r="T82" s="36" t="n">
        <x:f>IF(OR(A82="",C82&lt;&gt;"Kapak",P82&lt;&gt;"Evet"),0,IF(COUNTIFS($F$8:F82,F82,$C$8:C82,"Kapak",$P$8:P82,"Evet")=1,1,0))</x:f>
        <x:v>0</x:v>
      </x:c>
    </x:row>
    <x:row r="83" ht="54" customHeight="1">
      <x:c r="A83" s="29" t="str">
        <x:v>bakersfield:photo:venue-22048</x:v>
      </x:c>
      <x:c r="B83" s="29" t="str">
        <x:v>bakersfield</x:v>
      </x:c>
      <x:c r="C83" s="29" t="str">
        <x:v>Mekân</x:v>
      </x:c>
      <x:c r="D83" s="29" t="str">
        <x:v>bakersfield:yer-local-bakersfield-dagnys</x:v>
      </x:c>
      <x:c r="E83" s="29" t="str">
        <x:v>Fotoğraflar/bk-b805d5921a66be80a0d5bec0.webp</x:v>
      </x:c>
      <x:c r="F83" s="29" t="str">
        <x:v>b805d5921a66be80a0d5bec00e213a065cc717ddbef84c4a303da65b2c2d53c5</x:v>
      </x:c>
      <x:c r="G83" s="29" t="str">
        <x:v>Dagny's Coffee · 2010 tarihli fotoğraf</x:v>
      </x:c>
      <x:c r="H83" s="29" t="str">
        <x:v>Julie Jordan Scott</x:v>
      </x:c>
      <x:c r="I83" s="29" t="str">
        <x:v>CC BY 2.0</x:v>
      </x:c>
      <x:c r="J83" s="29" t="str">
        <x:v>https://creativecommons.org/licenses/by/2.0/</x:v>
      </x:c>
      <x:c r="K83" s="29" t="str">
        <x:v>https://www.flickr.com/photos/98609821@N00/5012101495/</x:v>
      </x:c>
      <x:c r="L83" s="31" t="d">
        <x:v>2010-09-21T00:00:00.000Z</x:v>
      </x:c>
      <x:c r="M83" s="31" t="d">
        <x:v>2026-10-24T00:00:00.000Z</x:v>
      </x:c>
      <x:c r="N83" s="29" t="str">
        <x:v>EXIF yönü uygulandı; boyut küçültülüp WebP biçimine dönüştürüldü.</x:v>
      </x:c>
      <x:c r="O83" s="29" t="str">
        <x:v>bakersfield:evidence:venue-22048</x:v>
      </x:c>
      <x:c r="P83" s="29" t="str">
        <x:v>Evet</x:v>
      </x:c>
      <x:c r="Q83" s="35" t="n">
        <x:v>0</x:v>
      </x:c>
      <x:c r="R83" s="29" t="str">
        <x:v>İnceleme</x:v>
      </x:c>
      <x:c r="S83" s="36" t="n">
        <x:f>IF(OR(A83="",C83&lt;&gt;"Mekân",P83&lt;&gt;"Evet"),0,IF(COUNTIFS($F$8:F83,F83,$C$8:C83,"Mekân",$P$8:P83,"Evet")=1,1,0))</x:f>
        <x:v>1</x:v>
      </x:c>
      <x:c r="T83" s="36" t="n">
        <x:f>IF(OR(A83="",C83&lt;&gt;"Kapak",P83&lt;&gt;"Evet"),0,IF(COUNTIFS($F$8:F83,F83,$C$8:C83,"Kapak",$P$8:P83,"Evet")=1,1,0))</x:f>
        <x:v>0</x:v>
      </x:c>
    </x:row>
    <x:row r="84" ht="54" customHeight="1">
      <x:c r="A84" s="29" t="str">
        <x:v>bakersfield:photo:venue-22049</x:v>
      </x:c>
      <x:c r="B84" s="29" t="str">
        <x:v>bakersfield</x:v>
      </x:c>
      <x:c r="C84" s="29" t="str">
        <x:v>Mekân</x:v>
      </x:c>
      <x:c r="D84" s="29" t="str">
        <x:v>bakersfield:yer-local-bakersfield-dagnys</x:v>
      </x:c>
      <x:c r="E84" s="29" t="str">
        <x:v>Fotoğraflar/bk-b57e48d200932f712b7521a4.webp</x:v>
      </x:c>
      <x:c r="F84" s="29" t="str">
        <x:v>b57e48d200932f712b7521a400c43b210dccf5276c447fe0b5dee3b731412479</x:v>
      </x:c>
      <x:c r="G84" s="29" t="str">
        <x:v>Dagny's Coffee · 2010 tarihli fotoğraf</x:v>
      </x:c>
      <x:c r="H84" s="29" t="str">
        <x:v>Julie Jordan Scott</x:v>
      </x:c>
      <x:c r="I84" s="29" t="str">
        <x:v>CC BY 2.0</x:v>
      </x:c>
      <x:c r="J84" s="29" t="str">
        <x:v>https://creativecommons.org/licenses/by/2.0/</x:v>
      </x:c>
      <x:c r="K84" s="29" t="str">
        <x:v>https://www.flickr.com/photos/98609821@N00/5012104459/</x:v>
      </x:c>
      <x:c r="L84" s="31" t="d">
        <x:v>2010-09-21T00:00:00.000Z</x:v>
      </x:c>
      <x:c r="M84" s="31" t="d">
        <x:v>2026-10-24T00:00:00.000Z</x:v>
      </x:c>
      <x:c r="N84" s="29" t="str">
        <x:v>EXIF yönü uygulandı; boyut küçültülüp WebP biçimine dönüştürüldü.</x:v>
      </x:c>
      <x:c r="O84" s="29" t="str">
        <x:v>bakersfield:evidence:venue-22049</x:v>
      </x:c>
      <x:c r="P84" s="29" t="str">
        <x:v>Evet</x:v>
      </x:c>
      <x:c r="Q84" s="35" t="n">
        <x:v>1</x:v>
      </x:c>
      <x:c r="R84" s="29" t="str">
        <x:v>İnceleme</x:v>
      </x:c>
      <x:c r="S84" s="36" t="n">
        <x:f>IF(OR(A84="",C84&lt;&gt;"Mekân",P84&lt;&gt;"Evet"),0,IF(COUNTIFS($F$8:F84,F84,$C$8:C84,"Mekân",$P$8:P84,"Evet")=1,1,0))</x:f>
        <x:v>1</x:v>
      </x:c>
      <x:c r="T84" s="36" t="n">
        <x:f>IF(OR(A84="",C84&lt;&gt;"Kapak",P84&lt;&gt;"Evet"),0,IF(COUNTIFS($F$8:F84,F84,$C$8:C84,"Kapak",$P$8:P84,"Evet")=1,1,0))</x:f>
        <x:v>0</x:v>
      </x:c>
    </x:row>
    <x:row r="85" ht="54" customHeight="1">
      <x:c r="A85" s="29" t="str">
        <x:v>bakersfield:photo:venue-22050</x:v>
      </x:c>
      <x:c r="B85" s="29" t="str">
        <x:v>bakersfield</x:v>
      </x:c>
      <x:c r="C85" s="29" t="str">
        <x:v>Mekân</x:v>
      </x:c>
      <x:c r="D85" s="29" t="str">
        <x:v>bakersfield:yer-local-bakersfield-trail-giants</x:v>
      </x:c>
      <x:c r="E85" s="29" t="str">
        <x:v>Fotoğraflar/bk-908f64a9a26471b447f97648.webp</x:v>
      </x:c>
      <x:c r="F85" s="29" t="str">
        <x:v>908f64a9a26471b447f9764847e05a70995b884baf6d75a80ef39d2f67c88c53</x:v>
      </x:c>
      <x:c r="G85" s="29" t="str">
        <x:v>Trail of 100 Giants · 2021 tarihli fotoğraf</x:v>
      </x:c>
      <x:c r="H85" s="29" t="str">
        <x:v>Ragnar1470</x:v>
      </x:c>
      <x:c r="I85" s="29" t="str">
        <x:v>CC BY-SA 4.0</x:v>
      </x:c>
      <x:c r="J85" s="29" t="str">
        <x:v>https://creativecommons.org/licenses/by-sa/4.0</x:v>
      </x:c>
      <x:c r="K85" s="29" t="str">
        <x:v>https://commons.wikimedia.org/wiki/File:Trail_of_100_Giants_Porterville.jpg</x:v>
      </x:c>
      <x:c r="L85" s="31" t="d">
        <x:v>2021-05-01T00:00:00.000Z</x:v>
      </x:c>
      <x:c r="M85" s="31" t="d">
        <x:v>2026-10-24T00:00:00.000Z</x:v>
      </x:c>
      <x:c r="N85" s="29" t="str">
        <x:v>EXIF yönü uygulandı; boyut küçültülüp WebP biçimine dönüştürüldü.</x:v>
      </x:c>
      <x:c r="O85" s="29" t="str">
        <x:v>bakersfield:evidence:venue-22050</x:v>
      </x:c>
      <x:c r="P85" s="29" t="str">
        <x:v>Evet</x:v>
      </x:c>
      <x:c r="Q85" s="35" t="n">
        <x:v>0</x:v>
      </x:c>
      <x:c r="R85" s="29" t="str">
        <x:v>İnceleme</x:v>
      </x:c>
      <x:c r="S85" s="36" t="n">
        <x:f>IF(OR(A85="",C85&lt;&gt;"Mekân",P85&lt;&gt;"Evet"),0,IF(COUNTIFS($F$8:F85,F85,$C$8:C85,"Mekân",$P$8:P85,"Evet")=1,1,0))</x:f>
        <x:v>1</x:v>
      </x:c>
      <x:c r="T85" s="36" t="n">
        <x:f>IF(OR(A85="",C85&lt;&gt;"Kapak",P85&lt;&gt;"Evet"),0,IF(COUNTIFS($F$8:F85,F85,$C$8:C85,"Kapak",$P$8:P85,"Evet")=1,1,0))</x:f>
        <x:v>0</x:v>
      </x:c>
    </x:row>
    <x:row r="86" ht="54" customHeight="1">
      <x:c r="A86" s="29" t="str">
        <x:v>bakersfield:photo:venue-22051</x:v>
      </x:c>
      <x:c r="B86" s="29" t="str">
        <x:v>bakersfield</x:v>
      </x:c>
      <x:c r="C86" s="29" t="str">
        <x:v>Mekân</x:v>
      </x:c>
      <x:c r="D86" s="29" t="str">
        <x:v>bakersfield:yer-local-bakersfield-trail-giants</x:v>
      </x:c>
      <x:c r="E86" s="29" t="str">
        <x:v>Fotoğraflar/bk-e3cb25bbf3e51da773b8cb31.webp</x:v>
      </x:c>
      <x:c r="F86" s="29" t="str">
        <x:v>e3cb25bbf3e51da773b8cb31dbe9a2d04e076f3d4d52ce014b2c500bc18f1e67</x:v>
      </x:c>
      <x:c r="G86" s="29" t="str">
        <x:v>Trail of 100 Giants · 2017 tarihli fotoğraf</x:v>
      </x:c>
      <x:c r="H86" s="29" t="str">
        <x:v>reverendlukewarm</x:v>
      </x:c>
      <x:c r="I86" s="29" t="str">
        <x:v>CC BY-SA 2.0</x:v>
      </x:c>
      <x:c r="J86" s="29" t="str">
        <x:v>https://creativecommons.org/licenses/by-sa/2.0</x:v>
      </x:c>
      <x:c r="K86" s="29" t="str">
        <x:v>https://commons.wikimedia.org/wiki/File:Trail_of_100_Giants_Thanksgiving_-_24793508988.jpg</x:v>
      </x:c>
      <x:c r="L86" s="31"/>
      <x:c r="M86" s="31" t="d">
        <x:v>2026-10-24T00:00:00.000Z</x:v>
      </x:c>
      <x:c r="N86" s="29" t="str">
        <x:v>EXIF yönü uygulandı; boyut küçültülüp WebP biçimine dönüştürüldü.</x:v>
      </x:c>
      <x:c r="O86" s="29" t="str">
        <x:v>bakersfield:evidence:venue-22051</x:v>
      </x:c>
      <x:c r="P86" s="29" t="str">
        <x:v>Evet</x:v>
      </x:c>
      <x:c r="Q86" s="35" t="n">
        <x:v>1</x:v>
      </x:c>
      <x:c r="R86" s="29" t="str">
        <x:v>İnceleme</x:v>
      </x:c>
      <x:c r="S86" s="36" t="n">
        <x:f>IF(OR(A86="",C86&lt;&gt;"Mekân",P86&lt;&gt;"Evet"),0,IF(COUNTIFS($F$8:F86,F86,$C$8:C86,"Mekân",$P$8:P86,"Evet")=1,1,0))</x:f>
        <x:v>1</x:v>
      </x:c>
      <x:c r="T86" s="36" t="n">
        <x:f>IF(OR(A86="",C86&lt;&gt;"Kapak",P86&lt;&gt;"Evet"),0,IF(COUNTIFS($F$8:F86,F86,$C$8:C86,"Kapak",$P$8:P86,"Evet")=1,1,0))</x:f>
        <x:v>0</x:v>
      </x:c>
    </x:row>
    <x:row r="87" ht="54" customHeight="1">
      <x:c r="A87" s="29" t="str">
        <x:v>bakersfield:photo:venue-22052</x:v>
      </x:c>
      <x:c r="B87" s="29" t="str">
        <x:v>bakersfield</x:v>
      </x:c>
      <x:c r="C87" s="29" t="str">
        <x:v>Mekân</x:v>
      </x:c>
      <x:c r="D87" s="29" t="str">
        <x:v>bakersfield:yer-local-bakersfield-trail-giants</x:v>
      </x:c>
      <x:c r="E87" s="29" t="str">
        <x:v>Fotoğraflar/bk-3d44f784012dfb5e4d9fb770.webp</x:v>
      </x:c>
      <x:c r="F87" s="29" t="str">
        <x:v>3d44f784012dfb5e4d9fb770af0a80621b5bdbef3730008992d808c1d8f264f5</x:v>
      </x:c>
      <x:c r="G87" s="29" t="str">
        <x:v>Trail of 100 Giants · 2017 tarihli fotoğraf</x:v>
      </x:c>
      <x:c r="H87" s="29" t="str">
        <x:v>reverendlukewarm</x:v>
      </x:c>
      <x:c r="I87" s="29" t="str">
        <x:v>CC BY-SA 2.0</x:v>
      </x:c>
      <x:c r="J87" s="29" t="str">
        <x:v>https://creativecommons.org/licenses/by-sa/2.0</x:v>
      </x:c>
      <x:c r="K87" s="29" t="str">
        <x:v>https://commons.wikimedia.org/wiki/File:Trail_of_100_Giants_Thanksgiving_-_37778357435.jpg</x:v>
      </x:c>
      <x:c r="L87" s="31"/>
      <x:c r="M87" s="31" t="d">
        <x:v>2026-10-24T00:00:00.000Z</x:v>
      </x:c>
      <x:c r="N87" s="29" t="str">
        <x:v>EXIF yönü uygulandı; boyut küçültülüp WebP biçimine dönüştürüldü.</x:v>
      </x:c>
      <x:c r="O87" s="29" t="str">
        <x:v>bakersfield:evidence:venue-22052</x:v>
      </x:c>
      <x:c r="P87" s="29" t="str">
        <x:v>Evet</x:v>
      </x:c>
      <x:c r="Q87" s="35" t="n">
        <x:v>2</x:v>
      </x:c>
      <x:c r="R87" s="29" t="str">
        <x:v>İnceleme</x:v>
      </x:c>
      <x:c r="S87" s="36" t="n">
        <x:f>IF(OR(A87="",C87&lt;&gt;"Mekân",P87&lt;&gt;"Evet"),0,IF(COUNTIFS($F$8:F87,F87,$C$8:C87,"Mekân",$P$8:P87,"Evet")=1,1,0))</x:f>
        <x:v>1</x:v>
      </x:c>
      <x:c r="T87" s="36" t="n">
        <x:f>IF(OR(A87="",C87&lt;&gt;"Kapak",P87&lt;&gt;"Evet"),0,IF(COUNTIFS($F$8:F87,F87,$C$8:C87,"Kapak",$P$8:P87,"Evet")=1,1,0))</x:f>
        <x:v>0</x:v>
      </x:c>
    </x:row>
    <x:row r="88" ht="54" customHeight="1">
      <x:c r="A88" s="29" t="str">
        <x:v>bakersfield:photo:venue-22053</x:v>
      </x:c>
      <x:c r="B88" s="29" t="str">
        <x:v>bakersfield</x:v>
      </x:c>
      <x:c r="C88" s="29" t="str">
        <x:v>Mekân</x:v>
      </x:c>
      <x:c r="D88" s="29" t="str">
        <x:v>bakersfield:yer-local-bakersfield-trail-giants</x:v>
      </x:c>
      <x:c r="E88" s="29" t="str">
        <x:v>Fotoğraflar/bk-49d9fb7fac0e6473c564df2f.webp</x:v>
      </x:c>
      <x:c r="F88" s="29" t="str">
        <x:v>49d9fb7fac0e6473c564df2fe3310d386f9c42e6360d1b6876f3f97d46e237f4</x:v>
      </x:c>
      <x:c r="G88" s="29" t="str">
        <x:v>Trail of 100 Giants · 2017 tarihli fotoğraf</x:v>
      </x:c>
      <x:c r="H88" s="29" t="str">
        <x:v>reverendlukewarm</x:v>
      </x:c>
      <x:c r="I88" s="29" t="str">
        <x:v>CC BY-SA 2.0</x:v>
      </x:c>
      <x:c r="J88" s="29" t="str">
        <x:v>https://creativecommons.org/licenses/by-sa/2.0</x:v>
      </x:c>
      <x:c r="K88" s="29" t="str">
        <x:v>https://commons.wikimedia.org/wiki/File:Trail_of_100_Giants_Thanksgiving_-_38665719421.jpg</x:v>
      </x:c>
      <x:c r="L88" s="31"/>
      <x:c r="M88" s="31" t="d">
        <x:v>2026-10-24T00:00:00.000Z</x:v>
      </x:c>
      <x:c r="N88" s="29" t="str">
        <x:v>EXIF yönü uygulandı; boyut küçültülüp WebP biçimine dönüştürüldü.</x:v>
      </x:c>
      <x:c r="O88" s="29" t="str">
        <x:v>bakersfield:evidence:venue-22053</x:v>
      </x:c>
      <x:c r="P88" s="29" t="str">
        <x:v>Evet</x:v>
      </x:c>
      <x:c r="Q88" s="35" t="n">
        <x:v>3</x:v>
      </x:c>
      <x:c r="R88" s="29" t="str">
        <x:v>İnceleme</x:v>
      </x:c>
      <x:c r="S88" s="36" t="n">
        <x:f>IF(OR(A88="",C88&lt;&gt;"Mekân",P88&lt;&gt;"Evet"),0,IF(COUNTIFS($F$8:F88,F88,$C$8:C88,"Mekân",$P$8:P88,"Evet")=1,1,0))</x:f>
        <x:v>1</x:v>
      </x:c>
      <x:c r="T88" s="36" t="n">
        <x:f>IF(OR(A88="",C88&lt;&gt;"Kapak",P88&lt;&gt;"Evet"),0,IF(COUNTIFS($F$8:F88,F88,$C$8:C88,"Kapak",$P$8:P88,"Evet")=1,1,0))</x:f>
        <x:v>0</x:v>
      </x:c>
    </x:row>
    <x:row r="89" ht="54" customHeight="1">
      <x:c r="A89" s="29" t="str">
        <x:v>bakersfield:photo:venue-22054</x:v>
      </x:c>
      <x:c r="B89" s="29" t="str">
        <x:v>bakersfield</x:v>
      </x:c>
      <x:c r="C89" s="29" t="str">
        <x:v>Mekân</x:v>
      </x:c>
      <x:c r="D89" s="29" t="str">
        <x:v>bakersfield:yer-local-bakersfield-willow-springs</x:v>
      </x:c>
      <x:c r="E89" s="29" t="str">
        <x:v>Fotoğraflar/bk-aa9ad922d6aa7ce6981304fb.webp</x:v>
      </x:c>
      <x:c r="F89" s="29" t="str">
        <x:v>aa9ad922d6aa7ce6981304fbd57ec855d37b04a4156b3761ac80d0cb64f8baed</x:v>
      </x:c>
      <x:c r="G89" s="29" t="str">
        <x:v>Willow Springs International Raceway</x:v>
      </x:c>
      <x:c r="H89" s="29" t="str">
        <x:v>Smsteve</x:v>
      </x:c>
      <x:c r="I89" s="29" t="str">
        <x:v>CC BY-SA 3.0</x:v>
      </x:c>
      <x:c r="J89" s="29" t="str">
        <x:v>https://creativecommons.org/licenses/by-sa/3.0</x:v>
      </x:c>
      <x:c r="K89" s="29" t="str">
        <x:v>https://commons.wikimedia.org/wiki/File:Willow_Springs_-_Big_Track_-_Turn_4.jpg</x:v>
      </x:c>
      <x:c r="L89" s="31"/>
      <x:c r="M89" s="31" t="d">
        <x:v>2026-10-24T00:00:00.000Z</x:v>
      </x:c>
      <x:c r="N89" s="29" t="str">
        <x:v>EXIF yönü uygulandı; boyut küçültülüp WebP biçimine dönüştürüldü.</x:v>
      </x:c>
      <x:c r="O89" s="29" t="str">
        <x:v>bakersfield:evidence:venue-22054</x:v>
      </x:c>
      <x:c r="P89" s="29" t="str">
        <x:v>Evet</x:v>
      </x:c>
      <x:c r="Q89" s="35" t="n">
        <x:v>0</x:v>
      </x:c>
      <x:c r="R89" s="29" t="str">
        <x:v>İnceleme</x:v>
      </x:c>
      <x:c r="S89" s="36" t="n">
        <x:f>IF(OR(A89="",C89&lt;&gt;"Mekân",P89&lt;&gt;"Evet"),0,IF(COUNTIFS($F$8:F89,F89,$C$8:C89,"Mekân",$P$8:P89,"Evet")=1,1,0))</x:f>
        <x:v>1</x:v>
      </x:c>
      <x:c r="T89" s="36" t="n">
        <x:f>IF(OR(A89="",C89&lt;&gt;"Kapak",P89&lt;&gt;"Evet"),0,IF(COUNTIFS($F$8:F89,F89,$C$8:C89,"Kapak",$P$8:P89,"Evet")=1,1,0))</x:f>
        <x:v>0</x:v>
      </x:c>
    </x:row>
    <x:row r="90" ht="54" customHeight="1">
      <x:c r="A90" s="29" t="str">
        <x:v>bakersfield:photo:venue-22055</x:v>
      </x:c>
      <x:c r="B90" s="29" t="str">
        <x:v>bakersfield</x:v>
      </x:c>
      <x:c r="C90" s="29" t="str">
        <x:v>Mekân</x:v>
      </x:c>
      <x:c r="D90" s="29" t="str">
        <x:v>bakersfield:yer-local-bakersfield-willow-springs</x:v>
      </x:c>
      <x:c r="E90" s="29" t="str">
        <x:v>Fotoğraflar/bk-a522d0e88fd01bb697ed2fe5.webp</x:v>
      </x:c>
      <x:c r="F90" s="29" t="str">
        <x:v>a522d0e88fd01bb697ed2fe50277b4391fa433130a7a8cc83647f4d45d32aa7f</x:v>
      </x:c>
      <x:c r="G90" s="29" t="str">
        <x:v>Willow Springs International Raceway · Take tarihli fotoğraf</x:v>
      </x:c>
      <x:c r="H90" s="29" t="str">
        <x:v>Darren765</x:v>
      </x:c>
      <x:c r="I90" s="29" t="str">
        <x:v>CC BY 2.0</x:v>
      </x:c>
      <x:c r="J90" s="29" t="str">
        <x:v>https://creativecommons.org/licenses/by/2.0</x:v>
      </x:c>
      <x:c r="K90" s="29" t="str">
        <x:v>https://commons.wikimedia.org/wiki/File:Willow_Springs_-_Porsche_in_motion_(cropped).jpg</x:v>
      </x:c>
      <x:c r="L90" s="31"/>
      <x:c r="M90" s="31" t="d">
        <x:v>2026-10-24T00:00:00.000Z</x:v>
      </x:c>
      <x:c r="N90" s="29" t="str">
        <x:v>EXIF yönü uygulandı; boyut küçültülüp WebP biçimine dönüştürüldü.</x:v>
      </x:c>
      <x:c r="O90" s="29" t="str">
        <x:v>bakersfield:evidence:venue-22055</x:v>
      </x:c>
      <x:c r="P90" s="29" t="str">
        <x:v>Evet</x:v>
      </x:c>
      <x:c r="Q90" s="35" t="n">
        <x:v>1</x:v>
      </x:c>
      <x:c r="R90" s="29" t="str">
        <x:v>İnceleme</x:v>
      </x:c>
      <x:c r="S90" s="36" t="n">
        <x:f>IF(OR(A90="",C90&lt;&gt;"Mekân",P90&lt;&gt;"Evet"),0,IF(COUNTIFS($F$8:F90,F90,$C$8:C90,"Mekân",$P$8:P90,"Evet")=1,1,0))</x:f>
        <x:v>1</x:v>
      </x:c>
      <x:c r="T90" s="36" t="n">
        <x:f>IF(OR(A90="",C90&lt;&gt;"Kapak",P90&lt;&gt;"Evet"),0,IF(COUNTIFS($F$8:F90,F90,$C$8:C90,"Kapak",$P$8:P90,"Evet")=1,1,0))</x:f>
        <x:v>0</x:v>
      </x:c>
    </x:row>
    <x:row r="91" ht="54" customHeight="1">
      <x:c r="A91" s="29" t="str">
        <x:v>bakersfield:photo:venue-22056</x:v>
      </x:c>
      <x:c r="B91" s="29" t="str">
        <x:v>bakersfield</x:v>
      </x:c>
      <x:c r="C91" s="29" t="str">
        <x:v>Mekân</x:v>
      </x:c>
      <x:c r="D91" s="29" t="str">
        <x:v>bakersfield:yer-local-bakersfield-temblor</x:v>
      </x:c>
      <x:c r="E91" s="29" t="str">
        <x:v>Fotoğraflar/bk-0cd0c6cad84877b197d47c9b.webp</x:v>
      </x:c>
      <x:c r="F91" s="29" t="str">
        <x:v>0cd0c6cad84877b197d47c9b8e9a78b2a8fbdb4b5b43bfa6303743f910095479</x:v>
      </x:c>
      <x:c r="G91" s="29" t="str">
        <x:v>Temblor Brewing Company önündeki motosiklet buluşması · 2016</x:v>
      </x:c>
      <x:c r="H91" s="29" t="str">
        <x:v>Steve Ginn</x:v>
      </x:c>
      <x:c r="I91" s="29" t="str">
        <x:v>CC0 1.0</x:v>
      </x:c>
      <x:c r="J91" s="29" t="str">
        <x:v>https://creativecommons.org/publicdomain/zero/1.0/</x:v>
      </x:c>
      <x:c r="K91" s="29" t="str">
        <x:v>https://www.flickr.com/photos/135553449@N08/26665716213/</x:v>
      </x:c>
      <x:c r="L91" s="31" t="d">
        <x:v>2016-04-11T00:00:00.000Z</x:v>
      </x:c>
      <x:c r="M91" s="31" t="d">
        <x:v>2026-10-24T00:00:00.000Z</x:v>
      </x:c>
      <x:c r="N91" s="29" t="str">
        <x:v>EXIF yönü uygulandı; boyut küçültülüp WebP biçimine dönüştürüldü.</x:v>
      </x:c>
      <x:c r="O91" s="29" t="str">
        <x:v>bakersfield:evidence:venue-22056</x:v>
      </x:c>
      <x:c r="P91" s="29" t="str">
        <x:v>Evet</x:v>
      </x:c>
      <x:c r="Q91" s="35" t="n">
        <x:v>0</x:v>
      </x:c>
      <x:c r="R91" s="29" t="str">
        <x:v>İnceleme</x:v>
      </x:c>
      <x:c r="S91" s="36" t="n">
        <x:f>IF(OR(A91="",C91&lt;&gt;"Mekân",P91&lt;&gt;"Evet"),0,IF(COUNTIFS($F$8:F91,F91,$C$8:C91,"Mekân",$P$8:P91,"Evet")=1,1,0))</x:f>
        <x:v>1</x:v>
      </x:c>
      <x:c r="T91" s="36" t="n">
        <x:f>IF(OR(A91="",C91&lt;&gt;"Kapak",P91&lt;&gt;"Evet"),0,IF(COUNTIFS($F$8:F91,F91,$C$8:C91,"Kapak",$P$8:P91,"Evet")=1,1,0))</x:f>
        <x:v>0</x:v>
      </x:c>
    </x:row>
    <x:row r="92" ht="54" customHeight="1">
      <x:c r="A92" s="29" t="str">
        <x:v>bakersfield:photo:venue-22057</x:v>
      </x:c>
      <x:c r="B92" s="29" t="str">
        <x:v>bakersfield</x:v>
      </x:c>
      <x:c r="C92" s="29" t="str">
        <x:v>Mekân</x:v>
      </x:c>
      <x:c r="D92" s="29" t="str">
        <x:v>bakersfield:yer-local-bakersfield-frog-meadow</x:v>
      </x:c>
      <x:c r="E92" s="29" t="str">
        <x:v>Fotoğraflar/bk-f9f3f0c224010c0188bb8135.webp</x:v>
      </x:c>
      <x:c r="F92" s="29" t="str">
        <x:v>f9f3f0c224010c0188bb81353a30d6bfd2d3abfb34c2ca86dc5855a1a9beb283</x:v>
      </x:c>
      <x:c r="G92" s="29" t="str">
        <x:v>Frog Meadow · Take tarihli fotoğraf</x:v>
      </x:c>
      <x:c r="H92" s="29" t="str">
        <x:v>BurtMcMinnar</x:v>
      </x:c>
      <x:c r="I92" s="29" t="str">
        <x:v>CC BY-SA 4.0</x:v>
      </x:c>
      <x:c r="J92" s="29" t="str">
        <x:v>https://creativecommons.org/licenses/by-sa/4.0</x:v>
      </x:c>
      <x:c r="K92" s="29" t="str">
        <x:v>https://commons.wikimedia.org/wiki/File:Frog_Meadow,_Sequoia_National_Forest.jpg</x:v>
      </x:c>
      <x:c r="L92" s="31"/>
      <x:c r="M92" s="31" t="d">
        <x:v>2026-10-24T00:00:00.000Z</x:v>
      </x:c>
      <x:c r="N92" s="29" t="str">
        <x:v>EXIF yönü uygulandı; boyut küçültülüp WebP biçimine dönüştürüldü.</x:v>
      </x:c>
      <x:c r="O92" s="29" t="str">
        <x:v>bakersfield:evidence:venue-22057</x:v>
      </x:c>
      <x:c r="P92" s="29" t="str">
        <x:v>Evet</x:v>
      </x:c>
      <x:c r="Q92" s="35" t="n">
        <x:v>0</x:v>
      </x:c>
      <x:c r="R92" s="29" t="str">
        <x:v>İnceleme</x:v>
      </x:c>
      <x:c r="S92" s="36" t="n">
        <x:f>IF(OR(A92="",C92&lt;&gt;"Mekân",P92&lt;&gt;"Evet"),0,IF(COUNTIFS($F$8:F92,F92,$C$8:C92,"Mekân",$P$8:P92,"Evet")=1,1,0))</x:f>
        <x:v>1</x:v>
      </x:c>
      <x:c r="T92" s="36" t="n">
        <x:f>IF(OR(A92="",C92&lt;&gt;"Kapak",P92&lt;&gt;"Evet"),0,IF(COUNTIFS($F$8:F92,F92,$C$8:C92,"Kapak",$P$8:P92,"Evet")=1,1,0))</x:f>
        <x:v>0</x:v>
      </x:c>
    </x:row>
    <x:row r="93" ht="54" customHeight="1">
      <x:c r="A93" s="29" t="str">
        <x:v>bakersfield:photo:venue-22058</x:v>
      </x:c>
      <x:c r="B93" s="29" t="str">
        <x:v>bakersfield</x:v>
      </x:c>
      <x:c r="C93" s="29" t="str">
        <x:v>Mekân</x:v>
      </x:c>
      <x:c r="D93" s="29" t="str">
        <x:v>bakersfield:yer-local-bakersfield-owens-peak</x:v>
      </x:c>
      <x:c r="E93" s="29" t="str">
        <x:v>Fotoğraflar/bk-1d4f0ecb2061155d837f3e53.webp</x:v>
      </x:c>
      <x:c r="F93" s="29" t="str">
        <x:v>1d4f0ecb2061155d837f3e5398147e90090dd5f81e8e482191f599ec6f74221a</x:v>
      </x:c>
      <x:c r="G93" s="29" t="str">
        <x:v>Owens Peak Wilderness – Short Canyon çevresi · 2017 tarihli fotoğraf</x:v>
      </x:c>
      <x:c r="H93" s="29" t="str">
        <x:v>Denys Nevozhai dnevozhai</x:v>
      </x:c>
      <x:c r="I93" s="29" t="str">
        <x:v>CC0 1.0</x:v>
      </x:c>
      <x:c r="J93" s="29" t="str">
        <x:v>https://creativecommons.org/publicdomain/zero/1.0/</x:v>
      </x:c>
      <x:c r="K93" s="29" t="str">
        <x:v>https://commons.wikimedia.org/wiki/File:Owens_Peak_Wilderness,_Onyx,_United_States_(Unsplash).jpg</x:v>
      </x:c>
      <x:c r="L93" s="31" t="d">
        <x:v>2017-02-04T00:00:00.000Z</x:v>
      </x:c>
      <x:c r="M93" s="31" t="d">
        <x:v>2026-10-24T00:00:00.000Z</x:v>
      </x:c>
      <x:c r="N93" s="29" t="str">
        <x:v>EXIF yönü uygulandı; boyut küçültülüp WebP biçimine dönüştürüldü.</x:v>
      </x:c>
      <x:c r="O93" s="29" t="str">
        <x:v>bakersfield:evidence:venue-22058</x:v>
      </x:c>
      <x:c r="P93" s="29" t="str">
        <x:v>Evet</x:v>
      </x:c>
      <x:c r="Q93" s="35" t="n">
        <x:v>0</x:v>
      </x:c>
      <x:c r="R93" s="29" t="str">
        <x:v>İnceleme</x:v>
      </x:c>
      <x:c r="S93" s="36" t="n">
        <x:f>IF(OR(A93="",C93&lt;&gt;"Mekân",P93&lt;&gt;"Evet"),0,IF(COUNTIFS($F$8:F93,F93,$C$8:C93,"Mekân",$P$8:P93,"Evet")=1,1,0))</x:f>
        <x:v>1</x:v>
      </x:c>
      <x:c r="T93" s="36" t="n">
        <x:f>IF(OR(A93="",C93&lt;&gt;"Kapak",P93&lt;&gt;"Evet"),0,IF(COUNTIFS($F$8:F93,F93,$C$8:C93,"Kapak",$P$8:P93,"Evet")=1,1,0))</x:f>
        <x:v>0</x:v>
      </x:c>
    </x:row>
    <x:row r="94" ht="54" customHeight="1">
      <x:c r="A94" s="29" t="str">
        <x:v>bakersfield:photo:venue-22059</x:v>
      </x:c>
      <x:c r="B94" s="29" t="str">
        <x:v>bakersfield</x:v>
      </x:c>
      <x:c r="C94" s="29" t="str">
        <x:v>Mekân</x:v>
      </x:c>
      <x:c r="D94" s="29" t="str">
        <x:v>bakersfield:yer-local-bakersfield-last-chance</x:v>
      </x:c>
      <x:c r="E94" s="29" t="str">
        <x:v>Fotoğraflar/bk-13b142ba44ad1b1d24490aa9.webp</x:v>
      </x:c>
      <x:c r="F94" s="29" t="str">
        <x:v>13b142ba44ad1b1d24490aa947085e20b0339916e9e0b5e95286eb2d9465ceda</x:v>
      </x:c>
      <x:c r="G94" s="29" t="str">
        <x:v>Last Chance Canyon · 2007 tarihli fotoğraf</x:v>
      </x:c>
      <x:c r="H94" s="29" t="str">
        <x:v>Kurtis Clark</x:v>
      </x:c>
      <x:c r="I94" s="29" t="str">
        <x:v>CC BY-SA 3.0</x:v>
      </x:c>
      <x:c r="J94" s="29" t="str">
        <x:v>https://creativecommons.org/licenses/by-sa/3.0</x:v>
      </x:c>
      <x:c r="K94" s="29" t="str">
        <x:v>https://commons.wikimedia.org/wiki/File:South_end_of_Last_Chance_Canyon.JPG</x:v>
      </x:c>
      <x:c r="L94" s="31"/>
      <x:c r="M94" s="31" t="d">
        <x:v>2026-10-24T00:00:00.000Z</x:v>
      </x:c>
      <x:c r="N94" s="29" t="str">
        <x:v>EXIF yönü uygulandı; boyut küçültülüp WebP biçimine dönüştürüldü.</x:v>
      </x:c>
      <x:c r="O94" s="29" t="str">
        <x:v>bakersfield:evidence:venue-22059</x:v>
      </x:c>
      <x:c r="P94" s="29" t="str">
        <x:v>Evet</x:v>
      </x:c>
      <x:c r="Q94" s="35" t="n">
        <x:v>0</x:v>
      </x:c>
      <x:c r="R94" s="29" t="str">
        <x:v>İnceleme</x:v>
      </x:c>
      <x:c r="S94" s="36" t="n">
        <x:f>IF(OR(A94="",C94&lt;&gt;"Mekân",P94&lt;&gt;"Evet"),0,IF(COUNTIFS($F$8:F94,F94,$C$8:C94,"Mekân",$P$8:P94,"Evet")=1,1,0))</x:f>
        <x:v>1</x:v>
      </x:c>
      <x:c r="T94" s="36" t="n">
        <x:f>IF(OR(A94="",C94&lt;&gt;"Kapak",P94&lt;&gt;"Evet"),0,IF(COUNTIFS($F$8:F94,F94,$C$8:C94,"Kapak",$P$8:P94,"Evet")=1,1,0))</x:f>
        <x:v>0</x:v>
      </x:c>
    </x:row>
    <x:row r="95" ht="54" customHeight="1">
      <x:c r="A95" s="29" t="str">
        <x:v>bakersfield:photo:venue-22060</x:v>
      </x:c>
      <x:c r="B95" s="29" t="str">
        <x:v>bakersfield</x:v>
      </x:c>
      <x:c r="C95" s="29" t="str">
        <x:v>Mekân</x:v>
      </x:c>
      <x:c r="D95" s="29" t="str">
        <x:v>bakersfield:yer-local-bakersfield-alley-cat</x:v>
      </x:c>
      <x:c r="E95" s="29" t="str">
        <x:v>Fotoğraflar/bk-827031f7a705bfb83d7410e1.webp</x:v>
      </x:c>
      <x:c r="F95" s="29" t="str">
        <x:v>827031f7a705bfb83d7410e1e4c566a29805396d27cfcd4e27837ec79c1bf587</x:v>
      </x:c>
      <x:c r="G95" s="29" t="str">
        <x:v>Guthrie's Alley Cat · 2022 tarihli fotoğraf</x:v>
      </x:c>
      <x:c r="H95" s="29" t="str">
        <x:v>Missvain</x:v>
      </x:c>
      <x:c r="I95" s="29" t="str">
        <x:v>CC BY 4.0</x:v>
      </x:c>
      <x:c r="J95" s="29" t="str">
        <x:v>https://creativecommons.org/licenses/by/4.0</x:v>
      </x:c>
      <x:c r="K95" s="29" t="str">
        <x:v>https://commons.wikimedia.org/wiki/File:Guthrie%27s_Alley_Cat_-_March_2022_-_Sarah_Stierch_01.jpg</x:v>
      </x:c>
      <x:c r="L95" s="31"/>
      <x:c r="M95" s="31" t="d">
        <x:v>2026-10-24T00:00:00.000Z</x:v>
      </x:c>
      <x:c r="N95" s="29" t="str">
        <x:v>EXIF yönü uygulandı; boyut küçültülüp WebP biçimine dönüştürüldü.</x:v>
      </x:c>
      <x:c r="O95" s="29" t="str">
        <x:v>bakersfield:evidence:venue-22060</x:v>
      </x:c>
      <x:c r="P95" s="29" t="str">
        <x:v>Evet</x:v>
      </x:c>
      <x:c r="Q95" s="35" t="n">
        <x:v>0</x:v>
      </x:c>
      <x:c r="R95" s="29" t="str">
        <x:v>İnceleme</x:v>
      </x:c>
      <x:c r="S95" s="36" t="n">
        <x:f>IF(OR(A95="",C95&lt;&gt;"Mekân",P95&lt;&gt;"Evet"),0,IF(COUNTIFS($F$8:F95,F95,$C$8:C95,"Mekân",$P$8:P95,"Evet")=1,1,0))</x:f>
        <x:v>1</x:v>
      </x:c>
      <x:c r="T95" s="36" t="n">
        <x:f>IF(OR(A95="",C95&lt;&gt;"Kapak",P95&lt;&gt;"Evet"),0,IF(COUNTIFS($F$8:F95,F95,$C$8:C95,"Kapak",$P$8:P95,"Evet")=1,1,0))</x:f>
        <x:v>0</x:v>
      </x:c>
    </x:row>
    <x:row r="96" ht="54" customHeight="1">
      <x:c r="A96" s="29" t="str">
        <x:v>bakersfield:photo:venue-22061</x:v>
      </x:c>
      <x:c r="B96" s="29" t="str">
        <x:v>bakersfield</x:v>
      </x:c>
      <x:c r="C96" s="29" t="str">
        <x:v>Mekân</x:v>
      </x:c>
      <x:c r="D96" s="29" t="str">
        <x:v>bakersfield:yer-local-bakersfield-alley-cat</x:v>
      </x:c>
      <x:c r="E96" s="29" t="str">
        <x:v>Fotoğraflar/bk-4e5eeefd299a05be85944b2e.webp</x:v>
      </x:c>
      <x:c r="F96" s="29" t="str">
        <x:v>4e5eeefd299a05be85944b2ed629afd474a0cbe712783976e58f33d9b529c900</x:v>
      </x:c>
      <x:c r="G96" s="29" t="str">
        <x:v>Guthrie's Alley Cat · 2024 tarihli fotoğraf</x:v>
      </x:c>
      <x:c r="H96" s="29" t="str">
        <x:v>David Wilson</x:v>
      </x:c>
      <x:c r="I96" s="29" t="str">
        <x:v>CC BY 4.0</x:v>
      </x:c>
      <x:c r="J96" s="29" t="str">
        <x:v>https://creativecommons.org/licenses/by/4.0/</x:v>
      </x:c>
      <x:c r="K96" s="29" t="str">
        <x:v>https://www.flickr.com/photos/32693718@N07/54744729666/</x:v>
      </x:c>
      <x:c r="L96" s="31" t="d">
        <x:v>2024-09-16T00:00:00.000Z</x:v>
      </x:c>
      <x:c r="M96" s="31" t="d">
        <x:v>2026-10-24T00:00:00.000Z</x:v>
      </x:c>
      <x:c r="N96" s="29" t="str">
        <x:v>EXIF yönü uygulandı; boyut küçültülüp WebP biçimine dönüştürüldü.</x:v>
      </x:c>
      <x:c r="O96" s="29" t="str">
        <x:v>bakersfield:evidence:venue-22061</x:v>
      </x:c>
      <x:c r="P96" s="29" t="str">
        <x:v>Evet</x:v>
      </x:c>
      <x:c r="Q96" s="35" t="n">
        <x:v>1</x:v>
      </x:c>
      <x:c r="R96" s="29" t="str">
        <x:v>İnceleme</x:v>
      </x:c>
      <x:c r="S96" s="36" t="n">
        <x:f>IF(OR(A96="",C96&lt;&gt;"Mekân",P96&lt;&gt;"Evet"),0,IF(COUNTIFS($F$8:F96,F96,$C$8:C96,"Mekân",$P$8:P96,"Evet")=1,1,0))</x:f>
        <x:v>1</x:v>
      </x:c>
      <x:c r="T96" s="36" t="n">
        <x:f>IF(OR(A96="",C96&lt;&gt;"Kapak",P96&lt;&gt;"Evet"),0,IF(COUNTIFS($F$8:F96,F96,$C$8:C96,"Kapak",$P$8:P96,"Evet")=1,1,0))</x:f>
        <x:v>0</x:v>
      </x:c>
    </x:row>
    <x:row r="97" ht="54" customHeight="1">
      <x:c r="A97" s="29" t="str">
        <x:v>bakersfield:photo:venue-22062</x:v>
      </x:c>
      <x:c r="B97" s="29" t="str">
        <x:v>bakersfield</x:v>
      </x:c>
      <x:c r="C97" s="29" t="str">
        <x:v>Mekân</x:v>
      </x:c>
      <x:c r="D97" s="29" t="str">
        <x:v>bakersfield:yer-local-bakersfield-wool-growers</x:v>
      </x:c>
      <x:c r="E97" s="29" t="str">
        <x:v>Fotoğraflar/bk-08dd57ee9deb0fd3cfdd0e84.webp</x:v>
      </x:c>
      <x:c r="F97" s="29" t="str">
        <x:v>08dd57ee9deb0fd3cfdd0e8410727b5f7f79d29d7210e5a50a796f5e645eb562</x:v>
      </x:c>
      <x:c r="G97" s="29" t="str">
        <x:v>Wool Growers Restaurant · 2009 tarihli fotoğraf</x:v>
      </x:c>
      <x:c r="H97" s="29" t="str">
        <x:v>Egan Snow</x:v>
      </x:c>
      <x:c r="I97" s="29" t="str">
        <x:v>CC BY-SA 2.0</x:v>
      </x:c>
      <x:c r="J97" s="29" t="str">
        <x:v>https://creativecommons.org/licenses/by-sa/2.0/</x:v>
      </x:c>
      <x:c r="K97" s="29" t="str">
        <x:v>https://www.flickr.com/photos/84469314@N00/3422883064/</x:v>
      </x:c>
      <x:c r="L97" s="31" t="d">
        <x:v>2009-04-04T00:00:00.000Z</x:v>
      </x:c>
      <x:c r="M97" s="31" t="d">
        <x:v>2026-10-24T00:00:00.000Z</x:v>
      </x:c>
      <x:c r="N97" s="29" t="str">
        <x:v>EXIF yönü uygulandı; boyut küçültülüp WebP biçimine dönüştürüldü.</x:v>
      </x:c>
      <x:c r="O97" s="29" t="str">
        <x:v>bakersfield:evidence:venue-22062</x:v>
      </x:c>
      <x:c r="P97" s="29" t="str">
        <x:v>Evet</x:v>
      </x:c>
      <x:c r="Q97" s="35" t="n">
        <x:v>0</x:v>
      </x:c>
      <x:c r="R97" s="29" t="str">
        <x:v>İnceleme</x:v>
      </x:c>
      <x:c r="S97" s="36" t="n">
        <x:f>IF(OR(A97="",C97&lt;&gt;"Mekân",P97&lt;&gt;"Evet"),0,IF(COUNTIFS($F$8:F97,F97,$C$8:C97,"Mekân",$P$8:P97,"Evet")=1,1,0))</x:f>
        <x:v>1</x:v>
      </x:c>
      <x:c r="T97" s="36" t="n">
        <x:f>IF(OR(A97="",C97&lt;&gt;"Kapak",P97&lt;&gt;"Evet"),0,IF(COUNTIFS($F$8:F97,F97,$C$8:C97,"Kapak",$P$8:P97,"Evet")=1,1,0))</x:f>
        <x:v>0</x:v>
      </x:c>
    </x:row>
    <x:row r="98" ht="54" customHeight="1">
      <x:c r="A98" s="29" t="str">
        <x:v>bakersfield:photo:venue-22063</x:v>
      </x:c>
      <x:c r="B98" s="29" t="str">
        <x:v>bakersfield</x:v>
      </x:c>
      <x:c r="C98" s="29" t="str">
        <x:v>Mekân</x:v>
      </x:c>
      <x:c r="D98" s="29" t="str">
        <x:v>bakersfield:yer-local-bakersfield-dewar-eye</x:v>
      </x:c>
      <x:c r="E98" s="29" t="str">
        <x:v>Fotoğraflar/bk-bbadd314ba659b58029982cb.webp</x:v>
      </x:c>
      <x:c r="F98" s="29" t="str">
        <x:v>bbadd314ba659b58029982cba5ee2bbe0221cc42df5151fb978d91c18f66d628</x:v>
      </x:c>
      <x:c r="G98" s="29" t="str">
        <x:v>Dewar's Candy Shop – Eye Street · 2008 tarihli fotoğraf</x:v>
      </x:c>
      <x:c r="H98" s="29" t="str">
        <x:v>David Steele</x:v>
      </x:c>
      <x:c r="I98" s="29" t="str">
        <x:v>CC BY 2.0</x:v>
      </x:c>
      <x:c r="J98" s="29" t="str">
        <x:v>https://creativecommons.org/licenses/by/2.0/</x:v>
      </x:c>
      <x:c r="K98" s="29" t="str">
        <x:v>https://www.flickr.com/photos/49025781@N00/2375477975/</x:v>
      </x:c>
      <x:c r="L98" s="31" t="d">
        <x:v>2008-02-18T00:00:00.000Z</x:v>
      </x:c>
      <x:c r="M98" s="31" t="d">
        <x:v>2026-10-24T00:00:00.000Z</x:v>
      </x:c>
      <x:c r="N98" s="29" t="str">
        <x:v>EXIF yönü uygulandı; boyut küçültülüp WebP biçimine dönüştürüldü.</x:v>
      </x:c>
      <x:c r="O98" s="29" t="str">
        <x:v>bakersfield:evidence:venue-22063</x:v>
      </x:c>
      <x:c r="P98" s="29" t="str">
        <x:v>Evet</x:v>
      </x:c>
      <x:c r="Q98" s="35" t="n">
        <x:v>0</x:v>
      </x:c>
      <x:c r="R98" s="29" t="str">
        <x:v>İnceleme</x:v>
      </x:c>
      <x:c r="S98" s="36" t="n">
        <x:f>IF(OR(A98="",C98&lt;&gt;"Mekân",P98&lt;&gt;"Evet"),0,IF(COUNTIFS($F$8:F98,F98,$C$8:C98,"Mekân",$P$8:P98,"Evet")=1,1,0))</x:f>
        <x:v>1</x:v>
      </x:c>
      <x:c r="T98" s="36" t="n">
        <x:f>IF(OR(A98="",C98&lt;&gt;"Kapak",P98&lt;&gt;"Evet"),0,IF(COUNTIFS($F$8:F98,F98,$C$8:C98,"Kapak",$P$8:P98,"Evet")=1,1,0))</x:f>
        <x:v>0</x:v>
      </x:c>
    </x:row>
    <x:row r="99" ht="54" customHeight="1">
      <x:c r="A99" s="29" t="str">
        <x:v>bakersfield:photo:venue-22064</x:v>
      </x:c>
      <x:c r="B99" s="29" t="str">
        <x:v>bakersfield</x:v>
      </x:c>
      <x:c r="C99" s="29" t="str">
        <x:v>Mekân</x:v>
      </x:c>
      <x:c r="D99" s="29" t="str">
        <x:v>bakersfield:yer-local-bakersfield-visitors-center</x:v>
      </x:c>
      <x:c r="E99" s="29" t="str">
        <x:v>Fotoğraflar/bk-59398d1809139d41697090e4.webp</x:v>
      </x:c>
      <x:c r="F99" s="29" t="str">
        <x:v>59398d1809139d41697090e43e7ff879f7bc9ddc55a54f23e864bba10550e34e</x:v>
      </x:c>
      <x:c r="G99" s="29" t="str">
        <x:v>Bakersfield Ziyaretçi Bilgi Merkezi · 04-0 tarihli fotoğraf</x:v>
      </x:c>
      <x:c r="H99" s="29" t="str">
        <x:v>Skyman9999.
Skyman9999</x:v>
      </x:c>
      <x:c r="I99" s="29" t="str">
        <x:v>CC0 1.0</x:v>
      </x:c>
      <x:c r="J99" s="29" t="str">
        <x:v>https://creativecommons.org/publicdomain/zero/1.0/</x:v>
      </x:c>
      <x:c r="K99" s="29" t="str">
        <x:v>https://commons.wikimedia.org/wiki/File:2011_Bakersfield_Conventions_Visitors_Building.JPG</x:v>
      </x:c>
      <x:c r="L99" s="31"/>
      <x:c r="M99" s="31" t="d">
        <x:v>2026-10-24T00:00:00.000Z</x:v>
      </x:c>
      <x:c r="N99" s="29" t="str">
        <x:v>EXIF yönü uygulandı; boyut küçültülüp WebP biçimine dönüştürüldü.</x:v>
      </x:c>
      <x:c r="O99" s="29" t="str">
        <x:v>bakersfield:evidence:venue-22064</x:v>
      </x:c>
      <x:c r="P99" s="29" t="str">
        <x:v>Evet</x:v>
      </x:c>
      <x:c r="Q99" s="35" t="n">
        <x:v>0</x:v>
      </x:c>
      <x:c r="R99" s="29" t="str">
        <x:v>İnceleme</x:v>
      </x:c>
      <x:c r="S99" s="36" t="n">
        <x:f>IF(OR(A99="",C99&lt;&gt;"Mekân",P99&lt;&gt;"Evet"),0,IF(COUNTIFS($F$8:F99,F99,$C$8:C99,"Mekân",$P$8:P99,"Evet")=1,1,0))</x:f>
        <x:v>1</x:v>
      </x:c>
      <x:c r="T99" s="36" t="n">
        <x:f>IF(OR(A99="",C99&lt;&gt;"Kapak",P99&lt;&gt;"Evet"),0,IF(COUNTIFS($F$8:F99,F99,$C$8:C99,"Kapak",$P$8:P99,"Evet")=1,1,0))</x:f>
        <x:v>0</x:v>
      </x:c>
    </x:row>
    <x:row r="100" ht="54" customHeight="1">
      <x:c r="A100" s="29" t="str">
        <x:v>bakersfield:photo:venue-22065</x:v>
      </x:c>
      <x:c r="B100" s="29" t="str">
        <x:v>bakersfield</x:v>
      </x:c>
      <x:c r="C100" s="29" t="str">
        <x:v>Mekân</x:v>
      </x:c>
      <x:c r="D100" s="29" t="str">
        <x:v>bakersfield:yer-local-bakersfield-zingos</x:v>
      </x:c>
      <x:c r="E100" s="29" t="str">
        <x:v>Fotoğraflar/bk-2b30617995df15766f89daf3.webp</x:v>
      </x:c>
      <x:c r="F100" s="29" t="str">
        <x:v>2b30617995df15766f89daf3a80e66d086f7156ccd713fa4e9ceb0d44b618847</x:v>
      </x:c>
      <x:c r="G100" s="29" t="str">
        <x:v>Zingo's Café · 2008 tarihli fotoğraf</x:v>
      </x:c>
      <x:c r="H100" s="29" t="str">
        <x:v>Scott Moore</x:v>
      </x:c>
      <x:c r="I100" s="29" t="str">
        <x:v>CC BY 2.0</x:v>
      </x:c>
      <x:c r="J100" s="29" t="str">
        <x:v>https://creativecommons.org/licenses/by/2.0/</x:v>
      </x:c>
      <x:c r="K100" s="29" t="str">
        <x:v>https://www.flickr.com/photos/35237091670@N01/2433037674/</x:v>
      </x:c>
      <x:c r="L100" s="31" t="d">
        <x:v>2008-04-20T00:00:00.000Z</x:v>
      </x:c>
      <x:c r="M100" s="31" t="d">
        <x:v>2026-10-24T00:00:00.000Z</x:v>
      </x:c>
      <x:c r="N100" s="29" t="str">
        <x:v>EXIF yönü uygulandı; boyut küçültülüp WebP biçimine dönüştürüldü.</x:v>
      </x:c>
      <x:c r="O100" s="29" t="str">
        <x:v>bakersfield:evidence:venue-22065</x:v>
      </x:c>
      <x:c r="P100" s="29" t="str">
        <x:v>Evet</x:v>
      </x:c>
      <x:c r="Q100" s="35" t="n">
        <x:v>0</x:v>
      </x:c>
      <x:c r="R100" s="29" t="str">
        <x:v>İnceleme</x:v>
      </x:c>
      <x:c r="S100" s="36" t="n">
        <x:f>IF(OR(A100="",C100&lt;&gt;"Mekân",P100&lt;&gt;"Evet"),0,IF(COUNTIFS($F$8:F100,F100,$C$8:C100,"Mekân",$P$8:P100,"Evet")=1,1,0))</x:f>
        <x:v>1</x:v>
      </x:c>
      <x:c r="T100" s="36" t="n">
        <x:f>IF(OR(A100="",C100&lt;&gt;"Kapak",P100&lt;&gt;"Evet"),0,IF(COUNTIFS($F$8:F100,F100,$C$8:C100,"Kapak",$P$8:P100,"Evet")=1,1,0))</x:f>
        <x:v>0</x:v>
      </x:c>
    </x:row>
    <x:row r="101" ht="54" customHeight="1">
      <x:c r="A101" s="29" t="str">
        <x:v>bakersfield:photo:venue-22066</x:v>
      </x:c>
      <x:c r="B101" s="29" t="str">
        <x:v>bakersfield</x:v>
      </x:c>
      <x:c r="C101" s="29" t="str">
        <x:v>Mekân</x:v>
      </x:c>
      <x:c r="D101" s="29" t="str">
        <x:v>bakersfield:yer-local-bakersfield-rice-bowl</x:v>
      </x:c>
      <x:c r="E101" s="29" t="str">
        <x:v>Fotoğraflar/bk-60aa8bab3ca647591f58db5a.webp</x:v>
      </x:c>
      <x:c r="F101" s="29" t="str">
        <x:v>60aa8bab3ca647591f58db5ae1fb0f7ffced0a335c865e1df3dc30e2f497362b</x:v>
      </x:c>
      <x:c r="G101" s="29" t="str">
        <x:v>Rice Bowl Chinese Restaurant · 2007 tarihli fotoğraf</x:v>
      </x:c>
      <x:c r="H101" s="29" t="str">
        <x:v>Renjishino</x:v>
      </x:c>
      <x:c r="I101" s="29" t="str">
        <x:v>CC BY 3.0</x:v>
      </x:c>
      <x:c r="J101" s="29" t="str">
        <x:v>https://creativecommons.org/licenses/by/3.0</x:v>
      </x:c>
      <x:c r="K101" s="29" t="str">
        <x:v>https://commons.wikimedia.org/wiki/File:Rice_Bowl_Neon_Sign.JPG</x:v>
      </x:c>
      <x:c r="L101" s="31"/>
      <x:c r="M101" s="31" t="d">
        <x:v>2026-10-24T00:00:00.000Z</x:v>
      </x:c>
      <x:c r="N101" s="29" t="str">
        <x:v>EXIF yönü uygulandı; boyut küçültülüp WebP biçimine dönüştürüldü.</x:v>
      </x:c>
      <x:c r="O101" s="29" t="str">
        <x:v>bakersfield:evidence:venue-22066</x:v>
      </x:c>
      <x:c r="P101" s="29" t="str">
        <x:v>Evet</x:v>
      </x:c>
      <x:c r="Q101" s="35" t="n">
        <x:v>0</x:v>
      </x:c>
      <x:c r="R101" s="29" t="str">
        <x:v>İnceleme</x:v>
      </x:c>
      <x:c r="S101" s="36" t="n">
        <x:f>IF(OR(A101="",C101&lt;&gt;"Mekân",P101&lt;&gt;"Evet"),0,IF(COUNTIFS($F$8:F101,F101,$C$8:C101,"Mekân",$P$8:P101,"Evet")=1,1,0))</x:f>
        <x:v>1</x:v>
      </x:c>
      <x:c r="T101" s="36" t="n">
        <x:f>IF(OR(A101="",C101&lt;&gt;"Kapak",P101&lt;&gt;"Evet"),0,IF(COUNTIFS($F$8:F101,F101,$C$8:C101,"Kapak",$P$8:P101,"Evet")=1,1,0))</x:f>
        <x:v>0</x:v>
      </x:c>
    </x:row>
    <x:row r="102" ht="54" customHeight="1">
      <x:c r="A102" s="29" t="str">
        <x:v>bakersfield:photo:venue-22067</x:v>
      </x:c>
      <x:c r="B102" s="29" t="str">
        <x:v>bakersfield</x:v>
      </x:c>
      <x:c r="C102" s="29" t="str">
        <x:v>Mekân</x:v>
      </x:c>
      <x:c r="D102" s="29" t="str">
        <x:v>bakersfield:yer-local-bakersfield-mamma-mia</x:v>
      </x:c>
      <x:c r="E102" s="29" t="str">
        <x:v>Fotoğraflar/bk-9cb5905ee749153f095dd32f.webp</x:v>
      </x:c>
      <x:c r="F102" s="29" t="str">
        <x:v>9cb5905ee749153f095dd32f5e2399229341bd980af470129e47843f995b2ed0</x:v>
      </x:c>
      <x:c r="G102" s="29" t="str">
        <x:v>Mamma Mia Restaurant · Take tarihli fotoğraf</x:v>
      </x:c>
      <x:c r="H102" s="29" t="str">
        <x:v>Missvain</x:v>
      </x:c>
      <x:c r="I102" s="29" t="str">
        <x:v>CC BY 4.0</x:v>
      </x:c>
      <x:c r="J102" s="29" t="str">
        <x:v>https://creativecommons.org/licenses/by/4.0</x:v>
      </x:c>
      <x:c r="K102" s="29" t="str">
        <x:v>https://commons.wikimedia.org/wiki/File:Mamma_Mia_-_March_2022_-_Sarah_Stierch_01.jpg</x:v>
      </x:c>
      <x:c r="L102" s="31"/>
      <x:c r="M102" s="31" t="d">
        <x:v>2026-10-24T00:00:00.000Z</x:v>
      </x:c>
      <x:c r="N102" s="29" t="str">
        <x:v>EXIF yönü uygulandı; boyut küçültülüp WebP biçimine dönüştürüldü.</x:v>
      </x:c>
      <x:c r="O102" s="29" t="str">
        <x:v>bakersfield:evidence:venue-22067</x:v>
      </x:c>
      <x:c r="P102" s="29" t="str">
        <x:v>Evet</x:v>
      </x:c>
      <x:c r="Q102" s="35" t="n">
        <x:v>0</x:v>
      </x:c>
      <x:c r="R102" s="29" t="str">
        <x:v>İnceleme</x:v>
      </x:c>
      <x:c r="S102" s="36" t="n">
        <x:f>IF(OR(A102="",C102&lt;&gt;"Mekân",P102&lt;&gt;"Evet"),0,IF(COUNTIFS($F$8:F102,F102,$C$8:C102,"Mekân",$P$8:P102,"Evet")=1,1,0))</x:f>
        <x:v>1</x:v>
      </x:c>
      <x:c r="T102" s="36" t="n">
        <x:f>IF(OR(A102="",C102&lt;&gt;"Kapak",P102&lt;&gt;"Evet"),0,IF(COUNTIFS($F$8:F102,F102,$C$8:C102,"Kapak",$P$8:P102,"Evet")=1,1,0))</x:f>
        <x:v>0</x:v>
      </x:c>
    </x:row>
    <x:row r="103" ht="54" customHeight="1">
      <x:c r="A103" s="29" t="str">
        <x:v>bakersfield:photo:venue-22068</x:v>
      </x:c>
      <x:c r="B103" s="29" t="str">
        <x:v>bakersfield</x:v>
      </x:c>
      <x:c r="C103" s="29" t="str">
        <x:v>Mekân</x:v>
      </x:c>
      <x:c r="D103" s="29" t="str">
        <x:v>bakersfield:yer-local-bakersfield-mamma-mia</x:v>
      </x:c>
      <x:c r="E103" s="29" t="str">
        <x:v>Fotoğraflar/bk-c71440e3a0d47cffb6cf14d4.webp</x:v>
      </x:c>
      <x:c r="F103" s="29" t="str">
        <x:v>c71440e3a0d47cffb6cf14d4ba94e266a5b2b11d8bb2273411d3515e7cbef6f8</x:v>
      </x:c>
      <x:c r="G103" s="29" t="str">
        <x:v>Mamma Mia Restaurant · Take tarihli fotoğraf</x:v>
      </x:c>
      <x:c r="H103" s="29" t="str">
        <x:v>Missvain</x:v>
      </x:c>
      <x:c r="I103" s="29" t="str">
        <x:v>CC BY 4.0</x:v>
      </x:c>
      <x:c r="J103" s="29" t="str">
        <x:v>https://creativecommons.org/licenses/by/4.0</x:v>
      </x:c>
      <x:c r="K103" s="29" t="str">
        <x:v>https://commons.wikimedia.org/wiki/File:Mamma_Mia_-_March_2022_-_Sarah_Stierch_02.jpg</x:v>
      </x:c>
      <x:c r="L103" s="31"/>
      <x:c r="M103" s="31" t="d">
        <x:v>2026-10-24T00:00:00.000Z</x:v>
      </x:c>
      <x:c r="N103" s="29" t="str">
        <x:v>EXIF yönü uygulandı; boyut küçültülüp WebP biçimine dönüştürüldü.</x:v>
      </x:c>
      <x:c r="O103" s="29" t="str">
        <x:v>bakersfield:evidence:venue-22068</x:v>
      </x:c>
      <x:c r="P103" s="29" t="str">
        <x:v>Evet</x:v>
      </x:c>
      <x:c r="Q103" s="35" t="n">
        <x:v>1</x:v>
      </x:c>
      <x:c r="R103" s="29" t="str">
        <x:v>İnceleme</x:v>
      </x:c>
      <x:c r="S103" s="36" t="n">
        <x:f>IF(OR(A103="",C103&lt;&gt;"Mekân",P103&lt;&gt;"Evet"),0,IF(COUNTIFS($F$8:F103,F103,$C$8:C103,"Mekân",$P$8:P103,"Evet")=1,1,0))</x:f>
        <x:v>1</x:v>
      </x:c>
      <x:c r="T103" s="36" t="n">
        <x:f>IF(OR(A103="",C103&lt;&gt;"Kapak",P103&lt;&gt;"Evet"),0,IF(COUNTIFS($F$8:F103,F103,$C$8:C103,"Kapak",$P$8:P103,"Evet")=1,1,0))</x:f>
        <x:v>0</x:v>
      </x:c>
    </x:row>
    <x:row r="104" ht="54" customHeight="1">
      <x:c r="A104" s="29" t="str">
        <x:v>bakersfield:photo:venue-22069</x:v>
      </x:c>
      <x:c r="B104" s="29" t="str">
        <x:v>bakersfield</x:v>
      </x:c>
      <x:c r="C104" s="29" t="str">
        <x:v>Mekân</x:v>
      </x:c>
      <x:c r="D104" s="29" t="str">
        <x:v>bakersfield:yer-local-bakersfield-woolworth</x:v>
      </x:c>
      <x:c r="E104" s="29" t="str">
        <x:v>Fotoğraflar/bk-db680f75712ec05999fd750e.webp</x:v>
      </x:c>
      <x:c r="F104" s="29" t="str">
        <x:v>db680f75712ec05999fd750e2125a3b9ef2168181bbf4101c8670013e4749b98</x:v>
      </x:c>
      <x:c r="G104" s="29" t="str">
        <x:v>The Woolworth's Building · 2024 tarihli fotoğraf</x:v>
      </x:c>
      <x:c r="H104" s="29" t="str">
        <x:v>David Wilson</x:v>
      </x:c>
      <x:c r="I104" s="29" t="str">
        <x:v>CC BY 4.0</x:v>
      </x:c>
      <x:c r="J104" s="29" t="str">
        <x:v>https://creativecommons.org/licenses/by/4.0/</x:v>
      </x:c>
      <x:c r="K104" s="29" t="str">
        <x:v>https://www.flickr.com/photos/32693718@N07/54742546271/</x:v>
      </x:c>
      <x:c r="L104" s="31" t="d">
        <x:v>2024-09-16T00:00:00.000Z</x:v>
      </x:c>
      <x:c r="M104" s="31" t="d">
        <x:v>2026-10-24T00:00:00.000Z</x:v>
      </x:c>
      <x:c r="N104" s="29" t="str">
        <x:v>EXIF yönü uygulandı; boyut küçültülüp WebP biçimine dönüştürüldü.</x:v>
      </x:c>
      <x:c r="O104" s="29" t="str">
        <x:v>bakersfield:evidence:venue-22069</x:v>
      </x:c>
      <x:c r="P104" s="29" t="str">
        <x:v>Evet</x:v>
      </x:c>
      <x:c r="Q104" s="35" t="n">
        <x:v>0</x:v>
      </x:c>
      <x:c r="R104" s="29" t="str">
        <x:v>İnceleme</x:v>
      </x:c>
      <x:c r="S104" s="36" t="n">
        <x:f>IF(OR(A104="",C104&lt;&gt;"Mekân",P104&lt;&gt;"Evet"),0,IF(COUNTIFS($F$8:F104,F104,$C$8:C104,"Mekân",$P$8:P104,"Evet")=1,1,0))</x:f>
        <x:v>1</x:v>
      </x:c>
      <x:c r="T104" s="36" t="n">
        <x:f>IF(OR(A104="",C104&lt;&gt;"Kapak",P104&lt;&gt;"Evet"),0,IF(COUNTIFS($F$8:F104,F104,$C$8:C104,"Kapak",$P$8:P104,"Evet")=1,1,0))</x:f>
        <x:v>0</x:v>
      </x:c>
    </x:row>
    <x:row r="105" ht="54" customHeight="1">
      <x:c r="A105" s="29" t="str">
        <x:v>bakersfield:photo:venue-22070</x:v>
      </x:c>
      <x:c r="B105" s="29" t="str">
        <x:v>bakersfield</x:v>
      </x:c>
      <x:c r="C105" s="29" t="str">
        <x:v>Mekân</x:v>
      </x:c>
      <x:c r="D105" s="29" t="str">
        <x:v>bakersfield:yer-local-bakersfield-woolworth</x:v>
      </x:c>
      <x:c r="E105" s="29" t="str">
        <x:v>Fotoğraflar/bk-1a6f63daeed3305ce1feaaca.webp</x:v>
      </x:c>
      <x:c r="F105" s="29" t="str">
        <x:v>1a6f63daeed3305ce1feaaca3fd8a61433c339b3d31a17b28b91c56e5e698393</x:v>
      </x:c>
      <x:c r="G105" s="29" t="str">
        <x:v>The Woolworth's Building · 2017 tarihli fotoğraf</x:v>
      </x:c>
      <x:c r="H105" s="29" t="str">
        <x:v>Publichall</x:v>
      </x:c>
      <x:c r="I105" s="29" t="str">
        <x:v>CC BY-SA 4.0</x:v>
      </x:c>
      <x:c r="J105" s="29" t="str">
        <x:v>https://creativecommons.org/licenses/by-sa/4.0</x:v>
      </x:c>
      <x:c r="K105" s="29" t="str">
        <x:v>https://commons.wikimedia.org/wiki/File:Woolworth_Bldg,_Bakersfield,_CA.jpg</x:v>
      </x:c>
      <x:c r="L105" s="31"/>
      <x:c r="M105" s="31" t="d">
        <x:v>2026-10-24T00:00:00.000Z</x:v>
      </x:c>
      <x:c r="N105" s="29" t="str">
        <x:v>EXIF yönü uygulandı; boyut küçültülüp WebP biçimine dönüştürüldü.</x:v>
      </x:c>
      <x:c r="O105" s="29" t="str">
        <x:v>bakersfield:evidence:venue-22070</x:v>
      </x:c>
      <x:c r="P105" s="29" t="str">
        <x:v>Evet</x:v>
      </x:c>
      <x:c r="Q105" s="35" t="n">
        <x:v>1</x:v>
      </x:c>
      <x:c r="R105" s="29" t="str">
        <x:v>İnceleme</x:v>
      </x:c>
      <x:c r="S105" s="36" t="n">
        <x:f>IF(OR(A105="",C105&lt;&gt;"Mekân",P105&lt;&gt;"Evet"),0,IF(COUNTIFS($F$8:F105,F105,$C$8:C105,"Mekân",$P$8:P105,"Evet")=1,1,0))</x:f>
        <x:v>1</x:v>
      </x:c>
      <x:c r="T105" s="36" t="n">
        <x:f>IF(OR(A105="",C105&lt;&gt;"Kapak",P105&lt;&gt;"Evet"),0,IF(COUNTIFS($F$8:F105,F105,$C$8:C105,"Kapak",$P$8:P105,"Evet")=1,1,0))</x:f>
        <x:v>0</x:v>
      </x:c>
    </x:row>
    <x:row r="106" ht="54" customHeight="1">
      <x:c r="A106" s="29" t="str">
        <x:v>bakersfield:photo:venue-22071</x:v>
      </x:c>
      <x:c r="B106" s="29" t="str">
        <x:v>bakersfield</x:v>
      </x:c>
      <x:c r="C106" s="29" t="str">
        <x:v>Mekân</x:v>
      </x:c>
      <x:c r="D106" s="29" t="str">
        <x:v>bakersfield:yer-local-bakersfield-marketplace</x:v>
      </x:c>
      <x:c r="E106" s="29" t="str">
        <x:v>Fotoğraflar/bk-95164e559e7b6eb56eebaee7.webp</x:v>
      </x:c>
      <x:c r="F106" s="29" t="str">
        <x:v>95164e559e7b6eb56eebaee76338b22c00472ead7581fe177b9382d911207b55</x:v>
      </x:c>
      <x:c r="G106" s="29" t="str">
        <x:v>The Marketplace Bakersfield · 2020 tarihli fotoğraf</x:v>
      </x:c>
      <x:c r="H106" s="29" t="str">
        <x:v>Pf1127</x:v>
      </x:c>
      <x:c r="I106" s="29" t="str">
        <x:v>CC BY-SA 4.0</x:v>
      </x:c>
      <x:c r="J106" s="29" t="str">
        <x:v>https://creativecommons.org/licenses/by-sa/4.0</x:v>
      </x:c>
      <x:c r="K106" s="29" t="str">
        <x:v>https://commons.wikimedia.org/wiki/File:The_Marketplace_shopping_center_Bakersfield.jpg</x:v>
      </x:c>
      <x:c r="L106" s="31"/>
      <x:c r="M106" s="31" t="d">
        <x:v>2026-10-24T00:00:00.000Z</x:v>
      </x:c>
      <x:c r="N106" s="29" t="str">
        <x:v>EXIF yönü uygulandı; boyut küçültülüp WebP biçimine dönüştürüldü.</x:v>
      </x:c>
      <x:c r="O106" s="29" t="str">
        <x:v>bakersfield:evidence:venue-22071</x:v>
      </x:c>
      <x:c r="P106" s="29" t="str">
        <x:v>Evet</x:v>
      </x:c>
      <x:c r="Q106" s="35" t="n">
        <x:v>0</x:v>
      </x:c>
      <x:c r="R106" s="29" t="str">
        <x:v>İnceleme</x:v>
      </x:c>
      <x:c r="S106" s="36" t="n">
        <x:f>IF(OR(A106="",C106&lt;&gt;"Mekân",P106&lt;&gt;"Evet"),0,IF(COUNTIFS($F$8:F106,F106,$C$8:C106,"Mekân",$P$8:P106,"Evet")=1,1,0))</x:f>
        <x:v>1</x:v>
      </x:c>
      <x:c r="T106" s="36" t="n">
        <x:f>IF(OR(A106="",C106&lt;&gt;"Kapak",P106&lt;&gt;"Evet"),0,IF(COUNTIFS($F$8:F106,F106,$C$8:C106,"Kapak",$P$8:P106,"Evet")=1,1,0))</x:f>
        <x:v>0</x:v>
      </x:c>
    </x:row>
    <x:row r="107" ht="54" customHeight="1">
      <x:c r="A107" s="29" t="str">
        <x:v>bakersfield:photo:venue-22072</x:v>
      </x:c>
      <x:c r="B107" s="29" t="str">
        <x:v>bakersfield</x:v>
      </x:c>
      <x:c r="C107" s="29" t="str">
        <x:v>Mekân</x:v>
      </x:c>
      <x:c r="D107" s="29" t="str">
        <x:v>bakersfield:yer-local-bakersfield-valley-plaza</x:v>
      </x:c>
      <x:c r="E107" s="29" t="str">
        <x:v>Fotoğraflar/bk-b9955a4588121278551bc8d8.webp</x:v>
      </x:c>
      <x:c r="F107" s="29" t="str">
        <x:v>b9955a4588121278551bc8d8848bd79834e07099cac85dea46410dd2ab0bb36e</x:v>
      </x:c>
      <x:c r="G107" s="29" t="str">
        <x:v>Valley Plaza Mall · 2021 tarihli fotoğraf</x:v>
      </x:c>
      <x:c r="H107" s="29" t="str">
        <x:v>LittleT889</x:v>
      </x:c>
      <x:c r="I107" s="29" t="str">
        <x:v>CC BY-SA 4.0</x:v>
      </x:c>
      <x:c r="J107" s="29" t="str">
        <x:v>https://creativecommons.org/licenses/by-sa/4.0</x:v>
      </x:c>
      <x:c r="K107" s="29" t="str">
        <x:v>https://commons.wikimedia.org/wiki/File:Valley_Plaza_Mall.jpg</x:v>
      </x:c>
      <x:c r="L107" s="31"/>
      <x:c r="M107" s="31" t="d">
        <x:v>2026-10-24T00:00:00.000Z</x:v>
      </x:c>
      <x:c r="N107" s="29" t="str">
        <x:v>EXIF yönü uygulandı; boyut küçültülüp WebP biçimine dönüştürüldü.</x:v>
      </x:c>
      <x:c r="O107" s="29" t="str">
        <x:v>bakersfield:evidence:venue-22072</x:v>
      </x:c>
      <x:c r="P107" s="29" t="str">
        <x:v>Evet</x:v>
      </x:c>
      <x:c r="Q107" s="35" t="n">
        <x:v>0</x:v>
      </x:c>
      <x:c r="R107" s="29" t="str">
        <x:v>İnceleme</x:v>
      </x:c>
      <x:c r="S107" s="36" t="n">
        <x:f>IF(OR(A107="",C107&lt;&gt;"Mekân",P107&lt;&gt;"Evet"),0,IF(COUNTIFS($F$8:F107,F107,$C$8:C107,"Mekân",$P$8:P107,"Evet")=1,1,0))</x:f>
        <x:v>1</x:v>
      </x:c>
      <x:c r="T107" s="36" t="n">
        <x:f>IF(OR(A107="",C107&lt;&gt;"Kapak",P107&lt;&gt;"Evet"),0,IF(COUNTIFS($F$8:F107,F107,$C$8:C107,"Kapak",$P$8:P107,"Evet")=1,1,0))</x:f>
        <x:v>0</x:v>
      </x:c>
    </x:row>
    <x:row r="108" ht="68" customHeight="1">
      <x:c r="A108" s="29" t="str">
        <x:v>bakersfield:photo:venue-22073</x:v>
      </x:c>
      <x:c r="B108" s="29" t="str">
        <x:v>bakersfield</x:v>
      </x:c>
      <x:c r="C108" s="29" t="str">
        <x:v>Mekân</x:v>
      </x:c>
      <x:c r="D108" s="29" t="str">
        <x:v>bakersfield:yer-local-bakersfield-basque-club</x:v>
      </x:c>
      <x:c r="E108" s="29" t="str">
        <x:v>Fotoğraflar/bk-2427fa95ade7fdbb056aeb27.webp</x:v>
      </x:c>
      <x:c r="F108" s="29" t="str">
        <x:v>2427fa95ade7fdbb056aeb27012457256a3d065fd84b333803411ceaa6892b08</x:v>
      </x:c>
      <x:c r="G108" s="29" t="str">
        <x:v>Kern County Basque Club · 2026 tarihli fotoğraf</x:v>
      </x:c>
      <x:c r="H108" s="29" t="str">
        <x:v>Etor (Tagzania user ID: 11653)</x:v>
      </x:c>
      <x:c r="I108" s="29" t="str">
        <x:v>CC BY-SA 4.0</x:v>
      </x:c>
      <x:c r="J108" s="29" t="str">
        <x:v>https://creativecommons.org/licenses/by-sa/4.0</x:v>
      </x:c>
      <x:c r="K108" s="29" t="str">
        <x:v>https://commons.wikimedia.org/wiki/File:Kern_County_Basque_Club_Bajersfield_-_Kern_County_Basque_Club_(Bakersfield,_California)_-_Tagzania_-_1779647739991.jpg</x:v>
      </x:c>
      <x:c r="L108" s="31" t="d">
        <x:v>2026-05-24T00:00:00.000Z</x:v>
      </x:c>
      <x:c r="M108" s="31" t="d">
        <x:v>2026-10-24T00:00:00.000Z</x:v>
      </x:c>
      <x:c r="N108" s="29" t="str">
        <x:v>EXIF yönü uygulandı; boyut küçültülüp WebP biçimine dönüştürüldü.</x:v>
      </x:c>
      <x:c r="O108" s="29" t="str">
        <x:v>bakersfield:evidence:venue-22073</x:v>
      </x:c>
      <x:c r="P108" s="29" t="str">
        <x:v>Evet</x:v>
      </x:c>
      <x:c r="Q108" s="35" t="n">
        <x:v>0</x:v>
      </x:c>
      <x:c r="R108" s="29" t="str">
        <x:v>İnceleme</x:v>
      </x:c>
      <x:c r="S108" s="36" t="n">
        <x:f>IF(OR(A108="",C108&lt;&gt;"Mekân",P108&lt;&gt;"Evet"),0,IF(COUNTIFS($F$8:F108,F108,$C$8:C108,"Mekân",$P$8:P108,"Evet")=1,1,0))</x:f>
        <x:v>1</x:v>
      </x:c>
      <x:c r="T108" s="36" t="n">
        <x:f>IF(OR(A108="",C108&lt;&gt;"Kapak",P108&lt;&gt;"Evet"),0,IF(COUNTIFS($F$8:F108,F108,$C$8:C108,"Kapak",$P$8:P108,"Evet")=1,1,0))</x:f>
        <x:v>0</x:v>
      </x:c>
    </x:row>
    <x:row r="109" ht="68" customHeight="1">
      <x:c r="A109" s="29" t="str">
        <x:v>bakersfield:photo:venue-22074</x:v>
      </x:c>
      <x:c r="B109" s="29" t="str">
        <x:v>bakersfield</x:v>
      </x:c>
      <x:c r="C109" s="29" t="str">
        <x:v>Mekân</x:v>
      </x:c>
      <x:c r="D109" s="29" t="str">
        <x:v>bakersfield:yer-local-bakersfield-basque-club</x:v>
      </x:c>
      <x:c r="E109" s="29" t="str">
        <x:v>Fotoğraflar/bk-1db0e3ad7cd1d8511f5b3256.webp</x:v>
      </x:c>
      <x:c r="F109" s="29" t="str">
        <x:v>1db0e3ad7cd1d8511f5b32568ff285abb742161bfd554126109dda452057440f</x:v>
      </x:c>
      <x:c r="G109" s="29" t="str">
        <x:v>Kern County Basque Club · 2026 tarihli fotoğraf</x:v>
      </x:c>
      <x:c r="H109" s="29" t="str">
        <x:v>Etor (Tagzania user ID: 11653)</x:v>
      </x:c>
      <x:c r="I109" s="29" t="str">
        <x:v>CC BY-SA 4.0</x:v>
      </x:c>
      <x:c r="J109" s="29" t="str">
        <x:v>https://creativecommons.org/licenses/by-sa/4.0</x:v>
      </x:c>
      <x:c r="K109" s="29" t="str">
        <x:v>https://commons.wikimedia.org/wiki/File:Kern_County_Basque_Club_Bajersfield_-_Kern_County_Basque_Club_(Bakersfield,_California)_-_Tagzania_-_1779647740123.jpg</x:v>
      </x:c>
      <x:c r="L109" s="31" t="d">
        <x:v>2026-05-24T00:00:00.000Z</x:v>
      </x:c>
      <x:c r="M109" s="31" t="d">
        <x:v>2026-10-24T00:00:00.000Z</x:v>
      </x:c>
      <x:c r="N109" s="29" t="str">
        <x:v>EXIF yönü uygulandı; boyut küçültülüp WebP biçimine dönüştürüldü.</x:v>
      </x:c>
      <x:c r="O109" s="29" t="str">
        <x:v>bakersfield:evidence:venue-22074</x:v>
      </x:c>
      <x:c r="P109" s="29" t="str">
        <x:v>Evet</x:v>
      </x:c>
      <x:c r="Q109" s="35" t="n">
        <x:v>1</x:v>
      </x:c>
      <x:c r="R109" s="29" t="str">
        <x:v>İnceleme</x:v>
      </x:c>
      <x:c r="S109" s="36" t="n">
        <x:f>IF(OR(A109="",C109&lt;&gt;"Mekân",P109&lt;&gt;"Evet"),0,IF(COUNTIFS($F$8:F109,F109,$C$8:C109,"Mekân",$P$8:P109,"Evet")=1,1,0))</x:f>
        <x:v>1</x:v>
      </x:c>
      <x:c r="T109" s="36" t="n">
        <x:f>IF(OR(A109="",C109&lt;&gt;"Kapak",P109&lt;&gt;"Evet"),0,IF(COUNTIFS($F$8:F109,F109,$C$8:C109,"Kapak",$P$8:P109,"Evet")=1,1,0))</x:f>
        <x:v>0</x:v>
      </x:c>
    </x:row>
    <x:row r="110" ht="68" customHeight="1">
      <x:c r="A110" s="29" t="str">
        <x:v>bakersfield:photo:venue-22075</x:v>
      </x:c>
      <x:c r="B110" s="29" t="str">
        <x:v>bakersfield</x:v>
      </x:c>
      <x:c r="C110" s="29" t="str">
        <x:v>Mekân</x:v>
      </x:c>
      <x:c r="D110" s="29" t="str">
        <x:v>bakersfield:yer-local-bakersfield-basque-club</x:v>
      </x:c>
      <x:c r="E110" s="29" t="str">
        <x:v>Fotoğraflar/bk-e20b490817849c6b7ef8f6bd.webp</x:v>
      </x:c>
      <x:c r="F110" s="29" t="str">
        <x:v>e20b490817849c6b7ef8f6bdc99c2d5d39aceba6bbe11ce96b3514536eb1ea0a</x:v>
      </x:c>
      <x:c r="G110" s="29" t="str">
        <x:v>Kern County Basque Club · 2026 tarihli fotoğraf</x:v>
      </x:c>
      <x:c r="H110" s="29" t="str">
        <x:v>Etor (Tagzania user ID: 11653)</x:v>
      </x:c>
      <x:c r="I110" s="29" t="str">
        <x:v>CC BY-SA 4.0</x:v>
      </x:c>
      <x:c r="J110" s="29" t="str">
        <x:v>https://creativecommons.org/licenses/by-sa/4.0</x:v>
      </x:c>
      <x:c r="K110" s="29" t="str">
        <x:v>https://commons.wikimedia.org/wiki/File:Kern_County_Basque_Club_Bajersfield_-_Kern_County_Basque_Club_(Bakersfield,_California)_-_Tagzania_-_1779647740270.jpg</x:v>
      </x:c>
      <x:c r="L110" s="31" t="d">
        <x:v>2026-05-24T00:00:00.000Z</x:v>
      </x:c>
      <x:c r="M110" s="31" t="d">
        <x:v>2026-10-24T00:00:00.000Z</x:v>
      </x:c>
      <x:c r="N110" s="29" t="str">
        <x:v>EXIF yönü uygulandı; boyut küçültülüp WebP biçimine dönüştürüldü.</x:v>
      </x:c>
      <x:c r="O110" s="29" t="str">
        <x:v>bakersfield:evidence:venue-22075</x:v>
      </x:c>
      <x:c r="P110" s="29" t="str">
        <x:v>Evet</x:v>
      </x:c>
      <x:c r="Q110" s="35" t="n">
        <x:v>2</x:v>
      </x:c>
      <x:c r="R110" s="29" t="str">
        <x:v>İnceleme</x:v>
      </x:c>
      <x:c r="S110" s="36" t="n">
        <x:f>IF(OR(A110="",C110&lt;&gt;"Mekân",P110&lt;&gt;"Evet"),0,IF(COUNTIFS($F$8:F110,F110,$C$8:C110,"Mekân",$P$8:P110,"Evet")=1,1,0))</x:f>
        <x:v>1</x:v>
      </x:c>
      <x:c r="T110" s="36" t="n">
        <x:f>IF(OR(A110="",C110&lt;&gt;"Kapak",P110&lt;&gt;"Evet"),0,IF(COUNTIFS($F$8:F110,F110,$C$8:C110,"Kapak",$P$8:P110,"Evet")=1,1,0))</x:f>
        <x:v>0</x:v>
      </x:c>
    </x:row>
    <x:row r="111" ht="68" customHeight="1">
      <x:c r="A111" s="29" t="str">
        <x:v>bakersfield:photo:venue-22076</x:v>
      </x:c>
      <x:c r="B111" s="29" t="str">
        <x:v>bakersfield</x:v>
      </x:c>
      <x:c r="C111" s="29" t="str">
        <x:v>Mekân</x:v>
      </x:c>
      <x:c r="D111" s="29" t="str">
        <x:v>bakersfield:yer-local-bakersfield-basque-club</x:v>
      </x:c>
      <x:c r="E111" s="29" t="str">
        <x:v>Fotoğraflar/bk-6feee65a0c57a983bc168925.webp</x:v>
      </x:c>
      <x:c r="F111" s="29" t="str">
        <x:v>6feee65a0c57a983bc1689255b18740a8425991e83a4eef25acb9eb0d4fe98fc</x:v>
      </x:c>
      <x:c r="G111" s="29" t="str">
        <x:v>Kern County Basque Club · 2026 tarihli fotoğraf</x:v>
      </x:c>
      <x:c r="H111" s="29" t="str">
        <x:v>Etor (Tagzania user ID: 11653)</x:v>
      </x:c>
      <x:c r="I111" s="29" t="str">
        <x:v>CC BY-SA 4.0</x:v>
      </x:c>
      <x:c r="J111" s="29" t="str">
        <x:v>https://creativecommons.org/licenses/by-sa/4.0</x:v>
      </x:c>
      <x:c r="K111" s="29" t="str">
        <x:v>https://commons.wikimedia.org/wiki/File:Kern_County_Basque_Club_Bajersfield_-_Kern_County_Basque_Club_(Bakersfield,_California)_-_Tagzania_-_1779647740480.jpg</x:v>
      </x:c>
      <x:c r="L111" s="31" t="d">
        <x:v>2026-05-24T00:00:00.000Z</x:v>
      </x:c>
      <x:c r="M111" s="31" t="d">
        <x:v>2026-10-24T00:00:00.000Z</x:v>
      </x:c>
      <x:c r="N111" s="29" t="str">
        <x:v>EXIF yönü uygulandı; boyut küçültülüp WebP biçimine dönüştürüldü.</x:v>
      </x:c>
      <x:c r="O111" s="29" t="str">
        <x:v>bakersfield:evidence:venue-22076</x:v>
      </x:c>
      <x:c r="P111" s="29" t="str">
        <x:v>Evet</x:v>
      </x:c>
      <x:c r="Q111" s="35" t="n">
        <x:v>3</x:v>
      </x:c>
      <x:c r="R111" s="29" t="str">
        <x:v>İnceleme</x:v>
      </x:c>
      <x:c r="S111" s="36" t="n">
        <x:f>IF(OR(A111="",C111&lt;&gt;"Mekân",P111&lt;&gt;"Evet"),0,IF(COUNTIFS($F$8:F111,F111,$C$8:C111,"Mekân",$P$8:P111,"Evet")=1,1,0))</x:f>
        <x:v>1</x:v>
      </x:c>
      <x:c r="T111" s="36" t="n">
        <x:f>IF(OR(A111="",C111&lt;&gt;"Kapak",P111&lt;&gt;"Evet"),0,IF(COUNTIFS($F$8:F111,F111,$C$8:C111,"Kapak",$P$8:P111,"Evet")=1,1,0))</x:f>
        <x:v>0</x:v>
      </x:c>
    </x:row>
    <x:row r="112" ht="54" customHeight="1">
      <x:c r="A112" s="29" t="str">
        <x:v>bakersfield:photo:venue-22077</x:v>
      </x:c>
      <x:c r="B112" s="29" t="str">
        <x:v>bakersfield</x:v>
      </x:c>
      <x:c r="C112" s="29" t="str">
        <x:v>Mekân</x:v>
      </x:c>
      <x:c r="D112" s="29" t="str">
        <x:v>bakersfield:yer-local-bakersfield-murray-farms</x:v>
      </x:c>
      <x:c r="E112" s="29" t="str">
        <x:v>Fotoğraflar/bk-bfc3c6d321ed5d298d8e81a1.webp</x:v>
      </x:c>
      <x:c r="F112" s="29" t="str">
        <x:v>bfc3c6d321ed5d298d8e81a1f105850d0124c67a3abf80040688d821752475cb</x:v>
      </x:c>
      <x:c r="G112" s="29" t="str">
        <x:v>Murray Family Farms – Big Red Barn · Take tarihli fotoğraf</x:v>
      </x:c>
      <x:c r="H112" s="29" t="str">
        <x:v>Missvain</x:v>
      </x:c>
      <x:c r="I112" s="29" t="str">
        <x:v>CC BY 4.0</x:v>
      </x:c>
      <x:c r="J112" s="29" t="str">
        <x:v>https://creativecommons.org/licenses/by/4.0</x:v>
      </x:c>
      <x:c r="K112" s="29" t="str">
        <x:v>https://commons.wikimedia.org/wiki/File:Murray_Family_Farms_Big_Red_Barn_-_March_2022_-_Sarah_Stierch_02.jpg</x:v>
      </x:c>
      <x:c r="L112" s="31"/>
      <x:c r="M112" s="31" t="d">
        <x:v>2026-10-24T00:00:00.000Z</x:v>
      </x:c>
      <x:c r="N112" s="29" t="str">
        <x:v>EXIF yönü uygulandı; boyut küçültülüp WebP biçimine dönüştürüldü.</x:v>
      </x:c>
      <x:c r="O112" s="29" t="str">
        <x:v>bakersfield:evidence:venue-22077</x:v>
      </x:c>
      <x:c r="P112" s="29" t="str">
        <x:v>Evet</x:v>
      </x:c>
      <x:c r="Q112" s="35" t="n">
        <x:v>0</x:v>
      </x:c>
      <x:c r="R112" s="29" t="str">
        <x:v>İnceleme</x:v>
      </x:c>
      <x:c r="S112" s="36" t="n">
        <x:f>IF(OR(A112="",C112&lt;&gt;"Mekân",P112&lt;&gt;"Evet"),0,IF(COUNTIFS($F$8:F112,F112,$C$8:C112,"Mekân",$P$8:P112,"Evet")=1,1,0))</x:f>
        <x:v>1</x:v>
      </x:c>
      <x:c r="T112" s="36" t="n">
        <x:f>IF(OR(A112="",C112&lt;&gt;"Kapak",P112&lt;&gt;"Evet"),0,IF(COUNTIFS($F$8:F112,F112,$C$8:C112,"Kapak",$P$8:P112,"Evet")=1,1,0))</x:f>
        <x:v>0</x:v>
      </x:c>
    </x:row>
    <x:row r="113" ht="54" customHeight="1">
      <x:c r="A113" s="29" t="str">
        <x:v>bakersfield:photo:venue-22078</x:v>
      </x:c>
      <x:c r="B113" s="29" t="str">
        <x:v>bakersfield</x:v>
      </x:c>
      <x:c r="C113" s="29" t="str">
        <x:v>Mekân</x:v>
      </x:c>
      <x:c r="D113" s="29" t="str">
        <x:v>bakersfield:yer-local-bakersfield-murray-farms</x:v>
      </x:c>
      <x:c r="E113" s="29" t="str">
        <x:v>Fotoğraflar/bk-bdcc5bc634535ac9bc68728d.webp</x:v>
      </x:c>
      <x:c r="F113" s="29" t="str">
        <x:v>bdcc5bc634535ac9bc68728dec3c1cb32e8fb0f0d5bc02fdf24f96ea25c7d8b3</x:v>
      </x:c>
      <x:c r="G113" s="29" t="str">
        <x:v>Murray Family Farms – Big Red Barn · Take tarihli fotoğraf</x:v>
      </x:c>
      <x:c r="H113" s="29" t="str">
        <x:v>Missvain</x:v>
      </x:c>
      <x:c r="I113" s="29" t="str">
        <x:v>CC BY 4.0</x:v>
      </x:c>
      <x:c r="J113" s="29" t="str">
        <x:v>https://creativecommons.org/licenses/by/4.0</x:v>
      </x:c>
      <x:c r="K113" s="29" t="str">
        <x:v>https://commons.wikimedia.org/wiki/File:Murray_Family_Farms_Big_Red_Barn_-_March_2022_-_Sarah_Stierch_03.jpg</x:v>
      </x:c>
      <x:c r="L113" s="31"/>
      <x:c r="M113" s="31" t="d">
        <x:v>2026-10-24T00:00:00.000Z</x:v>
      </x:c>
      <x:c r="N113" s="29" t="str">
        <x:v>EXIF yönü uygulandı; boyut küçültülüp WebP biçimine dönüştürüldü.</x:v>
      </x:c>
      <x:c r="O113" s="29" t="str">
        <x:v>bakersfield:evidence:venue-22078</x:v>
      </x:c>
      <x:c r="P113" s="29" t="str">
        <x:v>Evet</x:v>
      </x:c>
      <x:c r="Q113" s="35" t="n">
        <x:v>1</x:v>
      </x:c>
      <x:c r="R113" s="29" t="str">
        <x:v>İnceleme</x:v>
      </x:c>
      <x:c r="S113" s="36" t="n">
        <x:f>IF(OR(A113="",C113&lt;&gt;"Mekân",P113&lt;&gt;"Evet"),0,IF(COUNTIFS($F$8:F113,F113,$C$8:C113,"Mekân",$P$8:P113,"Evet")=1,1,0))</x:f>
        <x:v>1</x:v>
      </x:c>
      <x:c r="T113" s="36" t="n">
        <x:f>IF(OR(A113="",C113&lt;&gt;"Kapak",P113&lt;&gt;"Evet"),0,IF(COUNTIFS($F$8:F113,F113,$C$8:C113,"Kapak",$P$8:P113,"Evet")=1,1,0))</x:f>
        <x:v>0</x:v>
      </x:c>
    </x:row>
    <x:row r="114" ht="54" customHeight="1">
      <x:c r="A114" s="29" t="str">
        <x:v>bakersfield:photo:venue-22079</x:v>
      </x:c>
      <x:c r="B114" s="29" t="str">
        <x:v>bakersfield</x:v>
      </x:c>
      <x:c r="C114" s="29" t="str">
        <x:v>Mekân</x:v>
      </x:c>
      <x:c r="D114" s="29" t="str">
        <x:v>bakersfield:yer-local-bakersfield-murray-farms</x:v>
      </x:c>
      <x:c r="E114" s="29" t="str">
        <x:v>Fotoğraflar/bk-f6e54397381f447a3802a129.webp</x:v>
      </x:c>
      <x:c r="F114" s="29" t="str">
        <x:v>f6e54397381f447a3802a1299003f6a4791f8318d26de89774fc9dbe4e9b35eb</x:v>
      </x:c>
      <x:c r="G114" s="29" t="str">
        <x:v>Murray Family Farms – Big Red Barn · Take tarihli fotoğraf</x:v>
      </x:c>
      <x:c r="H114" s="29" t="str">
        <x:v>Missvain</x:v>
      </x:c>
      <x:c r="I114" s="29" t="str">
        <x:v>CC BY 4.0</x:v>
      </x:c>
      <x:c r="J114" s="29" t="str">
        <x:v>https://creativecommons.org/licenses/by/4.0</x:v>
      </x:c>
      <x:c r="K114" s="29" t="str">
        <x:v>https://commons.wikimedia.org/wiki/File:Murray_Family_Farms_Big_Red_Barn_-_March_2022_-_Sarah_Stierch_04.jpg</x:v>
      </x:c>
      <x:c r="L114" s="31"/>
      <x:c r="M114" s="31" t="d">
        <x:v>2026-10-24T00:00:00.000Z</x:v>
      </x:c>
      <x:c r="N114" s="29" t="str">
        <x:v>EXIF yönü uygulandı; boyut küçültülüp WebP biçimine dönüştürüldü.</x:v>
      </x:c>
      <x:c r="O114" s="29" t="str">
        <x:v>bakersfield:evidence:venue-22079</x:v>
      </x:c>
      <x:c r="P114" s="29" t="str">
        <x:v>Evet</x:v>
      </x:c>
      <x:c r="Q114" s="35" t="n">
        <x:v>2</x:v>
      </x:c>
      <x:c r="R114" s="29" t="str">
        <x:v>İnceleme</x:v>
      </x:c>
      <x:c r="S114" s="36" t="n">
        <x:f>IF(OR(A114="",C114&lt;&gt;"Mekân",P114&lt;&gt;"Evet"),0,IF(COUNTIFS($F$8:F114,F114,$C$8:C114,"Mekân",$P$8:P114,"Evet")=1,1,0))</x:f>
        <x:v>1</x:v>
      </x:c>
      <x:c r="T114" s="36" t="n">
        <x:f>IF(OR(A114="",C114&lt;&gt;"Kapak",P114&lt;&gt;"Evet"),0,IF(COUNTIFS($F$8:F114,F114,$C$8:C114,"Kapak",$P$8:P114,"Evet")=1,1,0))</x:f>
        <x:v>0</x:v>
      </x:c>
    </x:row>
    <x:row r="115" ht="54" customHeight="1">
      <x:c r="A115" s="29" t="str">
        <x:v>bakersfield:photo:venue-22080</x:v>
      </x:c>
      <x:c r="B115" s="29" t="str">
        <x:v>bakersfield</x:v>
      </x:c>
      <x:c r="C115" s="29" t="str">
        <x:v>Mekân</x:v>
      </x:c>
      <x:c r="D115" s="29" t="str">
        <x:v>bakersfield:yer-local-bakersfield-river-walk</x:v>
      </x:c>
      <x:c r="E115" s="29" t="str">
        <x:v>Fotoğraflar/bk-aca55bc144d639c8a693bc38.webp</x:v>
      </x:c>
      <x:c r="F115" s="29" t="str">
        <x:v>aca55bc144d639c8a693bc387604d6c8894122ba63d80c932fd6d9e03326520f</x:v>
      </x:c>
      <x:c r="G115" s="29" t="str">
        <x:v>The Park at River Walk · 2012 tarihli fotoğraf</x:v>
      </x:c>
      <x:c r="H115" s="29" t="str">
        <x:v>Randall Degges</x:v>
      </x:c>
      <x:c r="I115" s="29" t="str">
        <x:v>CC BY 2.0</x:v>
      </x:c>
      <x:c r="J115" s="29" t="str">
        <x:v>https://creativecommons.org/licenses/by/2.0/</x:v>
      </x:c>
      <x:c r="K115" s="29" t="str">
        <x:v>https://www.flickr.com/photos/59834630@N07/7624837100/</x:v>
      </x:c>
      <x:c r="L115" s="31" t="d">
        <x:v>2012-06-28T00:00:00.000Z</x:v>
      </x:c>
      <x:c r="M115" s="31" t="d">
        <x:v>2026-10-24T00:00:00.000Z</x:v>
      </x:c>
      <x:c r="N115" s="29" t="str">
        <x:v>EXIF yönü uygulandı; boyut küçültülüp WebP biçimine dönüştürüldü.</x:v>
      </x:c>
      <x:c r="O115" s="29" t="str">
        <x:v>bakersfield:evidence:venue-22080</x:v>
      </x:c>
      <x:c r="P115" s="29" t="str">
        <x:v>Evet</x:v>
      </x:c>
      <x:c r="Q115" s="35" t="n">
        <x:v>0</x:v>
      </x:c>
      <x:c r="R115" s="29" t="str">
        <x:v>İnceleme</x:v>
      </x:c>
      <x:c r="S115" s="36" t="n">
        <x:f>IF(OR(A115="",C115&lt;&gt;"Mekân",P115&lt;&gt;"Evet"),0,IF(COUNTIFS($F$8:F115,F115,$C$8:C115,"Mekân",$P$8:P115,"Evet")=1,1,0))</x:f>
        <x:v>1</x:v>
      </x:c>
      <x:c r="T115" s="36" t="n">
        <x:f>IF(OR(A115="",C115&lt;&gt;"Kapak",P115&lt;&gt;"Evet"),0,IF(COUNTIFS($F$8:F115,F115,$C$8:C115,"Kapak",$P$8:P115,"Evet")=1,1,0))</x:f>
        <x:v>0</x:v>
      </x:c>
    </x:row>
    <x:row r="116" ht="54" customHeight="1">
      <x:c r="A116" s="29" t="str">
        <x:v>bakersfield:photo:venue-22081</x:v>
      </x:c>
      <x:c r="B116" s="29" t="str">
        <x:v>bakersfield</x:v>
      </x:c>
      <x:c r="C116" s="29" t="str">
        <x:v>Mekân</x:v>
      </x:c>
      <x:c r="D116" s="29" t="str">
        <x:v>bakersfield:yer-local-bakersfield-river-walk</x:v>
      </x:c>
      <x:c r="E116" s="29" t="str">
        <x:v>Fotoğraflar/bk-d8a81b420a3bb1291eabbf29.webp</x:v>
      </x:c>
      <x:c r="F116" s="29" t="str">
        <x:v>d8a81b420a3bb1291eabbf2937fd855ca281a17ceb67a3105cbb1abfa81ce925</x:v>
      </x:c>
      <x:c r="G116" s="29" t="str">
        <x:v>The Park at River Walk · 2024 tarihli fotoğraf</x:v>
      </x:c>
      <x:c r="H116" s="29" t="str">
        <x:v>mbtrama</x:v>
      </x:c>
      <x:c r="I116" s="29" t="str">
        <x:v>CC BY 2.0</x:v>
      </x:c>
      <x:c r="J116" s="29" t="str">
        <x:v>https://creativecommons.org/licenses/by/2.0/</x:v>
      </x:c>
      <x:c r="K116" s="29" t="str">
        <x:v>https://www.flickr.com/photos/61412218@N00/53995380903/</x:v>
      </x:c>
      <x:c r="L116" s="31" t="d">
        <x:v>2024-01-27T00:00:00.000Z</x:v>
      </x:c>
      <x:c r="M116" s="31" t="d">
        <x:v>2026-10-24T00:00:00.000Z</x:v>
      </x:c>
      <x:c r="N116" s="29" t="str">
        <x:v>EXIF yönü uygulandı; boyut küçültülüp WebP biçimine dönüştürüldü.</x:v>
      </x:c>
      <x:c r="O116" s="29" t="str">
        <x:v>bakersfield:evidence:venue-22081</x:v>
      </x:c>
      <x:c r="P116" s="29" t="str">
        <x:v>Evet</x:v>
      </x:c>
      <x:c r="Q116" s="35" t="n">
        <x:v>1</x:v>
      </x:c>
      <x:c r="R116" s="29" t="str">
        <x:v>İnceleme</x:v>
      </x:c>
      <x:c r="S116" s="36" t="n">
        <x:f>IF(OR(A116="",C116&lt;&gt;"Mekân",P116&lt;&gt;"Evet"),0,IF(COUNTIFS($F$8:F116,F116,$C$8:C116,"Mekân",$P$8:P116,"Evet")=1,1,0))</x:f>
        <x:v>1</x:v>
      </x:c>
      <x:c r="T116" s="36" t="n">
        <x:f>IF(OR(A116="",C116&lt;&gt;"Kapak",P116&lt;&gt;"Evet"),0,IF(COUNTIFS($F$8:F116,F116,$C$8:C116,"Kapak",$P$8:P116,"Evet")=1,1,0))</x:f>
        <x:v>0</x:v>
      </x:c>
    </x:row>
    <x:row r="117" ht="54" customHeight="1">
      <x:c r="A117" s="29" t="str">
        <x:v>bakersfield:photo:venue-22082</x:v>
      </x:c>
      <x:c r="B117" s="29" t="str">
        <x:v>bakersfield</x:v>
      </x:c>
      <x:c r="C117" s="29" t="str">
        <x:v>Mekân</x:v>
      </x:c>
      <x:c r="D117" s="29" t="str">
        <x:v>bakersfield:yer-local-bakersfield-river-walk</x:v>
      </x:c>
      <x:c r="E117" s="29" t="str">
        <x:v>Fotoğraflar/bk-57807a66af6e632a2abca0dd.webp</x:v>
      </x:c>
      <x:c r="F117" s="29" t="str">
        <x:v>57807a66af6e632a2abca0dd997c1644be510f00fb69d8484e60446e533b75d6</x:v>
      </x:c>
      <x:c r="G117" s="29" t="str">
        <x:v>The Park at River Walk · 2012 tarihli fotoğraf</x:v>
      </x:c>
      <x:c r="H117" s="29" t="str">
        <x:v>Randall Degges</x:v>
      </x:c>
      <x:c r="I117" s="29" t="str">
        <x:v>CC BY 2.0</x:v>
      </x:c>
      <x:c r="J117" s="29" t="str">
        <x:v>https://creativecommons.org/licenses/by/2.0/</x:v>
      </x:c>
      <x:c r="K117" s="29" t="str">
        <x:v>https://www.flickr.com/photos/59834630@N07/7624910100/</x:v>
      </x:c>
      <x:c r="L117" s="31" t="d">
        <x:v>2012-06-28T00:00:00.000Z</x:v>
      </x:c>
      <x:c r="M117" s="31" t="d">
        <x:v>2026-10-24T00:00:00.000Z</x:v>
      </x:c>
      <x:c r="N117" s="29" t="str">
        <x:v>EXIF yönü uygulandı; boyut küçültülüp WebP biçimine dönüştürüldü.</x:v>
      </x:c>
      <x:c r="O117" s="29" t="str">
        <x:v>bakersfield:evidence:venue-22082</x:v>
      </x:c>
      <x:c r="P117" s="29" t="str">
        <x:v>Evet</x:v>
      </x:c>
      <x:c r="Q117" s="35" t="n">
        <x:v>2</x:v>
      </x:c>
      <x:c r="R117" s="29" t="str">
        <x:v>İnceleme</x:v>
      </x:c>
      <x:c r="S117" s="36" t="n">
        <x:f>IF(OR(A117="",C117&lt;&gt;"Mekân",P117&lt;&gt;"Evet"),0,IF(COUNTIFS($F$8:F117,F117,$C$8:C117,"Mekân",$P$8:P117,"Evet")=1,1,0))</x:f>
        <x:v>1</x:v>
      </x:c>
      <x:c r="T117" s="36" t="n">
        <x:f>IF(OR(A117="",C117&lt;&gt;"Kapak",P117&lt;&gt;"Evet"),0,IF(COUNTIFS($F$8:F117,F117,$C$8:C117,"Kapak",$P$8:P117,"Evet")=1,1,0))</x:f>
        <x:v>0</x:v>
      </x:c>
    </x:row>
    <x:row r="118" ht="54" customHeight="1">
      <x:c r="A118" s="29" t="str">
        <x:v>bakersfield:photo:venue-22083</x:v>
      </x:c>
      <x:c r="B118" s="29" t="str">
        <x:v>bakersfield</x:v>
      </x:c>
      <x:c r="C118" s="29" t="str">
        <x:v>Mekân</x:v>
      </x:c>
      <x:c r="D118" s="29" t="str">
        <x:v>bakersfield:yer-local-bakersfield-river-walk</x:v>
      </x:c>
      <x:c r="E118" s="29" t="str">
        <x:v>Fotoğraflar/bk-9789f57962154c7a0c23ba5e.webp</x:v>
      </x:c>
      <x:c r="F118" s="29" t="str">
        <x:v>9789f57962154c7a0c23ba5ed4025fd9a930f331cdd1a504eedc3ef44880d161</x:v>
      </x:c>
      <x:c r="G118" s="29" t="str">
        <x:v>The Park at River Walk · 2012 tarihli fotoğraf</x:v>
      </x:c>
      <x:c r="H118" s="29" t="str">
        <x:v>Randall Degges</x:v>
      </x:c>
      <x:c r="I118" s="29" t="str">
        <x:v>CC BY 2.0</x:v>
      </x:c>
      <x:c r="J118" s="29" t="str">
        <x:v>https://creativecommons.org/licenses/by/2.0/</x:v>
      </x:c>
      <x:c r="K118" s="29" t="str">
        <x:v>https://www.flickr.com/photos/59834630@N07/7627463382/</x:v>
      </x:c>
      <x:c r="L118" s="31" t="d">
        <x:v>2012-06-28T00:00:00.000Z</x:v>
      </x:c>
      <x:c r="M118" s="31" t="d">
        <x:v>2026-10-24T00:00:00.000Z</x:v>
      </x:c>
      <x:c r="N118" s="29" t="str">
        <x:v>EXIF yönü uygulandı; boyut küçültülüp WebP biçimine dönüştürüldü.</x:v>
      </x:c>
      <x:c r="O118" s="29" t="str">
        <x:v>bakersfield:evidence:venue-22083</x:v>
      </x:c>
      <x:c r="P118" s="29" t="str">
        <x:v>Evet</x:v>
      </x:c>
      <x:c r="Q118" s="35" t="n">
        <x:v>3</x:v>
      </x:c>
      <x:c r="R118" s="29" t="str">
        <x:v>İnceleme</x:v>
      </x:c>
      <x:c r="S118" s="36" t="n">
        <x:f>IF(OR(A118="",C118&lt;&gt;"Mekân",P118&lt;&gt;"Evet"),0,IF(COUNTIFS($F$8:F118,F118,$C$8:C118,"Mekân",$P$8:P118,"Evet")=1,1,0))</x:f>
        <x:v>1</x:v>
      </x:c>
      <x:c r="T118" s="36" t="n">
        <x:f>IF(OR(A118="",C118&lt;&gt;"Kapak",P118&lt;&gt;"Evet"),0,IF(COUNTIFS($F$8:F118,F118,$C$8:C118,"Kapak",$P$8:P118,"Evet")=1,1,0))</x:f>
        <x:v>0</x:v>
      </x:c>
    </x:row>
    <x:row r="119" ht="54" customHeight="1">
      <x:c r="A119" s="29" t="str">
        <x:v>bakersfield:photo:venue-22084</x:v>
      </x:c>
      <x:c r="B119" s="29" t="str">
        <x:v>bakersfield</x:v>
      </x:c>
      <x:c r="C119" s="29" t="str">
        <x:v>Mekân</x:v>
      </x:c>
      <x:c r="D119" s="29" t="str">
        <x:v>bakersfield:yer-local-bakersfield-river-walk</x:v>
      </x:c>
      <x:c r="E119" s="29" t="str">
        <x:v>Fotoğraflar/bk-ffeb04a895e3c53042a878ec.webp</x:v>
      </x:c>
      <x:c r="F119" s="29" t="str">
        <x:v>ffeb04a895e3c53042a878ec529e89c9a3ba744686cb6ca2201b147e1c42801f</x:v>
      </x:c>
      <x:c r="G119" s="29" t="str">
        <x:v>The Park at River Walk · 2012 tarihli fotoğraf</x:v>
      </x:c>
      <x:c r="H119" s="29" t="str">
        <x:v>Randall Degges</x:v>
      </x:c>
      <x:c r="I119" s="29" t="str">
        <x:v>CC BY 2.0</x:v>
      </x:c>
      <x:c r="J119" s="29" t="str">
        <x:v>https://creativecommons.org/licenses/by/2.0/</x:v>
      </x:c>
      <x:c r="K119" s="29" t="str">
        <x:v>https://www.flickr.com/photos/59834630@N07/7624992020/</x:v>
      </x:c>
      <x:c r="L119" s="31" t="d">
        <x:v>2012-06-28T00:00:00.000Z</x:v>
      </x:c>
      <x:c r="M119" s="31" t="d">
        <x:v>2026-10-24T00:00:00.000Z</x:v>
      </x:c>
      <x:c r="N119" s="29" t="str">
        <x:v>EXIF yönü uygulandı; boyut küçültülüp WebP biçimine dönüştürüldü.</x:v>
      </x:c>
      <x:c r="O119" s="29" t="str">
        <x:v>bakersfield:evidence:venue-22084</x:v>
      </x:c>
      <x:c r="P119" s="29" t="str">
        <x:v>Evet</x:v>
      </x:c>
      <x:c r="Q119" s="35" t="n">
        <x:v>4</x:v>
      </x:c>
      <x:c r="R119" s="29" t="str">
        <x:v>İnceleme</x:v>
      </x:c>
      <x:c r="S119" s="36" t="n">
        <x:f>IF(OR(A119="",C119&lt;&gt;"Mekân",P119&lt;&gt;"Evet"),0,IF(COUNTIFS($F$8:F119,F119,$C$8:C119,"Mekân",$P$8:P119,"Evet")=1,1,0))</x:f>
        <x:v>1</x:v>
      </x:c>
      <x:c r="T119" s="36" t="n">
        <x:f>IF(OR(A119="",C119&lt;&gt;"Kapak",P119&lt;&gt;"Evet"),0,IF(COUNTIFS($F$8:F119,F119,$C$8:C119,"Kapak",$P$8:P119,"Evet")=1,1,0))</x:f>
        <x:v>0</x:v>
      </x:c>
    </x:row>
    <x:row r="120" ht="54" customHeight="1">
      <x:c r="A120" s="29" t="str">
        <x:v>bakersfield:photo:venue-22085</x:v>
      </x:c>
      <x:c r="B120" s="29" t="str">
        <x:v>bakersfield</x:v>
      </x:c>
      <x:c r="C120" s="29" t="str">
        <x:v>Mekân</x:v>
      </x:c>
      <x:c r="D120" s="29" t="str">
        <x:v>bakersfield:yer-local-bakersfield-river-walk</x:v>
      </x:c>
      <x:c r="E120" s="29" t="str">
        <x:v>Fotoğraflar/bk-c104e10084088e765740d041.webp</x:v>
      </x:c>
      <x:c r="F120" s="29" t="str">
        <x:v>c104e10084088e765740d041c80c00048a63c79b3c6a9bfc8ae3948831166ea4</x:v>
      </x:c>
      <x:c r="G120" s="29" t="str">
        <x:v>The Park at River Walk · 2012 tarihli fotoğraf</x:v>
      </x:c>
      <x:c r="H120" s="29" t="str">
        <x:v>Randall Degges</x:v>
      </x:c>
      <x:c r="I120" s="29" t="str">
        <x:v>CC BY 2.0</x:v>
      </x:c>
      <x:c r="J120" s="29" t="str">
        <x:v>https://creativecommons.org/licenses/by/2.0/</x:v>
      </x:c>
      <x:c r="K120" s="29" t="str">
        <x:v>https://www.flickr.com/photos/59834630@N07/7625238070/</x:v>
      </x:c>
      <x:c r="L120" s="31" t="d">
        <x:v>2012-06-28T00:00:00.000Z</x:v>
      </x:c>
      <x:c r="M120" s="31" t="d">
        <x:v>2026-10-24T00:00:00.000Z</x:v>
      </x:c>
      <x:c r="N120" s="29" t="str">
        <x:v>EXIF yönü uygulandı; boyut küçültülüp WebP biçimine dönüştürüldü.</x:v>
      </x:c>
      <x:c r="O120" s="29" t="str">
        <x:v>bakersfield:evidence:venue-22085</x:v>
      </x:c>
      <x:c r="P120" s="29" t="str">
        <x:v>Evet</x:v>
      </x:c>
      <x:c r="Q120" s="35" t="n">
        <x:v>5</x:v>
      </x:c>
      <x:c r="R120" s="29" t="str">
        <x:v>İnceleme</x:v>
      </x:c>
      <x:c r="S120" s="36" t="n">
        <x:f>IF(OR(A120="",C120&lt;&gt;"Mekân",P120&lt;&gt;"Evet"),0,IF(COUNTIFS($F$8:F120,F120,$C$8:C120,"Mekân",$P$8:P120,"Evet")=1,1,0))</x:f>
        <x:v>1</x:v>
      </x:c>
      <x:c r="T120" s="36" t="n">
        <x:f>IF(OR(A120="",C120&lt;&gt;"Kapak",P120&lt;&gt;"Evet"),0,IF(COUNTIFS($F$8:F120,F120,$C$8:C120,"Kapak",$P$8:P120,"Evet")=1,1,0))</x:f>
        <x:v>0</x:v>
      </x:c>
    </x:row>
    <x:row r="121" ht="54" customHeight="1">
      <x:c r="A121" s="29" t="str">
        <x:v>bakersfield:photo:venue-22086</x:v>
      </x:c>
      <x:c r="B121" s="29" t="str">
        <x:v>bakersfield</x:v>
      </x:c>
      <x:c r="C121" s="29" t="str">
        <x:v>Mekân</x:v>
      </x:c>
      <x:c r="D121" s="29" t="str">
        <x:v>bakersfield:yer-local-bakersfield-river-walk</x:v>
      </x:c>
      <x:c r="E121" s="29" t="str">
        <x:v>Fotoğraflar/bk-0a3e70518d1b27abfb87e94c.webp</x:v>
      </x:c>
      <x:c r="F121" s="29" t="str">
        <x:v>0a3e70518d1b27abfb87e94c5e44444261bc2ce649e8ca1bc1d1dfc860ec87e9</x:v>
      </x:c>
      <x:c r="G121" s="29" t="str">
        <x:v>The Park at River Walk · 2012 tarihli fotoğraf</x:v>
      </x:c>
      <x:c r="H121" s="29" t="str">
        <x:v>Randall Degges</x:v>
      </x:c>
      <x:c r="I121" s="29" t="str">
        <x:v>CC BY 2.0</x:v>
      </x:c>
      <x:c r="J121" s="29" t="str">
        <x:v>https://creativecommons.org/licenses/by/2.0/</x:v>
      </x:c>
      <x:c r="K121" s="29" t="str">
        <x:v>https://www.flickr.com/photos/59834630@N07/7627581260/</x:v>
      </x:c>
      <x:c r="L121" s="31" t="d">
        <x:v>2012-06-28T00:00:00.000Z</x:v>
      </x:c>
      <x:c r="M121" s="31" t="d">
        <x:v>2026-10-24T00:00:00.000Z</x:v>
      </x:c>
      <x:c r="N121" s="29" t="str">
        <x:v>EXIF yönü uygulandı; boyut küçültülüp WebP biçimine dönüştürüldü.</x:v>
      </x:c>
      <x:c r="O121" s="29" t="str">
        <x:v>bakersfield:evidence:venue-22086</x:v>
      </x:c>
      <x:c r="P121" s="29" t="str">
        <x:v>Evet</x:v>
      </x:c>
      <x:c r="Q121" s="35" t="n">
        <x:v>6</x:v>
      </x:c>
      <x:c r="R121" s="29" t="str">
        <x:v>İnceleme</x:v>
      </x:c>
      <x:c r="S121" s="36" t="n">
        <x:f>IF(OR(A121="",C121&lt;&gt;"Mekân",P121&lt;&gt;"Evet"),0,IF(COUNTIFS($F$8:F121,F121,$C$8:C121,"Mekân",$P$8:P121,"Evet")=1,1,0))</x:f>
        <x:v>1</x:v>
      </x:c>
      <x:c r="T121" s="36" t="n">
        <x:f>IF(OR(A121="",C121&lt;&gt;"Kapak",P121&lt;&gt;"Evet"),0,IF(COUNTIFS($F$8:F121,F121,$C$8:C121,"Kapak",$P$8:P121,"Evet")=1,1,0))</x:f>
        <x:v>0</x:v>
      </x:c>
    </x:row>
    <x:row r="122" ht="54" customHeight="1">
      <x:c r="A122" s="29" t="str">
        <x:v>bakersfield:photo:venue-22087</x:v>
      </x:c>
      <x:c r="B122" s="29" t="str">
        <x:v>bakersfield</x:v>
      </x:c>
      <x:c r="C122" s="29" t="str">
        <x:v>Mekân</x:v>
      </x:c>
      <x:c r="D122" s="29" t="str">
        <x:v>bakersfield:yer-local-bakersfield-river-walk</x:v>
      </x:c>
      <x:c r="E122" s="29" t="str">
        <x:v>Fotoğraflar/bk-085ebfc441806a6a72e92431.webp</x:v>
      </x:c>
      <x:c r="F122" s="29" t="str">
        <x:v>085ebfc441806a6a72e92431cca7c24012a1274960e652a00a274afc6aa3d3b7</x:v>
      </x:c>
      <x:c r="G122" s="29" t="str">
        <x:v>The Park at River Walk · 2012 tarihli fotoğraf</x:v>
      </x:c>
      <x:c r="H122" s="29" t="str">
        <x:v>Randall Degges</x:v>
      </x:c>
      <x:c r="I122" s="29" t="str">
        <x:v>CC BY 2.0</x:v>
      </x:c>
      <x:c r="J122" s="29" t="str">
        <x:v>https://creativecommons.org/licenses/by/2.0/</x:v>
      </x:c>
      <x:c r="K122" s="29" t="str">
        <x:v>https://www.flickr.com/photos/59834630@N07/7627805440/</x:v>
      </x:c>
      <x:c r="L122" s="31" t="d">
        <x:v>2012-06-28T00:00:00.000Z</x:v>
      </x:c>
      <x:c r="M122" s="31" t="d">
        <x:v>2026-10-24T00:00:00.000Z</x:v>
      </x:c>
      <x:c r="N122" s="29" t="str">
        <x:v>EXIF yönü uygulandı; boyut küçültülüp WebP biçimine dönüştürüldü.</x:v>
      </x:c>
      <x:c r="O122" s="29" t="str">
        <x:v>bakersfield:evidence:venue-22087</x:v>
      </x:c>
      <x:c r="P122" s="29" t="str">
        <x:v>Evet</x:v>
      </x:c>
      <x:c r="Q122" s="35" t="n">
        <x:v>7</x:v>
      </x:c>
      <x:c r="R122" s="29" t="str">
        <x:v>İnceleme</x:v>
      </x:c>
      <x:c r="S122" s="36" t="n">
        <x:f>IF(OR(A122="",C122&lt;&gt;"Mekân",P122&lt;&gt;"Evet"),0,IF(COUNTIFS($F$8:F122,F122,$C$8:C122,"Mekân",$P$8:P122,"Evet")=1,1,0))</x:f>
        <x:v>1</x:v>
      </x:c>
      <x:c r="T122" s="36" t="n">
        <x:f>IF(OR(A122="",C122&lt;&gt;"Kapak",P122&lt;&gt;"Evet"),0,IF(COUNTIFS($F$8:F122,F122,$C$8:C122,"Kapak",$P$8:P122,"Evet")=1,1,0))</x:f>
        <x:v>0</x:v>
      </x:c>
    </x:row>
    <x:row r="123" ht="54" customHeight="1">
      <x:c r="A123" s="29" t="str">
        <x:v>bakersfield:photo:venue-22088</x:v>
      </x:c>
      <x:c r="B123" s="29" t="str">
        <x:v>bakersfield</x:v>
      </x:c>
      <x:c r="C123" s="29" t="str">
        <x:v>Mekân</x:v>
      </x:c>
      <x:c r="D123" s="29" t="str">
        <x:v>bakersfield:yer-local-bakersfield-mill-creek</x:v>
      </x:c>
      <x:c r="E123" s="29" t="str">
        <x:v>Fotoğraflar/bk-939d9955fead0db808f5303a.webp</x:v>
      </x:c>
      <x:c r="F123" s="29" t="str">
        <x:v>939d9955fead0db808f5303ad195a34e523336e9f8149bc099e19b179ac00917</x:v>
      </x:c>
      <x:c r="G123" s="29" t="str">
        <x:v>Central Park at Mill Creek · 2025 tarihli fotoğraf</x:v>
      </x:c>
      <x:c r="H123" s="29" t="str">
        <x:v>EazyDee107</x:v>
      </x:c>
      <x:c r="I123" s="29" t="str">
        <x:v>CC0 1.0</x:v>
      </x:c>
      <x:c r="J123" s="29" t="str">
        <x:v>https://creativecommons.org/publicdomain/zero/1.0/</x:v>
      </x:c>
      <x:c r="K123" s="29" t="str">
        <x:v>https://commons.wikimedia.org/wiki/File:MillCreekBakersfieldPath.jpg</x:v>
      </x:c>
      <x:c r="L123" s="31"/>
      <x:c r="M123" s="31" t="d">
        <x:v>2026-10-24T00:00:00.000Z</x:v>
      </x:c>
      <x:c r="N123" s="29" t="str">
        <x:v>EXIF yönü uygulandı; boyut küçültülüp WebP biçimine dönüştürüldü.</x:v>
      </x:c>
      <x:c r="O123" s="29" t="str">
        <x:v>bakersfield:evidence:venue-22088</x:v>
      </x:c>
      <x:c r="P123" s="29" t="str">
        <x:v>Evet</x:v>
      </x:c>
      <x:c r="Q123" s="35" t="n">
        <x:v>0</x:v>
      </x:c>
      <x:c r="R123" s="29" t="str">
        <x:v>İnceleme</x:v>
      </x:c>
      <x:c r="S123" s="36" t="n">
        <x:f>IF(OR(A123="",C123&lt;&gt;"Mekân",P123&lt;&gt;"Evet"),0,IF(COUNTIFS($F$8:F123,F123,$C$8:C123,"Mekân",$P$8:P123,"Evet")=1,1,0))</x:f>
        <x:v>1</x:v>
      </x:c>
      <x:c r="T123" s="36" t="n">
        <x:f>IF(OR(A123="",C123&lt;&gt;"Kapak",P123&lt;&gt;"Evet"),0,IF(COUNTIFS($F$8:F123,F123,$C$8:C123,"Kapak",$P$8:P123,"Evet")=1,1,0))</x:f>
        <x:v>0</x:v>
      </x:c>
    </x:row>
    <x:row r="124" ht="54" customHeight="1">
      <x:c r="A124" s="29" t="str">
        <x:v>bakersfield:photo:venue-22089</x:v>
      </x:c>
      <x:c r="B124" s="29" t="str">
        <x:v>bakersfield</x:v>
      </x:c>
      <x:c r="C124" s="29" t="str">
        <x:v>Mekân</x:v>
      </x:c>
      <x:c r="D124" s="29" t="str">
        <x:v>bakersfield:yer-local-bakersfield-mill-creek</x:v>
      </x:c>
      <x:c r="E124" s="29" t="str">
        <x:v>Fotoğraflar/bk-5987d5a76c2414407ef94d89.webp</x:v>
      </x:c>
      <x:c r="F124" s="29" t="str">
        <x:v>5987d5a76c2414407ef94d89bef4087b85ced7db99d25ddde7ba949331160065</x:v>
      </x:c>
      <x:c r="G124" s="29" t="str">
        <x:v>Central Park at Mill Creek · 2011 tarihli fotoğraf</x:v>
      </x:c>
      <x:c r="H124" s="29" t="str">
        <x:v>Chuck Abbe</x:v>
      </x:c>
      <x:c r="I124" s="29" t="str">
        <x:v>CC BY 2.0</x:v>
      </x:c>
      <x:c r="J124" s="29" t="str">
        <x:v>https://creativecommons.org/licenses/by/2.0/</x:v>
      </x:c>
      <x:c r="K124" s="29" t="str">
        <x:v>https://www.flickr.com/photos/93406569@N00/6345264555/</x:v>
      </x:c>
      <x:c r="L124" s="31" t="d">
        <x:v>2011-11-14T00:00:00.000Z</x:v>
      </x:c>
      <x:c r="M124" s="31" t="d">
        <x:v>2026-10-24T00:00:00.000Z</x:v>
      </x:c>
      <x:c r="N124" s="29" t="str">
        <x:v>EXIF yönü uygulandı; boyut küçültülüp WebP biçimine dönüştürüldü.</x:v>
      </x:c>
      <x:c r="O124" s="29" t="str">
        <x:v>bakersfield:evidence:venue-22089</x:v>
      </x:c>
      <x:c r="P124" s="29" t="str">
        <x:v>Evet</x:v>
      </x:c>
      <x:c r="Q124" s="35" t="n">
        <x:v>1</x:v>
      </x:c>
      <x:c r="R124" s="29" t="str">
        <x:v>İnceleme</x:v>
      </x:c>
      <x:c r="S124" s="36" t="n">
        <x:f>IF(OR(A124="",C124&lt;&gt;"Mekân",P124&lt;&gt;"Evet"),0,IF(COUNTIFS($F$8:F124,F124,$C$8:C124,"Mekân",$P$8:P124,"Evet")=1,1,0))</x:f>
        <x:v>1</x:v>
      </x:c>
      <x:c r="T124" s="36" t="n">
        <x:f>IF(OR(A124="",C124&lt;&gt;"Kapak",P124&lt;&gt;"Evet"),0,IF(COUNTIFS($F$8:F124,F124,$C$8:C124,"Kapak",$P$8:P124,"Evet")=1,1,0))</x:f>
        <x:v>0</x:v>
      </x:c>
    </x:row>
    <x:row r="125" ht="54" customHeight="1">
      <x:c r="A125" s="29" t="str">
        <x:v>bakersfield:photo:venue-22090</x:v>
      </x:c>
      <x:c r="B125" s="29" t="str">
        <x:v>bakersfield</x:v>
      </x:c>
      <x:c r="C125" s="29" t="str">
        <x:v>Mekân</x:v>
      </x:c>
      <x:c r="D125" s="29" t="str">
        <x:v>bakersfield:yer-local-bakersfield-mill-creek</x:v>
      </x:c>
      <x:c r="E125" s="29" t="str">
        <x:v>Fotoğraflar/bk-1b25b876dcbcd876d2ff851a.webp</x:v>
      </x:c>
      <x:c r="F125" s="29" t="str">
        <x:v>1b25b876dcbcd876d2ff851ae31bc0361a3ed135cb4960c47e1fb2ac04d8fd8f</x:v>
      </x:c>
      <x:c r="G125" s="29" t="str">
        <x:v>Central Park at Mill Creek · 2011 tarihli fotoğraf</x:v>
      </x:c>
      <x:c r="H125" s="29" t="str">
        <x:v>Chuck Abbe</x:v>
      </x:c>
      <x:c r="I125" s="29" t="str">
        <x:v>CC BY 2.0</x:v>
      </x:c>
      <x:c r="J125" s="29" t="str">
        <x:v>https://creativecommons.org/licenses/by/2.0/</x:v>
      </x:c>
      <x:c r="K125" s="29" t="str">
        <x:v>https://www.flickr.com/photos/93406569@N00/6345265313/</x:v>
      </x:c>
      <x:c r="L125" s="31" t="d">
        <x:v>2011-11-14T00:00:00.000Z</x:v>
      </x:c>
      <x:c r="M125" s="31" t="d">
        <x:v>2026-10-24T00:00:00.000Z</x:v>
      </x:c>
      <x:c r="N125" s="29" t="str">
        <x:v>EXIF yönü uygulandı; boyut küçültülüp WebP biçimine dönüştürüldü.</x:v>
      </x:c>
      <x:c r="O125" s="29" t="str">
        <x:v>bakersfield:evidence:venue-22090</x:v>
      </x:c>
      <x:c r="P125" s="29" t="str">
        <x:v>Evet</x:v>
      </x:c>
      <x:c r="Q125" s="35" t="n">
        <x:v>2</x:v>
      </x:c>
      <x:c r="R125" s="29" t="str">
        <x:v>İnceleme</x:v>
      </x:c>
      <x:c r="S125" s="36" t="n">
        <x:f>IF(OR(A125="",C125&lt;&gt;"Mekân",P125&lt;&gt;"Evet"),0,IF(COUNTIFS($F$8:F125,F125,$C$8:C125,"Mekân",$P$8:P125,"Evet")=1,1,0))</x:f>
        <x:v>1</x:v>
      </x:c>
      <x:c r="T125" s="36" t="n">
        <x:f>IF(OR(A125="",C125&lt;&gt;"Kapak",P125&lt;&gt;"Evet"),0,IF(COUNTIFS($F$8:F125,F125,$C$8:C125,"Kapak",$P$8:P125,"Evet")=1,1,0))</x:f>
        <x:v>0</x:v>
      </x:c>
    </x:row>
    <x:row r="126" ht="54" customHeight="1">
      <x:c r="A126" s="29" t="str">
        <x:v>bakersfield:photo:venue-22091</x:v>
      </x:c>
      <x:c r="B126" s="29" t="str">
        <x:v>bakersfield</x:v>
      </x:c>
      <x:c r="C126" s="29" t="str">
        <x:v>Mekân</x:v>
      </x:c>
      <x:c r="D126" s="29" t="str">
        <x:v>bakersfield:yer-local-bakersfield-mill-creek</x:v>
      </x:c>
      <x:c r="E126" s="29" t="str">
        <x:v>Fotoğraflar/bk-c11b997ea28a4bf8ad4946aa.webp</x:v>
      </x:c>
      <x:c r="F126" s="29" t="str">
        <x:v>c11b997ea28a4bf8ad4946aaf75311e7d70fd9996c17fa8aa6d3a99db87deb45</x:v>
      </x:c>
      <x:c r="G126" s="29" t="str">
        <x:v>Central Park at Mill Creek · 2014 tarihli fotoğraf</x:v>
      </x:c>
      <x:c r="H126" s="29" t="str">
        <x:v>Julie Jordan Scott</x:v>
      </x:c>
      <x:c r="I126" s="29" t="str">
        <x:v>CC BY 2.0</x:v>
      </x:c>
      <x:c r="J126" s="29" t="str">
        <x:v>https://creativecommons.org/licenses/by/2.0/</x:v>
      </x:c>
      <x:c r="K126" s="29" t="str">
        <x:v>https://www.flickr.com/photos/98609821@N00/14134552344/</x:v>
      </x:c>
      <x:c r="L126" s="31" t="d">
        <x:v>2014-05-07T00:00:00.000Z</x:v>
      </x:c>
      <x:c r="M126" s="31" t="d">
        <x:v>2026-10-24T00:00:00.000Z</x:v>
      </x:c>
      <x:c r="N126" s="29" t="str">
        <x:v>EXIF yönü uygulandı; boyut küçültülüp WebP biçimine dönüştürüldü.</x:v>
      </x:c>
      <x:c r="O126" s="29" t="str">
        <x:v>bakersfield:evidence:venue-22091</x:v>
      </x:c>
      <x:c r="P126" s="29" t="str">
        <x:v>Evet</x:v>
      </x:c>
      <x:c r="Q126" s="35" t="n">
        <x:v>3</x:v>
      </x:c>
      <x:c r="R126" s="29" t="str">
        <x:v>İnceleme</x:v>
      </x:c>
      <x:c r="S126" s="36" t="n">
        <x:f>IF(OR(A126="",C126&lt;&gt;"Mekân",P126&lt;&gt;"Evet"),0,IF(COUNTIFS($F$8:F126,F126,$C$8:C126,"Mekân",$P$8:P126,"Evet")=1,1,0))</x:f>
        <x:v>1</x:v>
      </x:c>
      <x:c r="T126" s="36" t="n">
        <x:f>IF(OR(A126="",C126&lt;&gt;"Kapak",P126&lt;&gt;"Evet"),0,IF(COUNTIFS($F$8:F126,F126,$C$8:C126,"Kapak",$P$8:P126,"Evet")=1,1,0))</x:f>
        <x:v>0</x:v>
      </x:c>
    </x:row>
    <x:row r="127" ht="54" customHeight="1">
      <x:c r="A127" s="29" t="str">
        <x:v>bakersfield:photo:venue-22092</x:v>
      </x:c>
      <x:c r="B127" s="29" t="str">
        <x:v>bakersfield</x:v>
      </x:c>
      <x:c r="C127" s="29" t="str">
        <x:v>Mekân</x:v>
      </x:c>
      <x:c r="D127" s="29" t="str">
        <x:v>bakersfield:yer-local-bakersfield-mill-creek</x:v>
      </x:c>
      <x:c r="E127" s="29" t="str">
        <x:v>Fotoğraflar/bk-d0e62af2b2bc47522f2220fc.webp</x:v>
      </x:c>
      <x:c r="F127" s="29" t="str">
        <x:v>d0e62af2b2bc47522f2220fc5054d2c5d4c240ba965916baa6e8975640b9e63b</x:v>
      </x:c>
      <x:c r="G127" s="29" t="str">
        <x:v>Central Park at Mill Creek · 2014 tarihli fotoğraf</x:v>
      </x:c>
      <x:c r="H127" s="29" t="str">
        <x:v>Julie Jordan Scott</x:v>
      </x:c>
      <x:c r="I127" s="29" t="str">
        <x:v>CC BY 2.0</x:v>
      </x:c>
      <x:c r="J127" s="29" t="str">
        <x:v>https://creativecommons.org/licenses/by/2.0/</x:v>
      </x:c>
      <x:c r="K127" s="29" t="str">
        <x:v>https://www.flickr.com/photos/98609821@N00/14130991991/</x:v>
      </x:c>
      <x:c r="L127" s="31" t="d">
        <x:v>2014-05-07T00:00:00.000Z</x:v>
      </x:c>
      <x:c r="M127" s="31" t="d">
        <x:v>2026-10-24T00:00:00.000Z</x:v>
      </x:c>
      <x:c r="N127" s="29" t="str">
        <x:v>EXIF yönü uygulandı; boyut küçültülüp WebP biçimine dönüştürüldü.</x:v>
      </x:c>
      <x:c r="O127" s="29" t="str">
        <x:v>bakersfield:evidence:venue-22092</x:v>
      </x:c>
      <x:c r="P127" s="29" t="str">
        <x:v>Evet</x:v>
      </x:c>
      <x:c r="Q127" s="35" t="n">
        <x:v>4</x:v>
      </x:c>
      <x:c r="R127" s="29" t="str">
        <x:v>İnceleme</x:v>
      </x:c>
      <x:c r="S127" s="36" t="n">
        <x:f>IF(OR(A127="",C127&lt;&gt;"Mekân",P127&lt;&gt;"Evet"),0,IF(COUNTIFS($F$8:F127,F127,$C$8:C127,"Mekân",$P$8:P127,"Evet")=1,1,0))</x:f>
        <x:v>1</x:v>
      </x:c>
      <x:c r="T127" s="36" t="n">
        <x:f>IF(OR(A127="",C127&lt;&gt;"Kapak",P127&lt;&gt;"Evet"),0,IF(COUNTIFS($F$8:F127,F127,$C$8:C127,"Kapak",$P$8:P127,"Evet")=1,1,0))</x:f>
        <x:v>0</x:v>
      </x:c>
    </x:row>
    <x:row r="128" ht="54" customHeight="1">
      <x:c r="A128" s="29" t="str">
        <x:v>bakersfield:photo:venue-22093</x:v>
      </x:c>
      <x:c r="B128" s="29" t="str">
        <x:v>bakersfield</x:v>
      </x:c>
      <x:c r="C128" s="29" t="str">
        <x:v>Mekân</x:v>
      </x:c>
      <x:c r="D128" s="29" t="str">
        <x:v>bakersfield:yer-local-bakersfield-mill-creek</x:v>
      </x:c>
      <x:c r="E128" s="29" t="str">
        <x:v>Fotoğraflar/bk-e4f8bb0365270865ed07891d.webp</x:v>
      </x:c>
      <x:c r="F128" s="29" t="str">
        <x:v>e4f8bb0365270865ed07891daeee34193a5da293bbd1ec0bab9583a1cce8ae51</x:v>
      </x:c>
      <x:c r="G128" s="29" t="str">
        <x:v>Central Park at Mill Creek · 2014 tarihli fotoğraf</x:v>
      </x:c>
      <x:c r="H128" s="29" t="str">
        <x:v>Julie Jordan Scott</x:v>
      </x:c>
      <x:c r="I128" s="29" t="str">
        <x:v>CC BY 2.0</x:v>
      </x:c>
      <x:c r="J128" s="29" t="str">
        <x:v>https://creativecommons.org/licenses/by/2.0/</x:v>
      </x:c>
      <x:c r="K128" s="29" t="str">
        <x:v>https://www.flickr.com/photos/98609821@N00/13947652260/</x:v>
      </x:c>
      <x:c r="L128" s="31" t="d">
        <x:v>2014-05-07T00:00:00.000Z</x:v>
      </x:c>
      <x:c r="M128" s="31" t="d">
        <x:v>2026-10-24T00:00:00.000Z</x:v>
      </x:c>
      <x:c r="N128" s="29" t="str">
        <x:v>EXIF yönü uygulandı; boyut küçültülüp WebP biçimine dönüştürüldü.</x:v>
      </x:c>
      <x:c r="O128" s="29" t="str">
        <x:v>bakersfield:evidence:venue-22093</x:v>
      </x:c>
      <x:c r="P128" s="29" t="str">
        <x:v>Evet</x:v>
      </x:c>
      <x:c r="Q128" s="35" t="n">
        <x:v>5</x:v>
      </x:c>
      <x:c r="R128" s="29" t="str">
        <x:v>İnceleme</x:v>
      </x:c>
      <x:c r="S128" s="36" t="n">
        <x:f>IF(OR(A128="",C128&lt;&gt;"Mekân",P128&lt;&gt;"Evet"),0,IF(COUNTIFS($F$8:F128,F128,$C$8:C128,"Mekân",$P$8:P128,"Evet")=1,1,0))</x:f>
        <x:v>1</x:v>
      </x:c>
      <x:c r="T128" s="36" t="n">
        <x:f>IF(OR(A128="",C128&lt;&gt;"Kapak",P128&lt;&gt;"Evet"),0,IF(COUNTIFS($F$8:F128,F128,$C$8:C128,"Kapak",$P$8:P128,"Evet")=1,1,0))</x:f>
        <x:v>0</x:v>
      </x:c>
    </x:row>
    <x:row r="129" ht="54" customHeight="1">
      <x:c r="A129" s="29" t="str">
        <x:v>bakersfield:photo:venue-22094</x:v>
      </x:c>
      <x:c r="B129" s="29" t="str">
        <x:v>bakersfield</x:v>
      </x:c>
      <x:c r="C129" s="29" t="str">
        <x:v>Mekân</x:v>
      </x:c>
      <x:c r="D129" s="29" t="str">
        <x:v>bakersfield:yer-local-bakersfield-mill-creek</x:v>
      </x:c>
      <x:c r="E129" s="29" t="str">
        <x:v>Fotoğraflar/bk-5c5fd34f71515e4441bc96a8.webp</x:v>
      </x:c>
      <x:c r="F129" s="29" t="str">
        <x:v>5c5fd34f71515e4441bc96a8f81ec09f490896e6f0ab300200528c7a5d57f413</x:v>
      </x:c>
      <x:c r="G129" s="29" t="str">
        <x:v>Central Park at Mill Creek · 2011 tarihli fotoğraf</x:v>
      </x:c>
      <x:c r="H129" s="29" t="str">
        <x:v>Chuck Abbe</x:v>
      </x:c>
      <x:c r="I129" s="29" t="str">
        <x:v>CC BY 2.0</x:v>
      </x:c>
      <x:c r="J129" s="29" t="str">
        <x:v>https://creativecommons.org/licenses/by/2.0/</x:v>
      </x:c>
      <x:c r="K129" s="29" t="str">
        <x:v>https://www.flickr.com/photos/93406569@N00/6345264777/</x:v>
      </x:c>
      <x:c r="L129" s="31" t="d">
        <x:v>2011-11-14T00:00:00.000Z</x:v>
      </x:c>
      <x:c r="M129" s="31" t="d">
        <x:v>2026-10-24T00:00:00.000Z</x:v>
      </x:c>
      <x:c r="N129" s="29" t="str">
        <x:v>EXIF yönü uygulandı; boyut küçültülüp WebP biçimine dönüştürüldü.</x:v>
      </x:c>
      <x:c r="O129" s="29" t="str">
        <x:v>bakersfield:evidence:venue-22094</x:v>
      </x:c>
      <x:c r="P129" s="29" t="str">
        <x:v>Evet</x:v>
      </x:c>
      <x:c r="Q129" s="35" t="n">
        <x:v>6</x:v>
      </x:c>
      <x:c r="R129" s="29" t="str">
        <x:v>İnceleme</x:v>
      </x:c>
      <x:c r="S129" s="36" t="n">
        <x:f>IF(OR(A129="",C129&lt;&gt;"Mekân",P129&lt;&gt;"Evet"),0,IF(COUNTIFS($F$8:F129,F129,$C$8:C129,"Mekân",$P$8:P129,"Evet")=1,1,0))</x:f>
        <x:v>1</x:v>
      </x:c>
      <x:c r="T129" s="36" t="n">
        <x:f>IF(OR(A129="",C129&lt;&gt;"Kapak",P129&lt;&gt;"Evet"),0,IF(COUNTIFS($F$8:F129,F129,$C$8:C129,"Kapak",$P$8:P129,"Evet")=1,1,0))</x:f>
        <x:v>0</x:v>
      </x:c>
    </x:row>
    <x:row r="130" ht="54" customHeight="1">
      <x:c r="A130" s="29" t="str">
        <x:v>bakersfield:photo:venue-22095</x:v>
      </x:c>
      <x:c r="B130" s="29" t="str">
        <x:v>bakersfield</x:v>
      </x:c>
      <x:c r="C130" s="29" t="str">
        <x:v>Mekân</x:v>
      </x:c>
      <x:c r="D130" s="29" t="str">
        <x:v>bakersfield:yer-local-bakersfield-hart-park</x:v>
      </x:c>
      <x:c r="E130" s="29" t="str">
        <x:v>Fotoğraflar/bk-e84925a3bbd9f6cfeb517305.webp</x:v>
      </x:c>
      <x:c r="F130" s="29" t="str">
        <x:v>e84925a3bbd9f6cfeb517305ec63834d24cad831360cf0deea763d068e0c3923</x:v>
      </x:c>
      <x:c r="G130" s="29" t="str">
        <x:v>Hart Memorial Park · 2023 tarihli fotoğraf</x:v>
      </x:c>
      <x:c r="H130" s="29" t="str">
        <x:v>Anon Anon</x:v>
      </x:c>
      <x:c r="I130" s="29" t="str">
        <x:v>CC0 1.0</x:v>
      </x:c>
      <x:c r="J130" s="29" t="str">
        <x:v>https://creativecommons.org/publicdomain/zero/1.0/</x:v>
      </x:c>
      <x:c r="K130" s="29" t="str">
        <x:v>https://www.flickr.com/photos/193771854@N06/52775718110/</x:v>
      </x:c>
      <x:c r="L130" s="31" t="d">
        <x:v>2023-03-13T00:00:00.000Z</x:v>
      </x:c>
      <x:c r="M130" s="31" t="d">
        <x:v>2026-10-24T00:00:00.000Z</x:v>
      </x:c>
      <x:c r="N130" s="29" t="str">
        <x:v>EXIF yönü uygulandı; boyut küçültülüp WebP biçimine dönüştürüldü.</x:v>
      </x:c>
      <x:c r="O130" s="29" t="str">
        <x:v>bakersfield:evidence:venue-22095</x:v>
      </x:c>
      <x:c r="P130" s="29" t="str">
        <x:v>Evet</x:v>
      </x:c>
      <x:c r="Q130" s="35" t="n">
        <x:v>0</x:v>
      </x:c>
      <x:c r="R130" s="29" t="str">
        <x:v>İnceleme</x:v>
      </x:c>
      <x:c r="S130" s="36" t="n">
        <x:f>IF(OR(A130="",C130&lt;&gt;"Mekân",P130&lt;&gt;"Evet"),0,IF(COUNTIFS($F$8:F130,F130,$C$8:C130,"Mekân",$P$8:P130,"Evet")=1,1,0))</x:f>
        <x:v>1</x:v>
      </x:c>
      <x:c r="T130" s="36" t="n">
        <x:f>IF(OR(A130="",C130&lt;&gt;"Kapak",P130&lt;&gt;"Evet"),0,IF(COUNTIFS($F$8:F130,F130,$C$8:C130,"Kapak",$P$8:P130,"Evet")=1,1,0))</x:f>
        <x:v>0</x:v>
      </x:c>
    </x:row>
    <x:row r="131" ht="54" customHeight="1">
      <x:c r="A131" s="29" t="str">
        <x:v>bakersfield:photo:venue-22096</x:v>
      </x:c>
      <x:c r="B131" s="29" t="str">
        <x:v>bakersfield</x:v>
      </x:c>
      <x:c r="C131" s="29" t="str">
        <x:v>Mekân</x:v>
      </x:c>
      <x:c r="D131" s="29" t="str">
        <x:v>bakersfield:yer-local-bakersfield-lake-ming</x:v>
      </x:c>
      <x:c r="E131" s="29" t="str">
        <x:v>Fotoğraflar/bk-78799bb4fa66e9db6c03179a.webp</x:v>
      </x:c>
      <x:c r="F131" s="29" t="str">
        <x:v>78799bb4fa66e9db6c03179aae2c69448de81c575e83489b576a81995e063b24</x:v>
      </x:c>
      <x:c r="G131" s="29" t="str">
        <x:v>Lake Ming · 2012 tarihli fotoğraf</x:v>
      </x:c>
      <x:c r="H131" s="29" t="str">
        <x:v>MzNobody</x:v>
      </x:c>
      <x:c r="I131" s="29" t="str">
        <x:v>CC BY-SA 3.0</x:v>
      </x:c>
      <x:c r="J131" s="29" t="str">
        <x:v>https://creativecommons.org/licenses/by-sa/3.0</x:v>
      </x:c>
      <x:c r="K131" s="29" t="str">
        <x:v>https://commons.wikimedia.org/wiki/File:Lake_Ming,_California.jpg</x:v>
      </x:c>
      <x:c r="L131" s="31" t="d">
        <x:v>2012-02-04T00:00:00.000Z</x:v>
      </x:c>
      <x:c r="M131" s="31" t="d">
        <x:v>2026-10-24T00:00:00.000Z</x:v>
      </x:c>
      <x:c r="N131" s="29" t="str">
        <x:v>EXIF yönü uygulandı; boyut küçültülüp WebP biçimine dönüştürüldü.</x:v>
      </x:c>
      <x:c r="O131" s="29" t="str">
        <x:v>bakersfield:evidence:venue-22096</x:v>
      </x:c>
      <x:c r="P131" s="29" t="str">
        <x:v>Evet</x:v>
      </x:c>
      <x:c r="Q131" s="35" t="n">
        <x:v>0</x:v>
      </x:c>
      <x:c r="R131" s="29" t="str">
        <x:v>İnceleme</x:v>
      </x:c>
      <x:c r="S131" s="36" t="n">
        <x:f>IF(OR(A131="",C131&lt;&gt;"Mekân",P131&lt;&gt;"Evet"),0,IF(COUNTIFS($F$8:F131,F131,$C$8:C131,"Mekân",$P$8:P131,"Evet")=1,1,0))</x:f>
        <x:v>1</x:v>
      </x:c>
      <x:c r="T131" s="36" t="n">
        <x:f>IF(OR(A131="",C131&lt;&gt;"Kapak",P131&lt;&gt;"Evet"),0,IF(COUNTIFS($F$8:F131,F131,$C$8:C131,"Kapak",$P$8:P131,"Evet")=1,1,0))</x:f>
        <x:v>0</x:v>
      </x:c>
    </x:row>
    <x:row r="132" ht="54" customHeight="1">
      <x:c r="A132" s="29" t="str">
        <x:v>bakersfield:photo:venue-22097</x:v>
      </x:c>
      <x:c r="B132" s="29" t="str">
        <x:v>bakersfield</x:v>
      </x:c>
      <x:c r="C132" s="29" t="str">
        <x:v>Mekân</x:v>
      </x:c>
      <x:c r="D132" s="29" t="str">
        <x:v>bakersfield:yer-local-bakersfield-lake-ming</x:v>
      </x:c>
      <x:c r="E132" s="29" t="str">
        <x:v>Fotoğraflar/bk-de3049ef84c1a1981d3a5122.webp</x:v>
      </x:c>
      <x:c r="F132" s="29" t="str">
        <x:v>de3049ef84c1a1981d3a51223a741f55605d733bf295f10ff2950fa596158648</x:v>
      </x:c>
      <x:c r="G132" s="29" t="str">
        <x:v>Lake Ming · 2021 tarihli fotoğraf</x:v>
      </x:c>
      <x:c r="H132" s="29" t="str">
        <x:v>LittleT889</x:v>
      </x:c>
      <x:c r="I132" s="29" t="str">
        <x:v>CC BY-SA 4.0</x:v>
      </x:c>
      <x:c r="J132" s="29" t="str">
        <x:v>https://creativecommons.org/licenses/by-sa/4.0</x:v>
      </x:c>
      <x:c r="K132" s="29" t="str">
        <x:v>https://commons.wikimedia.org/wiki/File:Kern_River_County_Park.jpg</x:v>
      </x:c>
      <x:c r="L132" s="31"/>
      <x:c r="M132" s="31" t="d">
        <x:v>2026-10-24T00:00:00.000Z</x:v>
      </x:c>
      <x:c r="N132" s="29" t="str">
        <x:v>EXIF yönü uygulandı; boyut küçültülüp WebP biçimine dönüştürüldü.</x:v>
      </x:c>
      <x:c r="O132" s="29" t="str">
        <x:v>bakersfield:evidence:venue-22097</x:v>
      </x:c>
      <x:c r="P132" s="29" t="str">
        <x:v>Evet</x:v>
      </x:c>
      <x:c r="Q132" s="35" t="n">
        <x:v>1</x:v>
      </x:c>
      <x:c r="R132" s="29" t="str">
        <x:v>İnceleme</x:v>
      </x:c>
      <x:c r="S132" s="36" t="n">
        <x:f>IF(OR(A132="",C132&lt;&gt;"Mekân",P132&lt;&gt;"Evet"),0,IF(COUNTIFS($F$8:F132,F132,$C$8:C132,"Mekân",$P$8:P132,"Evet")=1,1,0))</x:f>
        <x:v>1</x:v>
      </x:c>
      <x:c r="T132" s="36" t="n">
        <x:f>IF(OR(A132="",C132&lt;&gt;"Kapak",P132&lt;&gt;"Evet"),0,IF(COUNTIFS($F$8:F132,F132,$C$8:C132,"Kapak",$P$8:P132,"Evet")=1,1,0))</x:f>
        <x:v>0</x:v>
      </x:c>
    </x:row>
    <x:row r="133" ht="54" customHeight="1">
      <x:c r="A133" s="29" t="str">
        <x:v>bakersfield:photo:venue-22098</x:v>
      </x:c>
      <x:c r="B133" s="29" t="str">
        <x:v>bakersfield</x:v>
      </x:c>
      <x:c r="C133" s="29" t="str">
        <x:v>Mekân</x:v>
      </x:c>
      <x:c r="D133" s="29" t="str">
        <x:v>bakersfield:yer-local-bakersfield-panorama-park</x:v>
      </x:c>
      <x:c r="E133" s="29" t="str">
        <x:v>Fotoğraflar/bk-11d9e108c87151b3e75ab548.webp</x:v>
      </x:c>
      <x:c r="F133" s="29" t="str">
        <x:v>11d9e108c87151b3e75ab548f627f3559314dca92d644483d9e50e2602029916</x:v>
      </x:c>
      <x:c r="G133" s="29" t="str">
        <x:v>Panorama Park – The Bluffs · 2021 tarihli fotoğraf</x:v>
      </x:c>
      <x:c r="H133" s="29" t="str">
        <x:v>Julie Jordan Scott</x:v>
      </x:c>
      <x:c r="I133" s="29" t="str">
        <x:v>CC BY 2.0</x:v>
      </x:c>
      <x:c r="J133" s="29" t="str">
        <x:v>https://creativecommons.org/licenses/by/2.0/</x:v>
      </x:c>
      <x:c r="K133" s="29" t="str">
        <x:v>https://www.flickr.com/photos/98609821@N00/51788395283/</x:v>
      </x:c>
      <x:c r="L133" s="31" t="d">
        <x:v>2021-12-30T00:00:00.000Z</x:v>
      </x:c>
      <x:c r="M133" s="31" t="d">
        <x:v>2026-10-24T00:00:00.000Z</x:v>
      </x:c>
      <x:c r="N133" s="29" t="str">
        <x:v>EXIF yönü uygulandı; boyut küçültülüp WebP biçimine dönüştürüldü.</x:v>
      </x:c>
      <x:c r="O133" s="29" t="str">
        <x:v>bakersfield:evidence:venue-22098</x:v>
      </x:c>
      <x:c r="P133" s="29" t="str">
        <x:v>Evet</x:v>
      </x:c>
      <x:c r="Q133" s="35" t="n">
        <x:v>0</x:v>
      </x:c>
      <x:c r="R133" s="29" t="str">
        <x:v>İnceleme</x:v>
      </x:c>
      <x:c r="S133" s="36" t="n">
        <x:f>IF(OR(A133="",C133&lt;&gt;"Mekân",P133&lt;&gt;"Evet"),0,IF(COUNTIFS($F$8:F133,F133,$C$8:C133,"Mekân",$P$8:P133,"Evet")=1,1,0))</x:f>
        <x:v>1</x:v>
      </x:c>
      <x:c r="T133" s="36" t="n">
        <x:f>IF(OR(A133="",C133&lt;&gt;"Kapak",P133&lt;&gt;"Evet"),0,IF(COUNTIFS($F$8:F133,F133,$C$8:C133,"Kapak",$P$8:P133,"Evet")=1,1,0))</x:f>
        <x:v>0</x:v>
      </x:c>
    </x:row>
    <x:row r="134" ht="54" customHeight="1">
      <x:c r="A134" s="29" t="str">
        <x:v>bakersfield:photo:venue-22099</x:v>
      </x:c>
      <x:c r="B134" s="29" t="str">
        <x:v>bakersfield</x:v>
      </x:c>
      <x:c r="C134" s="29" t="str">
        <x:v>Mekân</x:v>
      </x:c>
      <x:c r="D134" s="29" t="str">
        <x:v>bakersfield:yer-local-bakersfield-jastro-park</x:v>
      </x:c>
      <x:c r="E134" s="29" t="str">
        <x:v>Fotoğraflar/bk-92512eac2e0ea0bfef36b828.webp</x:v>
      </x:c>
      <x:c r="F134" s="29" t="str">
        <x:v>92512eac2e0ea0bfef36b82894489211ba5f5415c72020771a73726e7de69f71</x:v>
      </x:c>
      <x:c r="G134" s="29" t="str">
        <x:v>Jastro Park · 2010 tarihli fotoğraf</x:v>
      </x:c>
      <x:c r="H134" s="29" t="str">
        <x:v>Julie Jordan Scott</x:v>
      </x:c>
      <x:c r="I134" s="29" t="str">
        <x:v>CC BY 2.0</x:v>
      </x:c>
      <x:c r="J134" s="29" t="str">
        <x:v>https://creativecommons.org/licenses/by/2.0/</x:v>
      </x:c>
      <x:c r="K134" s="29" t="str">
        <x:v>https://www.flickr.com/photos/98609821@N00/4300726314/</x:v>
      </x:c>
      <x:c r="L134" s="31" t="d">
        <x:v>2010-01-23T00:00:00.000Z</x:v>
      </x:c>
      <x:c r="M134" s="31" t="d">
        <x:v>2026-10-24T00:00:00.000Z</x:v>
      </x:c>
      <x:c r="N134" s="29" t="str">
        <x:v>EXIF yönü uygulandı; boyut küçültülüp WebP biçimine dönüştürüldü.</x:v>
      </x:c>
      <x:c r="O134" s="29" t="str">
        <x:v>bakersfield:evidence:venue-22099</x:v>
      </x:c>
      <x:c r="P134" s="29" t="str">
        <x:v>Evet</x:v>
      </x:c>
      <x:c r="Q134" s="35" t="n">
        <x:v>0</x:v>
      </x:c>
      <x:c r="R134" s="29" t="str">
        <x:v>İnceleme</x:v>
      </x:c>
      <x:c r="S134" s="36" t="n">
        <x:f>IF(OR(A134="",C134&lt;&gt;"Mekân",P134&lt;&gt;"Evet"),0,IF(COUNTIFS($F$8:F134,F134,$C$8:C134,"Mekân",$P$8:P134,"Evet")=1,1,0))</x:f>
        <x:v>1</x:v>
      </x:c>
      <x:c r="T134" s="36" t="n">
        <x:f>IF(OR(A134="",C134&lt;&gt;"Kapak",P134&lt;&gt;"Evet"),0,IF(COUNTIFS($F$8:F134,F134,$C$8:C134,"Kapak",$P$8:P134,"Evet")=1,1,0))</x:f>
        <x:v>0</x:v>
      </x:c>
    </x:row>
    <x:row r="135" ht="54" customHeight="1">
      <x:c r="A135" s="29" t="str">
        <x:v>bakersfield:photo:venue-22100</x:v>
      </x:c>
      <x:c r="B135" s="29" t="str">
        <x:v>bakersfield</x:v>
      </x:c>
      <x:c r="C135" s="29" t="str">
        <x:v>Mekân</x:v>
      </x:c>
      <x:c r="D135" s="29" t="str">
        <x:v>bakersfield:yer-local-bakersfield-jastro-park</x:v>
      </x:c>
      <x:c r="E135" s="29" t="str">
        <x:v>Fotoğraflar/bk-c4437b87828c2740032c7faa.webp</x:v>
      </x:c>
      <x:c r="F135" s="29" t="str">
        <x:v>c4437b87828c2740032c7faa143c834535c3fe167a5d76e239d7ec97d9629f0f</x:v>
      </x:c>
      <x:c r="G135" s="29" t="str">
        <x:v>Jastro Park · 2011 tarihli fotoğraf</x:v>
      </x:c>
      <x:c r="H135" s="29" t="str">
        <x:v>Julie Jordan Scott</x:v>
      </x:c>
      <x:c r="I135" s="29" t="str">
        <x:v>CC BY 2.0</x:v>
      </x:c>
      <x:c r="J135" s="29" t="str">
        <x:v>https://creativecommons.org/licenses/by/2.0/</x:v>
      </x:c>
      <x:c r="K135" s="29" t="str">
        <x:v>https://www.flickr.com/photos/98609821@N00/6121227384/</x:v>
      </x:c>
      <x:c r="L135" s="31" t="d">
        <x:v>2011-09-06T00:00:00.000Z</x:v>
      </x:c>
      <x:c r="M135" s="31" t="d">
        <x:v>2026-10-24T00:00:00.000Z</x:v>
      </x:c>
      <x:c r="N135" s="29" t="str">
        <x:v>EXIF yönü uygulandı; boyut küçültülüp WebP biçimine dönüştürüldü.</x:v>
      </x:c>
      <x:c r="O135" s="29" t="str">
        <x:v>bakersfield:evidence:venue-22100</x:v>
      </x:c>
      <x:c r="P135" s="29" t="str">
        <x:v>Evet</x:v>
      </x:c>
      <x:c r="Q135" s="35" t="n">
        <x:v>1</x:v>
      </x:c>
      <x:c r="R135" s="29" t="str">
        <x:v>İnceleme</x:v>
      </x:c>
      <x:c r="S135" s="36" t="n">
        <x:f>IF(OR(A135="",C135&lt;&gt;"Mekân",P135&lt;&gt;"Evet"),0,IF(COUNTIFS($F$8:F135,F135,$C$8:C135,"Mekân",$P$8:P135,"Evet")=1,1,0))</x:f>
        <x:v>1</x:v>
      </x:c>
      <x:c r="T135" s="36" t="n">
        <x:f>IF(OR(A135="",C135&lt;&gt;"Kapak",P135&lt;&gt;"Evet"),0,IF(COUNTIFS($F$8:F135,F135,$C$8:C135,"Kapak",$P$8:P135,"Evet")=1,1,0))</x:f>
        <x:v>0</x:v>
      </x:c>
    </x:row>
    <x:row r="136" ht="54" customHeight="1">
      <x:c r="A136" s="29" t="str">
        <x:v>bakersfield:photo:venue-22101</x:v>
      </x:c>
      <x:c r="B136" s="29" t="str">
        <x:v>bakersfield</x:v>
      </x:c>
      <x:c r="C136" s="29" t="str">
        <x:v>Mekân</x:v>
      </x:c>
      <x:c r="D136" s="29" t="str">
        <x:v>bakersfield:yer-local-bakersfield-jastro-park</x:v>
      </x:c>
      <x:c r="E136" s="29" t="str">
        <x:v>Fotoğraflar/bk-897bf6dd43adafec5e1f2418.webp</x:v>
      </x:c>
      <x:c r="F136" s="29" t="str">
        <x:v>897bf6dd43adafec5e1f241821a8bbc4d84f1db01e1028763b74788a1f49436e</x:v>
      </x:c>
      <x:c r="G136" s="29" t="str">
        <x:v>Jastro Park</x:v>
      </x:c>
      <x:c r="H136" s="29" t="str">
        <x:v>Julie Jordan Scott</x:v>
      </x:c>
      <x:c r="I136" s="29" t="str">
        <x:v>CC BY 2.0</x:v>
      </x:c>
      <x:c r="J136" s="29" t="str">
        <x:v>https://creativecommons.org/licenses/by/2.0/</x:v>
      </x:c>
      <x:c r="K136" s="29" t="str">
        <x:v>https://www.flickr.com/photos/98609821@N00/42452621660/</x:v>
      </x:c>
      <x:c r="L136" s="31"/>
      <x:c r="M136" s="31" t="d">
        <x:v>2026-10-24T00:00:00.000Z</x:v>
      </x:c>
      <x:c r="N136" s="29" t="str">
        <x:v>EXIF yönü uygulandı; boyut küçültülüp WebP biçimine dönüştürüldü.</x:v>
      </x:c>
      <x:c r="O136" s="29" t="str">
        <x:v>bakersfield:evidence:venue-22101</x:v>
      </x:c>
      <x:c r="P136" s="29" t="str">
        <x:v>Evet</x:v>
      </x:c>
      <x:c r="Q136" s="35" t="n">
        <x:v>2</x:v>
      </x:c>
      <x:c r="R136" s="29" t="str">
        <x:v>İnceleme</x:v>
      </x:c>
      <x:c r="S136" s="36" t="n">
        <x:f>IF(OR(A136="",C136&lt;&gt;"Mekân",P136&lt;&gt;"Evet"),0,IF(COUNTIFS($F$8:F136,F136,$C$8:C136,"Mekân",$P$8:P136,"Evet")=1,1,0))</x:f>
        <x:v>1</x:v>
      </x:c>
      <x:c r="T136" s="36" t="n">
        <x:f>IF(OR(A136="",C136&lt;&gt;"Kapak",P136&lt;&gt;"Evet"),0,IF(COUNTIFS($F$8:F136,F136,$C$8:C136,"Kapak",$P$8:P136,"Evet")=1,1,0))</x:f>
        <x:v>0</x:v>
      </x:c>
    </x:row>
    <x:row r="137" ht="54" customHeight="1">
      <x:c r="A137" s="29" t="str">
        <x:v>bakersfield:photo:venue-22102</x:v>
      </x:c>
      <x:c r="B137" s="29" t="str">
        <x:v>bakersfield</x:v>
      </x:c>
      <x:c r="C137" s="29" t="str">
        <x:v>Mekân</x:v>
      </x:c>
      <x:c r="D137" s="29" t="str">
        <x:v>bakersfield:yer-local-bakersfield-jastro-park</x:v>
      </x:c>
      <x:c r="E137" s="29" t="str">
        <x:v>Fotoğraflar/bk-f446d42d9799fa8d428b24bf.webp</x:v>
      </x:c>
      <x:c r="F137" s="29" t="str">
        <x:v>f446d42d9799fa8d428b24bfe5a5a3ef71bc533d293decf5a64029eaabe095d3</x:v>
      </x:c>
      <x:c r="G137" s="29" t="str">
        <x:v>Jastro Park</x:v>
      </x:c>
      <x:c r="H137" s="29" t="str">
        <x:v>Julie Jordan Scott</x:v>
      </x:c>
      <x:c r="I137" s="29" t="str">
        <x:v>CC BY 2.0</x:v>
      </x:c>
      <x:c r="J137" s="29" t="str">
        <x:v>https://creativecommons.org/licenses/by/2.0/</x:v>
      </x:c>
      <x:c r="K137" s="29" t="str">
        <x:v>https://www.flickr.com/photos/98609821@N00/42452624110/</x:v>
      </x:c>
      <x:c r="L137" s="31"/>
      <x:c r="M137" s="31" t="d">
        <x:v>2026-10-24T00:00:00.000Z</x:v>
      </x:c>
      <x:c r="N137" s="29" t="str">
        <x:v>EXIF yönü uygulandı; boyut küçültülüp WebP biçimine dönüştürüldü.</x:v>
      </x:c>
      <x:c r="O137" s="29" t="str">
        <x:v>bakersfield:evidence:venue-22102</x:v>
      </x:c>
      <x:c r="P137" s="29" t="str">
        <x:v>Evet</x:v>
      </x:c>
      <x:c r="Q137" s="35" t="n">
        <x:v>3</x:v>
      </x:c>
      <x:c r="R137" s="29" t="str">
        <x:v>İnceleme</x:v>
      </x:c>
      <x:c r="S137" s="36" t="n">
        <x:f>IF(OR(A137="",C137&lt;&gt;"Mekân",P137&lt;&gt;"Evet"),0,IF(COUNTIFS($F$8:F137,F137,$C$8:C137,"Mekân",$P$8:P137,"Evet")=1,1,0))</x:f>
        <x:v>1</x:v>
      </x:c>
      <x:c r="T137" s="36" t="n">
        <x:f>IF(OR(A137="",C137&lt;&gt;"Kapak",P137&lt;&gt;"Evet"),0,IF(COUNTIFS($F$8:F137,F137,$C$8:C137,"Kapak",$P$8:P137,"Evet")=1,1,0))</x:f>
        <x:v>0</x:v>
      </x:c>
    </x:row>
    <x:row r="138" ht="54" customHeight="1">
      <x:c r="A138" s="29" t="str">
        <x:v>bakersfield:photo:venue-22103</x:v>
      </x:c>
      <x:c r="B138" s="29" t="str">
        <x:v>bakersfield</x:v>
      </x:c>
      <x:c r="C138" s="29" t="str">
        <x:v>Mekân</x:v>
      </x:c>
      <x:c r="D138" s="29" t="str">
        <x:v>bakersfield:yer-local-bakersfield-beach-park</x:v>
      </x:c>
      <x:c r="E138" s="29" t="str">
        <x:v>Fotoğraflar/bk-c86c04d7f0d80e7736872707.webp</x:v>
      </x:c>
      <x:c r="F138" s="29" t="str">
        <x:v>c86c04d7f0d80e773687270784a0cab675fc9f17038149ef66bdee63816646cd</x:v>
      </x:c>
      <x:c r="G138" s="29" t="str">
        <x:v>Beach Park · 2013 tarihli fotoğraf</x:v>
      </x:c>
      <x:c r="H138" s="29" t="str">
        <x:v>David Prasad</x:v>
      </x:c>
      <x:c r="I138" s="29" t="str">
        <x:v>CC BY-SA 2.0</x:v>
      </x:c>
      <x:c r="J138" s="29" t="str">
        <x:v>https://creativecommons.org/licenses/by-sa/2.0/</x:v>
      </x:c>
      <x:c r="K138" s="29" t="str">
        <x:v>https://www.flickr.com/photos/33671002@N00/8645034144/</x:v>
      </x:c>
      <x:c r="L138" s="31" t="d">
        <x:v>2013-04-10T00:00:00.000Z</x:v>
      </x:c>
      <x:c r="M138" s="31" t="d">
        <x:v>2026-10-24T00:00:00.000Z</x:v>
      </x:c>
      <x:c r="N138" s="29" t="str">
        <x:v>EXIF yönü uygulandı; boyut küçültülüp WebP biçimine dönüştürüldü.</x:v>
      </x:c>
      <x:c r="O138" s="29" t="str">
        <x:v>bakersfield:evidence:venue-22103</x:v>
      </x:c>
      <x:c r="P138" s="29" t="str">
        <x:v>Evet</x:v>
      </x:c>
      <x:c r="Q138" s="35" t="n">
        <x:v>0</x:v>
      </x:c>
      <x:c r="R138" s="29" t="str">
        <x:v>İnceleme</x:v>
      </x:c>
      <x:c r="S138" s="36" t="n">
        <x:f>IF(OR(A138="",C138&lt;&gt;"Mekân",P138&lt;&gt;"Evet"),0,IF(COUNTIFS($F$8:F138,F138,$C$8:C138,"Mekân",$P$8:P138,"Evet")=1,1,0))</x:f>
        <x:v>1</x:v>
      </x:c>
      <x:c r="T138" s="36" t="n">
        <x:f>IF(OR(A138="",C138&lt;&gt;"Kapak",P138&lt;&gt;"Evet"),0,IF(COUNTIFS($F$8:F138,F138,$C$8:C138,"Kapak",$P$8:P138,"Evet")=1,1,0))</x:f>
        <x:v>0</x:v>
      </x:c>
    </x:row>
    <x:row r="139" ht="54" customHeight="1">
      <x:c r="A139" s="29" t="str">
        <x:v>bakersfield:photo:venue-22104</x:v>
      </x:c>
      <x:c r="B139" s="29" t="str">
        <x:v>bakersfield</x:v>
      </x:c>
      <x:c r="C139" s="29" t="str">
        <x:v>Mekân</x:v>
      </x:c>
      <x:c r="D139" s="29" t="str">
        <x:v>bakersfield:yer-local-bakersfield-beach-park</x:v>
      </x:c>
      <x:c r="E139" s="29" t="str">
        <x:v>Fotoğraflar/bk-55a89245e7d4287ec5b11925.webp</x:v>
      </x:c>
      <x:c r="F139" s="29" t="str">
        <x:v>55a89245e7d4287ec5b119259c1a24ef6cc1467aa8251213583807262e1a9d9c</x:v>
      </x:c>
      <x:c r="G139" s="29" t="str">
        <x:v>Beach Park · 2013 tarihli fotoğraf</x:v>
      </x:c>
      <x:c r="H139" s="29" t="str">
        <x:v>David Prasad</x:v>
      </x:c>
      <x:c r="I139" s="29" t="str">
        <x:v>CC BY-SA 2.0</x:v>
      </x:c>
      <x:c r="J139" s="29" t="str">
        <x:v>https://creativecommons.org/licenses/by-sa/2.0/</x:v>
      </x:c>
      <x:c r="K139" s="29" t="str">
        <x:v>https://www.flickr.com/photos/33671002@N00/8645033940/</x:v>
      </x:c>
      <x:c r="L139" s="31" t="d">
        <x:v>2013-04-10T00:00:00.000Z</x:v>
      </x:c>
      <x:c r="M139" s="31" t="d">
        <x:v>2026-10-24T00:00:00.000Z</x:v>
      </x:c>
      <x:c r="N139" s="29" t="str">
        <x:v>EXIF yönü uygulandı; boyut küçültülüp WebP biçimine dönüştürüldü.</x:v>
      </x:c>
      <x:c r="O139" s="29" t="str">
        <x:v>bakersfield:evidence:venue-22104</x:v>
      </x:c>
      <x:c r="P139" s="29" t="str">
        <x:v>Evet</x:v>
      </x:c>
      <x:c r="Q139" s="35" t="n">
        <x:v>1</x:v>
      </x:c>
      <x:c r="R139" s="29" t="str">
        <x:v>İnceleme</x:v>
      </x:c>
      <x:c r="S139" s="36" t="n">
        <x:f>IF(OR(A139="",C139&lt;&gt;"Mekân",P139&lt;&gt;"Evet"),0,IF(COUNTIFS($F$8:F139,F139,$C$8:C139,"Mekân",$P$8:P139,"Evet")=1,1,0))</x:f>
        <x:v>1</x:v>
      </x:c>
      <x:c r="T139" s="36" t="n">
        <x:f>IF(OR(A139="",C139&lt;&gt;"Kapak",P139&lt;&gt;"Evet"),0,IF(COUNTIFS($F$8:F139,F139,$C$8:C139,"Kapak",$P$8:P139,"Evet")=1,1,0))</x:f>
        <x:v>0</x:v>
      </x:c>
    </x:row>
    <x:row r="140" ht="54" customHeight="1">
      <x:c r="A140" s="29" t="str">
        <x:v>bakersfield:photo:venue-22105</x:v>
      </x:c>
      <x:c r="B140" s="29" t="str">
        <x:v>bakersfield</x:v>
      </x:c>
      <x:c r="C140" s="29" t="str">
        <x:v>Mekân</x:v>
      </x:c>
      <x:c r="D140" s="29" t="str">
        <x:v>bakersfield:yer-local-bakersfield-beach-park</x:v>
      </x:c>
      <x:c r="E140" s="29" t="str">
        <x:v>Fotoğraflar/bk-7dd8aa628fb0f81d04ed92fb.webp</x:v>
      </x:c>
      <x:c r="F140" s="29" t="str">
        <x:v>7dd8aa628fb0f81d04ed92fb50250313d156b2fbb29059627d52a83d5b6be5d0</x:v>
      </x:c>
      <x:c r="G140" s="29" t="str">
        <x:v>Beach Park · 2013 tarihli fotoğraf</x:v>
      </x:c>
      <x:c r="H140" s="29" t="str">
        <x:v>David Prasad</x:v>
      </x:c>
      <x:c r="I140" s="29" t="str">
        <x:v>CC BY-SA 2.0</x:v>
      </x:c>
      <x:c r="J140" s="29" t="str">
        <x:v>https://creativecommons.org/licenses/by-sa/2.0/</x:v>
      </x:c>
      <x:c r="K140" s="29" t="str">
        <x:v>https://www.flickr.com/photos/33671002@N00/8643937651/</x:v>
      </x:c>
      <x:c r="L140" s="31" t="d">
        <x:v>2013-04-10T00:00:00.000Z</x:v>
      </x:c>
      <x:c r="M140" s="31" t="d">
        <x:v>2026-10-24T00:00:00.000Z</x:v>
      </x:c>
      <x:c r="N140" s="29" t="str">
        <x:v>EXIF yönü uygulandı; boyut küçültülüp WebP biçimine dönüştürüldü.</x:v>
      </x:c>
      <x:c r="O140" s="29" t="str">
        <x:v>bakersfield:evidence:venue-22105</x:v>
      </x:c>
      <x:c r="P140" s="29" t="str">
        <x:v>Evet</x:v>
      </x:c>
      <x:c r="Q140" s="35" t="n">
        <x:v>2</x:v>
      </x:c>
      <x:c r="R140" s="29" t="str">
        <x:v>İnceleme</x:v>
      </x:c>
      <x:c r="S140" s="36" t="n">
        <x:f>IF(OR(A140="",C140&lt;&gt;"Mekân",P140&lt;&gt;"Evet"),0,IF(COUNTIFS($F$8:F140,F140,$C$8:C140,"Mekân",$P$8:P140,"Evet")=1,1,0))</x:f>
        <x:v>1</x:v>
      </x:c>
      <x:c r="T140" s="36" t="n">
        <x:f>IF(OR(A140="",C140&lt;&gt;"Kapak",P140&lt;&gt;"Evet"),0,IF(COUNTIFS($F$8:F140,F140,$C$8:C140,"Kapak",$P$8:P140,"Evet")=1,1,0))</x:f>
        <x:v>0</x:v>
      </x:c>
    </x:row>
    <x:row r="141" ht="54" customHeight="1">
      <x:c r="A141" s="29" t="str">
        <x:v>bakersfield:photo:venue-22106</x:v>
      </x:c>
      <x:c r="B141" s="29" t="str">
        <x:v>bakersfield</x:v>
      </x:c>
      <x:c r="C141" s="29" t="str">
        <x:v>Mekân</x:v>
      </x:c>
      <x:c r="D141" s="29" t="str">
        <x:v>bakersfield:yer-local-bakersfield-beale-park</x:v>
      </x:c>
      <x:c r="E141" s="29" t="str">
        <x:v>Fotoğraflar/bk-abee674196090c3d82a08ddb.webp</x:v>
      </x:c>
      <x:c r="F141" s="29" t="str">
        <x:v>abee674196090c3d82a08ddb21db7ff10c039b295d978752a0ee2bfde278f0d8</x:v>
      </x:c>
      <x:c r="G141" s="29" t="str">
        <x:v>Beale Park’ta halkalı papağan · 2023</x:v>
      </x:c>
      <x:c r="H141" s="29" t="str">
        <x:v>ALAN SCHMIERER</x:v>
      </x:c>
      <x:c r="I141" s="29" t="str">
        <x:v>CC0 1.0</x:v>
      </x:c>
      <x:c r="J141" s="29" t="str">
        <x:v>https://creativecommons.org/publicdomain/zero/1.0/</x:v>
      </x:c>
      <x:c r="K141" s="29" t="str">
        <x:v>https://www.flickr.com/photos/8101022@N05/52755665002/</x:v>
      </x:c>
      <x:c r="L141" s="31" t="d">
        <x:v>2023-03-18T00:00:00.000Z</x:v>
      </x:c>
      <x:c r="M141" s="31" t="d">
        <x:v>2026-10-24T00:00:00.000Z</x:v>
      </x:c>
      <x:c r="N141" s="29" t="str">
        <x:v>EXIF yönü uygulandı; boyut küçültülüp WebP biçimine dönüştürüldü.</x:v>
      </x:c>
      <x:c r="O141" s="29" t="str">
        <x:v>bakersfield:evidence:venue-22106</x:v>
      </x:c>
      <x:c r="P141" s="29" t="str">
        <x:v>Evet</x:v>
      </x:c>
      <x:c r="Q141" s="35" t="n">
        <x:v>0</x:v>
      </x:c>
      <x:c r="R141" s="29" t="str">
        <x:v>İnceleme</x:v>
      </x:c>
      <x:c r="S141" s="36" t="n">
        <x:f>IF(OR(A141="",C141&lt;&gt;"Mekân",P141&lt;&gt;"Evet"),0,IF(COUNTIFS($F$8:F141,F141,$C$8:C141,"Mekân",$P$8:P141,"Evet")=1,1,0))</x:f>
        <x:v>1</x:v>
      </x:c>
      <x:c r="T141" s="36" t="n">
        <x:f>IF(OR(A141="",C141&lt;&gt;"Kapak",P141&lt;&gt;"Evet"),0,IF(COUNTIFS($F$8:F141,F141,$C$8:C141,"Kapak",$P$8:P141,"Evet")=1,1,0))</x:f>
        <x:v>0</x:v>
      </x:c>
    </x:row>
    <x:row r="142" ht="54" customHeight="1">
      <x:c r="A142" s="29" t="str">
        <x:v>bakersfield:photo:venue-22107</x:v>
      </x:c>
      <x:c r="B142" s="29" t="str">
        <x:v>bakersfield</x:v>
      </x:c>
      <x:c r="C142" s="29" t="str">
        <x:v>Mekân</x:v>
      </x:c>
      <x:c r="D142" s="29" t="str">
        <x:v>bakersfield:yer-local-bakersfield-yokuts-park</x:v>
      </x:c>
      <x:c r="E142" s="29" t="str">
        <x:v>Fotoğraflar/bk-3f30741cc6ae685f3b1b914a.webp</x:v>
      </x:c>
      <x:c r="F142" s="29" t="str">
        <x:v>3f30741cc6ae685f3b1b914a7e8dd5f8ccbcc99d4cb9c56bca73f56319626893</x:v>
      </x:c>
      <x:c r="G142" s="29" t="str">
        <x:v>Yokuts Park · 2008 tarihli fotoğraf</x:v>
      </x:c>
      <x:c r="H142" s="29" t="str">
        <x:v>Antiporda Productions LV, LLC</x:v>
      </x:c>
      <x:c r="I142" s="29" t="str">
        <x:v>CC BY 2.0</x:v>
      </x:c>
      <x:c r="J142" s="29" t="str">
        <x:v>https://creativecommons.org/licenses/by/2.0/</x:v>
      </x:c>
      <x:c r="K142" s="29" t="str">
        <x:v>https://www.flickr.com/photos/9153440@N06/3096636269/</x:v>
      </x:c>
      <x:c r="L142" s="31" t="d">
        <x:v>2008-12-06T00:00:00.000Z</x:v>
      </x:c>
      <x:c r="M142" s="31" t="d">
        <x:v>2026-10-24T00:00:00.000Z</x:v>
      </x:c>
      <x:c r="N142" s="29" t="str">
        <x:v>EXIF yönü uygulandı; boyut küçültülüp WebP biçimine dönüştürüldü.</x:v>
      </x:c>
      <x:c r="O142" s="29" t="str">
        <x:v>bakersfield:evidence:venue-22107</x:v>
      </x:c>
      <x:c r="P142" s="29" t="str">
        <x:v>Evet</x:v>
      </x:c>
      <x:c r="Q142" s="35" t="n">
        <x:v>0</x:v>
      </x:c>
      <x:c r="R142" s="29" t="str">
        <x:v>İnceleme</x:v>
      </x:c>
      <x:c r="S142" s="36" t="n">
        <x:f>IF(OR(A142="",C142&lt;&gt;"Mekân",P142&lt;&gt;"Evet"),0,IF(COUNTIFS($F$8:F142,F142,$C$8:C142,"Mekân",$P$8:P142,"Evet")=1,1,0))</x:f>
        <x:v>1</x:v>
      </x:c>
      <x:c r="T142" s="36" t="n">
        <x:f>IF(OR(A142="",C142&lt;&gt;"Kapak",P142&lt;&gt;"Evet"),0,IF(COUNTIFS($F$8:F142,F142,$C$8:C142,"Kapak",$P$8:P142,"Evet")=1,1,0))</x:f>
        <x:v>0</x:v>
      </x:c>
    </x:row>
    <x:row r="143" ht="54" customHeight="1">
      <x:c r="A143" s="29" t="str">
        <x:v>bakersfield:photo:venue-22108</x:v>
      </x:c>
      <x:c r="B143" s="29" t="str">
        <x:v>bakersfield</x:v>
      </x:c>
      <x:c r="C143" s="29" t="str">
        <x:v>Mekân</x:v>
      </x:c>
      <x:c r="D143" s="29" t="str">
        <x:v>bakersfield:yer-local-bakersfield-silver-creek-park</x:v>
      </x:c>
      <x:c r="E143" s="29" t="str">
        <x:v>Fotoğraflar/bk-4b4bc408d7f04182d9e5252c.webp</x:v>
      </x:c>
      <x:c r="F143" s="29" t="str">
        <x:v>4b4bc408d7f04182d9e5252cd916ef5c1f28d7df4681aae75240f568bf0668ec</x:v>
      </x:c>
      <x:c r="G143" s="29" t="str">
        <x:v>Silver Creek Park · 2021 tarihli fotoğraf</x:v>
      </x:c>
      <x:c r="H143" s="29" t="str">
        <x:v>Mx. Granger</x:v>
      </x:c>
      <x:c r="I143" s="29" t="str">
        <x:v>CC0 1.0</x:v>
      </x:c>
      <x:c r="J143" s="29" t="str">
        <x:v>https://creativecommons.org/publicdomain/zero/1.0/</x:v>
      </x:c>
      <x:c r="K143" s="29" t="str">
        <x:v>https://commons.wikimedia.org/wiki/File:Silver_Creek_Park.jpg</x:v>
      </x:c>
      <x:c r="L143" s="31"/>
      <x:c r="M143" s="31" t="d">
        <x:v>2026-10-24T00:00:00.000Z</x:v>
      </x:c>
      <x:c r="N143" s="29" t="str">
        <x:v>EXIF yönü uygulandı; boyut küçültülüp WebP biçimine dönüştürüldü.</x:v>
      </x:c>
      <x:c r="O143" s="29" t="str">
        <x:v>bakersfield:evidence:venue-22108</x:v>
      </x:c>
      <x:c r="P143" s="29" t="str">
        <x:v>Evet</x:v>
      </x:c>
      <x:c r="Q143" s="35" t="n">
        <x:v>0</x:v>
      </x:c>
      <x:c r="R143" s="29" t="str">
        <x:v>İnceleme</x:v>
      </x:c>
      <x:c r="S143" s="36" t="n">
        <x:f>IF(OR(A143="",C143&lt;&gt;"Mekân",P143&lt;&gt;"Evet"),0,IF(COUNTIFS($F$8:F143,F143,$C$8:C143,"Mekân",$P$8:P143,"Evet")=1,1,0))</x:f>
        <x:v>1</x:v>
      </x:c>
      <x:c r="T143" s="36" t="n">
        <x:f>IF(OR(A143="",C143&lt;&gt;"Kapak",P143&lt;&gt;"Evet"),0,IF(COUNTIFS($F$8:F143,F143,$C$8:C143,"Kapak",$P$8:P143,"Evet")=1,1,0))</x:f>
        <x:v>0</x:v>
      </x:c>
    </x:row>
    <x:row r="144" ht="54" customHeight="1">
      <x:c r="A144" s="29" t="str">
        <x:v>bakersfield:photo:venue-22109</x:v>
      </x:c>
      <x:c r="B144" s="29" t="str">
        <x:v>bakersfield</x:v>
      </x:c>
      <x:c r="C144" s="29" t="str">
        <x:v>Mekân</x:v>
      </x:c>
      <x:c r="D144" s="29" t="str">
        <x:v>bakersfield:yer-local-bakersfield-kern-river-parkway</x:v>
      </x:c>
      <x:c r="E144" s="29" t="str">
        <x:v>Fotoğraflar/bk-f0242978278011877d6658f1.webp</x:v>
      </x:c>
      <x:c r="F144" s="29" t="str">
        <x:v>f0242978278011877d6658f14969ac974c948a7f1c55a270ae364b6cef4f51fc</x:v>
      </x:c>
      <x:c r="G144" s="29" t="str">
        <x:v>Kern River Parkway Trail · 2016 tarihli fotoğraf</x:v>
      </x:c>
      <x:c r="H144" s="29" t="str">
        <x:v>Julie Jordan Scott</x:v>
      </x:c>
      <x:c r="I144" s="29" t="str">
        <x:v>CC BY 2.0</x:v>
      </x:c>
      <x:c r="J144" s="29" t="str">
        <x:v>https://creativecommons.org/licenses/by/2.0/</x:v>
      </x:c>
      <x:c r="K144" s="29" t="str">
        <x:v>https://www.flickr.com/photos/98609821@N00/26346986410/</x:v>
      </x:c>
      <x:c r="L144" s="31" t="d">
        <x:v>2016-04-23T00:00:00.000Z</x:v>
      </x:c>
      <x:c r="M144" s="31" t="d">
        <x:v>2026-10-24T00:00:00.000Z</x:v>
      </x:c>
      <x:c r="N144" s="29" t="str">
        <x:v>EXIF yönü uygulandı; boyut küçültülüp WebP biçimine dönüştürüldü.</x:v>
      </x:c>
      <x:c r="O144" s="29" t="str">
        <x:v>bakersfield:evidence:venue-22109</x:v>
      </x:c>
      <x:c r="P144" s="29" t="str">
        <x:v>Evet</x:v>
      </x:c>
      <x:c r="Q144" s="35" t="n">
        <x:v>0</x:v>
      </x:c>
      <x:c r="R144" s="29" t="str">
        <x:v>İnceleme</x:v>
      </x:c>
      <x:c r="S144" s="36" t="n">
        <x:f>IF(OR(A144="",C144&lt;&gt;"Mekân",P144&lt;&gt;"Evet"),0,IF(COUNTIFS($F$8:F144,F144,$C$8:C144,"Mekân",$P$8:P144,"Evet")=1,1,0))</x:f>
        <x:v>1</x:v>
      </x:c>
      <x:c r="T144" s="36" t="n">
        <x:f>IF(OR(A144="",C144&lt;&gt;"Kapak",P144&lt;&gt;"Evet"),0,IF(COUNTIFS($F$8:F144,F144,$C$8:C144,"Kapak",$P$8:P144,"Evet")=1,1,0))</x:f>
        <x:v>0</x:v>
      </x:c>
    </x:row>
    <x:row r="145" ht="54" customHeight="1">
      <x:c r="A145" s="29" t="str">
        <x:v>bakersfield:photo:venue-22110</x:v>
      </x:c>
      <x:c r="B145" s="29" t="str">
        <x:v>bakersfield</x:v>
      </x:c>
      <x:c r="C145" s="29" t="str">
        <x:v>Mekân</x:v>
      </x:c>
      <x:c r="D145" s="29" t="str">
        <x:v>bakersfield:yer-local-bakersfield-kern-river-parkway</x:v>
      </x:c>
      <x:c r="E145" s="29" t="str">
        <x:v>Fotoğraflar/bk-7451d068100e6512c1e3ac2e.webp</x:v>
      </x:c>
      <x:c r="F145" s="29" t="str">
        <x:v>7451d068100e6512c1e3ac2e23a1a1ce4def91ccc3ed168ed15990f9d8e76a43</x:v>
      </x:c>
      <x:c r="G145" s="29" t="str">
        <x:v>Kern River Parkway Trail · 2015 tarihli fotoğraf</x:v>
      </x:c>
      <x:c r="H145" s="29" t="str">
        <x:v>Julie Jordan Scott</x:v>
      </x:c>
      <x:c r="I145" s="29" t="str">
        <x:v>CC BY 2.0</x:v>
      </x:c>
      <x:c r="J145" s="29" t="str">
        <x:v>https://creativecommons.org/licenses/by/2.0/</x:v>
      </x:c>
      <x:c r="K145" s="29" t="str">
        <x:v>https://www.flickr.com/photos/98609821@N00/22694276815/</x:v>
      </x:c>
      <x:c r="L145" s="31" t="d">
        <x:v>2015-11-01T00:00:00.000Z</x:v>
      </x:c>
      <x:c r="M145" s="31" t="d">
        <x:v>2026-10-24T00:00:00.000Z</x:v>
      </x:c>
      <x:c r="N145" s="29" t="str">
        <x:v>EXIF yönü uygulandı; boyut küçültülüp WebP biçimine dönüştürüldü.</x:v>
      </x:c>
      <x:c r="O145" s="29" t="str">
        <x:v>bakersfield:evidence:venue-22110</x:v>
      </x:c>
      <x:c r="P145" s="29" t="str">
        <x:v>Evet</x:v>
      </x:c>
      <x:c r="Q145" s="35" t="n">
        <x:v>1</x:v>
      </x:c>
      <x:c r="R145" s="29" t="str">
        <x:v>İnceleme</x:v>
      </x:c>
      <x:c r="S145" s="36" t="n">
        <x:f>IF(OR(A145="",C145&lt;&gt;"Mekân",P145&lt;&gt;"Evet"),0,IF(COUNTIFS($F$8:F145,F145,$C$8:C145,"Mekân",$P$8:P145,"Evet")=1,1,0))</x:f>
        <x:v>1</x:v>
      </x:c>
      <x:c r="T145" s="36" t="n">
        <x:f>IF(OR(A145="",C145&lt;&gt;"Kapak",P145&lt;&gt;"Evet"),0,IF(COUNTIFS($F$8:F145,F145,$C$8:C145,"Kapak",$P$8:P145,"Evet")=1,1,0))</x:f>
        <x:v>0</x:v>
      </x:c>
    </x:row>
    <x:row r="146" ht="54" customHeight="1">
      <x:c r="A146" s="29" t="str">
        <x:v>bakersfield:photo:venue-22111</x:v>
      </x:c>
      <x:c r="B146" s="29" t="str">
        <x:v>bakersfield</x:v>
      </x:c>
      <x:c r="C146" s="29" t="str">
        <x:v>Mekân</x:v>
      </x:c>
      <x:c r="D146" s="29" t="str">
        <x:v>bakersfield:yer-local-bakersfield-kern-river-parkway</x:v>
      </x:c>
      <x:c r="E146" s="29" t="str">
        <x:v>Fotoğraflar/bk-a56e62336488e82c9f75e894.webp</x:v>
      </x:c>
      <x:c r="F146" s="29" t="str">
        <x:v>a56e62336488e82c9f75e89420b3a21b42843c324c19a0c6080ad706902d12c8</x:v>
      </x:c>
      <x:c r="G146" s="29" t="str">
        <x:v>Kern River Parkway Trail · 2017 tarihli fotoğraf</x:v>
      </x:c>
      <x:c r="H146" s="29" t="str">
        <x:v>Julie Jordan Scott</x:v>
      </x:c>
      <x:c r="I146" s="29" t="str">
        <x:v>CC BY 2.0</x:v>
      </x:c>
      <x:c r="J146" s="29" t="str">
        <x:v>https://creativecommons.org/licenses/by/2.0/</x:v>
      </x:c>
      <x:c r="K146" s="29" t="str">
        <x:v>https://www.flickr.com/photos/98609821@N00/32211367685/</x:v>
      </x:c>
      <x:c r="L146" s="31" t="d">
        <x:v>2017-01-08T00:00:00.000Z</x:v>
      </x:c>
      <x:c r="M146" s="31" t="d">
        <x:v>2026-10-24T00:00:00.000Z</x:v>
      </x:c>
      <x:c r="N146" s="29" t="str">
        <x:v>EXIF yönü uygulandı; boyut küçültülüp WebP biçimine dönüştürüldü.</x:v>
      </x:c>
      <x:c r="O146" s="29" t="str">
        <x:v>bakersfield:evidence:venue-22111</x:v>
      </x:c>
      <x:c r="P146" s="29" t="str">
        <x:v>Evet</x:v>
      </x:c>
      <x:c r="Q146" s="35" t="n">
        <x:v>2</x:v>
      </x:c>
      <x:c r="R146" s="29" t="str">
        <x:v>İnceleme</x:v>
      </x:c>
      <x:c r="S146" s="36" t="n">
        <x:f>IF(OR(A146="",C146&lt;&gt;"Mekân",P146&lt;&gt;"Evet"),0,IF(COUNTIFS($F$8:F146,F146,$C$8:C146,"Mekân",$P$8:P146,"Evet")=1,1,0))</x:f>
        <x:v>1</x:v>
      </x:c>
      <x:c r="T146" s="36" t="n">
        <x:f>IF(OR(A146="",C146&lt;&gt;"Kapak",P146&lt;&gt;"Evet"),0,IF(COUNTIFS($F$8:F146,F146,$C$8:C146,"Kapak",$P$8:P146,"Evet")=1,1,0))</x:f>
        <x:v>0</x:v>
      </x:c>
    </x:row>
    <x:row r="147" ht="54" customHeight="1">
      <x:c r="A147" s="29" t="str">
        <x:v>bakersfield:photo:venue-22112</x:v>
      </x:c>
      <x:c r="B147" s="29" t="str">
        <x:v>bakersfield</x:v>
      </x:c>
      <x:c r="C147" s="29" t="str">
        <x:v>Mekân</x:v>
      </x:c>
      <x:c r="D147" s="29" t="str">
        <x:v>bakersfield:yer-local-bakersfield-truxtun-lake</x:v>
      </x:c>
      <x:c r="E147" s="29" t="str">
        <x:v>Fotoğraflar/bk-feb875770abf5b743a461fec.webp</x:v>
      </x:c>
      <x:c r="F147" s="29" t="str">
        <x:v>feb875770abf5b743a461feced3cb1a8867366ce18ebac1746952be10fbf0e93</x:v>
      </x:c>
      <x:c r="G147" s="29" t="str">
        <x:v>Truxtun Lake · 2008 tarihli fotoğraf</x:v>
      </x:c>
      <x:c r="H147" s="29" t="str">
        <x:v>Antiporda Productions LV, LLC</x:v>
      </x:c>
      <x:c r="I147" s="29" t="str">
        <x:v>CC BY 2.0</x:v>
      </x:c>
      <x:c r="J147" s="29" t="str">
        <x:v>https://creativecommons.org/licenses/by/2.0/</x:v>
      </x:c>
      <x:c r="K147" s="29" t="str">
        <x:v>https://www.flickr.com/photos/9153440@N06/3137921693/</x:v>
      </x:c>
      <x:c r="L147" s="31" t="d">
        <x:v>2008-12-14T00:00:00.000Z</x:v>
      </x:c>
      <x:c r="M147" s="31" t="d">
        <x:v>2026-10-24T00:00:00.000Z</x:v>
      </x:c>
      <x:c r="N147" s="29" t="str">
        <x:v>EXIF yönü uygulandı; boyut küçültülüp WebP biçimine dönüştürüldü.</x:v>
      </x:c>
      <x:c r="O147" s="29" t="str">
        <x:v>bakersfield:evidence:venue-22112</x:v>
      </x:c>
      <x:c r="P147" s="29" t="str">
        <x:v>Evet</x:v>
      </x:c>
      <x:c r="Q147" s="35" t="n">
        <x:v>0</x:v>
      </x:c>
      <x:c r="R147" s="29" t="str">
        <x:v>İnceleme</x:v>
      </x:c>
      <x:c r="S147" s="36" t="n">
        <x:f>IF(OR(A147="",C147&lt;&gt;"Mekân",P147&lt;&gt;"Evet"),0,IF(COUNTIFS($F$8:F147,F147,$C$8:C147,"Mekân",$P$8:P147,"Evet")=1,1,0))</x:f>
        <x:v>1</x:v>
      </x:c>
      <x:c r="T147" s="36" t="n">
        <x:f>IF(OR(A147="",C147&lt;&gt;"Kapak",P147&lt;&gt;"Evet"),0,IF(COUNTIFS($F$8:F147,F147,$C$8:C147,"Kapak",$P$8:P147,"Evet")=1,1,0))</x:f>
        <x:v>0</x:v>
      </x:c>
    </x:row>
    <x:row r="148" ht="54" customHeight="1">
      <x:c r="A148" s="29" t="str">
        <x:v>bakersfield:photo:venue-22113</x:v>
      </x:c>
      <x:c r="B148" s="29" t="str">
        <x:v>bakersfield</x:v>
      </x:c>
      <x:c r="C148" s="29" t="str">
        <x:v>Mekân</x:v>
      </x:c>
      <x:c r="D148" s="29" t="str">
        <x:v>bakersfield:yer-local-bakersfield-sam-lynn</x:v>
      </x:c>
      <x:c r="E148" s="29" t="str">
        <x:v>Fotoğraflar/bk-0b98bc6e36d1b5e34697d6ef.webp</x:v>
      </x:c>
      <x:c r="F148" s="29" t="str">
        <x:v>0b98bc6e36d1b5e34697d6efbad442a2579e73d422c68451a4734479ce830178</x:v>
      </x:c>
      <x:c r="G148" s="29" t="str">
        <x:v>Sam Lynn Ballpark · 2014 tarihli fotoğraf</x:v>
      </x:c>
      <x:c r="H148" s="29" t="str">
        <x:v>Damonford</x:v>
      </x:c>
      <x:c r="I148" s="29" t="str">
        <x:v>CC BY-SA 4.0</x:v>
      </x:c>
      <x:c r="J148" s="29" t="str">
        <x:v>https://creativecommons.org/licenses/by-sa/4.0</x:v>
      </x:c>
      <x:c r="K148" s="29" t="str">
        <x:v>https://commons.wikimedia.org/wiki/File:Sam_Lynn_Sunset.JPG</x:v>
      </x:c>
      <x:c r="L148" s="31"/>
      <x:c r="M148" s="31" t="d">
        <x:v>2026-10-24T00:00:00.000Z</x:v>
      </x:c>
      <x:c r="N148" s="29" t="str">
        <x:v>EXIF yönü uygulandı; boyut küçültülüp WebP biçimine dönüştürüldü.</x:v>
      </x:c>
      <x:c r="O148" s="29" t="str">
        <x:v>bakersfield:evidence:venue-22113</x:v>
      </x:c>
      <x:c r="P148" s="29" t="str">
        <x:v>Evet</x:v>
      </x:c>
      <x:c r="Q148" s="35" t="n">
        <x:v>0</x:v>
      </x:c>
      <x:c r="R148" s="29" t="str">
        <x:v>İnceleme</x:v>
      </x:c>
      <x:c r="S148" s="36" t="n">
        <x:f>IF(OR(A148="",C148&lt;&gt;"Mekân",P148&lt;&gt;"Evet"),0,IF(COUNTIFS($F$8:F148,F148,$C$8:C148,"Mekân",$P$8:P148,"Evet")=1,1,0))</x:f>
        <x:v>1</x:v>
      </x:c>
      <x:c r="T148" s="36" t="n">
        <x:f>IF(OR(A148="",C148&lt;&gt;"Kapak",P148&lt;&gt;"Evet"),0,IF(COUNTIFS($F$8:F148,F148,$C$8:C148,"Kapak",$P$8:P148,"Evet")=1,1,0))</x:f>
        <x:v>0</x:v>
      </x:c>
    </x:row>
    <x:row r="149" ht="54" customHeight="1">
      <x:c r="A149" s="29" t="str">
        <x:v>bakersfield:photo:venue-22114</x:v>
      </x:c>
      <x:c r="B149" s="29" t="str">
        <x:v>bakersfield</x:v>
      </x:c>
      <x:c r="C149" s="29" t="str">
        <x:v>Mekân</x:v>
      </x:c>
      <x:c r="D149" s="29" t="str">
        <x:v>bakersfield:yer-local-bakersfield-memorial-stadium</x:v>
      </x:c>
      <x:c r="E149" s="29" t="str">
        <x:v>Fotoğraflar/bk-61143258766ad2a5a04fa61a.webp</x:v>
      </x:c>
      <x:c r="F149" s="29" t="str">
        <x:v>61143258766ad2a5a04fa61addefad7df0569826a33a06b8ef90960fc0a9d982</x:v>
      </x:c>
      <x:c r="G149" s="29" t="str">
        <x:v>Memorial Stadium – Bakersfield College · 2022 tarihli fotoğraf</x:v>
      </x:c>
      <x:c r="H149" s="29" t="str">
        <x:v>Urry1</x:v>
      </x:c>
      <x:c r="I149" s="29" t="str">
        <x:v>CC BY-SA 4.0</x:v>
      </x:c>
      <x:c r="J149" s="29" t="str">
        <x:v>https://creativecommons.org/licenses/by-sa/4.0</x:v>
      </x:c>
      <x:c r="K149" s="29" t="str">
        <x:v>https://commons.wikimedia.org/wiki/File:Memorial_Stadium_-_Bakersfield.jpg</x:v>
      </x:c>
      <x:c r="L149" s="31" t="d">
        <x:v>2022-09-07T00:00:00.000Z</x:v>
      </x:c>
      <x:c r="M149" s="31" t="d">
        <x:v>2026-10-24T00:00:00.000Z</x:v>
      </x:c>
      <x:c r="N149" s="29" t="str">
        <x:v>EXIF yönü uygulandı; boyut küçültülüp WebP biçimine dönüştürüldü.</x:v>
      </x:c>
      <x:c r="O149" s="29" t="str">
        <x:v>bakersfield:evidence:venue-22114</x:v>
      </x:c>
      <x:c r="P149" s="29" t="str">
        <x:v>Evet</x:v>
      </x:c>
      <x:c r="Q149" s="35" t="n">
        <x:v>0</x:v>
      </x:c>
      <x:c r="R149" s="29" t="str">
        <x:v>İnceleme</x:v>
      </x:c>
      <x:c r="S149" s="36" t="n">
        <x:f>IF(OR(A149="",C149&lt;&gt;"Mekân",P149&lt;&gt;"Evet"),0,IF(COUNTIFS($F$8:F149,F149,$C$8:C149,"Mekân",$P$8:P149,"Evet")=1,1,0))</x:f>
        <x:v>1</x:v>
      </x:c>
      <x:c r="T149" s="36" t="n">
        <x:f>IF(OR(A149="",C149&lt;&gt;"Kapak",P149&lt;&gt;"Evet"),0,IF(COUNTIFS($F$8:F149,F149,$C$8:C149,"Kapak",$P$8:P149,"Evet")=1,1,0))</x:f>
        <x:v>0</x:v>
      </x:c>
    </x:row>
    <x:row r="150" ht="54" customHeight="1">
      <x:c r="A150" s="29" t="str">
        <x:v>bakersfield:photo:venue-22115</x:v>
      </x:c>
      <x:c r="B150" s="29" t="str">
        <x:v>bakersfield</x:v>
      </x:c>
      <x:c r="C150" s="29" t="str">
        <x:v>Mekân</x:v>
      </x:c>
      <x:c r="D150" s="29" t="str">
        <x:v>bakersfield:yer-local-bakersfield-csub-soccer</x:v>
      </x:c>
      <x:c r="E150" s="29" t="str">
        <x:v>Fotoğraflar/bk-79e1270a75034ce8a665e869.webp</x:v>
      </x:c>
      <x:c r="F150" s="29" t="str">
        <x:v>79e1270a75034ce8a665e8698ca20de46fd1f43d8aa01087cb4a2065752e42db</x:v>
      </x:c>
      <x:c r="G150" s="29" t="str">
        <x:v>CSUB Main Soccer Field · 2017 tarihli fotoğraf</x:v>
      </x:c>
      <x:c r="H150" s="29" t="str">
        <x:v>Spatms</x:v>
      </x:c>
      <x:c r="I150" s="29" t="str">
        <x:v>CC BY-SA 4.0</x:v>
      </x:c>
      <x:c r="J150" s="29" t="str">
        <x:v>https://creativecommons.org/licenses/by-sa/4.0</x:v>
      </x:c>
      <x:c r="K150" s="29" t="str">
        <x:v>https://commons.wikimedia.org/wiki/File:Main_Soccer_Field_(Cal_State_Bakersfield).jpg</x:v>
      </x:c>
      <x:c r="L150" s="31"/>
      <x:c r="M150" s="31" t="d">
        <x:v>2026-10-24T00:00:00.000Z</x:v>
      </x:c>
      <x:c r="N150" s="29" t="str">
        <x:v>EXIF yönü uygulandı; boyut küçültülüp WebP biçimine dönüştürüldü.</x:v>
      </x:c>
      <x:c r="O150" s="29" t="str">
        <x:v>bakersfield:evidence:venue-22115</x:v>
      </x:c>
      <x:c r="P150" s="29" t="str">
        <x:v>Evet</x:v>
      </x:c>
      <x:c r="Q150" s="35" t="n">
        <x:v>0</x:v>
      </x:c>
      <x:c r="R150" s="29" t="str">
        <x:v>İnceleme</x:v>
      </x:c>
      <x:c r="S150" s="36" t="n">
        <x:f>IF(OR(A150="",C150&lt;&gt;"Mekân",P150&lt;&gt;"Evet"),0,IF(COUNTIFS($F$8:F150,F150,$C$8:C150,"Mekân",$P$8:P150,"Evet")=1,1,0))</x:f>
        <x:v>1</x:v>
      </x:c>
      <x:c r="T150" s="36" t="n">
        <x:f>IF(OR(A150="",C150&lt;&gt;"Kapak",P150&lt;&gt;"Evet"),0,IF(COUNTIFS($F$8:F150,F150,$C$8:C150,"Kapak",$P$8:P150,"Evet")=1,1,0))</x:f>
        <x:v>0</x:v>
      </x:c>
    </x:row>
    <x:row r="151" ht="54" customHeight="1">
      <x:c r="A151" s="29" t="str">
        <x:v>bakersfield:photo:venue-22116</x:v>
      </x:c>
      <x:c r="B151" s="29" t="str">
        <x:v>bakersfield</x:v>
      </x:c>
      <x:c r="C151" s="29" t="str">
        <x:v>Mekân</x:v>
      </x:c>
      <x:c r="D151" s="29" t="str">
        <x:v>bakersfield:yer-local-bakersfield-kern-raceway</x:v>
      </x:c>
      <x:c r="E151" s="29" t="str">
        <x:v>Fotoğraflar/bk-0901a0da75c9fc5ec3b33105.webp</x:v>
      </x:c>
      <x:c r="F151" s="29" t="str">
        <x:v>0901a0da75c9fc5ec3b33105098bf2f67ed451212fa01e30e1a68b0d9f541a2a</x:v>
      </x:c>
      <x:c r="G151" s="29" t="str">
        <x:v>Kevin Harvick's Kern Raceway · 2013 tarihli fotoğraf</x:v>
      </x:c>
      <x:c r="H151" s="29" t="str">
        <x:v>Rickybassman</x:v>
      </x:c>
      <x:c r="I151" s="29" t="str">
        <x:v>CC BY-SA 4.0</x:v>
      </x:c>
      <x:c r="J151" s="29" t="str">
        <x:v>https://creativecommons.org/licenses/by-sa/4.0</x:v>
      </x:c>
      <x:c r="K151" s="29" t="str">
        <x:v>https://commons.wikimedia.org/wiki/File:Aerial_Photo_of_Kern_County_Raceway.JPG</x:v>
      </x:c>
      <x:c r="L151" s="31"/>
      <x:c r="M151" s="31" t="d">
        <x:v>2026-10-24T00:00:00.000Z</x:v>
      </x:c>
      <x:c r="N151" s="29" t="str">
        <x:v>EXIF yönü uygulandı; boyut küçültülüp WebP biçimine dönüştürüldü.</x:v>
      </x:c>
      <x:c r="O151" s="29" t="str">
        <x:v>bakersfield:evidence:venue-22116</x:v>
      </x:c>
      <x:c r="P151" s="29" t="str">
        <x:v>Evet</x:v>
      </x:c>
      <x:c r="Q151" s="35" t="n">
        <x:v>0</x:v>
      </x:c>
      <x:c r="R151" s="29" t="str">
        <x:v>İnceleme</x:v>
      </x:c>
      <x:c r="S151" s="36" t="n">
        <x:f>IF(OR(A151="",C151&lt;&gt;"Mekân",P151&lt;&gt;"Evet"),0,IF(COUNTIFS($F$8:F151,F151,$C$8:C151,"Mekân",$P$8:P151,"Evet")=1,1,0))</x:f>
        <x:v>1</x:v>
      </x:c>
      <x:c r="T151" s="36" t="n">
        <x:f>IF(OR(A151="",C151&lt;&gt;"Kapak",P151&lt;&gt;"Evet"),0,IF(COUNTIFS($F$8:F151,F151,$C$8:C151,"Kapak",$P$8:P151,"Evet")=1,1,0))</x:f>
        <x:v>0</x:v>
      </x:c>
    </x:row>
    <x:row r="152" ht="54" customHeight="1">
      <x:c r="A152" s="29" t="str">
        <x:v>bakersfield:photo:venue-22117</x:v>
      </x:c>
      <x:c r="B152" s="29" t="str">
        <x:v>bakersfield</x:v>
      </x:c>
      <x:c r="C152" s="29" t="str">
        <x:v>Mekân</x:v>
      </x:c>
      <x:c r="D152" s="29" t="str">
        <x:v>bakersfield:yer-local-bakersfield-amtrak-station</x:v>
      </x:c>
      <x:c r="E152" s="29" t="str">
        <x:v>Fotoğraflar/bk-a4bb765e3be69d9d05938b74.webp</x:v>
      </x:c>
      <x:c r="F152" s="29" t="str">
        <x:v>a4bb765e3be69d9d05938b74af65e696dd95a3cab5d5bcf6435f90f29a5f9ca9</x:v>
      </x:c>
      <x:c r="G152" s="29" t="str">
        <x:v>Bakersfield Amtrak Station · 2003 tarihli fotoğraf</x:v>
      </x:c>
      <x:c r="H152" s="29" t="str">
        <x:v>LHOON</x:v>
      </x:c>
      <x:c r="I152" s="29" t="str">
        <x:v>CC BY-SA 2.0</x:v>
      </x:c>
      <x:c r="J152" s="29" t="str">
        <x:v>https://creativecommons.org/licenses/by-sa/2.0</x:v>
      </x:c>
      <x:c r="K152" s="29" t="str">
        <x:v>https://commons.wikimedia.org/wiki/File:Bakersfield_Amtrak_Station.jpg</x:v>
      </x:c>
      <x:c r="L152" s="31" t="d">
        <x:v>2003-03-23T00:00:00.000Z</x:v>
      </x:c>
      <x:c r="M152" s="31" t="d">
        <x:v>2026-10-24T00:00:00.000Z</x:v>
      </x:c>
      <x:c r="N152" s="29" t="str">
        <x:v>EXIF yönü uygulandı; boyut küçültülüp WebP biçimine dönüştürüldü.</x:v>
      </x:c>
      <x:c r="O152" s="29" t="str">
        <x:v>bakersfield:evidence:venue-22117</x:v>
      </x:c>
      <x:c r="P152" s="29" t="str">
        <x:v>Evet</x:v>
      </x:c>
      <x:c r="Q152" s="35" t="n">
        <x:v>0</x:v>
      </x:c>
      <x:c r="R152" s="29" t="str">
        <x:v>İnceleme</x:v>
      </x:c>
      <x:c r="S152" s="36" t="n">
        <x:f>IF(OR(A152="",C152&lt;&gt;"Mekân",P152&lt;&gt;"Evet"),0,IF(COUNTIFS($F$8:F152,F152,$C$8:C152,"Mekân",$P$8:P152,"Evet")=1,1,0))</x:f>
        <x:v>1</x:v>
      </x:c>
      <x:c r="T152" s="36" t="n">
        <x:f>IF(OR(A152="",C152&lt;&gt;"Kapak",P152&lt;&gt;"Evet"),0,IF(COUNTIFS($F$8:F152,F152,$C$8:C152,"Kapak",$P$8:P152,"Evet")=1,1,0))</x:f>
        <x:v>0</x:v>
      </x:c>
    </x:row>
    <x:row r="153" ht="54" customHeight="1">
      <x:c r="A153" s="29" t="str">
        <x:v>bakersfield:photo:venue-22118</x:v>
      </x:c>
      <x:c r="B153" s="29" t="str">
        <x:v>bakersfield</x:v>
      </x:c>
      <x:c r="C153" s="29" t="str">
        <x:v>Mekân</x:v>
      </x:c>
      <x:c r="D153" s="29" t="str">
        <x:v>bakersfield:yer-local-bakersfield-amtrak-station</x:v>
      </x:c>
      <x:c r="E153" s="29" t="str">
        <x:v>Fotoğraflar/bk-98f221190fbb231403f94f10.webp</x:v>
      </x:c>
      <x:c r="F153" s="29" t="str">
        <x:v>98f221190fbb231403f94f10054daa58b43f9de978f3c105bb43349072ab3133</x:v>
      </x:c>
      <x:c r="G153" s="29" t="str">
        <x:v>Bakersfield Amtrak Station · 2012 tarihli fotoğraf</x:v>
      </x:c>
      <x:c r="H153" s="29" t="str">
        <x:v>Pedro Xing</x:v>
      </x:c>
      <x:c r="I153" s="29" t="str">
        <x:v>CC0 1.0</x:v>
      </x:c>
      <x:c r="J153" s="29" t="str">
        <x:v>https://creativecommons.org/publicdomain/zero/1.0/</x:v>
      </x:c>
      <x:c r="K153" s="29" t="str">
        <x:v>https://commons.wikimedia.org/wiki/File:Bakersfield_Station_2048_02.JPG</x:v>
      </x:c>
      <x:c r="L153" s="31"/>
      <x:c r="M153" s="31" t="d">
        <x:v>2026-10-24T00:00:00.000Z</x:v>
      </x:c>
      <x:c r="N153" s="29" t="str">
        <x:v>EXIF yönü uygulandı; boyut küçültülüp WebP biçimine dönüştürüldü.</x:v>
      </x:c>
      <x:c r="O153" s="29" t="str">
        <x:v>bakersfield:evidence:venue-22118</x:v>
      </x:c>
      <x:c r="P153" s="29" t="str">
        <x:v>Evet</x:v>
      </x:c>
      <x:c r="Q153" s="35" t="n">
        <x:v>1</x:v>
      </x:c>
      <x:c r="R153" s="29" t="str">
        <x:v>İnceleme</x:v>
      </x:c>
      <x:c r="S153" s="36" t="n">
        <x:f>IF(OR(A153="",C153&lt;&gt;"Mekân",P153&lt;&gt;"Evet"),0,IF(COUNTIFS($F$8:F153,F153,$C$8:C153,"Mekân",$P$8:P153,"Evet")=1,1,0))</x:f>
        <x:v>1</x:v>
      </x:c>
      <x:c r="T153" s="36" t="n">
        <x:f>IF(OR(A153="",C153&lt;&gt;"Kapak",P153&lt;&gt;"Evet"),0,IF(COUNTIFS($F$8:F153,F153,$C$8:C153,"Kapak",$P$8:P153,"Evet")=1,1,0))</x:f>
        <x:v>0</x:v>
      </x:c>
    </x:row>
    <x:row r="154" ht="54" customHeight="1">
      <x:c r="A154" s="29" t="str">
        <x:v>bakersfield:photo:venue-22119</x:v>
      </x:c>
      <x:c r="B154" s="29" t="str">
        <x:v>bakersfield</x:v>
      </x:c>
      <x:c r="C154" s="29" t="str">
        <x:v>Mekân</x:v>
      </x:c>
      <x:c r="D154" s="29" t="str">
        <x:v>bakersfield:yer-local-bakersfield-amtrak-station</x:v>
      </x:c>
      <x:c r="E154" s="29" t="str">
        <x:v>Fotoğraflar/bk-c7d84c3863476ca8b8ed0d61.webp</x:v>
      </x:c>
      <x:c r="F154" s="29" t="str">
        <x:v>c7d84c3863476ca8b8ed0d61b6a99971e2fb207bde925825c0675ff669852100</x:v>
      </x:c>
      <x:c r="G154" s="29" t="str">
        <x:v>Bakersfield Amtrak Station · 2012 tarihli fotoğraf</x:v>
      </x:c>
      <x:c r="H154" s="29" t="str">
        <x:v>Pedro Xing</x:v>
      </x:c>
      <x:c r="I154" s="29" t="str">
        <x:v>CC0 1.0</x:v>
      </x:c>
      <x:c r="J154" s="29" t="str">
        <x:v>https://creativecommons.org/publicdomain/zero/1.0/</x:v>
      </x:c>
      <x:c r="K154" s="29" t="str">
        <x:v>https://commons.wikimedia.org/wiki/File:Bakersfield_Station_2050_04.JPG</x:v>
      </x:c>
      <x:c r="L154" s="31"/>
      <x:c r="M154" s="31" t="d">
        <x:v>2026-10-24T00:00:00.000Z</x:v>
      </x:c>
      <x:c r="N154" s="29" t="str">
        <x:v>EXIF yönü uygulandı; boyut küçültülüp WebP biçimine dönüştürüldü.</x:v>
      </x:c>
      <x:c r="O154" s="29" t="str">
        <x:v>bakersfield:evidence:venue-22119</x:v>
      </x:c>
      <x:c r="P154" s="29" t="str">
        <x:v>Evet</x:v>
      </x:c>
      <x:c r="Q154" s="35" t="n">
        <x:v>2</x:v>
      </x:c>
      <x:c r="R154" s="29" t="str">
        <x:v>İnceleme</x:v>
      </x:c>
      <x:c r="S154" s="36" t="n">
        <x:f>IF(OR(A154="",C154&lt;&gt;"Mekân",P154&lt;&gt;"Evet"),0,IF(COUNTIFS($F$8:F154,F154,$C$8:C154,"Mekân",$P$8:P154,"Evet")=1,1,0))</x:f>
        <x:v>1</x:v>
      </x:c>
      <x:c r="T154" s="36" t="n">
        <x:f>IF(OR(A154="",C154&lt;&gt;"Kapak",P154&lt;&gt;"Evet"),0,IF(COUNTIFS($F$8:F154,F154,$C$8:C154,"Kapak",$P$8:P154,"Evet")=1,1,0))</x:f>
        <x:v>0</x:v>
      </x:c>
    </x:row>
    <x:row r="155" ht="54" customHeight="1">
      <x:c r="A155" s="29" t="str">
        <x:v>bakersfield:photo:venue-22120</x:v>
      </x:c>
      <x:c r="B155" s="29" t="str">
        <x:v>bakersfield</x:v>
      </x:c>
      <x:c r="C155" s="29" t="str">
        <x:v>Mekân</x:v>
      </x:c>
      <x:c r="D155" s="29" t="str">
        <x:v>bakersfield:yer-local-bakersfield-amtrak-station</x:v>
      </x:c>
      <x:c r="E155" s="29" t="str">
        <x:v>Fotoğraflar/bk-aa22ef2ba0598cce4333bf97.webp</x:v>
      </x:c>
      <x:c r="F155" s="29" t="str">
        <x:v>aa22ef2ba0598cce4333bf977e0627565e60db5445425f9755a4fce624532343</x:v>
      </x:c>
      <x:c r="G155" s="29" t="str">
        <x:v>Bakersfield Amtrak Station · 2012 tarihli fotoğraf</x:v>
      </x:c>
      <x:c r="H155" s="29" t="str">
        <x:v>Pedro Xing</x:v>
      </x:c>
      <x:c r="I155" s="29" t="str">
        <x:v>CC0 1.0</x:v>
      </x:c>
      <x:c r="J155" s="29" t="str">
        <x:v>https://creativecommons.org/publicdomain/zero/1.0/</x:v>
      </x:c>
      <x:c r="K155" s="29" t="str">
        <x:v>https://commons.wikimedia.org/wiki/File:Bakersfield_Station_2052_06.JPG</x:v>
      </x:c>
      <x:c r="L155" s="31"/>
      <x:c r="M155" s="31" t="d">
        <x:v>2026-10-24T00:00:00.000Z</x:v>
      </x:c>
      <x:c r="N155" s="29" t="str">
        <x:v>EXIF yönü uygulandı; boyut küçültülüp WebP biçimine dönüştürüldü.</x:v>
      </x:c>
      <x:c r="O155" s="29" t="str">
        <x:v>bakersfield:evidence:venue-22120</x:v>
      </x:c>
      <x:c r="P155" s="29" t="str">
        <x:v>Evet</x:v>
      </x:c>
      <x:c r="Q155" s="35" t="n">
        <x:v>3</x:v>
      </x:c>
      <x:c r="R155" s="29" t="str">
        <x:v>İnceleme</x:v>
      </x:c>
      <x:c r="S155" s="36" t="n">
        <x:f>IF(OR(A155="",C155&lt;&gt;"Mekân",P155&lt;&gt;"Evet"),0,IF(COUNTIFS($F$8:F155,F155,$C$8:C155,"Mekân",$P$8:P155,"Evet")=1,1,0))</x:f>
        <x:v>1</x:v>
      </x:c>
      <x:c r="T155" s="36" t="n">
        <x:f>IF(OR(A155="",C155&lt;&gt;"Kapak",P155&lt;&gt;"Evet"),0,IF(COUNTIFS($F$8:F155,F155,$C$8:C155,"Kapak",$P$8:P155,"Evet")=1,1,0))</x:f>
        <x:v>0</x:v>
      </x:c>
    </x:row>
    <x:row r="156" ht="54" customHeight="1">
      <x:c r="A156" s="29" t="str">
        <x:v>bakersfield:photo:venue-22121</x:v>
      </x:c>
      <x:c r="B156" s="29" t="str">
        <x:v>bakersfield</x:v>
      </x:c>
      <x:c r="C156" s="29" t="str">
        <x:v>Mekân</x:v>
      </x:c>
      <x:c r="D156" s="29" t="str">
        <x:v>bakersfield:yer-local-bakersfield-amtrak-station</x:v>
      </x:c>
      <x:c r="E156" s="29" t="str">
        <x:v>Fotoğraflar/bk-b7b97be41f1701a983d4f97f.webp</x:v>
      </x:c>
      <x:c r="F156" s="29" t="str">
        <x:v>b7b97be41f1701a983d4f97f0a64866f7fd669f462aa9427cc6c8ae89bd967e3</x:v>
      </x:c>
      <x:c r="G156" s="29" t="str">
        <x:v>Bakersfield Amtrak Station · 2012 tarihli fotoğraf</x:v>
      </x:c>
      <x:c r="H156" s="29" t="str">
        <x:v>Pedro Xing</x:v>
      </x:c>
      <x:c r="I156" s="29" t="str">
        <x:v>CC0 1.0</x:v>
      </x:c>
      <x:c r="J156" s="29" t="str">
        <x:v>https://creativecommons.org/publicdomain/zero/1.0/</x:v>
      </x:c>
      <x:c r="K156" s="29" t="str">
        <x:v>https://commons.wikimedia.org/wiki/File:Bakersfield_Station_2061_15.JPG</x:v>
      </x:c>
      <x:c r="L156" s="31"/>
      <x:c r="M156" s="31" t="d">
        <x:v>2026-10-24T00:00:00.000Z</x:v>
      </x:c>
      <x:c r="N156" s="29" t="str">
        <x:v>EXIF yönü uygulandı; boyut küçültülüp WebP biçimine dönüştürüldü.</x:v>
      </x:c>
      <x:c r="O156" s="29" t="str">
        <x:v>bakersfield:evidence:venue-22121</x:v>
      </x:c>
      <x:c r="P156" s="29" t="str">
        <x:v>Evet</x:v>
      </x:c>
      <x:c r="Q156" s="35" t="n">
        <x:v>4</x:v>
      </x:c>
      <x:c r="R156" s="29" t="str">
        <x:v>İnceleme</x:v>
      </x:c>
      <x:c r="S156" s="36" t="n">
        <x:f>IF(OR(A156="",C156&lt;&gt;"Mekân",P156&lt;&gt;"Evet"),0,IF(COUNTIFS($F$8:F156,F156,$C$8:C156,"Mekân",$P$8:P156,"Evet")=1,1,0))</x:f>
        <x:v>1</x:v>
      </x:c>
      <x:c r="T156" s="36" t="n">
        <x:f>IF(OR(A156="",C156&lt;&gt;"Kapak",P156&lt;&gt;"Evet"),0,IF(COUNTIFS($F$8:F156,F156,$C$8:C156,"Kapak",$P$8:P156,"Evet")=1,1,0))</x:f>
        <x:v>0</x:v>
      </x:c>
    </x:row>
    <x:row r="157" ht="54" customHeight="1">
      <x:c r="A157" s="29" t="str">
        <x:v>bakersfield:photo:venue-22122</x:v>
      </x:c>
      <x:c r="B157" s="29" t="str">
        <x:v>bakersfield</x:v>
      </x:c>
      <x:c r="C157" s="29" t="str">
        <x:v>Mekân</x:v>
      </x:c>
      <x:c r="D157" s="29" t="str">
        <x:v>bakersfield:yer-local-bakersfield-amtrak-station</x:v>
      </x:c>
      <x:c r="E157" s="29" t="str">
        <x:v>Fotoğraflar/bk-a9948a3dde61666eac75e3eb.webp</x:v>
      </x:c>
      <x:c r="F157" s="29" t="str">
        <x:v>a9948a3dde61666eac75e3eb360ae9dbed86126808209ef15d5fff526a73d1ca</x:v>
      </x:c>
      <x:c r="G157" s="29" t="str">
        <x:v>Bakersfield Amtrak Station · 2012 tarihli fotoğraf</x:v>
      </x:c>
      <x:c r="H157" s="29" t="str">
        <x:v>Pedro Xing</x:v>
      </x:c>
      <x:c r="I157" s="29" t="str">
        <x:v>CC0 1.0</x:v>
      </x:c>
      <x:c r="J157" s="29" t="str">
        <x:v>https://creativecommons.org/publicdomain/zero/1.0/</x:v>
      </x:c>
      <x:c r="K157" s="29" t="str">
        <x:v>https://commons.wikimedia.org/wiki/File:Bakersfield_Station_2054_08.JPG</x:v>
      </x:c>
      <x:c r="L157" s="31"/>
      <x:c r="M157" s="31" t="d">
        <x:v>2026-10-24T00:00:00.000Z</x:v>
      </x:c>
      <x:c r="N157" s="29" t="str">
        <x:v>EXIF yönü uygulandı; boyut küçültülüp WebP biçimine dönüştürüldü.</x:v>
      </x:c>
      <x:c r="O157" s="29" t="str">
        <x:v>bakersfield:evidence:venue-22122</x:v>
      </x:c>
      <x:c r="P157" s="29" t="str">
        <x:v>Evet</x:v>
      </x:c>
      <x:c r="Q157" s="35" t="n">
        <x:v>5</x:v>
      </x:c>
      <x:c r="R157" s="29" t="str">
        <x:v>İnceleme</x:v>
      </x:c>
      <x:c r="S157" s="36" t="n">
        <x:f>IF(OR(A157="",C157&lt;&gt;"Mekân",P157&lt;&gt;"Evet"),0,IF(COUNTIFS($F$8:F157,F157,$C$8:C157,"Mekân",$P$8:P157,"Evet")=1,1,0))</x:f>
        <x:v>1</x:v>
      </x:c>
      <x:c r="T157" s="36" t="n">
        <x:f>IF(OR(A157="",C157&lt;&gt;"Kapak",P157&lt;&gt;"Evet"),0,IF(COUNTIFS($F$8:F157,F157,$C$8:C157,"Kapak",$P$8:P157,"Evet")=1,1,0))</x:f>
        <x:v>0</x:v>
      </x:c>
    </x:row>
    <x:row r="158" ht="54" customHeight="1">
      <x:c r="A158" s="29" t="str">
        <x:v>bakersfield:photo:venue-22123</x:v>
      </x:c>
      <x:c r="B158" s="29" t="str">
        <x:v>bakersfield</x:v>
      </x:c>
      <x:c r="C158" s="29" t="str">
        <x:v>Mekân</x:v>
      </x:c>
      <x:c r="D158" s="29" t="str">
        <x:v>bakersfield:yer-local-bakersfield-beale-library</x:v>
      </x:c>
      <x:c r="E158" s="29" t="str">
        <x:v>Fotoğraflar/bk-e2172475b13d9072b5147713.webp</x:v>
      </x:c>
      <x:c r="F158" s="29" t="str">
        <x:v>e2172475b13d9072b5147713fb4a79722fcaa668b075f3a7190a6eeaf1af9804</x:v>
      </x:c>
      <x:c r="G158" s="29" t="str">
        <x:v>Beale Memorial Library · 2011 tarihli fotoğraf</x:v>
      </x:c>
      <x:c r="H158" s="29" t="str">
        <x:v>Skyman9999</x:v>
      </x:c>
      <x:c r="I158" s="29" t="str">
        <x:v>CC0 1.0</x:v>
      </x:c>
      <x:c r="J158" s="29" t="str">
        <x:v>https://creativecommons.org/publicdomain/zero/1.0/</x:v>
      </x:c>
      <x:c r="K158" s="29" t="str">
        <x:v>https://commons.wikimedia.org/wiki/File:Beale_Memorial_Library_Entrance.jpg</x:v>
      </x:c>
      <x:c r="L158" s="31" t="d">
        <x:v>2011-09-07T00:00:00.000Z</x:v>
      </x:c>
      <x:c r="M158" s="31" t="d">
        <x:v>2026-10-24T00:00:00.000Z</x:v>
      </x:c>
      <x:c r="N158" s="29" t="str">
        <x:v>EXIF yönü uygulandı; boyut küçültülüp WebP biçimine dönüştürüldü.</x:v>
      </x:c>
      <x:c r="O158" s="29" t="str">
        <x:v>bakersfield:evidence:venue-22123</x:v>
      </x:c>
      <x:c r="P158" s="29" t="str">
        <x:v>Evet</x:v>
      </x:c>
      <x:c r="Q158" s="35" t="n">
        <x:v>0</x:v>
      </x:c>
      <x:c r="R158" s="29" t="str">
        <x:v>İnceleme</x:v>
      </x:c>
      <x:c r="S158" s="36" t="n">
        <x:f>IF(OR(A158="",C158&lt;&gt;"Mekân",P158&lt;&gt;"Evet"),0,IF(COUNTIFS($F$8:F158,F158,$C$8:C158,"Mekân",$P$8:P158,"Evet")=1,1,0))</x:f>
        <x:v>1</x:v>
      </x:c>
      <x:c r="T158" s="36" t="n">
        <x:f>IF(OR(A158="",C158&lt;&gt;"Kapak",P158&lt;&gt;"Evet"),0,IF(COUNTIFS($F$8:F158,F158,$C$8:C158,"Kapak",$P$8:P158,"Evet")=1,1,0))</x:f>
        <x:v>0</x:v>
      </x:c>
    </x:row>
    <x:row r="159" ht="54" customHeight="1">
      <x:c r="A159" s="29" t="str">
        <x:v>bakersfield:photo:venue-22124</x:v>
      </x:c>
      <x:c r="B159" s="29" t="str">
        <x:v>bakersfield</x:v>
      </x:c>
      <x:c r="C159" s="29" t="str">
        <x:v>Mekân</x:v>
      </x:c>
      <x:c r="D159" s="29" t="str">
        <x:v>bakersfield:yer-local-bakersfield-union-cemetery</x:v>
      </x:c>
      <x:c r="E159" s="29" t="str">
        <x:v>Fotoğraflar/bk-a7a8b89be7f142104a54cdb3.webp</x:v>
      </x:c>
      <x:c r="F159" s="29" t="str">
        <x:v>a7a8b89be7f142104a54cdb3b6badc1a4941143c624d2c48981353db099a1618</x:v>
      </x:c>
      <x:c r="G159" s="29" t="str">
        <x:v>Union Cemetery · 2020 tarihli fotoğraf</x:v>
      </x:c>
      <x:c r="H159" s="29" t="str">
        <x:v>Julie Jordan Scott</x:v>
      </x:c>
      <x:c r="I159" s="29" t="str">
        <x:v>CC BY 2.0</x:v>
      </x:c>
      <x:c r="J159" s="29" t="str">
        <x:v>https://creativecommons.org/licenses/by/2.0/</x:v>
      </x:c>
      <x:c r="K159" s="29" t="str">
        <x:v>https://www.flickr.com/photos/98609821@N00/50623084316/</x:v>
      </x:c>
      <x:c r="L159" s="31" t="d">
        <x:v>2020-11-19T00:00:00.000Z</x:v>
      </x:c>
      <x:c r="M159" s="31" t="d">
        <x:v>2026-10-24T00:00:00.000Z</x:v>
      </x:c>
      <x:c r="N159" s="29" t="str">
        <x:v>EXIF yönü uygulandı; boyut küçültülüp WebP biçimine dönüştürüldü.</x:v>
      </x:c>
      <x:c r="O159" s="29" t="str">
        <x:v>bakersfield:evidence:venue-22124</x:v>
      </x:c>
      <x:c r="P159" s="29" t="str">
        <x:v>Evet</x:v>
      </x:c>
      <x:c r="Q159" s="35" t="n">
        <x:v>0</x:v>
      </x:c>
      <x:c r="R159" s="29" t="str">
        <x:v>İnceleme</x:v>
      </x:c>
      <x:c r="S159" s="36" t="n">
        <x:f>IF(OR(A159="",C159&lt;&gt;"Mekân",P159&lt;&gt;"Evet"),0,IF(COUNTIFS($F$8:F159,F159,$C$8:C159,"Mekân",$P$8:P159,"Evet")=1,1,0))</x:f>
        <x:v>1</x:v>
      </x:c>
      <x:c r="T159" s="36" t="n">
        <x:f>IF(OR(A159="",C159&lt;&gt;"Kapak",P159&lt;&gt;"Evet"),0,IF(COUNTIFS($F$8:F159,F159,$C$8:C159,"Kapak",$P$8:P159,"Evet")=1,1,0))</x:f>
        <x:v>0</x:v>
      </x:c>
    </x:row>
    <x:row r="160" ht="54" customHeight="1">
      <x:c r="A160" s="29" t="str">
        <x:v>bakersfield:photo:venue-22125</x:v>
      </x:c>
      <x:c r="B160" s="29" t="str">
        <x:v>bakersfield</x:v>
      </x:c>
      <x:c r="C160" s="29" t="str">
        <x:v>Mekân</x:v>
      </x:c>
      <x:c r="D160" s="29" t="str">
        <x:v>bakersfield:yer-local-bakersfield-union-cemetery</x:v>
      </x:c>
      <x:c r="E160" s="29" t="str">
        <x:v>Fotoğraflar/bk-7d0996d92c2ed981dd3582e0.webp</x:v>
      </x:c>
      <x:c r="F160" s="29" t="str">
        <x:v>7d0996d92c2ed981dd3582e0740d381f935b1fc762c4a744078e458f40245276</x:v>
      </x:c>
      <x:c r="G160" s="29" t="str">
        <x:v>Union Cemetery · 2020 tarihli fotoğraf</x:v>
      </x:c>
      <x:c r="H160" s="29" t="str">
        <x:v>Julie Jordan Scott</x:v>
      </x:c>
      <x:c r="I160" s="29" t="str">
        <x:v>CC BY 2.0</x:v>
      </x:c>
      <x:c r="J160" s="29" t="str">
        <x:v>https://creativecommons.org/licenses/by/2.0/</x:v>
      </x:c>
      <x:c r="K160" s="29" t="str">
        <x:v>https://www.flickr.com/photos/98609821@N00/50623194692/</x:v>
      </x:c>
      <x:c r="L160" s="31" t="d">
        <x:v>2020-11-19T00:00:00.000Z</x:v>
      </x:c>
      <x:c r="M160" s="31" t="d">
        <x:v>2026-10-24T00:00:00.000Z</x:v>
      </x:c>
      <x:c r="N160" s="29" t="str">
        <x:v>EXIF yönü uygulandı; boyut küçültülüp WebP biçimine dönüştürüldü.</x:v>
      </x:c>
      <x:c r="O160" s="29" t="str">
        <x:v>bakersfield:evidence:venue-22125</x:v>
      </x:c>
      <x:c r="P160" s="29" t="str">
        <x:v>Evet</x:v>
      </x:c>
      <x:c r="Q160" s="35" t="n">
        <x:v>1</x:v>
      </x:c>
      <x:c r="R160" s="29" t="str">
        <x:v>İnceleme</x:v>
      </x:c>
      <x:c r="S160" s="36" t="n">
        <x:f>IF(OR(A160="",C160&lt;&gt;"Mekân",P160&lt;&gt;"Evet"),0,IF(COUNTIFS($F$8:F160,F160,$C$8:C160,"Mekân",$P$8:P160,"Evet")=1,1,0))</x:f>
        <x:v>1</x:v>
      </x:c>
      <x:c r="T160" s="36" t="n">
        <x:f>IF(OR(A160="",C160&lt;&gt;"Kapak",P160&lt;&gt;"Evet"),0,IF(COUNTIFS($F$8:F160,F160,$C$8:C160,"Kapak",$P$8:P160,"Evet")=1,1,0))</x:f>
        <x:v>0</x:v>
      </x:c>
    </x:row>
    <x:row r="161" ht="54" customHeight="1">
      <x:c r="A161" s="29" t="str">
        <x:v>bakersfield:photo:venue-22126</x:v>
      </x:c>
      <x:c r="B161" s="29" t="str">
        <x:v>bakersfield</x:v>
      </x:c>
      <x:c r="C161" s="29" t="str">
        <x:v>Mekân</x:v>
      </x:c>
      <x:c r="D161" s="29" t="str">
        <x:v>bakersfield:yer-local-bakersfield-national-cemetery</x:v>
      </x:c>
      <x:c r="E161" s="29" t="str">
        <x:v>Fotoğraflar/bk-1aff2f43239470b2ebfedb76.webp</x:v>
      </x:c>
      <x:c r="F161" s="29" t="str">
        <x:v>1aff2f43239470b2ebfedb763c5ba4b48a30b8e089a85e7d60651348896f15e1</x:v>
      </x:c>
      <x:c r="G161" s="29" t="str">
        <x:v>Bakersfield National Cemetery · 2012 tarihli fotoğraf</x:v>
      </x:c>
      <x:c r="H161" s="29" t="str">
        <x:v>Julie Jordan Scott</x:v>
      </x:c>
      <x:c r="I161" s="29" t="str">
        <x:v>CC BY 2.0</x:v>
      </x:c>
      <x:c r="J161" s="29" t="str">
        <x:v>https://creativecommons.org/licenses/by/2.0/</x:v>
      </x:c>
      <x:c r="K161" s="29" t="str">
        <x:v>https://www.flickr.com/photos/98609821@N00/6875163054/</x:v>
      </x:c>
      <x:c r="L161" s="31" t="d">
        <x:v>2012-03-25T00:00:00.000Z</x:v>
      </x:c>
      <x:c r="M161" s="31" t="d">
        <x:v>2026-10-24T00:00:00.000Z</x:v>
      </x:c>
      <x:c r="N161" s="29" t="str">
        <x:v>EXIF yönü uygulandı; boyut küçültülüp WebP biçimine dönüştürüldü.</x:v>
      </x:c>
      <x:c r="O161" s="29" t="str">
        <x:v>bakersfield:evidence:venue-22126</x:v>
      </x:c>
      <x:c r="P161" s="29" t="str">
        <x:v>Evet</x:v>
      </x:c>
      <x:c r="Q161" s="35" t="n">
        <x:v>0</x:v>
      </x:c>
      <x:c r="R161" s="29" t="str">
        <x:v>İnceleme</x:v>
      </x:c>
      <x:c r="S161" s="36" t="n">
        <x:f>IF(OR(A161="",C161&lt;&gt;"Mekân",P161&lt;&gt;"Evet"),0,IF(COUNTIFS($F$8:F161,F161,$C$8:C161,"Mekân",$P$8:P161,"Evet")=1,1,0))</x:f>
        <x:v>1</x:v>
      </x:c>
      <x:c r="T161" s="36" t="n">
        <x:f>IF(OR(A161="",C161&lt;&gt;"Kapak",P161&lt;&gt;"Evet"),0,IF(COUNTIFS($F$8:F161,F161,$C$8:C161,"Kapak",$P$8:P161,"Evet")=1,1,0))</x:f>
        <x:v>0</x:v>
      </x:c>
    </x:row>
    <x:row r="162" ht="54" customHeight="1">
      <x:c r="A162" s="29" t="str">
        <x:v>bakersfield:photo:venue-22127</x:v>
      </x:c>
      <x:c r="B162" s="29" t="str">
        <x:v>bakersfield</x:v>
      </x:c>
      <x:c r="C162" s="29" t="str">
        <x:v>Mekân</x:v>
      </x:c>
      <x:c r="D162" s="29" t="str">
        <x:v>bakersfield:yer-local-bakersfield-kress-building</x:v>
      </x:c>
      <x:c r="E162" s="29" t="str">
        <x:v>Fotoğraflar/bk-16da3872dd8b7b56a8d88164.webp</x:v>
      </x:c>
      <x:c r="F162" s="29" t="str">
        <x:v>16da3872dd8b7b56a8d881645d10c42890c3d7a42b4d378d856639ba414e9b79</x:v>
      </x:c>
      <x:c r="G162" s="29" t="str">
        <x:v>Kress Building · 2017 tarihli fotoğraf</x:v>
      </x:c>
      <x:c r="H162" s="29" t="str">
        <x:v>Publichall</x:v>
      </x:c>
      <x:c r="I162" s="29" t="str">
        <x:v>CC BY-SA 4.0</x:v>
      </x:c>
      <x:c r="J162" s="29" t="str">
        <x:v>https://creativecommons.org/licenses/by-sa/4.0</x:v>
      </x:c>
      <x:c r="K162" s="29" t="str">
        <x:v>https://commons.wikimedia.org/wiki/File:Kress_Bldg,_Bakersfield,_CA.jpg</x:v>
      </x:c>
      <x:c r="L162" s="31"/>
      <x:c r="M162" s="31" t="d">
        <x:v>2026-10-24T00:00:00.000Z</x:v>
      </x:c>
      <x:c r="N162" s="29" t="str">
        <x:v>EXIF yönü uygulandı; boyut küçültülüp WebP biçimine dönüştürüldü.</x:v>
      </x:c>
      <x:c r="O162" s="29" t="str">
        <x:v>bakersfield:evidence:venue-22127</x:v>
      </x:c>
      <x:c r="P162" s="29" t="str">
        <x:v>Evet</x:v>
      </x:c>
      <x:c r="Q162" s="35" t="n">
        <x:v>0</x:v>
      </x:c>
      <x:c r="R162" s="29" t="str">
        <x:v>İnceleme</x:v>
      </x:c>
      <x:c r="S162" s="36" t="n">
        <x:f>IF(OR(A162="",C162&lt;&gt;"Mekân",P162&lt;&gt;"Evet"),0,IF(COUNTIFS($F$8:F162,F162,$C$8:C162,"Mekân",$P$8:P162,"Evet")=1,1,0))</x:f>
        <x:v>1</x:v>
      </x:c>
      <x:c r="T162" s="36" t="n">
        <x:f>IF(OR(A162="",C162&lt;&gt;"Kapak",P162&lt;&gt;"Evet"),0,IF(COUNTIFS($F$8:F162,F162,$C$8:C162,"Kapak",$P$8:P162,"Evet")=1,1,0))</x:f>
        <x:v>0</x:v>
      </x:c>
    </x:row>
    <x:row r="163" ht="54" customHeight="1">
      <x:c r="A163" s="29" t="str">
        <x:v>bakersfield:photo:venue-22128</x:v>
      </x:c>
      <x:c r="B163" s="29" t="str">
        <x:v>bakersfield</x:v>
      </x:c>
      <x:c r="C163" s="29" t="str">
        <x:v>Mekân</x:v>
      </x:c>
      <x:c r="D163" s="29" t="str">
        <x:v>bakersfield:yer-local-bakersfield-kress-building</x:v>
      </x:c>
      <x:c r="E163" s="29" t="str">
        <x:v>Fotoğraflar/bk-45662a40fe25586925cc8cc4.webp</x:v>
      </x:c>
      <x:c r="F163" s="29" t="str">
        <x:v>45662a40fe25586925cc8cc4563c63f8124dfc27b4be6dd03b41dcef45bfcfba</x:v>
      </x:c>
      <x:c r="G163" s="29" t="str">
        <x:v>Kress Building · 2024 tarihli fotoğraf</x:v>
      </x:c>
      <x:c r="H163" s="29" t="str">
        <x:v>David Wilson</x:v>
      </x:c>
      <x:c r="I163" s="29" t="str">
        <x:v>CC BY 4.0</x:v>
      </x:c>
      <x:c r="J163" s="29" t="str">
        <x:v>https://creativecommons.org/licenses/by/4.0/</x:v>
      </x:c>
      <x:c r="K163" s="29" t="str">
        <x:v>https://www.flickr.com/photos/32693718@N07/54742773204/</x:v>
      </x:c>
      <x:c r="L163" s="31" t="d">
        <x:v>2024-09-16T00:00:00.000Z</x:v>
      </x:c>
      <x:c r="M163" s="31" t="d">
        <x:v>2026-10-24T00:00:00.000Z</x:v>
      </x:c>
      <x:c r="N163" s="29" t="str">
        <x:v>EXIF yönü uygulandı; boyut küçültülüp WebP biçimine dönüştürüldü.</x:v>
      </x:c>
      <x:c r="O163" s="29" t="str">
        <x:v>bakersfield:evidence:venue-22128</x:v>
      </x:c>
      <x:c r="P163" s="29" t="str">
        <x:v>Evet</x:v>
      </x:c>
      <x:c r="Q163" s="35" t="n">
        <x:v>1</x:v>
      </x:c>
      <x:c r="R163" s="29" t="str">
        <x:v>İnceleme</x:v>
      </x:c>
      <x:c r="S163" s="36" t="n">
        <x:f>IF(OR(A163="",C163&lt;&gt;"Mekân",P163&lt;&gt;"Evet"),0,IF(COUNTIFS($F$8:F163,F163,$C$8:C163,"Mekân",$P$8:P163,"Evet")=1,1,0))</x:f>
        <x:v>1</x:v>
      </x:c>
      <x:c r="T163" s="36" t="n">
        <x:f>IF(OR(A163="",C163&lt;&gt;"Kapak",P163&lt;&gt;"Evet"),0,IF(COUNTIFS($F$8:F163,F163,$C$8:C163,"Kapak",$P$8:P163,"Evet")=1,1,0))</x:f>
        <x:v>0</x:v>
      </x:c>
    </x:row>
    <x:row r="164" ht="54" customHeight="1">
      <x:c r="A164" s="29" t="str">
        <x:v>bakersfield:photo:venue-22129</x:v>
      </x:c>
      <x:c r="B164" s="29" t="str">
        <x:v>bakersfield</x:v>
      </x:c>
      <x:c r="C164" s="29" t="str">
        <x:v>Mekân</x:v>
      </x:c>
      <x:c r="D164" s="29" t="str">
        <x:v>bakersfield:yer-local-bakersfield-kress-building</x:v>
      </x:c>
      <x:c r="E164" s="29" t="str">
        <x:v>Fotoğraflar/bk-8a5642994e54aab3bbb025d3.webp</x:v>
      </x:c>
      <x:c r="F164" s="29" t="str">
        <x:v>8a5642994e54aab3bbb025d300b3a1f1cb7e748d4b6b8306d647757a5c8016f6</x:v>
      </x:c>
      <x:c r="G164" s="29" t="str">
        <x:v>Kress Building · 2024 tarihli fotoğraf</x:v>
      </x:c>
      <x:c r="H164" s="29" t="str">
        <x:v>David Wilson</x:v>
      </x:c>
      <x:c r="I164" s="29" t="str">
        <x:v>CC BY 4.0</x:v>
      </x:c>
      <x:c r="J164" s="29" t="str">
        <x:v>https://creativecommons.org/licenses/by/4.0/</x:v>
      </x:c>
      <x:c r="K164" s="29" t="str">
        <x:v>https://www.flickr.com/photos/32693718@N07/54742545931/</x:v>
      </x:c>
      <x:c r="L164" s="31" t="d">
        <x:v>2024-09-16T00:00:00.000Z</x:v>
      </x:c>
      <x:c r="M164" s="31" t="d">
        <x:v>2026-10-24T00:00:00.000Z</x:v>
      </x:c>
      <x:c r="N164" s="29" t="str">
        <x:v>EXIF yönü uygulandı; boyut küçültülüp WebP biçimine dönüştürüldü.</x:v>
      </x:c>
      <x:c r="O164" s="29" t="str">
        <x:v>bakersfield:evidence:venue-22129</x:v>
      </x:c>
      <x:c r="P164" s="29" t="str">
        <x:v>Evet</x:v>
      </x:c>
      <x:c r="Q164" s="35" t="n">
        <x:v>2</x:v>
      </x:c>
      <x:c r="R164" s="29" t="str">
        <x:v>İnceleme</x:v>
      </x:c>
      <x:c r="S164" s="36" t="n">
        <x:f>IF(OR(A164="",C164&lt;&gt;"Mekân",P164&lt;&gt;"Evet"),0,IF(COUNTIFS($F$8:F164,F164,$C$8:C164,"Mekân",$P$8:P164,"Evet")=1,1,0))</x:f>
        <x:v>1</x:v>
      </x:c>
      <x:c r="T164" s="36" t="n">
        <x:f>IF(OR(A164="",C164&lt;&gt;"Kapak",P164&lt;&gt;"Evet"),0,IF(COUNTIFS($F$8:F164,F164,$C$8:C164,"Kapak",$P$8:P164,"Evet")=1,1,0))</x:f>
        <x:v>0</x:v>
      </x:c>
    </x:row>
    <x:row r="165" ht="54" customHeight="1">
      <x:c r="A165" s="29" t="str">
        <x:v>bakersfield:photo:venue-22130</x:v>
      </x:c>
      <x:c r="B165" s="29" t="str">
        <x:v>bakersfield</x:v>
      </x:c>
      <x:c r="C165" s="29" t="str">
        <x:v>Mekân</x:v>
      </x:c>
      <x:c r="D165" s="29" t="str">
        <x:v>bakersfield:yer-local-bakersfield-kress-building</x:v>
      </x:c>
      <x:c r="E165" s="29" t="str">
        <x:v>Fotoğraflar/bk-2df6fe7222e18cfab47a2240.webp</x:v>
      </x:c>
      <x:c r="F165" s="29" t="str">
        <x:v>2df6fe7222e18cfab47a224006cecb9c4d7a4c2353fd121ad39474967f11de79</x:v>
      </x:c>
      <x:c r="G165" s="29" t="str">
        <x:v>Kress Building · 2024 tarihli fotoğraf</x:v>
      </x:c>
      <x:c r="H165" s="29" t="str">
        <x:v>David Wilson</x:v>
      </x:c>
      <x:c r="I165" s="29" t="str">
        <x:v>CC BY 4.0</x:v>
      </x:c>
      <x:c r="J165" s="29" t="str">
        <x:v>https://creativecommons.org/licenses/by/4.0/</x:v>
      </x:c>
      <x:c r="K165" s="29" t="str">
        <x:v>https://www.flickr.com/photos/32693718@N07/54744950064/</x:v>
      </x:c>
      <x:c r="L165" s="31" t="d">
        <x:v>2024-09-16T00:00:00.000Z</x:v>
      </x:c>
      <x:c r="M165" s="31" t="d">
        <x:v>2026-10-24T00:00:00.000Z</x:v>
      </x:c>
      <x:c r="N165" s="29" t="str">
        <x:v>EXIF yönü uygulandı; boyut küçültülüp WebP biçimine dönüştürüldü.</x:v>
      </x:c>
      <x:c r="O165" s="29" t="str">
        <x:v>bakersfield:evidence:venue-22130</x:v>
      </x:c>
      <x:c r="P165" s="29" t="str">
        <x:v>Evet</x:v>
      </x:c>
      <x:c r="Q165" s="35" t="n">
        <x:v>3</x:v>
      </x:c>
      <x:c r="R165" s="29" t="str">
        <x:v>İnceleme</x:v>
      </x:c>
      <x:c r="S165" s="36" t="n">
        <x:f>IF(OR(A165="",C165&lt;&gt;"Mekân",P165&lt;&gt;"Evet"),0,IF(COUNTIFS($F$8:F165,F165,$C$8:C165,"Mekân",$P$8:P165,"Evet")=1,1,0))</x:f>
        <x:v>1</x:v>
      </x:c>
      <x:c r="T165" s="36" t="n">
        <x:f>IF(OR(A165="",C165&lt;&gt;"Kapak",P165&lt;&gt;"Evet"),0,IF(COUNTIFS($F$8:F165,F165,$C$8:C165,"Kapak",$P$8:P165,"Evet")=1,1,0))</x:f>
        <x:v>0</x:v>
      </x:c>
    </x:row>
    <x:row r="166" ht="54" customHeight="1">
      <x:c r="A166" s="29" t="str">
        <x:v>bakersfield:photo:venue-22131</x:v>
      </x:c>
      <x:c r="B166" s="29" t="str">
        <x:v>bakersfield</x:v>
      </x:c>
      <x:c r="C166" s="29" t="str">
        <x:v>Mekân</x:v>
      </x:c>
      <x:c r="D166" s="29" t="str">
        <x:v>bakersfield:yer-local-bakersfield-haberfelde-building</x:v>
      </x:c>
      <x:c r="E166" s="29" t="str">
        <x:v>Fotoğraflar/bk-14d692553858bfb0f488c9c7.webp</x:v>
      </x:c>
      <x:c r="F166" s="29" t="str">
        <x:v>14d692553858bfb0f488c9c7a55255706bfac29f7baa4f8bc5fd41be69fd6119</x:v>
      </x:c>
      <x:c r="G166" s="29" t="str">
        <x:v>Haberfelde Building · 2017 tarihli fotoğraf</x:v>
      </x:c>
      <x:c r="H166" s="29" t="str">
        <x:v>Publichall</x:v>
      </x:c>
      <x:c r="I166" s="29" t="str">
        <x:v>CC BY-SA 4.0</x:v>
      </x:c>
      <x:c r="J166" s="29" t="str">
        <x:v>https://creativecommons.org/licenses/by-sa/4.0</x:v>
      </x:c>
      <x:c r="K166" s="29" t="str">
        <x:v>https://commons.wikimedia.org/wiki/File:Haberfelde_Bldg,_Bakersfield,_CA.jpg</x:v>
      </x:c>
      <x:c r="L166" s="31"/>
      <x:c r="M166" s="31" t="d">
        <x:v>2026-10-24T00:00:00.000Z</x:v>
      </x:c>
      <x:c r="N166" s="29" t="str">
        <x:v>EXIF yönü uygulandı; boyut küçültülüp WebP biçimine dönüştürüldü.</x:v>
      </x:c>
      <x:c r="O166" s="29" t="str">
        <x:v>bakersfield:evidence:venue-22131</x:v>
      </x:c>
      <x:c r="P166" s="29" t="str">
        <x:v>Evet</x:v>
      </x:c>
      <x:c r="Q166" s="35" t="n">
        <x:v>0</x:v>
      </x:c>
      <x:c r="R166" s="29" t="str">
        <x:v>İnceleme</x:v>
      </x:c>
      <x:c r="S166" s="36" t="n">
        <x:f>IF(OR(A166="",C166&lt;&gt;"Mekân",P166&lt;&gt;"Evet"),0,IF(COUNTIFS($F$8:F166,F166,$C$8:C166,"Mekân",$P$8:P166,"Evet")=1,1,0))</x:f>
        <x:v>1</x:v>
      </x:c>
      <x:c r="T166" s="36" t="n">
        <x:f>IF(OR(A166="",C166&lt;&gt;"Kapak",P166&lt;&gt;"Evet"),0,IF(COUNTIFS($F$8:F166,F166,$C$8:C166,"Kapak",$P$8:P166,"Evet")=1,1,0))</x:f>
        <x:v>0</x:v>
      </x:c>
    </x:row>
    <x:row r="167" ht="54" customHeight="1">
      <x:c r="A167" s="29" t="str">
        <x:v>bakersfield:photo:venue-22132</x:v>
      </x:c>
      <x:c r="B167" s="29" t="str">
        <x:v>bakersfield</x:v>
      </x:c>
      <x:c r="C167" s="29" t="str">
        <x:v>Mekân</x:v>
      </x:c>
      <x:c r="D167" s="29" t="str">
        <x:v>bakersfield:yer-local-bakersfield-haberfelde-building</x:v>
      </x:c>
      <x:c r="E167" s="29" t="str">
        <x:v>Fotoğraflar/bk-cc6a4520066a006fdaee0b7f.webp</x:v>
      </x:c>
      <x:c r="F167" s="29" t="str">
        <x:v>cc6a4520066a006fdaee0b7f156ac29528bc2e52e40f902bb2dc7206429e0951</x:v>
      </x:c>
      <x:c r="G167" s="29" t="str">
        <x:v>Haberfelde Building · 2024 tarihli fotoğraf</x:v>
      </x:c>
      <x:c r="H167" s="29" t="str">
        <x:v>David Wilson</x:v>
      </x:c>
      <x:c r="I167" s="29" t="str">
        <x:v>CC BY 4.0</x:v>
      </x:c>
      <x:c r="J167" s="29" t="str">
        <x:v>https://creativecommons.org/licenses/by/4.0/</x:v>
      </x:c>
      <x:c r="K167" s="29" t="str">
        <x:v>https://www.flickr.com/photos/32693718@N07/54744946573/</x:v>
      </x:c>
      <x:c r="L167" s="31" t="d">
        <x:v>2024-09-16T00:00:00.000Z</x:v>
      </x:c>
      <x:c r="M167" s="31" t="d">
        <x:v>2026-10-24T00:00:00.000Z</x:v>
      </x:c>
      <x:c r="N167" s="29" t="str">
        <x:v>EXIF yönü uygulandı; boyut küçültülüp WebP biçimine dönüştürüldü.</x:v>
      </x:c>
      <x:c r="O167" s="29" t="str">
        <x:v>bakersfield:evidence:venue-22132</x:v>
      </x:c>
      <x:c r="P167" s="29" t="str">
        <x:v>Evet</x:v>
      </x:c>
      <x:c r="Q167" s="35" t="n">
        <x:v>1</x:v>
      </x:c>
      <x:c r="R167" s="29" t="str">
        <x:v>İnceleme</x:v>
      </x:c>
      <x:c r="S167" s="36" t="n">
        <x:f>IF(OR(A167="",C167&lt;&gt;"Mekân",P167&lt;&gt;"Evet"),0,IF(COUNTIFS($F$8:F167,F167,$C$8:C167,"Mekân",$P$8:P167,"Evet")=1,1,0))</x:f>
        <x:v>1</x:v>
      </x:c>
      <x:c r="T167" s="36" t="n">
        <x:f>IF(OR(A167="",C167&lt;&gt;"Kapak",P167&lt;&gt;"Evet"),0,IF(COUNTIFS($F$8:F167,F167,$C$8:C167,"Kapak",$P$8:P167,"Evet")=1,1,0))</x:f>
        <x:v>0</x:v>
      </x:c>
    </x:row>
    <x:row r="168" ht="54" customHeight="1">
      <x:c r="A168" s="29" t="str">
        <x:v>bakersfield:photo:venue-22133</x:v>
      </x:c>
      <x:c r="B168" s="29" t="str">
        <x:v>bakersfield</x:v>
      </x:c>
      <x:c r="C168" s="29" t="str">
        <x:v>Mekân</x:v>
      </x:c>
      <x:c r="D168" s="29" t="str">
        <x:v>bakersfield:yer-local-bakersfield-californian-building</x:v>
      </x:c>
      <x:c r="E168" s="29" t="str">
        <x:v>Fotoğraflar/bk-0c06efc9445918bbf96b0bf8.webp</x:v>
      </x:c>
      <x:c r="F168" s="29" t="str">
        <x:v>0c06efc9445918bbf96b0bf81c8501dab7be1e6df9cc045d3b1c922fc3d6dae4</x:v>
      </x:c>
      <x:c r="G168" s="29" t="str">
        <x:v>Bakersfield Californian Building · 2014 tarihli fotoğraf</x:v>
      </x:c>
      <x:c r="H168" s="29" t="str">
        <x:v>LaurieRankins</x:v>
      </x:c>
      <x:c r="I168" s="29" t="str">
        <x:v>CC BY-SA 3.0</x:v>
      </x:c>
      <x:c r="J168" s="29" t="str">
        <x:v>https://creativecommons.org/licenses/by-sa/3.0</x:v>
      </x:c>
      <x:c r="K168" s="29" t="str">
        <x:v>https://commons.wikimedia.org/wiki/File:From_a_distance_Bakersfield_Californian_Building.JPG</x:v>
      </x:c>
      <x:c r="L168" s="31"/>
      <x:c r="M168" s="31" t="d">
        <x:v>2026-10-24T00:00:00.000Z</x:v>
      </x:c>
      <x:c r="N168" s="29" t="str">
        <x:v>EXIF yönü uygulandı; boyut küçültülüp WebP biçimine dönüştürüldü.</x:v>
      </x:c>
      <x:c r="O168" s="29" t="str">
        <x:v>bakersfield:evidence:venue-22133</x:v>
      </x:c>
      <x:c r="P168" s="29" t="str">
        <x:v>Evet</x:v>
      </x:c>
      <x:c r="Q168" s="35" t="n">
        <x:v>0</x:v>
      </x:c>
      <x:c r="R168" s="29" t="str">
        <x:v>İnceleme</x:v>
      </x:c>
      <x:c r="S168" s="36" t="n">
        <x:f>IF(OR(A168="",C168&lt;&gt;"Mekân",P168&lt;&gt;"Evet"),0,IF(COUNTIFS($F$8:F168,F168,$C$8:C168,"Mekân",$P$8:P168,"Evet")=1,1,0))</x:f>
        <x:v>1</x:v>
      </x:c>
      <x:c r="T168" s="36" t="n">
        <x:f>IF(OR(A168="",C168&lt;&gt;"Kapak",P168&lt;&gt;"Evet"),0,IF(COUNTIFS($F$8:F168,F168,$C$8:C168,"Kapak",$P$8:P168,"Evet")=1,1,0))</x:f>
        <x:v>0</x:v>
      </x:c>
    </x:row>
    <x:row r="169" ht="54" customHeight="1">
      <x:c r="A169" s="29" t="str">
        <x:v>bakersfield:photo:venue-22134</x:v>
      </x:c>
      <x:c r="B169" s="29" t="str">
        <x:v>bakersfield</x:v>
      </x:c>
      <x:c r="C169" s="29" t="str">
        <x:v>Mekân</x:v>
      </x:c>
      <x:c r="D169" s="29" t="str">
        <x:v>bakersfield:yer-local-bakersfield-californian-building</x:v>
      </x:c>
      <x:c r="E169" s="29" t="str">
        <x:v>Fotoğraflar/bk-3d8c0ff73e7c4476ed617e3c.webp</x:v>
      </x:c>
      <x:c r="F169" s="29" t="str">
        <x:v>3d8c0ff73e7c4476ed617e3c17d9f7e8c49668a6bcd4e9981d7d02ee56d88779</x:v>
      </x:c>
      <x:c r="G169" s="29" t="str">
        <x:v>Bakersfield Californian Building · 2014 tarihli fotoğraf</x:v>
      </x:c>
      <x:c r="H169" s="29" t="str">
        <x:v>LaurieRankins</x:v>
      </x:c>
      <x:c r="I169" s="29" t="str">
        <x:v>CC BY-SA 3.0</x:v>
      </x:c>
      <x:c r="J169" s="29" t="str">
        <x:v>https://creativecommons.org/licenses/by-sa/3.0</x:v>
      </x:c>
      <x:c r="K169" s="29" t="str">
        <x:v>https://commons.wikimedia.org/wiki/File:Front_entrance_to_Bakersfield_Californian_Building.JPG</x:v>
      </x:c>
      <x:c r="L169" s="31"/>
      <x:c r="M169" s="31" t="d">
        <x:v>2026-10-24T00:00:00.000Z</x:v>
      </x:c>
      <x:c r="N169" s="29" t="str">
        <x:v>EXIF yönü uygulandı; boyut küçültülüp WebP biçimine dönüştürüldü.</x:v>
      </x:c>
      <x:c r="O169" s="29" t="str">
        <x:v>bakersfield:evidence:venue-22134</x:v>
      </x:c>
      <x:c r="P169" s="29" t="str">
        <x:v>Evet</x:v>
      </x:c>
      <x:c r="Q169" s="35" t="n">
        <x:v>1</x:v>
      </x:c>
      <x:c r="R169" s="29" t="str">
        <x:v>İnceleme</x:v>
      </x:c>
      <x:c r="S169" s="36" t="n">
        <x:f>IF(OR(A169="",C169&lt;&gt;"Mekân",P169&lt;&gt;"Evet"),0,IF(COUNTIFS($F$8:F169,F169,$C$8:C169,"Mekân",$P$8:P169,"Evet")=1,1,0))</x:f>
        <x:v>1</x:v>
      </x:c>
      <x:c r="T169" s="36" t="n">
        <x:f>IF(OR(A169="",C169&lt;&gt;"Kapak",P169&lt;&gt;"Evet"),0,IF(COUNTIFS($F$8:F169,F169,$C$8:C169,"Kapak",$P$8:P169,"Evet")=1,1,0))</x:f>
        <x:v>0</x:v>
      </x:c>
    </x:row>
    <x:row r="170" ht="54" customHeight="1">
      <x:c r="A170" s="29" t="str">
        <x:v>bakersfield:photo:venue-22135</x:v>
      </x:c>
      <x:c r="B170" s="29" t="str">
        <x:v>bakersfield</x:v>
      </x:c>
      <x:c r="C170" s="29" t="str">
        <x:v>Mekân</x:v>
      </x:c>
      <x:c r="D170" s="29" t="str">
        <x:v>bakersfield:yer-local-bakersfield-southern-pacific-depot</x:v>
      </x:c>
      <x:c r="E170" s="29" t="str">
        <x:v>Fotoğraflar/bk-a16b5a1a89ccc54569c8ec91.webp</x:v>
      </x:c>
      <x:c r="F170" s="29" t="str">
        <x:v>a16b5a1a89ccc54569c8ec91e787b932555b318254ada37c4e363d7a38c00278</x:v>
      </x:c>
      <x:c r="G170" s="29" t="str">
        <x:v>Eski Southern Pacific Depot · 2009 tarihli fotoğraf</x:v>
      </x:c>
      <x:c r="H170" s="29" t="str">
        <x:v>Bobak Ha'Eri</x:v>
      </x:c>
      <x:c r="I170" s="29" t="str">
        <x:v>CC BY 3.0</x:v>
      </x:c>
      <x:c r="J170" s="29" t="str">
        <x:v>https://creativecommons.org/licenses/by/3.0</x:v>
      </x:c>
      <x:c r="K170" s="29" t="str">
        <x:v>https://commons.wikimedia.org/wiki/File:2009-0726-CA-Bakersfield-OldTStation.jpg</x:v>
      </x:c>
      <x:c r="L170" s="31" t="d">
        <x:v>2009-07-26T00:00:00.000Z</x:v>
      </x:c>
      <x:c r="M170" s="31" t="d">
        <x:v>2026-10-24T00:00:00.000Z</x:v>
      </x:c>
      <x:c r="N170" s="29" t="str">
        <x:v>EXIF yönü uygulandı; boyut küçültülüp WebP biçimine dönüştürüldü.</x:v>
      </x:c>
      <x:c r="O170" s="29" t="str">
        <x:v>bakersfield:evidence:venue-22135</x:v>
      </x:c>
      <x:c r="P170" s="29" t="str">
        <x:v>Evet</x:v>
      </x:c>
      <x:c r="Q170" s="35" t="n">
        <x:v>0</x:v>
      </x:c>
      <x:c r="R170" s="29" t="str">
        <x:v>İnceleme</x:v>
      </x:c>
      <x:c r="S170" s="36" t="n">
        <x:f>IF(OR(A170="",C170&lt;&gt;"Mekân",P170&lt;&gt;"Evet"),0,IF(COUNTIFS($F$8:F170,F170,$C$8:C170,"Mekân",$P$8:P170,"Evet")=1,1,0))</x:f>
        <x:v>1</x:v>
      </x:c>
      <x:c r="T170" s="36" t="n">
        <x:f>IF(OR(A170="",C170&lt;&gt;"Kapak",P170&lt;&gt;"Evet"),0,IF(COUNTIFS($F$8:F170,F170,$C$8:C170,"Kapak",$P$8:P170,"Evet")=1,1,0))</x:f>
        <x:v>0</x:v>
      </x:c>
    </x:row>
    <x:row r="171" ht="54" customHeight="1">
      <x:c r="A171" s="29" t="str">
        <x:v>bakersfield:photo:venue-22136</x:v>
      </x:c>
      <x:c r="B171" s="29" t="str">
        <x:v>bakersfield</x:v>
      </x:c>
      <x:c r="C171" s="29" t="str">
        <x:v>Mekân</x:v>
      </x:c>
      <x:c r="D171" s="29" t="str">
        <x:v>bakersfield:yer-local-bakersfield-southern-pacific-depot</x:v>
      </x:c>
      <x:c r="E171" s="29" t="str">
        <x:v>Fotoğraflar/bk-06d505e97a5b2c3bcdd33e79.webp</x:v>
      </x:c>
      <x:c r="F171" s="29" t="str">
        <x:v>06d505e97a5b2c3bcdd33e792e2f8e7e734def83f2e3502a21bd413d7ce6826d</x:v>
      </x:c>
      <x:c r="G171" s="29" t="str">
        <x:v>Eski Southern Pacific Depot · Take tarihli fotoğraf</x:v>
      </x:c>
      <x:c r="H171" s="29" t="str">
        <x:v>Pi.1415926535</x:v>
      </x:c>
      <x:c r="I171" s="29" t="str">
        <x:v>CC BY-SA 4.0</x:v>
      </x:c>
      <x:c r="J171" s="29" t="str">
        <x:v>https://creativecommons.org/licenses/by-sa/4.0</x:v>
      </x:c>
      <x:c r="K171" s="29" t="str">
        <x:v>https://commons.wikimedia.org/wiki/File:Arcade_of_Bakersfield_SP_station,_December_2021.jpg</x:v>
      </x:c>
      <x:c r="L171" s="31"/>
      <x:c r="M171" s="31" t="d">
        <x:v>2026-10-24T00:00:00.000Z</x:v>
      </x:c>
      <x:c r="N171" s="29" t="str">
        <x:v>EXIF yönü uygulandı; boyut küçültülüp WebP biçimine dönüştürüldü.</x:v>
      </x:c>
      <x:c r="O171" s="29" t="str">
        <x:v>bakersfield:evidence:venue-22136</x:v>
      </x:c>
      <x:c r="P171" s="29" t="str">
        <x:v>Evet</x:v>
      </x:c>
      <x:c r="Q171" s="35" t="n">
        <x:v>1</x:v>
      </x:c>
      <x:c r="R171" s="29" t="str">
        <x:v>İnceleme</x:v>
      </x:c>
      <x:c r="S171" s="36" t="n">
        <x:f>IF(OR(A171="",C171&lt;&gt;"Mekân",P171&lt;&gt;"Evet"),0,IF(COUNTIFS($F$8:F171,F171,$C$8:C171,"Mekân",$P$8:P171,"Evet")=1,1,0))</x:f>
        <x:v>1</x:v>
      </x:c>
      <x:c r="T171" s="36" t="n">
        <x:f>IF(OR(A171="",C171&lt;&gt;"Kapak",P171&lt;&gt;"Evet"),0,IF(COUNTIFS($F$8:F171,F171,$C$8:C171,"Kapak",$P$8:P171,"Evet")=1,1,0))</x:f>
        <x:v>0</x:v>
      </x:c>
    </x:row>
    <x:row r="172" ht="54" customHeight="1">
      <x:c r="A172" s="29" t="str">
        <x:v>bakersfield:photo:venue-22137</x:v>
      </x:c>
      <x:c r="B172" s="29" t="str">
        <x:v>bakersfield</x:v>
      </x:c>
      <x:c r="C172" s="29" t="str">
        <x:v>Mekân</x:v>
      </x:c>
      <x:c r="D172" s="29" t="str">
        <x:v>bakersfield:yer-local-bakersfield-southern-pacific-depot</x:v>
      </x:c>
      <x:c r="E172" s="29" t="str">
        <x:v>Fotoğraflar/bk-6e47987e149c1372462e807f.webp</x:v>
      </x:c>
      <x:c r="F172" s="29" t="str">
        <x:v>6e47987e149c1372462e807f2decc5202e52dc4a8965ff521a60dfaf5d748e25</x:v>
      </x:c>
      <x:c r="G172" s="29" t="str">
        <x:v>Eski Southern Pacific Depot · Take tarihli fotoğraf</x:v>
      </x:c>
      <x:c r="H172" s="29" t="str">
        <x:v>Pi.1415926535</x:v>
      </x:c>
      <x:c r="I172" s="29" t="str">
        <x:v>CC BY-SA 4.0</x:v>
      </x:c>
      <x:c r="J172" s="29" t="str">
        <x:v>https://creativecommons.org/licenses/by-sa/4.0</x:v>
      </x:c>
      <x:c r="K172" s="29" t="str">
        <x:v>https://commons.wikimedia.org/wiki/File:Bakersfield_SP_station_building_(1),_December_2021.jpg</x:v>
      </x:c>
      <x:c r="L172" s="31"/>
      <x:c r="M172" s="31" t="d">
        <x:v>2026-10-24T00:00:00.000Z</x:v>
      </x:c>
      <x:c r="N172" s="29" t="str">
        <x:v>EXIF yönü uygulandı; boyut küçültülüp WebP biçimine dönüştürüldü.</x:v>
      </x:c>
      <x:c r="O172" s="29" t="str">
        <x:v>bakersfield:evidence:venue-22137</x:v>
      </x:c>
      <x:c r="P172" s="29" t="str">
        <x:v>Evet</x:v>
      </x:c>
      <x:c r="Q172" s="35" t="n">
        <x:v>2</x:v>
      </x:c>
      <x:c r="R172" s="29" t="str">
        <x:v>İnceleme</x:v>
      </x:c>
      <x:c r="S172" s="36" t="n">
        <x:f>IF(OR(A172="",C172&lt;&gt;"Mekân",P172&lt;&gt;"Evet"),0,IF(COUNTIFS($F$8:F172,F172,$C$8:C172,"Mekân",$P$8:P172,"Evet")=1,1,0))</x:f>
        <x:v>1</x:v>
      </x:c>
      <x:c r="T172" s="36" t="n">
        <x:f>IF(OR(A172="",C172&lt;&gt;"Kapak",P172&lt;&gt;"Evet"),0,IF(COUNTIFS($F$8:F172,F172,$C$8:C172,"Kapak",$P$8:P172,"Evet")=1,1,0))</x:f>
        <x:v>0</x:v>
      </x:c>
    </x:row>
    <x:row r="173" ht="54" customHeight="1">
      <x:c r="A173" s="29" t="str">
        <x:v>bakersfield:photo:venue-22138</x:v>
      </x:c>
      <x:c r="B173" s="29" t="str">
        <x:v>bakersfield</x:v>
      </x:c>
      <x:c r="C173" s="29" t="str">
        <x:v>Mekân</x:v>
      </x:c>
      <x:c r="D173" s="29" t="str">
        <x:v>bakersfield:yer-local-bakersfield-southern-pacific-depot</x:v>
      </x:c>
      <x:c r="E173" s="29" t="str">
        <x:v>Fotoğraflar/bk-16aad1cde52367cd0b9553ef.webp</x:v>
      </x:c>
      <x:c r="F173" s="29" t="str">
        <x:v>16aad1cde52367cd0b9553ef6cb66d7e172f487fc18ab1cb0a355b2e8c8f4626</x:v>
      </x:c>
      <x:c r="G173" s="29" t="str">
        <x:v>Eski Southern Pacific Depot · Take tarihli fotoğraf</x:v>
      </x:c>
      <x:c r="H173" s="29" t="str">
        <x:v>Pi.1415926535</x:v>
      </x:c>
      <x:c r="I173" s="29" t="str">
        <x:v>CC BY-SA 4.0</x:v>
      </x:c>
      <x:c r="J173" s="29" t="str">
        <x:v>https://creativecommons.org/licenses/by-sa/4.0</x:v>
      </x:c>
      <x:c r="K173" s="29" t="str">
        <x:v>https://commons.wikimedia.org/wiki/File:Bakersfield_SP_station_building_(3),_December_2021.jpg</x:v>
      </x:c>
      <x:c r="L173" s="31"/>
      <x:c r="M173" s="31" t="d">
        <x:v>2026-10-24T00:00:00.000Z</x:v>
      </x:c>
      <x:c r="N173" s="29" t="str">
        <x:v>EXIF yönü uygulandı; boyut küçültülüp WebP biçimine dönüştürüldü.</x:v>
      </x:c>
      <x:c r="O173" s="29" t="str">
        <x:v>bakersfield:evidence:venue-22138</x:v>
      </x:c>
      <x:c r="P173" s="29" t="str">
        <x:v>Evet</x:v>
      </x:c>
      <x:c r="Q173" s="35" t="n">
        <x:v>3</x:v>
      </x:c>
      <x:c r="R173" s="29" t="str">
        <x:v>İnceleme</x:v>
      </x:c>
      <x:c r="S173" s="36" t="n">
        <x:f>IF(OR(A173="",C173&lt;&gt;"Mekân",P173&lt;&gt;"Evet"),0,IF(COUNTIFS($F$8:F173,F173,$C$8:C173,"Mekân",$P$8:P173,"Evet")=1,1,0))</x:f>
        <x:v>1</x:v>
      </x:c>
      <x:c r="T173" s="36" t="n">
        <x:f>IF(OR(A173="",C173&lt;&gt;"Kapak",P173&lt;&gt;"Evet"),0,IF(COUNTIFS($F$8:F173,F173,$C$8:C173,"Kapak",$P$8:P173,"Evet")=1,1,0))</x:f>
        <x:v>0</x:v>
      </x:c>
    </x:row>
    <x:row r="174" ht="54" customHeight="1">
      <x:c r="A174" s="29" t="str">
        <x:v>bakersfield:photo:venue-22139</x:v>
      </x:c>
      <x:c r="B174" s="29" t="str">
        <x:v>bakersfield</x:v>
      </x:c>
      <x:c r="C174" s="29" t="str">
        <x:v>Mekân</x:v>
      </x:c>
      <x:c r="D174" s="29" t="str">
        <x:v>bakersfield:yer-local-bakersfield-southern-pacific-depot</x:v>
      </x:c>
      <x:c r="E174" s="29" t="str">
        <x:v>Fotoğraflar/bk-cd04432a5f1df1fc4642c37c.webp</x:v>
      </x:c>
      <x:c r="F174" s="29" t="str">
        <x:v>cd04432a5f1df1fc4642c37c51e8519d178273eec800c6c1b140ff63cc9e901a</x:v>
      </x:c>
      <x:c r="G174" s="29" t="str">
        <x:v>Eski Southern Pacific Depot · Take tarihli fotoğraf</x:v>
      </x:c>
      <x:c r="H174" s="29" t="str">
        <x:v>Pi.1415926535</x:v>
      </x:c>
      <x:c r="I174" s="29" t="str">
        <x:v>CC BY-SA 4.0</x:v>
      </x:c>
      <x:c r="J174" s="29" t="str">
        <x:v>https://creativecommons.org/licenses/by-sa/4.0</x:v>
      </x:c>
      <x:c r="K174" s="29" t="str">
        <x:v>https://commons.wikimedia.org/wiki/File:Bakersfield_SP_station_from_the_northwest,_December_2021.jpg</x:v>
      </x:c>
      <x:c r="L174" s="31"/>
      <x:c r="M174" s="31" t="d">
        <x:v>2026-10-24T00:00:00.000Z</x:v>
      </x:c>
      <x:c r="N174" s="29" t="str">
        <x:v>EXIF yönü uygulandı; boyut küçültülüp WebP biçimine dönüştürüldü.</x:v>
      </x:c>
      <x:c r="O174" s="29" t="str">
        <x:v>bakersfield:evidence:venue-22139</x:v>
      </x:c>
      <x:c r="P174" s="29" t="str">
        <x:v>Evet</x:v>
      </x:c>
      <x:c r="Q174" s="35" t="n">
        <x:v>4</x:v>
      </x:c>
      <x:c r="R174" s="29" t="str">
        <x:v>İnceleme</x:v>
      </x:c>
      <x:c r="S174" s="36" t="n">
        <x:f>IF(OR(A174="",C174&lt;&gt;"Mekân",P174&lt;&gt;"Evet"),0,IF(COUNTIFS($F$8:F174,F174,$C$8:C174,"Mekân",$P$8:P174,"Evet")=1,1,0))</x:f>
        <x:v>1</x:v>
      </x:c>
      <x:c r="T174" s="36" t="n">
        <x:f>IF(OR(A174="",C174&lt;&gt;"Kapak",P174&lt;&gt;"Evet"),0,IF(COUNTIFS($F$8:F174,F174,$C$8:C174,"Kapak",$P$8:P174,"Evet")=1,1,0))</x:f>
        <x:v>0</x:v>
      </x:c>
    </x:row>
    <x:row r="175" ht="54" customHeight="1">
      <x:c r="A175" s="29" t="str">
        <x:v>bakersfield:photo:venue-22140</x:v>
      </x:c>
      <x:c r="B175" s="29" t="str">
        <x:v>bakersfield</x:v>
      </x:c>
      <x:c r="C175" s="29" t="str">
        <x:v>Mekân</x:v>
      </x:c>
      <x:c r="D175" s="29" t="str">
        <x:v>bakersfield:yer-local-bakersfield-southern-pacific-depot</x:v>
      </x:c>
      <x:c r="E175" s="29" t="str">
        <x:v>Fotoğraflar/bk-b95ccd0a06461ebda4dc1aad.webp</x:v>
      </x:c>
      <x:c r="F175" s="29" t="str">
        <x:v>b95ccd0a06461ebda4dc1aad6a1885d43e2b62082487f279944cca4a0d9dd651</x:v>
      </x:c>
      <x:c r="G175" s="29" t="str">
        <x:v>Eski Southern Pacific Depot · 2021 tarihli fotoğraf</x:v>
      </x:c>
      <x:c r="H175" s="29" t="str">
        <x:v>Bakoplex</x:v>
      </x:c>
      <x:c r="I175" s="29" t="str">
        <x:v>CC BY-SA 4.0</x:v>
      </x:c>
      <x:c r="J175" s="29" t="str">
        <x:v>https://creativecommons.org/licenses/by-sa/4.0</x:v>
      </x:c>
      <x:c r="K175" s="29" t="str">
        <x:v>https://commons.wikimedia.org/wiki/File:Bakersfield_Station_Bakersfield_CA.png</x:v>
      </x:c>
      <x:c r="L175" s="31" t="d">
        <x:v>2021-03-03T00:00:00.000Z</x:v>
      </x:c>
      <x:c r="M175" s="31" t="d">
        <x:v>2026-10-24T00:00:00.000Z</x:v>
      </x:c>
      <x:c r="N175" s="29" t="str">
        <x:v>EXIF yönü uygulandı; boyut küçültülüp WebP biçimine dönüştürüldü.</x:v>
      </x:c>
      <x:c r="O175" s="29" t="str">
        <x:v>bakersfield:evidence:venue-22140</x:v>
      </x:c>
      <x:c r="P175" s="29" t="str">
        <x:v>Evet</x:v>
      </x:c>
      <x:c r="Q175" s="35" t="n">
        <x:v>5</x:v>
      </x:c>
      <x:c r="R175" s="29" t="str">
        <x:v>İnceleme</x:v>
      </x:c>
      <x:c r="S175" s="36" t="n">
        <x:f>IF(OR(A175="",C175&lt;&gt;"Mekân",P175&lt;&gt;"Evet"),0,IF(COUNTIFS($F$8:F175,F175,$C$8:C175,"Mekân",$P$8:P175,"Evet")=1,1,0))</x:f>
        <x:v>1</x:v>
      </x:c>
      <x:c r="T175" s="36" t="n">
        <x:f>IF(OR(A175="",C175&lt;&gt;"Kapak",P175&lt;&gt;"Evet"),0,IF(COUNTIFS($F$8:F175,F175,$C$8:C175,"Kapak",$P$8:P175,"Evet")=1,1,0))</x:f>
        <x:v>0</x:v>
      </x:c>
    </x:row>
    <x:row r="176" ht="54" customHeight="1">
      <x:c r="A176" s="29" t="str">
        <x:v>bakersfield:photo:venue-22141</x:v>
      </x:c>
      <x:c r="B176" s="29" t="str">
        <x:v>bakersfield</x:v>
      </x:c>
      <x:c r="C176" s="29" t="str">
        <x:v>Mekân</x:v>
      </x:c>
      <x:c r="D176" s="29" t="str">
        <x:v>bakersfield:yer-local-bakersfield-southern-pacific-depot</x:v>
      </x:c>
      <x:c r="E176" s="29" t="str">
        <x:v>Fotoğraflar/bk-6d24df06543991e5c5afb450.webp</x:v>
      </x:c>
      <x:c r="F176" s="29" t="str">
        <x:v>6d24df06543991e5c5afb450996ac9aba92ad27e826e2d7e5000683386513afd</x:v>
      </x:c>
      <x:c r="G176" s="29" t="str">
        <x:v>Eski Southern Pacific Depot · Take tarihli fotoğraf</x:v>
      </x:c>
      <x:c r="H176" s="29" t="str">
        <x:v>Pi.1415926535</x:v>
      </x:c>
      <x:c r="I176" s="29" t="str">
        <x:v>CC BY-SA 4.0</x:v>
      </x:c>
      <x:c r="J176" s="29" t="str">
        <x:v>https://creativecommons.org/licenses/by-sa/4.0</x:v>
      </x:c>
      <x:c r="K176" s="29" t="str">
        <x:v>https://commons.wikimedia.org/wiki/File:Former_hotel_building_at_Bakersfield_SP_station_(1),_December_2021.jpg</x:v>
      </x:c>
      <x:c r="L176" s="31"/>
      <x:c r="M176" s="31" t="d">
        <x:v>2026-10-24T00:00:00.000Z</x:v>
      </x:c>
      <x:c r="N176" s="29" t="str">
        <x:v>EXIF yönü uygulandı; boyut küçültülüp WebP biçimine dönüştürüldü.</x:v>
      </x:c>
      <x:c r="O176" s="29" t="str">
        <x:v>bakersfield:evidence:venue-22141</x:v>
      </x:c>
      <x:c r="P176" s="29" t="str">
        <x:v>Evet</x:v>
      </x:c>
      <x:c r="Q176" s="35" t="n">
        <x:v>6</x:v>
      </x:c>
      <x:c r="R176" s="29" t="str">
        <x:v>İnceleme</x:v>
      </x:c>
      <x:c r="S176" s="36" t="n">
        <x:f>IF(OR(A176="",C176&lt;&gt;"Mekân",P176&lt;&gt;"Evet"),0,IF(COUNTIFS($F$8:F176,F176,$C$8:C176,"Mekân",$P$8:P176,"Evet")=1,1,0))</x:f>
        <x:v>1</x:v>
      </x:c>
      <x:c r="T176" s="36" t="n">
        <x:f>IF(OR(A176="",C176&lt;&gt;"Kapak",P176&lt;&gt;"Evet"),0,IF(COUNTIFS($F$8:F176,F176,$C$8:C176,"Kapak",$P$8:P176,"Evet")=1,1,0))</x:f>
        <x:v>0</x:v>
      </x:c>
    </x:row>
    <x:row r="177" ht="54" customHeight="1">
      <x:c r="A177" s="29" t="str">
        <x:v>bakersfield:photo:venue-22142</x:v>
      </x:c>
      <x:c r="B177" s="29" t="str">
        <x:v>bakersfield</x:v>
      </x:c>
      <x:c r="C177" s="29" t="str">
        <x:v>Mekân</x:v>
      </x:c>
      <x:c r="D177" s="29" t="str">
        <x:v>bakersfield:yer-local-bakersfield-baker-library</x:v>
      </x:c>
      <x:c r="E177" s="29" t="str">
        <x:v>Fotoğraflar/bk-442f904e6392375df25c9f64.webp</x:v>
      </x:c>
      <x:c r="F177" s="29" t="str">
        <x:v>442f904e6392375df25c9f64f63c3572737da260b01510df7934e17eecc33408</x:v>
      </x:c>
      <x:c r="G177" s="29" t="str">
        <x:v>Baker Branch Library · 2009 tarihli fotoğraf</x:v>
      </x:c>
      <x:c r="H177" s="29" t="str">
        <x:v>Bobak Ha'Eri</x:v>
      </x:c>
      <x:c r="I177" s="29" t="str">
        <x:v>CC BY 3.0</x:v>
      </x:c>
      <x:c r="J177" s="29" t="str">
        <x:v>https://creativecommons.org/licenses/by/3.0</x:v>
      </x:c>
      <x:c r="K177" s="29" t="str">
        <x:v>https://commons.wikimedia.org/wiki/File:2009-0726-CA-Bakersfield-BakerLib.jpg</x:v>
      </x:c>
      <x:c r="L177" s="31" t="d">
        <x:v>2009-07-26T00:00:00.000Z</x:v>
      </x:c>
      <x:c r="M177" s="31" t="d">
        <x:v>2026-10-24T00:00:00.000Z</x:v>
      </x:c>
      <x:c r="N177" s="29" t="str">
        <x:v>EXIF yönü uygulandı; boyut küçültülüp WebP biçimine dönüştürüldü.</x:v>
      </x:c>
      <x:c r="O177" s="29" t="str">
        <x:v>bakersfield:evidence:venue-22142</x:v>
      </x:c>
      <x:c r="P177" s="29" t="str">
        <x:v>Evet</x:v>
      </x:c>
      <x:c r="Q177" s="35" t="n">
        <x:v>0</x:v>
      </x:c>
      <x:c r="R177" s="29" t="str">
        <x:v>İnceleme</x:v>
      </x:c>
      <x:c r="S177" s="36" t="n">
        <x:f>IF(OR(A177="",C177&lt;&gt;"Mekân",P177&lt;&gt;"Evet"),0,IF(COUNTIFS($F$8:F177,F177,$C$8:C177,"Mekân",$P$8:P177,"Evet")=1,1,0))</x:f>
        <x:v>1</x:v>
      </x:c>
      <x:c r="T177" s="36" t="n">
        <x:f>IF(OR(A177="",C177&lt;&gt;"Kapak",P177&lt;&gt;"Evet"),0,IF(COUNTIFS($F$8:F177,F177,$C$8:C177,"Kapak",$P$8:P177,"Evet")=1,1,0))</x:f>
        <x:v>0</x:v>
      </x:c>
    </x:row>
    <x:row r="178" ht="54" customHeight="1">
      <x:c r="A178" s="29" t="str">
        <x:v>bakersfield:photo:venue-22143</x:v>
      </x:c>
      <x:c r="B178" s="29" t="str">
        <x:v>bakersfield</x:v>
      </x:c>
      <x:c r="C178" s="29" t="str">
        <x:v>Mekân</x:v>
      </x:c>
      <x:c r="D178" s="29" t="str">
        <x:v>bakersfield:yer-local-bakersfield-hall-records</x:v>
      </x:c>
      <x:c r="E178" s="29" t="str">
        <x:v>Fotoğraflar/bk-a744c894c90ca3a90c5df8d0.webp</x:v>
      </x:c>
      <x:c r="F178" s="29" t="str">
        <x:v>a744c894c90ca3a90c5df8d0b091c3b4ce2cf244c76950fc8d71a1a30b0fb6e1</x:v>
      </x:c>
      <x:c r="G178" s="29" t="str">
        <x:v>Kern County Hall of Records · 04-0 tarihli fotoğraf</x:v>
      </x:c>
      <x:c r="H178" s="29" t="str">
        <x:v>Skyman9999.
Skyman9999</x:v>
      </x:c>
      <x:c r="I178" s="29" t="str">
        <x:v>CC0 1.0</x:v>
      </x:c>
      <x:c r="J178" s="29" t="str">
        <x:v>https://creativecommons.org/publicdomain/zero/1.0/</x:v>
      </x:c>
      <x:c r="K178" s="29" t="str">
        <x:v>https://commons.wikimedia.org/wiki/File:2011_Kern_County_Hall_of_Records.JPG</x:v>
      </x:c>
      <x:c r="L178" s="31"/>
      <x:c r="M178" s="31" t="d">
        <x:v>2026-10-24T00:00:00.000Z</x:v>
      </x:c>
      <x:c r="N178" s="29" t="str">
        <x:v>EXIF yönü uygulandı; boyut küçültülüp WebP biçimine dönüştürüldü.</x:v>
      </x:c>
      <x:c r="O178" s="29" t="str">
        <x:v>bakersfield:evidence:venue-22143</x:v>
      </x:c>
      <x:c r="P178" s="29" t="str">
        <x:v>Evet</x:v>
      </x:c>
      <x:c r="Q178" s="35" t="n">
        <x:v>0</x:v>
      </x:c>
      <x:c r="R178" s="29" t="str">
        <x:v>İnceleme</x:v>
      </x:c>
      <x:c r="S178" s="36" t="n">
        <x:f>IF(OR(A178="",C178&lt;&gt;"Mekân",P178&lt;&gt;"Evet"),0,IF(COUNTIFS($F$8:F178,F178,$C$8:C178,"Mekân",$P$8:P178,"Evet")=1,1,0))</x:f>
        <x:v>1</x:v>
      </x:c>
      <x:c r="T178" s="36" t="n">
        <x:f>IF(OR(A178="",C178&lt;&gt;"Kapak",P178&lt;&gt;"Evet"),0,IF(COUNTIFS($F$8:F178,F178,$C$8:C178,"Kapak",$P$8:P178,"Evet")=1,1,0))</x:f>
        <x:v>0</x:v>
      </x:c>
    </x:row>
    <x:row r="179" ht="54" customHeight="1">
      <x:c r="A179" s="29" t="str">
        <x:v>bakersfield:photo:venue-22144</x:v>
      </x:c>
      <x:c r="B179" s="29" t="str">
        <x:v>bakersfield</x:v>
      </x:c>
      <x:c r="C179" s="29" t="str">
        <x:v>Mekân</x:v>
      </x:c>
      <x:c r="D179" s="29" t="str">
        <x:v>bakersfield:yer-local-bakersfield-historic-post-office</x:v>
      </x:c>
      <x:c r="E179" s="29" t="str">
        <x:v>Fotoğraflar/bk-c39ed5b1bd1749684ff64016.webp</x:v>
      </x:c>
      <x:c r="F179" s="29" t="str">
        <x:v>c39ed5b1bd1749684ff640166cdbd9210562ea7c7344a9c351c1785fd73280bd</x:v>
      </x:c>
      <x:c r="G179" s="29" t="str">
        <x:v>Downtown Tarihî Postane · 2009 tarihli fotoğraf</x:v>
      </x:c>
      <x:c r="H179" s="29" t="str">
        <x:v>Bobak Ha'Eri</x:v>
      </x:c>
      <x:c r="I179" s="29" t="str">
        <x:v>CC BY 3.0</x:v>
      </x:c>
      <x:c r="J179" s="29" t="str">
        <x:v>https://creativecommons.org/licenses/by/3.0</x:v>
      </x:c>
      <x:c r="K179" s="29" t="str">
        <x:v>https://commons.wikimedia.org/wiki/File:2009-0726-CA-Bakersfield-PO.jpg</x:v>
      </x:c>
      <x:c r="L179" s="31" t="d">
        <x:v>2009-07-26T00:00:00.000Z</x:v>
      </x:c>
      <x:c r="M179" s="31" t="d">
        <x:v>2026-10-24T00:00:00.000Z</x:v>
      </x:c>
      <x:c r="N179" s="29" t="str">
        <x:v>EXIF yönü uygulandı; boyut küçültülüp WebP biçimine dönüştürüldü.</x:v>
      </x:c>
      <x:c r="O179" s="29" t="str">
        <x:v>bakersfield:evidence:venue-22144</x:v>
      </x:c>
      <x:c r="P179" s="29" t="str">
        <x:v>Evet</x:v>
      </x:c>
      <x:c r="Q179" s="35" t="n">
        <x:v>0</x:v>
      </x:c>
      <x:c r="R179" s="29" t="str">
        <x:v>İnceleme</x:v>
      </x:c>
      <x:c r="S179" s="36" t="n">
        <x:f>IF(OR(A179="",C179&lt;&gt;"Mekân",P179&lt;&gt;"Evet"),0,IF(COUNTIFS($F$8:F179,F179,$C$8:C179,"Mekân",$P$8:P179,"Evet")=1,1,0))</x:f>
        <x:v>1</x:v>
      </x:c>
      <x:c r="T179" s="36" t="n">
        <x:f>IF(OR(A179="",C179&lt;&gt;"Kapak",P179&lt;&gt;"Evet"),0,IF(COUNTIFS($F$8:F179,F179,$C$8:C179,"Kapak",$P$8:P179,"Evet")=1,1,0))</x:f>
        <x:v>0</x:v>
      </x:c>
    </x:row>
    <x:row r="180" ht="54" customHeight="1">
      <x:c r="A180" s="29" t="str">
        <x:v>bakersfield:photo:venue-22145</x:v>
      </x:c>
      <x:c r="B180" s="29" t="str">
        <x:v>bakersfield</x:v>
      </x:c>
      <x:c r="C180" s="29" t="str">
        <x:v>Mekân</x:v>
      </x:c>
      <x:c r="D180" s="29" t="str">
        <x:v>bakersfield:yer-local-bakersfield-fire-station-one</x:v>
      </x:c>
      <x:c r="E180" s="29" t="str">
        <x:v>Fotoğraflar/bk-d82c99820d6f494856704dbc.webp</x:v>
      </x:c>
      <x:c r="F180" s="29" t="str">
        <x:v>d82c99820d6f494856704dbc9f96a83d6ffb225303c7efd30f60707786f7d26b</x:v>
      </x:c>
      <x:c r="G180" s="29" t="str">
        <x:v>Bakersfield Fire Station No. 1</x:v>
      </x:c>
      <x:c r="H180" s="29" t="str">
        <x:v>Great Valley Center</x:v>
      </x:c>
      <x:c r="I180" s="29" t="str">
        <x:v>CC BY 2.0</x:v>
      </x:c>
      <x:c r="J180" s="29" t="str">
        <x:v>https://creativecommons.org/licenses/by/2.0/</x:v>
      </x:c>
      <x:c r="K180" s="29" t="str">
        <x:v>https://www.flickr.com/photos/95391240@N00/38285857/</x:v>
      </x:c>
      <x:c r="L180" s="31"/>
      <x:c r="M180" s="31" t="d">
        <x:v>2026-10-24T00:00:00.000Z</x:v>
      </x:c>
      <x:c r="N180" s="29" t="str">
        <x:v>EXIF yönü uygulandı; boyut küçültülüp WebP biçimine dönüştürüldü.</x:v>
      </x:c>
      <x:c r="O180" s="29" t="str">
        <x:v>bakersfield:evidence:venue-22145</x:v>
      </x:c>
      <x:c r="P180" s="29" t="str">
        <x:v>Evet</x:v>
      </x:c>
      <x:c r="Q180" s="35" t="n">
        <x:v>0</x:v>
      </x:c>
      <x:c r="R180" s="29" t="str">
        <x:v>İnceleme</x:v>
      </x:c>
      <x:c r="S180" s="36" t="n">
        <x:f>IF(OR(A180="",C180&lt;&gt;"Mekân",P180&lt;&gt;"Evet"),0,IF(COUNTIFS($F$8:F180,F180,$C$8:C180,"Mekân",$P$8:P180,"Evet")=1,1,0))</x:f>
        <x:v>1</x:v>
      </x:c>
      <x:c r="T180" s="36" t="n">
        <x:f>IF(OR(A180="",C180&lt;&gt;"Kapak",P180&lt;&gt;"Evet"),0,IF(COUNTIFS($F$8:F180,F180,$C$8:C180,"Kapak",$P$8:P180,"Evet")=1,1,0))</x:f>
        <x:v>0</x:v>
      </x:c>
    </x:row>
    <x:row r="181" ht="54" customHeight="1">
      <x:c r="A181" s="29" t="str">
        <x:v>bakersfield:photo:venue-22146</x:v>
      </x:c>
      <x:c r="B181" s="29" t="str">
        <x:v>bakersfield</x:v>
      </x:c>
      <x:c r="C181" s="29" t="str">
        <x:v>Mekân</x:v>
      </x:c>
      <x:c r="D181" s="29" t="str">
        <x:v>bakersfield:yer-local-bakersfield-hayden-building</x:v>
      </x:c>
      <x:c r="E181" s="29" t="str">
        <x:v>Fotoğraflar/bk-994baf4638e0776c94699194.webp</x:v>
      </x:c>
      <x:c r="F181" s="29" t="str">
        <x:v>994baf4638e0776c946991941860926084ca7adb9574b65678a2bdbdc04ee988</x:v>
      </x:c>
      <x:c r="G181" s="29" t="str">
        <x:v>Hayden Building · 2017 tarihli fotoğraf</x:v>
      </x:c>
      <x:c r="H181" s="29" t="str">
        <x:v>Publichall</x:v>
      </x:c>
      <x:c r="I181" s="29" t="str">
        <x:v>CC BY-SA 4.0</x:v>
      </x:c>
      <x:c r="J181" s="29" t="str">
        <x:v>https://creativecommons.org/licenses/by-sa/4.0</x:v>
      </x:c>
      <x:c r="K181" s="29" t="str">
        <x:v>https://commons.wikimedia.org/wiki/File:Hayden_Bldg,_Bakersfield,_CA.jpg</x:v>
      </x:c>
      <x:c r="L181" s="31"/>
      <x:c r="M181" s="31" t="d">
        <x:v>2026-10-24T00:00:00.000Z</x:v>
      </x:c>
      <x:c r="N181" s="29" t="str">
        <x:v>EXIF yönü uygulandı; boyut küçültülüp WebP biçimine dönüştürüldü.</x:v>
      </x:c>
      <x:c r="O181" s="29" t="str">
        <x:v>bakersfield:evidence:venue-22146</x:v>
      </x:c>
      <x:c r="P181" s="29" t="str">
        <x:v>Evet</x:v>
      </x:c>
      <x:c r="Q181" s="35" t="n">
        <x:v>0</x:v>
      </x:c>
      <x:c r="R181" s="29" t="str">
        <x:v>İnceleme</x:v>
      </x:c>
      <x:c r="S181" s="36" t="n">
        <x:f>IF(OR(A181="",C181&lt;&gt;"Mekân",P181&lt;&gt;"Evet"),0,IF(COUNTIFS($F$8:F181,F181,$C$8:C181,"Mekân",$P$8:P181,"Evet")=1,1,0))</x:f>
        <x:v>1</x:v>
      </x:c>
      <x:c r="T181" s="36" t="n">
        <x:f>IF(OR(A181="",C181&lt;&gt;"Kapak",P181&lt;&gt;"Evet"),0,IF(COUNTIFS($F$8:F181,F181,$C$8:C181,"Kapak",$P$8:P181,"Evet")=1,1,0))</x:f>
        <x:v>0</x:v>
      </x:c>
    </x:row>
    <x:row r="182" ht="54" customHeight="1">
      <x:c r="A182" s="29" t="str">
        <x:v>bakersfield:photo:venue-22147</x:v>
      </x:c>
      <x:c r="B182" s="29" t="str">
        <x:v>bakersfield</x:v>
      </x:c>
      <x:c r="C182" s="29" t="str">
        <x:v>Mekân</x:v>
      </x:c>
      <x:c r="D182" s="29" t="str">
        <x:v>bakersfield:yer-local-bakersfield-hopkins-building</x:v>
      </x:c>
      <x:c r="E182" s="29" t="str">
        <x:v>Fotoğraflar/bk-3a9dea16425b47f0d01550fe.webp</x:v>
      </x:c>
      <x:c r="F182" s="29" t="str">
        <x:v>3a9dea16425b47f0d01550fec200258237b709ebdcf69f811fae0593bde9c64e</x:v>
      </x:c>
      <x:c r="G182" s="29" t="str">
        <x:v>Hopkins Building · 2017 tarihli fotoğraf</x:v>
      </x:c>
      <x:c r="H182" s="29" t="str">
        <x:v>Publichall</x:v>
      </x:c>
      <x:c r="I182" s="29" t="str">
        <x:v>CC BY-SA 4.0</x:v>
      </x:c>
      <x:c r="J182" s="29" t="str">
        <x:v>https://creativecommons.org/licenses/by-sa/4.0</x:v>
      </x:c>
      <x:c r="K182" s="29" t="str">
        <x:v>https://commons.wikimedia.org/wiki/File:Hopkins_Bldg,_Bakersfield,_CA.jpg</x:v>
      </x:c>
      <x:c r="L182" s="31"/>
      <x:c r="M182" s="31" t="d">
        <x:v>2026-10-24T00:00:00.000Z</x:v>
      </x:c>
      <x:c r="N182" s="29" t="str">
        <x:v>EXIF yönü uygulandı; boyut küçültülüp WebP biçimine dönüştürüldü.</x:v>
      </x:c>
      <x:c r="O182" s="29" t="str">
        <x:v>bakersfield:evidence:venue-22147</x:v>
      </x:c>
      <x:c r="P182" s="29" t="str">
        <x:v>Evet</x:v>
      </x:c>
      <x:c r="Q182" s="35" t="n">
        <x:v>0</x:v>
      </x:c>
      <x:c r="R182" s="29" t="str">
        <x:v>İnceleme</x:v>
      </x:c>
      <x:c r="S182" s="36" t="n">
        <x:f>IF(OR(A182="",C182&lt;&gt;"Mekân",P182&lt;&gt;"Evet"),0,IF(COUNTIFS($F$8:F182,F182,$C$8:C182,"Mekân",$P$8:P182,"Evet")=1,1,0))</x:f>
        <x:v>1</x:v>
      </x:c>
      <x:c r="T182" s="36" t="n">
        <x:f>IF(OR(A182="",C182&lt;&gt;"Kapak",P182&lt;&gt;"Evet"),0,IF(COUNTIFS($F$8:F182,F182,$C$8:C182,"Kapak",$P$8:P182,"Evet")=1,1,0))</x:f>
        <x:v>0</x:v>
      </x:c>
    </x:row>
    <x:row r="183" ht="54" customHeight="1">
      <x:c r="A183" s="29" t="str">
        <x:v>bakersfield:photo:venue-22148</x:v>
      </x:c>
      <x:c r="B183" s="29" t="str">
        <x:v>bakersfield</x:v>
      </x:c>
      <x:c r="C183" s="29" t="str">
        <x:v>Mekân</x:v>
      </x:c>
      <x:c r="D183" s="29" t="str">
        <x:v>bakersfield:yer-local-bakersfield-st-pauls</x:v>
      </x:c>
      <x:c r="E183" s="29" t="str">
        <x:v>Fotoğraflar/bk-36ead753b3cf702847444fce.webp</x:v>
      </x:c>
      <x:c r="F183" s="29" t="str">
        <x:v>36ead753b3cf702847444fcedbcb2763245edf61ce7b9c7decd71cb3e124b13b</x:v>
      </x:c>
      <x:c r="G183" s="29" t="str">
        <x:v>St. Paul's Episcopal Church · 2016 tarihli fotoğraf</x:v>
      </x:c>
      <x:c r="H183" s="29" t="str">
        <x:v>Christine Warner-Morin</x:v>
      </x:c>
      <x:c r="I183" s="29" t="str">
        <x:v>CC BY 2.0</x:v>
      </x:c>
      <x:c r="J183" s="29" t="str">
        <x:v>https://creativecommons.org/licenses/by/2.0</x:v>
      </x:c>
      <x:c r="K183" s="29" t="str">
        <x:v>https://commons.wikimedia.org/wiki/File:St._Paul%27s_Episcopal_Church,_Bakersfield.jpg</x:v>
      </x:c>
      <x:c r="L183" s="31"/>
      <x:c r="M183" s="31" t="d">
        <x:v>2026-10-24T00:00:00.000Z</x:v>
      </x:c>
      <x:c r="N183" s="29" t="str">
        <x:v>EXIF yönü uygulandı; boyut küçültülüp WebP biçimine dönüştürüldü.</x:v>
      </x:c>
      <x:c r="O183" s="29" t="str">
        <x:v>bakersfield:evidence:venue-22148</x:v>
      </x:c>
      <x:c r="P183" s="29" t="str">
        <x:v>Evet</x:v>
      </x:c>
      <x:c r="Q183" s="35" t="n">
        <x:v>0</x:v>
      </x:c>
      <x:c r="R183" s="29" t="str">
        <x:v>İnceleme</x:v>
      </x:c>
      <x:c r="S183" s="36" t="n">
        <x:f>IF(OR(A183="",C183&lt;&gt;"Mekân",P183&lt;&gt;"Evet"),0,IF(COUNTIFS($F$8:F183,F183,$C$8:C183,"Mekân",$P$8:P183,"Evet")=1,1,0))</x:f>
        <x:v>1</x:v>
      </x:c>
      <x:c r="T183" s="36" t="n">
        <x:f>IF(OR(A183="",C183&lt;&gt;"Kapak",P183&lt;&gt;"Evet"),0,IF(COUNTIFS($F$8:F183,F183,$C$8:C183,"Kapak",$P$8:P183,"Evet")=1,1,0))</x:f>
        <x:v>0</x:v>
      </x:c>
    </x:row>
    <x:row r="184" ht="54" customHeight="1">
      <x:c r="A184" s="29" t="str">
        <x:v>bakersfield:photo:venue-22149</x:v>
      </x:c>
      <x:c r="B184" s="29" t="str">
        <x:v>bakersfield</x:v>
      </x:c>
      <x:c r="C184" s="29" t="str">
        <x:v>Mekân</x:v>
      </x:c>
      <x:c r="D184" s="29" t="str">
        <x:v>bakersfield:yer-local-bakersfield-bakersfield-sign</x:v>
      </x:c>
      <x:c r="E184" s="29" t="str">
        <x:v>Fotoğraflar/bk-2f2bc4897c80a5d857be3cc2.webp</x:v>
      </x:c>
      <x:c r="F184" s="29" t="str">
        <x:v>2f2bc4897c80a5d857be3cc231606b8a0842ff27ce73db4d97b52647942f61e3</x:v>
      </x:c>
      <x:c r="G184" s="29" t="str">
        <x:v>Bakersfield Sign · 2007 tarihli fotoğraf</x:v>
      </x:c>
      <x:c r="H184" s="29" t="str">
        <x:v>David Goehring</x:v>
      </x:c>
      <x:c r="I184" s="29" t="str">
        <x:v>CC BY 2.0</x:v>
      </x:c>
      <x:c r="J184" s="29" t="str">
        <x:v>https://creativecommons.org/licenses/by/2.0/</x:v>
      </x:c>
      <x:c r="K184" s="29" t="str">
        <x:v>https://www.flickr.com/photos/15923063@N00/824119067/</x:v>
      </x:c>
      <x:c r="L184" s="31" t="d">
        <x:v>2007-07-15T00:00:00.000Z</x:v>
      </x:c>
      <x:c r="M184" s="31" t="d">
        <x:v>2026-10-24T00:00:00.000Z</x:v>
      </x:c>
      <x:c r="N184" s="29" t="str">
        <x:v>EXIF yönü uygulandı; boyut küçültülüp WebP biçimine dönüştürüldü.</x:v>
      </x:c>
      <x:c r="O184" s="29" t="str">
        <x:v>bakersfield:evidence:venue-22149</x:v>
      </x:c>
      <x:c r="P184" s="29" t="str">
        <x:v>Evet</x:v>
      </x:c>
      <x:c r="Q184" s="35" t="n">
        <x:v>0</x:v>
      </x:c>
      <x:c r="R184" s="29" t="str">
        <x:v>İnceleme</x:v>
      </x:c>
      <x:c r="S184" s="36" t="n">
        <x:f>IF(OR(A184="",C184&lt;&gt;"Mekân",P184&lt;&gt;"Evet"),0,IF(COUNTIFS($F$8:F184,F184,$C$8:C184,"Mekân",$P$8:P184,"Evet")=1,1,0))</x:f>
        <x:v>1</x:v>
      </x:c>
      <x:c r="T184" s="36" t="n">
        <x:f>IF(OR(A184="",C184&lt;&gt;"Kapak",P184&lt;&gt;"Evet"),0,IF(COUNTIFS($F$8:F184,F184,$C$8:C184,"Kapak",$P$8:P184,"Evet")=1,1,0))</x:f>
        <x:v>0</x:v>
      </x:c>
    </x:row>
    <x:row r="185" ht="54" customHeight="1">
      <x:c r="A185" s="29" t="str">
        <x:v>bakersfield:photo:venue-22150</x:v>
      </x:c>
      <x:c r="B185" s="29" t="str">
        <x:v>bakersfield</x:v>
      </x:c>
      <x:c r="C185" s="29" t="str">
        <x:v>Mekân</x:v>
      </x:c>
      <x:c r="D185" s="29" t="str">
        <x:v>bakersfield:yer-local-bakersfield-bakersfield-sign</x:v>
      </x:c>
      <x:c r="E185" s="29" t="str">
        <x:v>Fotoğraflar/bk-5395f1f6e9dc7f10748396d3.webp</x:v>
      </x:c>
      <x:c r="F185" s="29" t="str">
        <x:v>5395f1f6e9dc7f10748396d3d98c7fd2d61159356749fad526b28b83f5cd1587</x:v>
      </x:c>
      <x:c r="G185" s="29" t="str">
        <x:v>Bakersfield Sign · 2013 tarihli fotoğraf</x:v>
      </x:c>
      <x:c r="H185" s="29" t="str">
        <x:v>mjaaaae</x:v>
      </x:c>
      <x:c r="I185" s="29" t="str">
        <x:v>CC BY 2.0</x:v>
      </x:c>
      <x:c r="J185" s="29" t="str">
        <x:v>https://creativecommons.org/licenses/by/2.0/</x:v>
      </x:c>
      <x:c r="K185" s="29" t="str">
        <x:v>https://www.flickr.com/photos/48702735@N03/8670832888/</x:v>
      </x:c>
      <x:c r="L185" s="31" t="d">
        <x:v>2013-03-18T00:00:00.000Z</x:v>
      </x:c>
      <x:c r="M185" s="31" t="d">
        <x:v>2026-10-24T00:00:00.000Z</x:v>
      </x:c>
      <x:c r="N185" s="29" t="str">
        <x:v>EXIF yönü uygulandı; boyut küçültülüp WebP biçimine dönüştürüldü.</x:v>
      </x:c>
      <x:c r="O185" s="29" t="str">
        <x:v>bakersfield:evidence:venue-22150</x:v>
      </x:c>
      <x:c r="P185" s="29" t="str">
        <x:v>Evet</x:v>
      </x:c>
      <x:c r="Q185" s="35" t="n">
        <x:v>1</x:v>
      </x:c>
      <x:c r="R185" s="29" t="str">
        <x:v>İnceleme</x:v>
      </x:c>
      <x:c r="S185" s="36" t="n">
        <x:f>IF(OR(A185="",C185&lt;&gt;"Mekân",P185&lt;&gt;"Evet"),0,IF(COUNTIFS($F$8:F185,F185,$C$8:C185,"Mekân",$P$8:P185,"Evet")=1,1,0))</x:f>
        <x:v>1</x:v>
      </x:c>
      <x:c r="T185" s="36" t="n">
        <x:f>IF(OR(A185="",C185&lt;&gt;"Kapak",P185&lt;&gt;"Evet"),0,IF(COUNTIFS($F$8:F185,F185,$C$8:C185,"Kapak",$P$8:P185,"Evet")=1,1,0))</x:f>
        <x:v>0</x:v>
      </x:c>
    </x:row>
    <x:row r="186" ht="54" customHeight="1">
      <x:c r="A186" s="29" t="str">
        <x:v>bakersfield:photo:venue-22151</x:v>
      </x:c>
      <x:c r="B186" s="29" t="str">
        <x:v>bakersfield</x:v>
      </x:c>
      <x:c r="C186" s="29" t="str">
        <x:v>Mekân</x:v>
      </x:c>
      <x:c r="D186" s="29" t="str">
        <x:v>bakersfield:yer-local-bakersfield-city-hall</x:v>
      </x:c>
      <x:c r="E186" s="29" t="str">
        <x:v>Fotoğraflar/bk-caadab4f0404bf40d32da11f.webp</x:v>
      </x:c>
      <x:c r="F186" s="29" t="str">
        <x:v>caadab4f0404bf40d32da11f0dec90a9de106ed7aaead0925170a87a2848897c</x:v>
      </x:c>
      <x:c r="G186" s="29" t="str">
        <x:v>Bakersfield City Hall · 2011 tarihli fotoğraf</x:v>
      </x:c>
      <x:c r="H186" s="29" t="str">
        <x:v>Skyman9999.
Skyman9999</x:v>
      </x:c>
      <x:c r="I186" s="29" t="str">
        <x:v>CC0 1.0</x:v>
      </x:c>
      <x:c r="J186" s="29" t="str">
        <x:v>https://creativecommons.org/publicdomain/zero/1.0/</x:v>
      </x:c>
      <x:c r="K186" s="29" t="str">
        <x:v>https://commons.wikimedia.org/wiki/File:2011_Bakersfield_City_Hall.JPG</x:v>
      </x:c>
      <x:c r="L186" s="31" t="d">
        <x:v>2011-04-01T00:00:00.000Z</x:v>
      </x:c>
      <x:c r="M186" s="31" t="d">
        <x:v>2026-10-24T00:00:00.000Z</x:v>
      </x:c>
      <x:c r="N186" s="29" t="str">
        <x:v>EXIF yönü uygulandı; boyut küçültülüp WebP biçimine dönüştürüldü.</x:v>
      </x:c>
      <x:c r="O186" s="29" t="str">
        <x:v>bakersfield:evidence:venue-22151</x:v>
      </x:c>
      <x:c r="P186" s="29" t="str">
        <x:v>Evet</x:v>
      </x:c>
      <x:c r="Q186" s="35" t="n">
        <x:v>0</x:v>
      </x:c>
      <x:c r="R186" s="29" t="str">
        <x:v>İnceleme</x:v>
      </x:c>
      <x:c r="S186" s="36" t="n">
        <x:f>IF(OR(A186="",C186&lt;&gt;"Mekân",P186&lt;&gt;"Evet"),0,IF(COUNTIFS($F$8:F186,F186,$C$8:C186,"Mekân",$P$8:P186,"Evet")=1,1,0))</x:f>
        <x:v>1</x:v>
      </x:c>
      <x:c r="T186" s="36" t="n">
        <x:f>IF(OR(A186="",C186&lt;&gt;"Kapak",P186&lt;&gt;"Evet"),0,IF(COUNTIFS($F$8:F186,F186,$C$8:C186,"Kapak",$P$8:P186,"Evet")=1,1,0))</x:f>
        <x:v>0</x:v>
      </x:c>
    </x:row>
    <x:row r="187" ht="54" customHeight="1">
      <x:c r="A187" s="29" t="str">
        <x:v>bakersfield:photo:venue-22152</x:v>
      </x:c>
      <x:c r="B187" s="29" t="str">
        <x:v>bakersfield</x:v>
      </x:c>
      <x:c r="C187" s="29" t="str">
        <x:v>Mekân</x:v>
      </x:c>
      <x:c r="D187" s="29" t="str">
        <x:v>bakersfield:yer-local-bakersfield-bakersfield-college</x:v>
      </x:c>
      <x:c r="E187" s="29" t="str">
        <x:v>Fotoğraflar/bk-c056d8a64da5e705aef2f3c7.webp</x:v>
      </x:c>
      <x:c r="F187" s="29" t="str">
        <x:v>c056d8a64da5e705aef2f3c71cbd4a628f00a0d1dbed356db88eb292847ec202</x:v>
      </x:c>
      <x:c r="G187" s="29" t="str">
        <x:v>Bakersfield College Kampüsü · 2007 tarihli fotoğraf</x:v>
      </x:c>
      <x:c r="H187" s="29" t="str">
        <x:v>Bobak Ha'Eri</x:v>
      </x:c>
      <x:c r="I187" s="29" t="str">
        <x:v>CC BY-SA 2.5</x:v>
      </x:c>
      <x:c r="J187" s="29" t="str">
        <x:v>https://creativecommons.org/licenses/by-sa/2.5</x:v>
      </x:c>
      <x:c r="K187" s="29" t="str">
        <x:v>https://commons.wikimedia.org/wiki/File:01-2007-BakersfieldCollege.jpg</x:v>
      </x:c>
      <x:c r="L187" s="31" t="d">
        <x:v>2007-01-04T00:00:00.000Z</x:v>
      </x:c>
      <x:c r="M187" s="31" t="d">
        <x:v>2026-10-24T00:00:00.000Z</x:v>
      </x:c>
      <x:c r="N187" s="29" t="str">
        <x:v>EXIF yönü uygulandı; boyut küçültülüp WebP biçimine dönüştürüldü.</x:v>
      </x:c>
      <x:c r="O187" s="29" t="str">
        <x:v>bakersfield:evidence:venue-22152</x:v>
      </x:c>
      <x:c r="P187" s="29" t="str">
        <x:v>Evet</x:v>
      </x:c>
      <x:c r="Q187" s="35" t="n">
        <x:v>0</x:v>
      </x:c>
      <x:c r="R187" s="29" t="str">
        <x:v>İnceleme</x:v>
      </x:c>
      <x:c r="S187" s="36" t="n">
        <x:f>IF(OR(A187="",C187&lt;&gt;"Mekân",P187&lt;&gt;"Evet"),0,IF(COUNTIFS($F$8:F187,F187,$C$8:C187,"Mekân",$P$8:P187,"Evet")=1,1,0))</x:f>
        <x:v>1</x:v>
      </x:c>
      <x:c r="T187" s="36" t="n">
        <x:f>IF(OR(A187="",C187&lt;&gt;"Kapak",P187&lt;&gt;"Evet"),0,IF(COUNTIFS($F$8:F187,F187,$C$8:C187,"Kapak",$P$8:P187,"Evet")=1,1,0))</x:f>
        <x:v>0</x:v>
      </x:c>
    </x:row>
    <x:row r="188" ht="54" customHeight="1">
      <x:c r="A188" s="29" t="str">
        <x:v>bakersfield:photo:venue-22153</x:v>
      </x:c>
      <x:c r="B188" s="29" t="str">
        <x:v>bakersfield</x:v>
      </x:c>
      <x:c r="C188" s="29" t="str">
        <x:v>Mekân</x:v>
      </x:c>
      <x:c r="D188" s="29" t="str">
        <x:v>bakersfield:yer-local-bakersfield-federal-courthouse</x:v>
      </x:c>
      <x:c r="E188" s="29" t="str">
        <x:v>Fotoğraflar/bk-a5943dca5767b7c9a22e25a2.webp</x:v>
      </x:c>
      <x:c r="F188" s="29" t="str">
        <x:v>a5943dca5767b7c9a22e25a28db86cc41b4ce302d5ba8e119c6b88fc57da6055</x:v>
      </x:c>
      <x:c r="G188" s="29" t="str">
        <x:v>Bakersfield Federal Courthouse · 2025 tarihli fotoğraf</x:v>
      </x:c>
      <x:c r="H188" s="29" t="str">
        <x:v>EazyDee107</x:v>
      </x:c>
      <x:c r="I188" s="29" t="str">
        <x:v>CC0 1.0</x:v>
      </x:c>
      <x:c r="J188" s="29" t="str">
        <x:v>https://creativecommons.org/publicdomain/zero/1.0/</x:v>
      </x:c>
      <x:c r="K188" s="29" t="str">
        <x:v>https://commons.wikimedia.org/wiki/File:BakersfieldFederalCourthouse.jpg</x:v>
      </x:c>
      <x:c r="L188" s="31"/>
      <x:c r="M188" s="31" t="d">
        <x:v>2026-10-24T00:00:00.000Z</x:v>
      </x:c>
      <x:c r="N188" s="29" t="str">
        <x:v>EXIF yönü uygulandı; boyut küçültülüp WebP biçimine dönüştürüldü.</x:v>
      </x:c>
      <x:c r="O188" s="29" t="str">
        <x:v>bakersfield:evidence:venue-22153</x:v>
      </x:c>
      <x:c r="P188" s="29" t="str">
        <x:v>Evet</x:v>
      </x:c>
      <x:c r="Q188" s="35" t="n">
        <x:v>0</x:v>
      </x:c>
      <x:c r="R188" s="29" t="str">
        <x:v>İnceleme</x:v>
      </x:c>
      <x:c r="S188" s="36" t="n">
        <x:f>IF(OR(A188="",C188&lt;&gt;"Mekân",P188&lt;&gt;"Evet"),0,IF(COUNTIFS($F$8:F188,F188,$C$8:C188,"Mekân",$P$8:P188,"Evet")=1,1,0))</x:f>
        <x:v>1</x:v>
      </x:c>
      <x:c r="T188" s="36" t="n">
        <x:f>IF(OR(A188="",C188&lt;&gt;"Kapak",P188&lt;&gt;"Evet"),0,IF(COUNTIFS($F$8:F188,F188,$C$8:C188,"Kapak",$P$8:P188,"Evet")=1,1,0))</x:f>
        <x:v>0</x:v>
      </x:c>
    </x:row>
    <x:row r="189" ht="54" customHeight="1">
      <x:c r="A189" s="29" t="str">
        <x:v>bakersfield:photo:venue-22154</x:v>
      </x:c>
      <x:c r="B189" s="29" t="str">
        <x:v>bakersfield</x:v>
      </x:c>
      <x:c r="C189" s="29" t="str">
        <x:v>Mekân</x:v>
      </x:c>
      <x:c r="D189" s="29" t="str">
        <x:v>bakersfield:yer-local-bakersfield-crites-building</x:v>
      </x:c>
      <x:c r="E189" s="29" t="str">
        <x:v>Fotoğraflar/bk-492bf17cb47892b05ef9e241.webp</x:v>
      </x:c>
      <x:c r="F189" s="29" t="str">
        <x:v>492bf17cb47892b05ef9e241c43093f22523865f880ed9540a9e2250259b9b6b</x:v>
      </x:c>
      <x:c r="G189" s="29" t="str">
        <x:v>Arthur S. Crites Building · 2017 tarihli fotoğraf</x:v>
      </x:c>
      <x:c r="H189" s="29" t="str">
        <x:v>Publichall</x:v>
      </x:c>
      <x:c r="I189" s="29" t="str">
        <x:v>CC BY-SA 4.0</x:v>
      </x:c>
      <x:c r="J189" s="29" t="str">
        <x:v>https://creativecommons.org/licenses/by-sa/4.0</x:v>
      </x:c>
      <x:c r="K189" s="29" t="str">
        <x:v>https://commons.wikimedia.org/wiki/File:Crites_Bldg,_Bakersfield,_CA.jpg</x:v>
      </x:c>
      <x:c r="L189" s="31"/>
      <x:c r="M189" s="31" t="d">
        <x:v>2026-10-24T00:00:00.000Z</x:v>
      </x:c>
      <x:c r="N189" s="29" t="str">
        <x:v>EXIF yönü uygulandı; boyut küçültülüp WebP biçimine dönüştürüldü.</x:v>
      </x:c>
      <x:c r="O189" s="29" t="str">
        <x:v>bakersfield:evidence:venue-22154</x:v>
      </x:c>
      <x:c r="P189" s="29" t="str">
        <x:v>Evet</x:v>
      </x:c>
      <x:c r="Q189" s="35" t="n">
        <x:v>0</x:v>
      </x:c>
      <x:c r="R189" s="29" t="str">
        <x:v>İnceleme</x:v>
      </x:c>
      <x:c r="S189" s="36" t="n">
        <x:f>IF(OR(A189="",C189&lt;&gt;"Mekân",P189&lt;&gt;"Evet"),0,IF(COUNTIFS($F$8:F189,F189,$C$8:C189,"Mekân",$P$8:P189,"Evet")=1,1,0))</x:f>
        <x:v>1</x:v>
      </x:c>
      <x:c r="T189" s="36" t="n">
        <x:f>IF(OR(A189="",C189&lt;&gt;"Kapak",P189&lt;&gt;"Evet"),0,IF(COUNTIFS($F$8:F189,F189,$C$8:C189,"Kapak",$P$8:P189,"Evet")=1,1,0))</x:f>
        <x:v>0</x:v>
      </x:c>
    </x:row>
    <x:row r="190" ht="54" customHeight="1">
      <x:c r="A190" s="29" t="str">
        <x:v>bakersfield:photo:venue-22155</x:v>
      </x:c>
      <x:c r="B190" s="29" t="str">
        <x:v>bakersfield</x:v>
      </x:c>
      <x:c r="C190" s="29" t="str">
        <x:v>Mekân</x:v>
      </x:c>
      <x:c r="D190" s="29" t="str">
        <x:v>bakersfield:yer-local-bakersfield-wind-wolves</x:v>
      </x:c>
      <x:c r="E190" s="29" t="str">
        <x:v>Fotoğraflar/bk-8b560d5736be7c7c7e0337b3.webp</x:v>
      </x:c>
      <x:c r="F190" s="29" t="str">
        <x:v>8b560d5736be7c7c7e0337b37cc43b2d9c385f4c2032964a7d64f6f39591d19d</x:v>
      </x:c>
      <x:c r="G190" s="29" t="str">
        <x:v>Wind Wolves Preserve · 2022 tarihli fotoğraf</x:v>
      </x:c>
      <x:c r="H190" s="29" t="str">
        <x:v>BookOfDisquiet</x:v>
      </x:c>
      <x:c r="I190" s="29" t="str">
        <x:v>CC BY 4.0</x:v>
      </x:c>
      <x:c r="J190" s="29" t="str">
        <x:v>https://creativecommons.org/licenses/by/4.0</x:v>
      </x:c>
      <x:c r="K190" s="29" t="str">
        <x:v>https://commons.wikimedia.org/wiki/File:Wind_Wolves_entrance_gate.jpg</x:v>
      </x:c>
      <x:c r="L190" s="31"/>
      <x:c r="M190" s="31" t="d">
        <x:v>2026-10-24T00:00:00.000Z</x:v>
      </x:c>
      <x:c r="N190" s="29" t="str">
        <x:v>EXIF yönü uygulandı; boyut küçültülüp WebP biçimine dönüştürüldü.</x:v>
      </x:c>
      <x:c r="O190" s="29" t="str">
        <x:v>bakersfield:evidence:venue-22155</x:v>
      </x:c>
      <x:c r="P190" s="29" t="str">
        <x:v>Evet</x:v>
      </x:c>
      <x:c r="Q190" s="35" t="n">
        <x:v>0</x:v>
      </x:c>
      <x:c r="R190" s="29" t="str">
        <x:v>İnceleme</x:v>
      </x:c>
      <x:c r="S190" s="36" t="n">
        <x:f>IF(OR(A190="",C190&lt;&gt;"Mekân",P190&lt;&gt;"Evet"),0,IF(COUNTIFS($F$8:F190,F190,$C$8:C190,"Mekân",$P$8:P190,"Evet")=1,1,0))</x:f>
        <x:v>1</x:v>
      </x:c>
      <x:c r="T190" s="36" t="n">
        <x:f>IF(OR(A190="",C190&lt;&gt;"Kapak",P190&lt;&gt;"Evet"),0,IF(COUNTIFS($F$8:F190,F190,$C$8:C190,"Kapak",$P$8:P190,"Evet")=1,1,0))</x:f>
        <x:v>0</x:v>
      </x:c>
    </x:row>
    <x:row r="191" ht="54" customHeight="1">
      <x:c r="A191" s="29" t="str">
        <x:v>bakersfield:photo:venue-22156</x:v>
      </x:c>
      <x:c r="B191" s="29" t="str">
        <x:v>bakersfield</x:v>
      </x:c>
      <x:c r="C191" s="29" t="str">
        <x:v>Mekân</x:v>
      </x:c>
      <x:c r="D191" s="29" t="str">
        <x:v>bakersfield:yer-local-bakersfield-wind-wolves</x:v>
      </x:c>
      <x:c r="E191" s="29" t="str">
        <x:v>Fotoğraflar/bk-8574b0859160eb4d0b2503f7.webp</x:v>
      </x:c>
      <x:c r="F191" s="29" t="str">
        <x:v>8574b0859160eb4d0b2503f7549a2ddc4cb41b9a2da10089fe8f53409d361272</x:v>
      </x:c>
      <x:c r="G191" s="29" t="str">
        <x:v>Wind Wolves Preserve · 2021 tarihli fotoğraf</x:v>
      </x:c>
      <x:c r="H191" s="29" t="str">
        <x:v>BookOfDisquiet</x:v>
      </x:c>
      <x:c r="I191" s="29" t="str">
        <x:v>CC BY 4.0</x:v>
      </x:c>
      <x:c r="J191" s="29" t="str">
        <x:v>https://creativecommons.org/licenses/by/4.0</x:v>
      </x:c>
      <x:c r="K191" s="29" t="str">
        <x:v>https://commons.wikimedia.org/wiki/File:Wind_Wolves_Preserve_Campground_Pond.jpg</x:v>
      </x:c>
      <x:c r="L191" s="31"/>
      <x:c r="M191" s="31" t="d">
        <x:v>2026-10-24T00:00:00.000Z</x:v>
      </x:c>
      <x:c r="N191" s="29" t="str">
        <x:v>EXIF yönü uygulandı; boyut küçültülüp WebP biçimine dönüştürüldü.</x:v>
      </x:c>
      <x:c r="O191" s="29" t="str">
        <x:v>bakersfield:evidence:venue-22156</x:v>
      </x:c>
      <x:c r="P191" s="29" t="str">
        <x:v>Evet</x:v>
      </x:c>
      <x:c r="Q191" s="35" t="n">
        <x:v>1</x:v>
      </x:c>
      <x:c r="R191" s="29" t="str">
        <x:v>İnceleme</x:v>
      </x:c>
      <x:c r="S191" s="36" t="n">
        <x:f>IF(OR(A191="",C191&lt;&gt;"Mekân",P191&lt;&gt;"Evet"),0,IF(COUNTIFS($F$8:F191,F191,$C$8:C191,"Mekân",$P$8:P191,"Evet")=1,1,0))</x:f>
        <x:v>1</x:v>
      </x:c>
      <x:c r="T191" s="36" t="n">
        <x:f>IF(OR(A191="",C191&lt;&gt;"Kapak",P191&lt;&gt;"Evet"),0,IF(COUNTIFS($F$8:F191,F191,$C$8:C191,"Kapak",$P$8:P191,"Evet")=1,1,0))</x:f>
        <x:v>0</x:v>
      </x:c>
    </x:row>
    <x:row r="192" ht="54" customHeight="1">
      <x:c r="A192" s="29" t="str">
        <x:v>bakersfield:photo:venue-22157</x:v>
      </x:c>
      <x:c r="B192" s="29" t="str">
        <x:v>bakersfield</x:v>
      </x:c>
      <x:c r="C192" s="29" t="str">
        <x:v>Mekân</x:v>
      </x:c>
      <x:c r="D192" s="29" t="str">
        <x:v>bakersfield:yer-local-bakersfield-wind-wolves</x:v>
      </x:c>
      <x:c r="E192" s="29" t="str">
        <x:v>Fotoğraflar/bk-9306ca32f1281aff530716b7.webp</x:v>
      </x:c>
      <x:c r="F192" s="29" t="str">
        <x:v>9306ca32f1281aff530716b727031cf8ee5fa3ffde879db9a8247c9f89fe7bed</x:v>
      </x:c>
      <x:c r="G192" s="29" t="str">
        <x:v>Wind Wolves Preserve · 2024 tarihli fotoğraf</x:v>
      </x:c>
      <x:c r="H192" s="29" t="str">
        <x:v>BookOfDisquiet</x:v>
      </x:c>
      <x:c r="I192" s="29" t="str">
        <x:v>CC BY 4.0</x:v>
      </x:c>
      <x:c r="J192" s="29" t="str">
        <x:v>https://creativecommons.org/licenses/by/4.0</x:v>
      </x:c>
      <x:c r="K192" s="29" t="str">
        <x:v>https://commons.wikimedia.org/wiki/File:Wind_Wolves_Preserve_Canyon_Mouth.jpg</x:v>
      </x:c>
      <x:c r="L192" s="31"/>
      <x:c r="M192" s="31" t="d">
        <x:v>2026-10-24T00:00:00.000Z</x:v>
      </x:c>
      <x:c r="N192" s="29" t="str">
        <x:v>EXIF yönü uygulandı; boyut küçültülüp WebP biçimine dönüştürüldü.</x:v>
      </x:c>
      <x:c r="O192" s="29" t="str">
        <x:v>bakersfield:evidence:venue-22157</x:v>
      </x:c>
      <x:c r="P192" s="29" t="str">
        <x:v>Evet</x:v>
      </x:c>
      <x:c r="Q192" s="35" t="n">
        <x:v>2</x:v>
      </x:c>
      <x:c r="R192" s="29" t="str">
        <x:v>İnceleme</x:v>
      </x:c>
      <x:c r="S192" s="36" t="n">
        <x:f>IF(OR(A192="",C192&lt;&gt;"Mekân",P192&lt;&gt;"Evet"),0,IF(COUNTIFS($F$8:F192,F192,$C$8:C192,"Mekân",$P$8:P192,"Evet")=1,1,0))</x:f>
        <x:v>1</x:v>
      </x:c>
      <x:c r="T192" s="36" t="n">
        <x:f>IF(OR(A192="",C192&lt;&gt;"Kapak",P192&lt;&gt;"Evet"),0,IF(COUNTIFS($F$8:F192,F192,$C$8:C192,"Kapak",$P$8:P192,"Evet")=1,1,0))</x:f>
        <x:v>0</x:v>
      </x:c>
    </x:row>
    <x:row r="193" ht="54" customHeight="1">
      <x:c r="A193" s="29" t="str">
        <x:v>bakersfield:photo:venue-22158</x:v>
      </x:c>
      <x:c r="B193" s="29" t="str">
        <x:v>bakersfield</x:v>
      </x:c>
      <x:c r="C193" s="29" t="str">
        <x:v>Mekân</x:v>
      </x:c>
      <x:c r="D193" s="29" t="str">
        <x:v>bakersfield:yer-local-bakersfield-wind-wolves</x:v>
      </x:c>
      <x:c r="E193" s="29" t="str">
        <x:v>Fotoğraflar/bk-d7f90cbf2af0231cd85bb68f.webp</x:v>
      </x:c>
      <x:c r="F193" s="29" t="str">
        <x:v>d7f90cbf2af0231cd85bb68f3132011538932c18e1e13255c064ca20351d54af</x:v>
      </x:c>
      <x:c r="G193" s="29" t="str">
        <x:v>Wind Wolves Preserve · 2022 tarihli fotoğraf</x:v>
      </x:c>
      <x:c r="H193" s="29" t="str">
        <x:v>BookOfDisquiet</x:v>
      </x:c>
      <x:c r="I193" s="29" t="str">
        <x:v>CC BY 4.0</x:v>
      </x:c>
      <x:c r="J193" s="29" t="str">
        <x:v>https://creativecommons.org/licenses/by/4.0</x:v>
      </x:c>
      <x:c r="K193" s="29" t="str">
        <x:v>https://commons.wikimedia.org/wiki/File:Wind_Wolves_Preserve_Rancho_San_Emidio_Historic_Marker.jpg</x:v>
      </x:c>
      <x:c r="L193" s="31"/>
      <x:c r="M193" s="31" t="d">
        <x:v>2026-10-24T00:00:00.000Z</x:v>
      </x:c>
      <x:c r="N193" s="29" t="str">
        <x:v>EXIF yönü uygulandı; boyut küçültülüp WebP biçimine dönüştürüldü.</x:v>
      </x:c>
      <x:c r="O193" s="29" t="str">
        <x:v>bakersfield:evidence:venue-22158</x:v>
      </x:c>
      <x:c r="P193" s="29" t="str">
        <x:v>Evet</x:v>
      </x:c>
      <x:c r="Q193" s="35" t="n">
        <x:v>3</x:v>
      </x:c>
      <x:c r="R193" s="29" t="str">
        <x:v>İnceleme</x:v>
      </x:c>
      <x:c r="S193" s="36" t="n">
        <x:f>IF(OR(A193="",C193&lt;&gt;"Mekân",P193&lt;&gt;"Evet"),0,IF(COUNTIFS($F$8:F193,F193,$C$8:C193,"Mekân",$P$8:P193,"Evet")=1,1,0))</x:f>
        <x:v>1</x:v>
      </x:c>
      <x:c r="T193" s="36" t="n">
        <x:f>IF(OR(A193="",C193&lt;&gt;"Kapak",P193&lt;&gt;"Evet"),0,IF(COUNTIFS($F$8:F193,F193,$C$8:C193,"Kapak",$P$8:P193,"Evet")=1,1,0))</x:f>
        <x:v>0</x:v>
      </x:c>
    </x:row>
    <x:row r="194" ht="54" customHeight="1">
      <x:c r="A194" s="29" t="str">
        <x:v>bakersfield:photo:venue-22159</x:v>
      </x:c>
      <x:c r="B194" s="29" t="str">
        <x:v>bakersfield</x:v>
      </x:c>
      <x:c r="C194" s="29" t="str">
        <x:v>Mekân</x:v>
      </x:c>
      <x:c r="D194" s="29" t="str">
        <x:v>bakersfield:yer-local-bakersfield-wind-wolves</x:v>
      </x:c>
      <x:c r="E194" s="29" t="str">
        <x:v>Fotoğraflar/bk-5b0d61853316ce02a6bad97e.webp</x:v>
      </x:c>
      <x:c r="F194" s="29" t="str">
        <x:v>5b0d61853316ce02a6bad97ebf38866980eaf32e3318c02580b489bb251522b1</x:v>
      </x:c>
      <x:c r="G194" s="29" t="str">
        <x:v>Wind Wolves Preserve · 2022 tarihli fotoğraf</x:v>
      </x:c>
      <x:c r="H194" s="29" t="str">
        <x:v>BookOfDisquiet</x:v>
      </x:c>
      <x:c r="I194" s="29" t="str">
        <x:v>CC BY 4.0</x:v>
      </x:c>
      <x:c r="J194" s="29" t="str">
        <x:v>https://creativecommons.org/licenses/by/4.0</x:v>
      </x:c>
      <x:c r="K194" s="29" t="str">
        <x:v>https://commons.wikimedia.org/wiki/File:Wind_Wolves_Preserve_Riparian_Fall.jpg</x:v>
      </x:c>
      <x:c r="L194" s="31"/>
      <x:c r="M194" s="31" t="d">
        <x:v>2026-10-24T00:00:00.000Z</x:v>
      </x:c>
      <x:c r="N194" s="29" t="str">
        <x:v>EXIF yönü uygulandı; boyut küçültülüp WebP biçimine dönüştürüldü.</x:v>
      </x:c>
      <x:c r="O194" s="29" t="str">
        <x:v>bakersfield:evidence:venue-22159</x:v>
      </x:c>
      <x:c r="P194" s="29" t="str">
        <x:v>Evet</x:v>
      </x:c>
      <x:c r="Q194" s="35" t="n">
        <x:v>4</x:v>
      </x:c>
      <x:c r="R194" s="29" t="str">
        <x:v>İnceleme</x:v>
      </x:c>
      <x:c r="S194" s="36" t="n">
        <x:f>IF(OR(A194="",C194&lt;&gt;"Mekân",P194&lt;&gt;"Evet"),0,IF(COUNTIFS($F$8:F194,F194,$C$8:C194,"Mekân",$P$8:P194,"Evet")=1,1,0))</x:f>
        <x:v>1</x:v>
      </x:c>
      <x:c r="T194" s="36" t="n">
        <x:f>IF(OR(A194="",C194&lt;&gt;"Kapak",P194&lt;&gt;"Evet"),0,IF(COUNTIFS($F$8:F194,F194,$C$8:C194,"Kapak",$P$8:P194,"Evet")=1,1,0))</x:f>
        <x:v>0</x:v>
      </x:c>
    </x:row>
    <x:row r="195" ht="54" customHeight="1">
      <x:c r="A195" s="29" t="str">
        <x:v>bakersfield:photo:venue-22160</x:v>
      </x:c>
      <x:c r="B195" s="29" t="str">
        <x:v>bakersfield</x:v>
      </x:c>
      <x:c r="C195" s="29" t="str">
        <x:v>Mekân</x:v>
      </x:c>
      <x:c r="D195" s="29" t="str">
        <x:v>bakersfield:yer-local-bakersfield-wind-wolves</x:v>
      </x:c>
      <x:c r="E195" s="29" t="str">
        <x:v>Fotoğraflar/bk-1b9ecb1a46372c349c9f4823.webp</x:v>
      </x:c>
      <x:c r="F195" s="29" t="str">
        <x:v>1b9ecb1a46372c349c9f4823cfc3e2a9aea7ba42ffabfc04fb616b92256d2a07</x:v>
      </x:c>
      <x:c r="G195" s="29" t="str">
        <x:v>Wind Wolves Preserve · 2024 tarihli fotoğraf</x:v>
      </x:c>
      <x:c r="H195" s="29" t="str">
        <x:v>BookOfDisquiet</x:v>
      </x:c>
      <x:c r="I195" s="29" t="str">
        <x:v>CC BY 4.0</x:v>
      </x:c>
      <x:c r="J195" s="29" t="str">
        <x:v>https://creativecommons.org/licenses/by/4.0</x:v>
      </x:c>
      <x:c r="K195" s="29" t="str">
        <x:v>https://commons.wikimedia.org/wiki/File:Wind_Wolves_Preserve_Riparian_Restoration_Plantings.jpg</x:v>
      </x:c>
      <x:c r="L195" s="31"/>
      <x:c r="M195" s="31" t="d">
        <x:v>2026-10-24T00:00:00.000Z</x:v>
      </x:c>
      <x:c r="N195" s="29" t="str">
        <x:v>EXIF yönü uygulandı; boyut küçültülüp WebP biçimine dönüştürüldü.</x:v>
      </x:c>
      <x:c r="O195" s="29" t="str">
        <x:v>bakersfield:evidence:venue-22160</x:v>
      </x:c>
      <x:c r="P195" s="29" t="str">
        <x:v>Evet</x:v>
      </x:c>
      <x:c r="Q195" s="35" t="n">
        <x:v>5</x:v>
      </x:c>
      <x:c r="R195" s="29" t="str">
        <x:v>İnceleme</x:v>
      </x:c>
      <x:c r="S195" s="36" t="n">
        <x:f>IF(OR(A195="",C195&lt;&gt;"Mekân",P195&lt;&gt;"Evet"),0,IF(COUNTIFS($F$8:F195,F195,$C$8:C195,"Mekân",$P$8:P195,"Evet")=1,1,0))</x:f>
        <x:v>1</x:v>
      </x:c>
      <x:c r="T195" s="36" t="n">
        <x:f>IF(OR(A195="",C195&lt;&gt;"Kapak",P195&lt;&gt;"Evet"),0,IF(COUNTIFS($F$8:F195,F195,$C$8:C195,"Kapak",$P$8:P195,"Evet")=1,1,0))</x:f>
        <x:v>0</x:v>
      </x:c>
    </x:row>
    <x:row r="196" ht="54" customHeight="1">
      <x:c r="A196" s="29" t="str">
        <x:v>bakersfield:photo:venue-22161</x:v>
      </x:c>
      <x:c r="B196" s="29" t="str">
        <x:v>bakersfield</x:v>
      </x:c>
      <x:c r="C196" s="29" t="str">
        <x:v>Mekân</x:v>
      </x:c>
      <x:c r="D196" s="29" t="str">
        <x:v>bakersfield:yer-local-bakersfield-wind-wolves</x:v>
      </x:c>
      <x:c r="E196" s="29" t="str">
        <x:v>Fotoğraflar/bk-d223a950a7e95b4621894013.webp</x:v>
      </x:c>
      <x:c r="F196" s="29" t="str">
        <x:v>d223a950a7e95b4621894013cc89a0cff0d4ce7bd0eb6ea6c89b0d9a936dc471</x:v>
      </x:c>
      <x:c r="G196" s="29" t="str">
        <x:v>Wind Wolves Preserve · 2022 tarihli fotoğraf</x:v>
      </x:c>
      <x:c r="H196" s="29" t="str">
        <x:v>BookOfDisquiet</x:v>
      </x:c>
      <x:c r="I196" s="29" t="str">
        <x:v>CC BY 4.0</x:v>
      </x:c>
      <x:c r="J196" s="29" t="str">
        <x:v>https://creativecommons.org/licenses/by/4.0</x:v>
      </x:c>
      <x:c r="K196" s="29" t="str">
        <x:v>https://commons.wikimedia.org/wiki/File:Wind_Wolves_Preserve_Riparian_Spring.jpg</x:v>
      </x:c>
      <x:c r="L196" s="31"/>
      <x:c r="M196" s="31" t="d">
        <x:v>2026-10-24T00:00:00.000Z</x:v>
      </x:c>
      <x:c r="N196" s="29" t="str">
        <x:v>EXIF yönü uygulandı; boyut küçültülüp WebP biçimine dönüştürüldü.</x:v>
      </x:c>
      <x:c r="O196" s="29" t="str">
        <x:v>bakersfield:evidence:venue-22161</x:v>
      </x:c>
      <x:c r="P196" s="29" t="str">
        <x:v>Evet</x:v>
      </x:c>
      <x:c r="Q196" s="35" t="n">
        <x:v>6</x:v>
      </x:c>
      <x:c r="R196" s="29" t="str">
        <x:v>İnceleme</x:v>
      </x:c>
      <x:c r="S196" s="36" t="n">
        <x:f>IF(OR(A196="",C196&lt;&gt;"Mekân",P196&lt;&gt;"Evet"),0,IF(COUNTIFS($F$8:F196,F196,$C$8:C196,"Mekân",$P$8:P196,"Evet")=1,1,0))</x:f>
        <x:v>1</x:v>
      </x:c>
      <x:c r="T196" s="36" t="n">
        <x:f>IF(OR(A196="",C196&lt;&gt;"Kapak",P196&lt;&gt;"Evet"),0,IF(COUNTIFS($F$8:F196,F196,$C$8:C196,"Kapak",$P$8:P196,"Evet")=1,1,0))</x:f>
        <x:v>0</x:v>
      </x:c>
    </x:row>
    <x:row r="197" ht="54" customHeight="1">
      <x:c r="A197" s="29" t="str">
        <x:v>bakersfield:photo:venue-22162</x:v>
      </x:c>
      <x:c r="B197" s="29" t="str">
        <x:v>bakersfield</x:v>
      </x:c>
      <x:c r="C197" s="29" t="str">
        <x:v>Mekân</x:v>
      </x:c>
      <x:c r="D197" s="29" t="str">
        <x:v>bakersfield:yer-local-bakersfield-wind-wolves</x:v>
      </x:c>
      <x:c r="E197" s="29" t="str">
        <x:v>Fotoğraflar/bk-d023446bbf0116faebfedf80.webp</x:v>
      </x:c>
      <x:c r="F197" s="29" t="str">
        <x:v>d023446bbf0116faebfedf8010053a733af7b265173cf11be7389ea0fae8d237</x:v>
      </x:c>
      <x:c r="G197" s="29" t="str">
        <x:v>Wind Wolves Preserve · 2015 tarihli fotoğraf</x:v>
      </x:c>
      <x:c r="H197" s="29" t="str">
        <x:v>Christine Warner-Morin</x:v>
      </x:c>
      <x:c r="I197" s="29" t="str">
        <x:v>CC BY 2.0</x:v>
      </x:c>
      <x:c r="J197" s="29" t="str">
        <x:v>https://creativecommons.org/licenses/by/2.0/</x:v>
      </x:c>
      <x:c r="K197" s="29" t="str">
        <x:v>https://www.flickr.com/photos/9987846@N08/24033773200/</x:v>
      </x:c>
      <x:c r="L197" s="31" t="d">
        <x:v>2015-12-27T00:00:00.000Z</x:v>
      </x:c>
      <x:c r="M197" s="31" t="d">
        <x:v>2026-10-24T00:00:00.000Z</x:v>
      </x:c>
      <x:c r="N197" s="29" t="str">
        <x:v>EXIF yönü uygulandı; boyut küçültülüp WebP biçimine dönüştürüldü.</x:v>
      </x:c>
      <x:c r="O197" s="29" t="str">
        <x:v>bakersfield:evidence:venue-22162</x:v>
      </x:c>
      <x:c r="P197" s="29" t="str">
        <x:v>Evet</x:v>
      </x:c>
      <x:c r="Q197" s="35" t="n">
        <x:v>7</x:v>
      </x:c>
      <x:c r="R197" s="29" t="str">
        <x:v>İnceleme</x:v>
      </x:c>
      <x:c r="S197" s="36" t="n">
        <x:f>IF(OR(A197="",C197&lt;&gt;"Mekân",P197&lt;&gt;"Evet"),0,IF(COUNTIFS($F$8:F197,F197,$C$8:C197,"Mekân",$P$8:P197,"Evet")=1,1,0))</x:f>
        <x:v>1</x:v>
      </x:c>
      <x:c r="T197" s="36" t="n">
        <x:f>IF(OR(A197="",C197&lt;&gt;"Kapak",P197&lt;&gt;"Evet"),0,IF(COUNTIFS($F$8:F197,F197,$C$8:C197,"Kapak",$P$8:P197,"Evet")=1,1,0))</x:f>
        <x:v>0</x:v>
      </x:c>
    </x:row>
    <x:row r="198" ht="54" customHeight="1">
      <x:c r="A198" s="29" t="str">
        <x:v>bakersfield:photo:venue-22163</x:v>
      </x:c>
      <x:c r="B198" s="29" t="str">
        <x:v>bakersfield</x:v>
      </x:c>
      <x:c r="C198" s="29" t="str">
        <x:v>Mekân</x:v>
      </x:c>
      <x:c r="D198" s="29" t="str">
        <x:v>bakersfield:yer-local-bakersfield-tule-elk</x:v>
      </x:c>
      <x:c r="E198" s="29" t="str">
        <x:v>Fotoğraflar/bk-d45e66f84aea338ad9674565.webp</x:v>
      </x:c>
      <x:c r="F198" s="29" t="str">
        <x:v>d45e66f84aea338ad9674565448950fd29f113e394ddec3a40331405c6e0e309</x:v>
      </x:c>
      <x:c r="G198" s="29" t="str">
        <x:v>Tule Elk State Natural Reserve · 12 F tarihli fotoğraf</x:v>
      </x:c>
      <x:c r="H198" s="29" t="str">
        <x:v>David Jordan</x:v>
      </x:c>
      <x:c r="I198" s="29" t="str">
        <x:v>CC BY 3.0</x:v>
      </x:c>
      <x:c r="J198" s="29" t="str">
        <x:v>https://creativecommons.org/licenses/by/3.0</x:v>
      </x:c>
      <x:c r="K198" s="29" t="str">
        <x:v>https://commons.wikimedia.org/wiki/File:Buttonwillow_Tupman_Tule_Elk_Reserve_California_ungulate_guests.JPG</x:v>
      </x:c>
      <x:c r="L198" s="31"/>
      <x:c r="M198" s="31" t="d">
        <x:v>2026-10-24T00:00:00.000Z</x:v>
      </x:c>
      <x:c r="N198" s="29" t="str">
        <x:v>EXIF yönü uygulandı; boyut küçültülüp WebP biçimine dönüştürüldü.</x:v>
      </x:c>
      <x:c r="O198" s="29" t="str">
        <x:v>bakersfield:evidence:venue-22163</x:v>
      </x:c>
      <x:c r="P198" s="29" t="str">
        <x:v>Evet</x:v>
      </x:c>
      <x:c r="Q198" s="35" t="n">
        <x:v>0</x:v>
      </x:c>
      <x:c r="R198" s="29" t="str">
        <x:v>İnceleme</x:v>
      </x:c>
      <x:c r="S198" s="36" t="n">
        <x:f>IF(OR(A198="",C198&lt;&gt;"Mekân",P198&lt;&gt;"Evet"),0,IF(COUNTIFS($F$8:F198,F198,$C$8:C198,"Mekân",$P$8:P198,"Evet")=1,1,0))</x:f>
        <x:v>1</x:v>
      </x:c>
      <x:c r="T198" s="36" t="n">
        <x:f>IF(OR(A198="",C198&lt;&gt;"Kapak",P198&lt;&gt;"Evet"),0,IF(COUNTIFS($F$8:F198,F198,$C$8:C198,"Kapak",$P$8:P198,"Evet")=1,1,0))</x:f>
        <x:v>0</x:v>
      </x:c>
    </x:row>
    <x:row r="199" ht="54" customHeight="1">
      <x:c r="A199" s="29" t="str">
        <x:v>bakersfield:photo:venue-22164</x:v>
      </x:c>
      <x:c r="B199" s="29" t="str">
        <x:v>bakersfield</x:v>
      </x:c>
      <x:c r="C199" s="29" t="str">
        <x:v>Mekân</x:v>
      </x:c>
      <x:c r="D199" s="29" t="str">
        <x:v>bakersfield:yer-local-bakersfield-fort-tejon</x:v>
      </x:c>
      <x:c r="E199" s="29" t="str">
        <x:v>Fotoğraflar/bk-8c5c05633be89f0803989c78.webp</x:v>
      </x:c>
      <x:c r="F199" s="29" t="str">
        <x:v>8c5c05633be89f0803989c78522c96157ed19c7e5c6bb036a4766cc03f910247</x:v>
      </x:c>
      <x:c r="G199" s="29" t="str">
        <x:v>Fort Tejon State Historic Park · 2007 tarihli fotoğraf</x:v>
      </x:c>
      <x:c r="H199" s="29" t="str">
        <x:v>Yellowute at English Wikipedia</x:v>
      </x:c>
      <x:c r="I199" s="29" t="str">
        <x:v>Public domain</x:v>
      </x:c>
      <x:c r="J199" s="29" t="str">
        <x:v>https://commons.wikimedia.org/wiki/File:Fort_Tejon_Barracks_from_CO_Qtrs.JPG#Licensing</x:v>
      </x:c>
      <x:c r="K199" s="29" t="str">
        <x:v>https://commons.wikimedia.org/wiki/File:Fort_Tejon_Barracks_from_CO_Qtrs.JPG</x:v>
      </x:c>
      <x:c r="L199" s="31" t="d">
        <x:v>2007-06-25T00:00:00.000Z</x:v>
      </x:c>
      <x:c r="M199" s="31" t="d">
        <x:v>2026-10-24T00:00:00.000Z</x:v>
      </x:c>
      <x:c r="N199" s="29" t="str">
        <x:v>EXIF yönü uygulandı; boyut küçültülüp WebP biçimine dönüştürüldü.</x:v>
      </x:c>
      <x:c r="O199" s="29" t="str">
        <x:v>bakersfield:evidence:venue-22164</x:v>
      </x:c>
      <x:c r="P199" s="29" t="str">
        <x:v>Evet</x:v>
      </x:c>
      <x:c r="Q199" s="35" t="n">
        <x:v>0</x:v>
      </x:c>
      <x:c r="R199" s="29" t="str">
        <x:v>İnceleme</x:v>
      </x:c>
      <x:c r="S199" s="36" t="n">
        <x:f>IF(OR(A199="",C199&lt;&gt;"Mekân",P199&lt;&gt;"Evet"),0,IF(COUNTIFS($F$8:F199,F199,$C$8:C199,"Mekân",$P$8:P199,"Evet")=1,1,0))</x:f>
        <x:v>1</x:v>
      </x:c>
      <x:c r="T199" s="36" t="n">
        <x:f>IF(OR(A199="",C199&lt;&gt;"Kapak",P199&lt;&gt;"Evet"),0,IF(COUNTIFS($F$8:F199,F199,$C$8:C199,"Kapak",$P$8:P199,"Evet")=1,1,0))</x:f>
        <x:v>0</x:v>
      </x:c>
    </x:row>
    <x:row r="200" ht="54" customHeight="1">
      <x:c r="A200" s="29" t="str">
        <x:v>bakersfield:photo:venue-22165</x:v>
      </x:c>
      <x:c r="B200" s="29" t="str">
        <x:v>bakersfield</x:v>
      </x:c>
      <x:c r="C200" s="29" t="str">
        <x:v>Mekân</x:v>
      </x:c>
      <x:c r="D200" s="29" t="str">
        <x:v>bakersfield:yer-local-bakersfield-fort-tejon</x:v>
      </x:c>
      <x:c r="E200" s="29" t="str">
        <x:v>Fotoğraflar/bk-4142838b97223f212710d630.webp</x:v>
      </x:c>
      <x:c r="F200" s="29" t="str">
        <x:v>4142838b97223f212710d630ec98acbd47561dfa5fa1e11fd19921d4c7795544</x:v>
      </x:c>
      <x:c r="G200" s="29" t="str">
        <x:v>Fort Tejon State Historic Park</x:v>
      </x:c>
      <x:c r="H200" s="29" t="str">
        <x:v>Yellowute</x:v>
      </x:c>
      <x:c r="I200" s="29" t="str">
        <x:v>Public domain</x:v>
      </x:c>
      <x:c r="J200" s="29" t="str">
        <x:v>https://commons.wikimedia.org/wiki/File:Fort_Tejon_Commanding_Officers_Quarters.JPG#Licensing</x:v>
      </x:c>
      <x:c r="K200" s="29" t="str">
        <x:v>https://commons.wikimedia.org/wiki/File:Fort_Tejon_Commanding_Officers_Quarters.JPG</x:v>
      </x:c>
      <x:c r="L200" s="31"/>
      <x:c r="M200" s="31" t="d">
        <x:v>2026-10-24T00:00:00.000Z</x:v>
      </x:c>
      <x:c r="N200" s="29" t="str">
        <x:v>EXIF yönü uygulandı; boyut küçültülüp WebP biçimine dönüştürüldü.</x:v>
      </x:c>
      <x:c r="O200" s="29" t="str">
        <x:v>bakersfield:evidence:venue-22165</x:v>
      </x:c>
      <x:c r="P200" s="29" t="str">
        <x:v>Evet</x:v>
      </x:c>
      <x:c r="Q200" s="35" t="n">
        <x:v>1</x:v>
      </x:c>
      <x:c r="R200" s="29" t="str">
        <x:v>İnceleme</x:v>
      </x:c>
      <x:c r="S200" s="36" t="n">
        <x:f>IF(OR(A200="",C200&lt;&gt;"Mekân",P200&lt;&gt;"Evet"),0,IF(COUNTIFS($F$8:F200,F200,$C$8:C200,"Mekân",$P$8:P200,"Evet")=1,1,0))</x:f>
        <x:v>1</x:v>
      </x:c>
      <x:c r="T200" s="36" t="n">
        <x:f>IF(OR(A200="",C200&lt;&gt;"Kapak",P200&lt;&gt;"Evet"),0,IF(COUNTIFS($F$8:F200,F200,$C$8:C200,"Kapak",$P$8:P200,"Evet")=1,1,0))</x:f>
        <x:v>0</x:v>
      </x:c>
    </x:row>
    <x:row r="201" ht="54" customHeight="1">
      <x:c r="A201" s="29" t="str">
        <x:v>bakersfield:photo:venue-22166</x:v>
      </x:c>
      <x:c r="B201" s="29" t="str">
        <x:v>bakersfield</x:v>
      </x:c>
      <x:c r="C201" s="29" t="str">
        <x:v>Mekân</x:v>
      </x:c>
      <x:c r="D201" s="29" t="str">
        <x:v>bakersfield:yer-local-bakersfield-fort-tejon</x:v>
      </x:c>
      <x:c r="E201" s="29" t="str">
        <x:v>Fotoğraflar/bk-bf5a75a4662f18cc2678a0ab.webp</x:v>
      </x:c>
      <x:c r="F201" s="29" t="str">
        <x:v>bf5a75a4662f18cc2678a0abb9ec16c9297a86cb94d1510b0079fb5a341217d2</x:v>
      </x:c>
      <x:c r="G201" s="29" t="str">
        <x:v>Fort Tejon State Historic Park</x:v>
      </x:c>
      <x:c r="H201" s="29" t="str">
        <x:v>Yellowute</x:v>
      </x:c>
      <x:c r="I201" s="29" t="str">
        <x:v>Public domain</x:v>
      </x:c>
      <x:c r="J201" s="29" t="str">
        <x:v>https://commons.wikimedia.org/wiki/File:Fort_Tejon_Parade_Ground.JPG#Licensing</x:v>
      </x:c>
      <x:c r="K201" s="29" t="str">
        <x:v>https://commons.wikimedia.org/wiki/File:Fort_Tejon_Parade_Ground.JPG</x:v>
      </x:c>
      <x:c r="L201" s="31"/>
      <x:c r="M201" s="31" t="d">
        <x:v>2026-10-24T00:00:00.000Z</x:v>
      </x:c>
      <x:c r="N201" s="29" t="str">
        <x:v>EXIF yönü uygulandı; boyut küçültülüp WebP biçimine dönüştürüldü.</x:v>
      </x:c>
      <x:c r="O201" s="29" t="str">
        <x:v>bakersfield:evidence:venue-22166</x:v>
      </x:c>
      <x:c r="P201" s="29" t="str">
        <x:v>Evet</x:v>
      </x:c>
      <x:c r="Q201" s="35" t="n">
        <x:v>2</x:v>
      </x:c>
      <x:c r="R201" s="29" t="str">
        <x:v>İnceleme</x:v>
      </x:c>
      <x:c r="S201" s="36" t="n">
        <x:f>IF(OR(A201="",C201&lt;&gt;"Mekân",P201&lt;&gt;"Evet"),0,IF(COUNTIFS($F$8:F201,F201,$C$8:C201,"Mekân",$P$8:P201,"Evet")=1,1,0))</x:f>
        <x:v>1</x:v>
      </x:c>
      <x:c r="T201" s="36" t="n">
        <x:f>IF(OR(A201="",C201&lt;&gt;"Kapak",P201&lt;&gt;"Evet"),0,IF(COUNTIFS($F$8:F201,F201,$C$8:C201,"Kapak",$P$8:P201,"Evet")=1,1,0))</x:f>
        <x:v>0</x:v>
      </x:c>
    </x:row>
    <x:row r="202" ht="54" customHeight="1">
      <x:c r="A202" s="29" t="str">
        <x:v>bakersfield:photo:venue-22167</x:v>
      </x:c>
      <x:c r="B202" s="29" t="str">
        <x:v>bakersfield</x:v>
      </x:c>
      <x:c r="C202" s="29" t="str">
        <x:v>Mekân</x:v>
      </x:c>
      <x:c r="D202" s="29" t="str">
        <x:v>bakersfield:yer-local-bakersfield-fort-tejon</x:v>
      </x:c>
      <x:c r="E202" s="29" t="str">
        <x:v>Fotoğraflar/bk-397c75f43809f68e7f8f6fbf.webp</x:v>
      </x:c>
      <x:c r="F202" s="29" t="str">
        <x:v>397c75f43809f68e7f8f6fbf8bd90943c4f538010a2b07edb4f329972f1e8d24</x:v>
      </x:c>
      <x:c r="G202" s="29" t="str">
        <x:v>Fort Tejon State Historic Park</x:v>
      </x:c>
      <x:c r="H202" s="29" t="str">
        <x:v>Yellowute</x:v>
      </x:c>
      <x:c r="I202" s="29" t="str">
        <x:v>Public domain</x:v>
      </x:c>
      <x:c r="J202" s="29" t="str">
        <x:v>https://commons.wikimedia.org/wiki/File:Fort_Tejon_Restored_Barracks.JPG#Licensing</x:v>
      </x:c>
      <x:c r="K202" s="29" t="str">
        <x:v>https://commons.wikimedia.org/wiki/File:Fort_Tejon_Restored_Barracks.JPG</x:v>
      </x:c>
      <x:c r="L202" s="31"/>
      <x:c r="M202" s="31" t="d">
        <x:v>2026-10-24T00:00:00.000Z</x:v>
      </x:c>
      <x:c r="N202" s="29" t="str">
        <x:v>EXIF yönü uygulandı; boyut küçültülüp WebP biçimine dönüştürüldü.</x:v>
      </x:c>
      <x:c r="O202" s="29" t="str">
        <x:v>bakersfield:evidence:venue-22167</x:v>
      </x:c>
      <x:c r="P202" s="29" t="str">
        <x:v>Evet</x:v>
      </x:c>
      <x:c r="Q202" s="35" t="n">
        <x:v>3</x:v>
      </x:c>
      <x:c r="R202" s="29" t="str">
        <x:v>İnceleme</x:v>
      </x:c>
      <x:c r="S202" s="36" t="n">
        <x:f>IF(OR(A202="",C202&lt;&gt;"Mekân",P202&lt;&gt;"Evet"),0,IF(COUNTIFS($F$8:F202,F202,$C$8:C202,"Mekân",$P$8:P202,"Evet")=1,1,0))</x:f>
        <x:v>1</x:v>
      </x:c>
      <x:c r="T202" s="36" t="n">
        <x:f>IF(OR(A202="",C202&lt;&gt;"Kapak",P202&lt;&gt;"Evet"),0,IF(COUNTIFS($F$8:F202,F202,$C$8:C202,"Kapak",$P$8:P202,"Evet")=1,1,0))</x:f>
        <x:v>0</x:v>
      </x:c>
    </x:row>
    <x:row r="203" ht="54" customHeight="1">
      <x:c r="A203" s="29" t="str">
        <x:v>bakersfield:photo:venue-22168</x:v>
      </x:c>
      <x:c r="B203" s="29" t="str">
        <x:v>bakersfield</x:v>
      </x:c>
      <x:c r="C203" s="29" t="str">
        <x:v>Mekân</x:v>
      </x:c>
      <x:c r="D203" s="29" t="str">
        <x:v>bakersfield:yer-local-bakersfield-fort-tejon</x:v>
      </x:c>
      <x:c r="E203" s="29" t="str">
        <x:v>Fotoğraflar/bk-a8b951a5756fa9b535907f05.webp</x:v>
      </x:c>
      <x:c r="F203" s="29" t="str">
        <x:v>a8b951a5756fa9b535907f0577189d398e6a229faa7b3e93991f68112c15a86d</x:v>
      </x:c>
      <x:c r="G203" s="29" t="str">
        <x:v>Fort Tejon State Historic Park · 2009 tarihli fotoğraf</x:v>
      </x:c>
      <x:c r="H203" s="29" t="str">
        <x:v>Konrad Summers</x:v>
      </x:c>
      <x:c r="I203" s="29" t="str">
        <x:v>CC BY-SA 2.0</x:v>
      </x:c>
      <x:c r="J203" s="29" t="str">
        <x:v>https://creativecommons.org/licenses/by-sa/2.0</x:v>
      </x:c>
      <x:c r="K203" s="29" t="str">
        <x:v>https://commons.wikimedia.org/wiki/File:Fort_Tejon_State_Historic_Park_2.jpg</x:v>
      </x:c>
      <x:c r="L203" s="31"/>
      <x:c r="M203" s="31" t="d">
        <x:v>2026-10-24T00:00:00.000Z</x:v>
      </x:c>
      <x:c r="N203" s="29" t="str">
        <x:v>EXIF yönü uygulandı; boyut küçültülüp WebP biçimine dönüştürüldü.</x:v>
      </x:c>
      <x:c r="O203" s="29" t="str">
        <x:v>bakersfield:evidence:venue-22168</x:v>
      </x:c>
      <x:c r="P203" s="29" t="str">
        <x:v>Evet</x:v>
      </x:c>
      <x:c r="Q203" s="35" t="n">
        <x:v>4</x:v>
      </x:c>
      <x:c r="R203" s="29" t="str">
        <x:v>İnceleme</x:v>
      </x:c>
      <x:c r="S203" s="36" t="n">
        <x:f>IF(OR(A203="",C203&lt;&gt;"Mekân",P203&lt;&gt;"Evet"),0,IF(COUNTIFS($F$8:F203,F203,$C$8:C203,"Mekân",$P$8:P203,"Evet")=1,1,0))</x:f>
        <x:v>1</x:v>
      </x:c>
      <x:c r="T203" s="36" t="n">
        <x:f>IF(OR(A203="",C203&lt;&gt;"Kapak",P203&lt;&gt;"Evet"),0,IF(COUNTIFS($F$8:F203,F203,$C$8:C203,"Kapak",$P$8:P203,"Evet")=1,1,0))</x:f>
        <x:v>0</x:v>
      </x:c>
    </x:row>
    <x:row r="204" ht="54" customHeight="1">
      <x:c r="A204" s="29" t="str">
        <x:v>bakersfield:photo:venue-22169</x:v>
      </x:c>
      <x:c r="B204" s="29" t="str">
        <x:v>bakersfield</x:v>
      </x:c>
      <x:c r="C204" s="29" t="str">
        <x:v>Mekân</x:v>
      </x:c>
      <x:c r="D204" s="29" t="str">
        <x:v>bakersfield:yer-local-bakersfield-chavez-monument</x:v>
      </x:c>
      <x:c r="E204" s="29" t="str">
        <x:v>Fotoğraflar/bk-659667a06200476b3f1042b3.webp</x:v>
      </x:c>
      <x:c r="F204" s="29" t="str">
        <x:v>659667a06200476b3f1042b3012f95850371750f0b867941e6dce84ada393bdd</x:v>
      </x:c>
      <x:c r="G204" s="29" t="str">
        <x:v>César E. Chávez National Monument · Take tarihli fotoğraf</x:v>
      </x:c>
      <x:c r="H204" s="29" t="str">
        <x:v>Chris English</x:v>
      </x:c>
      <x:c r="I204" s="29" t="str">
        <x:v>CC BY-SA 3.0</x:v>
      </x:c>
      <x:c r="J204" s="29" t="str">
        <x:v>https://creativecommons.org/licenses/by-sa/3.0</x:v>
      </x:c>
      <x:c r="K204" s="29" t="str">
        <x:v>https://commons.wikimedia.org/wiki/File:2013,_Tehachapi_Mountains_and_Garden_Wall,_Cesar_E_Chavez_National_Monument_-_panoramio.jpg</x:v>
      </x:c>
      <x:c r="L204" s="31"/>
      <x:c r="M204" s="31" t="d">
        <x:v>2026-10-24T00:00:00.000Z</x:v>
      </x:c>
      <x:c r="N204" s="29" t="str">
        <x:v>EXIF yönü uygulandı; boyut küçültülüp WebP biçimine dönüştürüldü.</x:v>
      </x:c>
      <x:c r="O204" s="29" t="str">
        <x:v>bakersfield:evidence:venue-22169</x:v>
      </x:c>
      <x:c r="P204" s="29" t="str">
        <x:v>Evet</x:v>
      </x:c>
      <x:c r="Q204" s="35" t="n">
        <x:v>0</x:v>
      </x:c>
      <x:c r="R204" s="29" t="str">
        <x:v>İnceleme</x:v>
      </x:c>
      <x:c r="S204" s="36" t="n">
        <x:f>IF(OR(A204="",C204&lt;&gt;"Mekân",P204&lt;&gt;"Evet"),0,IF(COUNTIFS($F$8:F204,F204,$C$8:C204,"Mekân",$P$8:P204,"Evet")=1,1,0))</x:f>
        <x:v>1</x:v>
      </x:c>
      <x:c r="T204" s="36" t="n">
        <x:f>IF(OR(A204="",C204&lt;&gt;"Kapak",P204&lt;&gt;"Evet"),0,IF(COUNTIFS($F$8:F204,F204,$C$8:C204,"Kapak",$P$8:P204,"Evet")=1,1,0))</x:f>
        <x:v>0</x:v>
      </x:c>
    </x:row>
    <x:row r="205" ht="54" customHeight="1">
      <x:c r="A205" s="29" t="str">
        <x:v>bakersfield:photo:venue-22170</x:v>
      </x:c>
      <x:c r="B205" s="29" t="str">
        <x:v>bakersfield</x:v>
      </x:c>
      <x:c r="C205" s="29" t="str">
        <x:v>Mekân</x:v>
      </x:c>
      <x:c r="D205" s="29" t="str">
        <x:v>bakersfield:yer-local-bakersfield-chavez-monument</x:v>
      </x:c>
      <x:c r="E205" s="29" t="str">
        <x:v>Fotoğraflar/bk-9f7aea1fb0dd3cadd78b142d.webp</x:v>
      </x:c>
      <x:c r="F205" s="29" t="str">
        <x:v>9f7aea1fb0dd3cadd78b142dedf2d4d39a4cba2efbcaba12d61f298d255700b3</x:v>
      </x:c>
      <x:c r="G205" s="29" t="str">
        <x:v>César E. Chávez National Monument · Take tarihli fotoğraf</x:v>
      </x:c>
      <x:c r="H205" s="29" t="str">
        <x:v>Chris English</x:v>
      </x:c>
      <x:c r="I205" s="29" t="str">
        <x:v>CC BY-SA 3.0</x:v>
      </x:c>
      <x:c r="J205" s="29" t="str">
        <x:v>https://creativecommons.org/licenses/by-sa/3.0</x:v>
      </x:c>
      <x:c r="K205" s="29" t="str">
        <x:v>https://commons.wikimedia.org/wiki/File:2013,_Cesar_Chavez_Grave,_2013,_Cesar_E_Chavez_National_Monument_-_panoramio.jpg</x:v>
      </x:c>
      <x:c r="L205" s="31"/>
      <x:c r="M205" s="31" t="d">
        <x:v>2026-10-24T00:00:00.000Z</x:v>
      </x:c>
      <x:c r="N205" s="29" t="str">
        <x:v>EXIF yönü uygulandı; boyut küçültülüp WebP biçimine dönüştürüldü.</x:v>
      </x:c>
      <x:c r="O205" s="29" t="str">
        <x:v>bakersfield:evidence:venue-22170</x:v>
      </x:c>
      <x:c r="P205" s="29" t="str">
        <x:v>Evet</x:v>
      </x:c>
      <x:c r="Q205" s="35" t="n">
        <x:v>1</x:v>
      </x:c>
      <x:c r="R205" s="29" t="str">
        <x:v>İnceleme</x:v>
      </x:c>
      <x:c r="S205" s="36" t="n">
        <x:f>IF(OR(A205="",C205&lt;&gt;"Mekân",P205&lt;&gt;"Evet"),0,IF(COUNTIFS($F$8:F205,F205,$C$8:C205,"Mekân",$P$8:P205,"Evet")=1,1,0))</x:f>
        <x:v>1</x:v>
      </x:c>
      <x:c r="T205" s="36" t="n">
        <x:f>IF(OR(A205="",C205&lt;&gt;"Kapak",P205&lt;&gt;"Evet"),0,IF(COUNTIFS($F$8:F205,F205,$C$8:C205,"Kapak",$P$8:P205,"Evet")=1,1,0))</x:f>
        <x:v>0</x:v>
      </x:c>
    </x:row>
    <x:row r="206" ht="54" customHeight="1">
      <x:c r="A206" s="29" t="str">
        <x:v>bakersfield:photo:venue-22171</x:v>
      </x:c>
      <x:c r="B206" s="29" t="str">
        <x:v>bakersfield</x:v>
      </x:c>
      <x:c r="C206" s="29" t="str">
        <x:v>Mekân</x:v>
      </x:c>
      <x:c r="D206" s="29" t="str">
        <x:v>bakersfield:yer-local-bakersfield-forty-acres</x:v>
      </x:c>
      <x:c r="E206" s="29" t="str">
        <x:v>Fotoğraflar/bk-acfdd5375f84c5f77632a228.webp</x:v>
      </x:c>
      <x:c r="F206" s="29" t="str">
        <x:v>acfdd5375f84c5f77632a228f34baed2eecec4a3960a17c767f4816871cb7fab</x:v>
      </x:c>
      <x:c r="G206" s="29" t="str">
        <x:v>The Forty Acres · 2009 tarihli fotoğraf</x:v>
      </x:c>
      <x:c r="H206" s="29" t="str">
        <x:v>Bobak Ha'Eri</x:v>
      </x:c>
      <x:c r="I206" s="29" t="str">
        <x:v>CC BY 3.0</x:v>
      </x:c>
      <x:c r="J206" s="29" t="str">
        <x:v>https://creativecommons.org/licenses/by/3.0</x:v>
      </x:c>
      <x:c r="K206" s="29" t="str">
        <x:v>https://commons.wikimedia.org/wiki/File:2009-0725-CA-Delano-40acres.jpg</x:v>
      </x:c>
      <x:c r="L206" s="31" t="d">
        <x:v>2009-07-25T00:00:00.000Z</x:v>
      </x:c>
      <x:c r="M206" s="31" t="d">
        <x:v>2026-10-24T00:00:00.000Z</x:v>
      </x:c>
      <x:c r="N206" s="29" t="str">
        <x:v>EXIF yönü uygulandı; boyut küçültülüp WebP biçimine dönüştürüldü.</x:v>
      </x:c>
      <x:c r="O206" s="29" t="str">
        <x:v>bakersfield:evidence:venue-22171</x:v>
      </x:c>
      <x:c r="P206" s="29" t="str">
        <x:v>Evet</x:v>
      </x:c>
      <x:c r="Q206" s="35" t="n">
        <x:v>0</x:v>
      </x:c>
      <x:c r="R206" s="29" t="str">
        <x:v>İnceleme</x:v>
      </x:c>
      <x:c r="S206" s="36" t="n">
        <x:f>IF(OR(A206="",C206&lt;&gt;"Mekân",P206&lt;&gt;"Evet"),0,IF(COUNTIFS($F$8:F206,F206,$C$8:C206,"Mekân",$P$8:P206,"Evet")=1,1,0))</x:f>
        <x:v>1</x:v>
      </x:c>
      <x:c r="T206" s="36" t="n">
        <x:f>IF(OR(A206="",C206&lt;&gt;"Kapak",P206&lt;&gt;"Evet"),0,IF(COUNTIFS($F$8:F206,F206,$C$8:C206,"Kapak",$P$8:P206,"Evet")=1,1,0))</x:f>
        <x:v>0</x:v>
      </x:c>
    </x:row>
    <x:row r="207" ht="54" customHeight="1">
      <x:c r="A207" s="29" t="str">
        <x:v>bakersfield:photo:venue-22172</x:v>
      </x:c>
      <x:c r="B207" s="29" t="str">
        <x:v>bakersfield</x:v>
      </x:c>
      <x:c r="C207" s="29" t="str">
        <x:v>Mekân</x:v>
      </x:c>
      <x:c r="D207" s="29" t="str">
        <x:v>bakersfield:yer-local-bakersfield-minter-field</x:v>
      </x:c>
      <x:c r="E207" s="29" t="str">
        <x:v>Fotoğraflar/bk-34358132c237ca598e1e22ab.webp</x:v>
      </x:c>
      <x:c r="F207" s="29" t="str">
        <x:v>34358132c237ca598e1e22abca48c0e3f746155537a9faca6f5efec3ec89ba11</x:v>
      </x:c>
      <x:c r="G207" s="29" t="str">
        <x:v>Minter Field Air Museum · 2016 tarihli fotoğraf</x:v>
      </x:c>
      <x:c r="H207" s="29" t="str">
        <x:v>Alan Wilson from Stilton, Peterborough, Cambs, UK</x:v>
      </x:c>
      <x:c r="I207" s="29" t="str">
        <x:v>CC BY-SA 2.0</x:v>
      </x:c>
      <x:c r="J207" s="29" t="str">
        <x:v>https://creativecommons.org/licenses/by-sa/2.0</x:v>
      </x:c>
      <x:c r="K207" s="29" t="str">
        <x:v>https://commons.wikimedia.org/wiki/File:Atlas_Impala_MkI_%E2%80%9993_-_N153TP%E2%80%99_(29550123555).jpg</x:v>
      </x:c>
      <x:c r="L207" s="31"/>
      <x:c r="M207" s="31" t="d">
        <x:v>2026-10-24T00:00:00.000Z</x:v>
      </x:c>
      <x:c r="N207" s="29" t="str">
        <x:v>EXIF yönü uygulandı; boyut küçültülüp WebP biçimine dönüştürüldü.</x:v>
      </x:c>
      <x:c r="O207" s="29" t="str">
        <x:v>bakersfield:evidence:venue-22172</x:v>
      </x:c>
      <x:c r="P207" s="29" t="str">
        <x:v>Evet</x:v>
      </x:c>
      <x:c r="Q207" s="35" t="n">
        <x:v>0</x:v>
      </x:c>
      <x:c r="R207" s="29" t="str">
        <x:v>İnceleme</x:v>
      </x:c>
      <x:c r="S207" s="36" t="n">
        <x:f>IF(OR(A207="",C207&lt;&gt;"Mekân",P207&lt;&gt;"Evet"),0,IF(COUNTIFS($F$8:F207,F207,$C$8:C207,"Mekân",$P$8:P207,"Evet")=1,1,0))</x:f>
        <x:v>1</x:v>
      </x:c>
      <x:c r="T207" s="36" t="n">
        <x:f>IF(OR(A207="",C207&lt;&gt;"Kapak",P207&lt;&gt;"Evet"),0,IF(COUNTIFS($F$8:F207,F207,$C$8:C207,"Kapak",$P$8:P207,"Evet")=1,1,0))</x:f>
        <x:v>0</x:v>
      </x:c>
    </x:row>
    <x:row r="208" ht="54" customHeight="1">
      <x:c r="A208" s="29" t="str">
        <x:v>bakersfield:photo:venue-22173</x:v>
      </x:c>
      <x:c r="B208" s="29" t="str">
        <x:v>bakersfield</x:v>
      </x:c>
      <x:c r="C208" s="29" t="str">
        <x:v>Mekân</x:v>
      </x:c>
      <x:c r="D208" s="29" t="str">
        <x:v>bakersfield:yer-local-bakersfield-minter-field</x:v>
      </x:c>
      <x:c r="E208" s="29" t="str">
        <x:v>Fotoğraflar/bk-2fde260ff8e8e5603626ffff.webp</x:v>
      </x:c>
      <x:c r="F208" s="29" t="str">
        <x:v>2fde260ff8e8e5603626ffff8891224bdda8f346c17ff9c84b403bde090c45b8</x:v>
      </x:c>
      <x:c r="G208" s="29" t="str">
        <x:v>Minter Field Air Museum · 2016 tarihli fotoğraf</x:v>
      </x:c>
      <x:c r="H208" s="29" t="str">
        <x:v>Alan Wilson from Stilton, Peterborough, Cambs, UK</x:v>
      </x:c>
      <x:c r="I208" s="29" t="str">
        <x:v>CC BY-SA 2.0</x:v>
      </x:c>
      <x:c r="J208" s="29" t="str">
        <x:v>https://creativecommons.org/licenses/by-sa/2.0</x:v>
      </x:c>
      <x:c r="K208" s="29" t="str">
        <x:v>https://commons.wikimedia.org/wiki/File:Northrop_T-38A_Talon_%E2%80%9800566%E2%80%99_(29516252556).jpg</x:v>
      </x:c>
      <x:c r="L208" s="31"/>
      <x:c r="M208" s="31" t="d">
        <x:v>2026-10-24T00:00:00.000Z</x:v>
      </x:c>
      <x:c r="N208" s="29" t="str">
        <x:v>EXIF yönü uygulandı; boyut küçültülüp WebP biçimine dönüştürüldü.</x:v>
      </x:c>
      <x:c r="O208" s="29" t="str">
        <x:v>bakersfield:evidence:venue-22173</x:v>
      </x:c>
      <x:c r="P208" s="29" t="str">
        <x:v>Evet</x:v>
      </x:c>
      <x:c r="Q208" s="35" t="n">
        <x:v>1</x:v>
      </x:c>
      <x:c r="R208" s="29" t="str">
        <x:v>İnceleme</x:v>
      </x:c>
      <x:c r="S208" s="36" t="n">
        <x:f>IF(OR(A208="",C208&lt;&gt;"Mekân",P208&lt;&gt;"Evet"),0,IF(COUNTIFS($F$8:F208,F208,$C$8:C208,"Mekân",$P$8:P208,"Evet")=1,1,0))</x:f>
        <x:v>1</x:v>
      </x:c>
      <x:c r="T208" s="36" t="n">
        <x:f>IF(OR(A208="",C208&lt;&gt;"Kapak",P208&lt;&gt;"Evet"),0,IF(COUNTIFS($F$8:F208,F208,$C$8:C208,"Kapak",$P$8:P208,"Evet")=1,1,0))</x:f>
        <x:v>0</x:v>
      </x:c>
    </x:row>
    <x:row r="209" ht="54" customHeight="1">
      <x:c r="A209" s="29" t="str">
        <x:v>bakersfield:photo:venue-22174</x:v>
      </x:c>
      <x:c r="B209" s="29" t="str">
        <x:v>bakersfield</x:v>
      </x:c>
      <x:c r="C209" s="29" t="str">
        <x:v>Mekân</x:v>
      </x:c>
      <x:c r="D209" s="29" t="str">
        <x:v>bakersfield:yer-local-bakersfield-shafter-depot</x:v>
      </x:c>
      <x:c r="E209" s="29" t="str">
        <x:v>Fotoğraflar/bk-cf00bff044b318efbc8aff89.webp</x:v>
      </x:c>
      <x:c r="F209" s="29" t="str">
        <x:v>cf00bff044b318efbc8aff890dcd04e76cec54b23b28235d782621ba21134482</x:v>
      </x:c>
      <x:c r="G209" s="29" t="str">
        <x:v>Shafter Depot Museum · 2010 tarihli fotoğraf</x:v>
      </x:c>
      <x:c r="H209" s="29" t="str">
        <x:v>Bobak Ha'Eri</x:v>
      </x:c>
      <x:c r="I209" s="29" t="str">
        <x:v>CC BY 3.0</x:v>
      </x:c>
      <x:c r="J209" s="29" t="str">
        <x:v>https://creativecommons.org/licenses/by/3.0</x:v>
      </x:c>
      <x:c r="K209" s="29" t="str">
        <x:v>https://commons.wikimedia.org/wiki/File:2010-1227-SantaFe-Shafter.jpg</x:v>
      </x:c>
      <x:c r="L209" s="31" t="d">
        <x:v>2010-12-27T00:00:00.000Z</x:v>
      </x:c>
      <x:c r="M209" s="31" t="d">
        <x:v>2026-10-24T00:00:00.000Z</x:v>
      </x:c>
      <x:c r="N209" s="29" t="str">
        <x:v>EXIF yönü uygulandı; boyut küçültülüp WebP biçimine dönüştürüldü.</x:v>
      </x:c>
      <x:c r="O209" s="29" t="str">
        <x:v>bakersfield:evidence:venue-22174</x:v>
      </x:c>
      <x:c r="P209" s="29" t="str">
        <x:v>Evet</x:v>
      </x:c>
      <x:c r="Q209" s="35" t="n">
        <x:v>0</x:v>
      </x:c>
      <x:c r="R209" s="29" t="str">
        <x:v>İnceleme</x:v>
      </x:c>
      <x:c r="S209" s="36" t="n">
        <x:f>IF(OR(A209="",C209&lt;&gt;"Mekân",P209&lt;&gt;"Evet"),0,IF(COUNTIFS($F$8:F209,F209,$C$8:C209,"Mekân",$P$8:P209,"Evet")=1,1,0))</x:f>
        <x:v>1</x:v>
      </x:c>
      <x:c r="T209" s="36" t="n">
        <x:f>IF(OR(A209="",C209&lt;&gt;"Kapak",P209&lt;&gt;"Evet"),0,IF(COUNTIFS($F$8:F209,F209,$C$8:C209,"Kapak",$P$8:P209,"Evet")=1,1,0))</x:f>
        <x:v>0</x:v>
      </x:c>
    </x:row>
    <x:row r="210" ht="54" customHeight="1">
      <x:c r="A210" s="29" t="str">
        <x:v>bakersfield:photo:venue-22175</x:v>
      </x:c>
      <x:c r="B210" s="29" t="str">
        <x:v>bakersfield</x:v>
      </x:c>
      <x:c r="C210" s="29" t="str">
        <x:v>Mekân</x:v>
      </x:c>
      <x:c r="D210" s="29" t="str">
        <x:v>bakersfield:yer-local-bakersfield-shafter-depot</x:v>
      </x:c>
      <x:c r="E210" s="29" t="str">
        <x:v>Fotoğraflar/bk-f8a943972477ddbdcb5047f9.webp</x:v>
      </x:c>
      <x:c r="F210" s="29" t="str">
        <x:v>f8a943972477ddbdcb5047f939dde6c5b7f15c3c0e70dcba6988603ae4dc071f</x:v>
      </x:c>
      <x:c r="G210" s="29" t="str">
        <x:v>Shafter Depot Museum · 2010 tarihli fotoğraf</x:v>
      </x:c>
      <x:c r="H210" s="29" t="str">
        <x:v>Bruce Fingerhood</x:v>
      </x:c>
      <x:c r="I210" s="29" t="str">
        <x:v>CC BY 2.0</x:v>
      </x:c>
      <x:c r="J210" s="29" t="str">
        <x:v>https://creativecommons.org/licenses/by/2.0/</x:v>
      </x:c>
      <x:c r="K210" s="29" t="str">
        <x:v>https://www.flickr.com/photos/19752067@N00/4548928228/</x:v>
      </x:c>
      <x:c r="L210" s="31" t="d">
        <x:v>2010-04-21T00:00:00.000Z</x:v>
      </x:c>
      <x:c r="M210" s="31" t="d">
        <x:v>2026-10-24T00:00:00.000Z</x:v>
      </x:c>
      <x:c r="N210" s="29" t="str">
        <x:v>EXIF yönü uygulandı; boyut küçültülüp WebP biçimine dönüştürüldü.</x:v>
      </x:c>
      <x:c r="O210" s="29" t="str">
        <x:v>bakersfield:evidence:venue-22175</x:v>
      </x:c>
      <x:c r="P210" s="29" t="str">
        <x:v>Evet</x:v>
      </x:c>
      <x:c r="Q210" s="35" t="n">
        <x:v>1</x:v>
      </x:c>
      <x:c r="R210" s="29" t="str">
        <x:v>İnceleme</x:v>
      </x:c>
      <x:c r="S210" s="36" t="n">
        <x:f>IF(OR(A210="",C210&lt;&gt;"Mekân",P210&lt;&gt;"Evet"),0,IF(COUNTIFS($F$8:F210,F210,$C$8:C210,"Mekân",$P$8:P210,"Evet")=1,1,0))</x:f>
        <x:v>1</x:v>
      </x:c>
      <x:c r="T210" s="36" t="n">
        <x:f>IF(OR(A210="",C210&lt;&gt;"Kapak",P210&lt;&gt;"Evet"),0,IF(COUNTIFS($F$8:F210,F210,$C$8:C210,"Kapak",$P$8:P210,"Evet")=1,1,0))</x:f>
        <x:v>0</x:v>
      </x:c>
    </x:row>
    <x:row r="211" ht="54" customHeight="1">
      <x:c r="A211" s="29" t="str">
        <x:v>bakersfield:photo:venue-22176</x:v>
      </x:c>
      <x:c r="B211" s="29" t="str">
        <x:v>bakersfield</x:v>
      </x:c>
      <x:c r="C211" s="29" t="str">
        <x:v>Mekân</x:v>
      </x:c>
      <x:c r="D211" s="29" t="str">
        <x:v>bakersfield:yer-local-bakersfield-green-hotel</x:v>
      </x:c>
      <x:c r="E211" s="29" t="str">
        <x:v>Fotoğraflar/bk-201adedc69b89d8bf9783119.webp</x:v>
      </x:c>
      <x:c r="F211" s="29" t="str">
        <x:v>201adedc69b89d8bf9783119b1974db34089ffa5bde474949088221af59d5ffa</x:v>
      </x:c>
      <x:c r="G211" s="29" t="str">
        <x:v>Historic Green Hotel · 2010 tarihli fotoğraf</x:v>
      </x:c>
      <x:c r="H211" s="29" t="str">
        <x:v>Bobak Ha'Eri</x:v>
      </x:c>
      <x:c r="I211" s="29" t="str">
        <x:v>CC BY 3.0</x:v>
      </x:c>
      <x:c r="J211" s="29" t="str">
        <x:v>https://creativecommons.org/licenses/by/3.0</x:v>
      </x:c>
      <x:c r="K211" s="29" t="str">
        <x:v>https://commons.wikimedia.org/wiki/File:2010-1227-GreenHotel-Shafter.jpg</x:v>
      </x:c>
      <x:c r="L211" s="31" t="d">
        <x:v>2010-12-27T00:00:00.000Z</x:v>
      </x:c>
      <x:c r="M211" s="31" t="d">
        <x:v>2026-10-24T00:00:00.000Z</x:v>
      </x:c>
      <x:c r="N211" s="29" t="str">
        <x:v>EXIF yönü uygulandı; boyut küçültülüp WebP biçimine dönüştürüldü.</x:v>
      </x:c>
      <x:c r="O211" s="29" t="str">
        <x:v>bakersfield:evidence:venue-22176</x:v>
      </x:c>
      <x:c r="P211" s="29" t="str">
        <x:v>Evet</x:v>
      </x:c>
      <x:c r="Q211" s="35" t="n">
        <x:v>0</x:v>
      </x:c>
      <x:c r="R211" s="29" t="str">
        <x:v>İnceleme</x:v>
      </x:c>
      <x:c r="S211" s="36" t="n">
        <x:f>IF(OR(A211="",C211&lt;&gt;"Mekân",P211&lt;&gt;"Evet"),0,IF(COUNTIFS($F$8:F211,F211,$C$8:C211,"Mekân",$P$8:P211,"Evet")=1,1,0))</x:f>
        <x:v>1</x:v>
      </x:c>
      <x:c r="T211" s="36" t="n">
        <x:f>IF(OR(A211="",C211&lt;&gt;"Kapak",P211&lt;&gt;"Evet"),0,IF(COUNTIFS($F$8:F211,F211,$C$8:C211,"Kapak",$P$8:P211,"Evet")=1,1,0))</x:f>
        <x:v>0</x:v>
      </x:c>
    </x:row>
    <x:row r="212" ht="54" customHeight="1">
      <x:c r="A212" s="29" t="str">
        <x:v>bakersfield:photo:venue-22177</x:v>
      </x:c>
      <x:c r="B212" s="29" t="str">
        <x:v>bakersfield</x:v>
      </x:c>
      <x:c r="C212" s="29" t="str">
        <x:v>Mekân</x:v>
      </x:c>
      <x:c r="D212" s="29" t="str">
        <x:v>bakersfield:yer-local-bakersfield-west-kern-oil</x:v>
      </x:c>
      <x:c r="E212" s="29" t="str">
        <x:v>Fotoğraflar/bk-fd5761a8ced14156c759f239.webp</x:v>
      </x:c>
      <x:c r="F212" s="29" t="str">
        <x:v>fd5761a8ced14156c759f23968b1eed4d96670fbad439e5791de352e5d263e48</x:v>
      </x:c>
      <x:c r="G212" s="29" t="str">
        <x:v>West Kern Oil Museum · 2009 tarihli fotoğraf</x:v>
      </x:c>
      <x:c r="H212" s="29" t="str">
        <x:v>Konrad Summers</x:v>
      </x:c>
      <x:c r="I212" s="29" t="str">
        <x:v>CC BY-SA 2.0</x:v>
      </x:c>
      <x:c r="J212" s="29" t="str">
        <x:v>https://creativecommons.org/licenses/by-sa/2.0/</x:v>
      </x:c>
      <x:c r="K212" s="29" t="str">
        <x:v>https://www.flickr.com/photos/12806074@N08/3355732310/</x:v>
      </x:c>
      <x:c r="L212" s="31" t="d">
        <x:v>2009-02-22T00:00:00.000Z</x:v>
      </x:c>
      <x:c r="M212" s="31" t="d">
        <x:v>2026-10-24T00:00:00.000Z</x:v>
      </x:c>
      <x:c r="N212" s="29" t="str">
        <x:v>EXIF yönü uygulandı; boyut küçültülüp WebP biçimine dönüştürüldü.</x:v>
      </x:c>
      <x:c r="O212" s="29" t="str">
        <x:v>bakersfield:evidence:venue-22177</x:v>
      </x:c>
      <x:c r="P212" s="29" t="str">
        <x:v>Evet</x:v>
      </x:c>
      <x:c r="Q212" s="35" t="n">
        <x:v>0</x:v>
      </x:c>
      <x:c r="R212" s="29" t="str">
        <x:v>İnceleme</x:v>
      </x:c>
      <x:c r="S212" s="36" t="n">
        <x:f>IF(OR(A212="",C212&lt;&gt;"Mekân",P212&lt;&gt;"Evet"),0,IF(COUNTIFS($F$8:F212,F212,$C$8:C212,"Mekân",$P$8:P212,"Evet")=1,1,0))</x:f>
        <x:v>1</x:v>
      </x:c>
      <x:c r="T212" s="36" t="n">
        <x:f>IF(OR(A212="",C212&lt;&gt;"Kapak",P212&lt;&gt;"Evet"),0,IF(COUNTIFS($F$8:F212,F212,$C$8:C212,"Kapak",$P$8:P212,"Evet")=1,1,0))</x:f>
        <x:v>0</x:v>
      </x:c>
    </x:row>
    <x:row r="213" ht="54" customHeight="1">
      <x:c r="A213" s="29" t="str">
        <x:v>bakersfield:photo:venue-22178</x:v>
      </x:c>
      <x:c r="B213" s="29" t="str">
        <x:v>bakersfield</x:v>
      </x:c>
      <x:c r="C213" s="29" t="str">
        <x:v>Mekân</x:v>
      </x:c>
      <x:c r="D213" s="29" t="str">
        <x:v>bakersfield:yer-local-bakersfield-west-kern-oil</x:v>
      </x:c>
      <x:c r="E213" s="29" t="str">
        <x:v>Fotoğraflar/bk-daf22eb6b89c2735a1f33511.webp</x:v>
      </x:c>
      <x:c r="F213" s="29" t="str">
        <x:v>daf22eb6b89c2735a1f3351135be75263cd3a8f607d556838b1414b607fff8d7</x:v>
      </x:c>
      <x:c r="G213" s="29" t="str">
        <x:v>West Kern Oil Museum · 2009 tarihli fotoğraf</x:v>
      </x:c>
      <x:c r="H213" s="29" t="str">
        <x:v>Konrad Summers</x:v>
      </x:c>
      <x:c r="I213" s="29" t="str">
        <x:v>CC BY-SA 2.0</x:v>
      </x:c>
      <x:c r="J213" s="29" t="str">
        <x:v>https://creativecommons.org/licenses/by-sa/2.0/</x:v>
      </x:c>
      <x:c r="K213" s="29" t="str">
        <x:v>https://www.flickr.com/photos/12806074@N08/3355729526/</x:v>
      </x:c>
      <x:c r="L213" s="31" t="d">
        <x:v>2009-02-22T00:00:00.000Z</x:v>
      </x:c>
      <x:c r="M213" s="31" t="d">
        <x:v>2026-10-24T00:00:00.000Z</x:v>
      </x:c>
      <x:c r="N213" s="29" t="str">
        <x:v>EXIF yönü uygulandı; boyut küçültülüp WebP biçimine dönüştürüldü.</x:v>
      </x:c>
      <x:c r="O213" s="29" t="str">
        <x:v>bakersfield:evidence:venue-22178</x:v>
      </x:c>
      <x:c r="P213" s="29" t="str">
        <x:v>Evet</x:v>
      </x:c>
      <x:c r="Q213" s="35" t="n">
        <x:v>1</x:v>
      </x:c>
      <x:c r="R213" s="29" t="str">
        <x:v>İnceleme</x:v>
      </x:c>
      <x:c r="S213" s="36" t="n">
        <x:f>IF(OR(A213="",C213&lt;&gt;"Mekân",P213&lt;&gt;"Evet"),0,IF(COUNTIFS($F$8:F213,F213,$C$8:C213,"Mekân",$P$8:P213,"Evet")=1,1,0))</x:f>
        <x:v>1</x:v>
      </x:c>
      <x:c r="T213" s="36" t="n">
        <x:f>IF(OR(A213="",C213&lt;&gt;"Kapak",P213&lt;&gt;"Evet"),0,IF(COUNTIFS($F$8:F213,F213,$C$8:C213,"Kapak",$P$8:P213,"Evet")=1,1,0))</x:f>
        <x:v>0</x:v>
      </x:c>
    </x:row>
    <x:row r="214" ht="54" customHeight="1">
      <x:c r="A214" s="29" t="str">
        <x:v>bakersfield:photo:venue-22179</x:v>
      </x:c>
      <x:c r="B214" s="29" t="str">
        <x:v>bakersfield</x:v>
      </x:c>
      <x:c r="C214" s="29" t="str">
        <x:v>Mekân</x:v>
      </x:c>
      <x:c r="D214" s="29" t="str">
        <x:v>bakersfield:yer-local-bakersfield-west-kern-oil</x:v>
      </x:c>
      <x:c r="E214" s="29" t="str">
        <x:v>Fotoğraflar/bk-b897c03899cfadde50a28bbc.webp</x:v>
      </x:c>
      <x:c r="F214" s="29" t="str">
        <x:v>b897c03899cfadde50a28bbce10e3a2e8afbde1d623c67155953229ca069ce6e</x:v>
      </x:c>
      <x:c r="G214" s="29" t="str">
        <x:v>West Kern Oil Museum · 2009 tarihli fotoğraf</x:v>
      </x:c>
      <x:c r="H214" s="29" t="str">
        <x:v>Konrad Summers</x:v>
      </x:c>
      <x:c r="I214" s="29" t="str">
        <x:v>CC BY-SA 2.0</x:v>
      </x:c>
      <x:c r="J214" s="29" t="str">
        <x:v>https://creativecommons.org/licenses/by-sa/2.0/</x:v>
      </x:c>
      <x:c r="K214" s="29" t="str">
        <x:v>https://www.flickr.com/photos/12806074@N08/3354903279/</x:v>
      </x:c>
      <x:c r="L214" s="31" t="d">
        <x:v>2009-02-22T00:00:00.000Z</x:v>
      </x:c>
      <x:c r="M214" s="31" t="d">
        <x:v>2026-10-24T00:00:00.000Z</x:v>
      </x:c>
      <x:c r="N214" s="29" t="str">
        <x:v>EXIF yönü uygulandı; boyut küçültülüp WebP biçimine dönüştürüldü.</x:v>
      </x:c>
      <x:c r="O214" s="29" t="str">
        <x:v>bakersfield:evidence:venue-22179</x:v>
      </x:c>
      <x:c r="P214" s="29" t="str">
        <x:v>Evet</x:v>
      </x:c>
      <x:c r="Q214" s="35" t="n">
        <x:v>2</x:v>
      </x:c>
      <x:c r="R214" s="29" t="str">
        <x:v>İnceleme</x:v>
      </x:c>
      <x:c r="S214" s="36" t="n">
        <x:f>IF(OR(A214="",C214&lt;&gt;"Mekân",P214&lt;&gt;"Evet"),0,IF(COUNTIFS($F$8:F214,F214,$C$8:C214,"Mekân",$P$8:P214,"Evet")=1,1,0))</x:f>
        <x:v>1</x:v>
      </x:c>
      <x:c r="T214" s="36" t="n">
        <x:f>IF(OR(A214="",C214&lt;&gt;"Kapak",P214&lt;&gt;"Evet"),0,IF(COUNTIFS($F$8:F214,F214,$C$8:C214,"Kapak",$P$8:P214,"Evet")=1,1,0))</x:f>
        <x:v>0</x:v>
      </x:c>
    </x:row>
    <x:row r="215" ht="54" customHeight="1">
      <x:c r="A215" s="29" t="str">
        <x:v>bakersfield:photo:venue-22180</x:v>
      </x:c>
      <x:c r="B215" s="29" t="str">
        <x:v>bakersfield</x:v>
      </x:c>
      <x:c r="C215" s="29" t="str">
        <x:v>Mekân</x:v>
      </x:c>
      <x:c r="D215" s="29" t="str">
        <x:v>bakersfield:yer-local-bakersfield-taft-fort</x:v>
      </x:c>
      <x:c r="E215" s="29" t="str">
        <x:v>Fotoğraflar/bk-e31068b70ca7879765be40fc.webp</x:v>
      </x:c>
      <x:c r="F215" s="29" t="str">
        <x:v>e31068b70ca7879765be40fc0d0123e05760f524c251610265f2e94c6fc745c6</x:v>
      </x:c>
      <x:c r="G215" s="29" t="str">
        <x:v>The Historic Fort – Taft · 2010 tarihli fotoğraf</x:v>
      </x:c>
      <x:c r="H215" s="29" t="str">
        <x:v>Bobak Ha'Eri</x:v>
      </x:c>
      <x:c r="I215" s="29" t="str">
        <x:v>CC BY 3.0</x:v>
      </x:c>
      <x:c r="J215" s="29" t="str">
        <x:v>https://creativecommons.org/licenses/by/3.0</x:v>
      </x:c>
      <x:c r="K215" s="29" t="str">
        <x:v>https://commons.wikimedia.org/wiki/File:2010-1230-Taft-TheFort.jpg</x:v>
      </x:c>
      <x:c r="L215" s="31" t="d">
        <x:v>2010-12-30T00:00:00.000Z</x:v>
      </x:c>
      <x:c r="M215" s="31" t="d">
        <x:v>2026-10-24T00:00:00.000Z</x:v>
      </x:c>
      <x:c r="N215" s="29" t="str">
        <x:v>EXIF yönü uygulandı; boyut küçültülüp WebP biçimine dönüştürüldü.</x:v>
      </x:c>
      <x:c r="O215" s="29" t="str">
        <x:v>bakersfield:evidence:venue-22180</x:v>
      </x:c>
      <x:c r="P215" s="29" t="str">
        <x:v>Evet</x:v>
      </x:c>
      <x:c r="Q215" s="35" t="n">
        <x:v>0</x:v>
      </x:c>
      <x:c r="R215" s="29" t="str">
        <x:v>İnceleme</x:v>
      </x:c>
      <x:c r="S215" s="36" t="n">
        <x:f>IF(OR(A215="",C215&lt;&gt;"Mekân",P215&lt;&gt;"Evet"),0,IF(COUNTIFS($F$8:F215,F215,$C$8:C215,"Mekân",$P$8:P215,"Evet")=1,1,0))</x:f>
        <x:v>1</x:v>
      </x:c>
      <x:c r="T215" s="36" t="n">
        <x:f>IF(OR(A215="",C215&lt;&gt;"Kapak",P215&lt;&gt;"Evet"),0,IF(COUNTIFS($F$8:F215,F215,$C$8:C215,"Kapak",$P$8:P215,"Evet")=1,1,0))</x:f>
        <x:v>0</x:v>
      </x:c>
    </x:row>
    <x:row r="216" ht="54" customHeight="1">
      <x:c r="A216" s="29" t="str">
        <x:v>bakersfield:photo:venue-22181</x:v>
      </x:c>
      <x:c r="B216" s="29" t="str">
        <x:v>bakersfield</x:v>
      </x:c>
      <x:c r="C216" s="29" t="str">
        <x:v>Mekân</x:v>
      </x:c>
      <x:c r="D216" s="29" t="str">
        <x:v>bakersfield:yer-local-bakersfield-taft-fox</x:v>
      </x:c>
      <x:c r="E216" s="29" t="str">
        <x:v>Fotoğraflar/bk-9a8100d6c9c9ba7756122ca7.webp</x:v>
      </x:c>
      <x:c r="F216" s="29" t="str">
        <x:v>9a8100d6c9c9ba7756122ca7c8f7a698a2aa636b37c11809b95881fb953f3aed</x:v>
      </x:c>
      <x:c r="G216" s="29" t="str">
        <x:v>Taft Fox Theatre · 2010 tarihli fotoğraf</x:v>
      </x:c>
      <x:c r="H216" s="29" t="str">
        <x:v>Bobak Ha'Eri</x:v>
      </x:c>
      <x:c r="I216" s="29" t="str">
        <x:v>CC BY 3.0</x:v>
      </x:c>
      <x:c r="J216" s="29" t="str">
        <x:v>https://creativecommons.org/licenses/by/3.0</x:v>
      </x:c>
      <x:c r="K216" s="29" t="str">
        <x:v>https://commons.wikimedia.org/wiki/File:2010-1230-Taft-FoxTheatre.jpg</x:v>
      </x:c>
      <x:c r="L216" s="31" t="d">
        <x:v>2010-12-30T00:00:00.000Z</x:v>
      </x:c>
      <x:c r="M216" s="31" t="d">
        <x:v>2026-10-24T00:00:00.000Z</x:v>
      </x:c>
      <x:c r="N216" s="29" t="str">
        <x:v>EXIF yönü uygulandı; boyut küçültülüp WebP biçimine dönüştürüldü.</x:v>
      </x:c>
      <x:c r="O216" s="29" t="str">
        <x:v>bakersfield:evidence:venue-22181</x:v>
      </x:c>
      <x:c r="P216" s="29" t="str">
        <x:v>Evet</x:v>
      </x:c>
      <x:c r="Q216" s="35" t="n">
        <x:v>0</x:v>
      </x:c>
      <x:c r="R216" s="29" t="str">
        <x:v>İnceleme</x:v>
      </x:c>
      <x:c r="S216" s="36" t="n">
        <x:f>IF(OR(A216="",C216&lt;&gt;"Mekân",P216&lt;&gt;"Evet"),0,IF(COUNTIFS($F$8:F216,F216,$C$8:C216,"Mekân",$P$8:P216,"Evet")=1,1,0))</x:f>
        <x:v>1</x:v>
      </x:c>
      <x:c r="T216" s="36" t="n">
        <x:f>IF(OR(A216="",C216&lt;&gt;"Kapak",P216&lt;&gt;"Evet"),0,IF(COUNTIFS($F$8:F216,F216,$C$8:C216,"Kapak",$P$8:P216,"Evet")=1,1,0))</x:f>
        <x:v>0</x:v>
      </x:c>
    </x:row>
    <x:row r="217" ht="54" customHeight="1">
      <x:c r="A217" s="29" t="str">
        <x:v>bakersfield:photo:venue-22182</x:v>
      </x:c>
      <x:c r="B217" s="29" t="str">
        <x:v>bakersfield</x:v>
      </x:c>
      <x:c r="C217" s="29" t="str">
        <x:v>Mekân</x:v>
      </x:c>
      <x:c r="D217" s="29" t="str">
        <x:v>bakersfield:yer-local-bakersfield-beekay-theatre</x:v>
      </x:c>
      <x:c r="E217" s="29" t="str">
        <x:v>Fotoğraflar/bk-3735c508ed89efc1d76a2f1f.webp</x:v>
      </x:c>
      <x:c r="F217" s="29" t="str">
        <x:v>3735c508ed89efc1d76a2f1f355acad20cbc4ebcf85ab317c77c0c124604a93c</x:v>
      </x:c>
      <x:c r="G217" s="29" t="str">
        <x:v>BeeKay Theatre · 2009 tarihli fotoğraf</x:v>
      </x:c>
      <x:c r="H217" s="29" t="str">
        <x:v>Bobak Ha'Eri</x:v>
      </x:c>
      <x:c r="I217" s="29" t="str">
        <x:v>CC BY 3.0</x:v>
      </x:c>
      <x:c r="J217" s="29" t="str">
        <x:v>https://creativecommons.org/licenses/by/3.0</x:v>
      </x:c>
      <x:c r="K217" s="29" t="str">
        <x:v>https://commons.wikimedia.org/wiki/File:2009-0726-CA-Tehachapi-Beekay.jpg</x:v>
      </x:c>
      <x:c r="L217" s="31" t="d">
        <x:v>2009-07-26T00:00:00.000Z</x:v>
      </x:c>
      <x:c r="M217" s="31" t="d">
        <x:v>2026-10-24T00:00:00.000Z</x:v>
      </x:c>
      <x:c r="N217" s="29" t="str">
        <x:v>EXIF yönü uygulandı; boyut küçültülüp WebP biçimine dönüştürüldü.</x:v>
      </x:c>
      <x:c r="O217" s="29" t="str">
        <x:v>bakersfield:evidence:venue-22182</x:v>
      </x:c>
      <x:c r="P217" s="29" t="str">
        <x:v>Evet</x:v>
      </x:c>
      <x:c r="Q217" s="35" t="n">
        <x:v>0</x:v>
      </x:c>
      <x:c r="R217" s="29" t="str">
        <x:v>İnceleme</x:v>
      </x:c>
      <x:c r="S217" s="36" t="n">
        <x:f>IF(OR(A217="",C217&lt;&gt;"Mekân",P217&lt;&gt;"Evet"),0,IF(COUNTIFS($F$8:F217,F217,$C$8:C217,"Mekân",$P$8:P217,"Evet")=1,1,0))</x:f>
        <x:v>1</x:v>
      </x:c>
      <x:c r="T217" s="36" t="n">
        <x:f>IF(OR(A217="",C217&lt;&gt;"Kapak",P217&lt;&gt;"Evet"),0,IF(COUNTIFS($F$8:F217,F217,$C$8:C217,"Kapak",$P$8:P217,"Evet")=1,1,0))</x:f>
        <x:v>0</x:v>
      </x:c>
    </x:row>
    <x:row r="218" ht="54" customHeight="1">
      <x:c r="A218" s="29" t="str">
        <x:v>bakersfield:photo:venue-22183</x:v>
      </x:c>
      <x:c r="B218" s="29" t="str">
        <x:v>bakersfield</x:v>
      </x:c>
      <x:c r="C218" s="29" t="str">
        <x:v>Mekân</x:v>
      </x:c>
      <x:c r="D218" s="29" t="str">
        <x:v>bakersfield:yer-local-bakersfield-errea-house</x:v>
      </x:c>
      <x:c r="E218" s="29" t="str">
        <x:v>Fotoğraflar/bk-f9808e4d1e4a118b99927a2a.webp</x:v>
      </x:c>
      <x:c r="F218" s="29" t="str">
        <x:v>f9808e4d1e4a118b99927a2ad5db4dd3e3bea17614e0a574a4ece1a932cafea0</x:v>
      </x:c>
      <x:c r="G218" s="29" t="str">
        <x:v>Errea House Museum · 2009 tarihli fotoğraf</x:v>
      </x:c>
      <x:c r="H218" s="29" t="str">
        <x:v>Bobak Ha'Eri</x:v>
      </x:c>
      <x:c r="I218" s="29" t="str">
        <x:v>CC BY 3.0</x:v>
      </x:c>
      <x:c r="J218" s="29" t="str">
        <x:v>https://creativecommons.org/licenses/by/3.0</x:v>
      </x:c>
      <x:c r="K218" s="29" t="str">
        <x:v>https://commons.wikimedia.org/wiki/File:2009-0726-CA-Tehachapi-ErreaHouse.jpg</x:v>
      </x:c>
      <x:c r="L218" s="31" t="d">
        <x:v>2009-07-26T00:00:00.000Z</x:v>
      </x:c>
      <x:c r="M218" s="31" t="d">
        <x:v>2026-10-24T00:00:00.000Z</x:v>
      </x:c>
      <x:c r="N218" s="29" t="str">
        <x:v>EXIF yönü uygulandı; boyut küçültülüp WebP biçimine dönüştürüldü.</x:v>
      </x:c>
      <x:c r="O218" s="29" t="str">
        <x:v>bakersfield:evidence:venue-22183</x:v>
      </x:c>
      <x:c r="P218" s="29" t="str">
        <x:v>Evet</x:v>
      </x:c>
      <x:c r="Q218" s="35" t="n">
        <x:v>0</x:v>
      </x:c>
      <x:c r="R218" s="29" t="str">
        <x:v>İnceleme</x:v>
      </x:c>
      <x:c r="S218" s="36" t="n">
        <x:f>IF(OR(A218="",C218&lt;&gt;"Mekân",P218&lt;&gt;"Evet"),0,IF(COUNTIFS($F$8:F218,F218,$C$8:C218,"Mekân",$P$8:P218,"Evet")=1,1,0))</x:f>
        <x:v>1</x:v>
      </x:c>
      <x:c r="T218" s="36" t="n">
        <x:f>IF(OR(A218="",C218&lt;&gt;"Kapak",P218&lt;&gt;"Evet"),0,IF(COUNTIFS($F$8:F218,F218,$C$8:C218,"Kapak",$P$8:P218,"Evet")=1,1,0))</x:f>
        <x:v>0</x:v>
      </x:c>
    </x:row>
    <x:row r="219" ht="54" customHeight="1">
      <x:c r="A219" s="29" t="str">
        <x:v>bakersfield:photo:venue-22184</x:v>
      </x:c>
      <x:c r="B219" s="29" t="str">
        <x:v>bakersfield</x:v>
      </x:c>
      <x:c r="C219" s="29" t="str">
        <x:v>Mekân</x:v>
      </x:c>
      <x:c r="D219" s="29" t="str">
        <x:v>bakersfield:yer-local-bakersfield-tehachapi-loop</x:v>
      </x:c>
      <x:c r="E219" s="29" t="str">
        <x:v>Fotoğraflar/bk-9686ca28350d2abefa298c8a.webp</x:v>
      </x:c>
      <x:c r="F219" s="29" t="str">
        <x:v>9686ca28350d2abefa298c8ad5961dfcb44ad0f2cf33d2bef0069f6c8cca5c53</x:v>
      </x:c>
      <x:c r="G219" s="29" t="str">
        <x:v>Tehachapi Loop · 2015 tarihli fotoğraf</x:v>
      </x:c>
      <x:c r="H219" s="29" t="str">
        <x:v>David Brossard</x:v>
      </x:c>
      <x:c r="I219" s="29" t="str">
        <x:v>CC BY-SA 2.0</x:v>
      </x:c>
      <x:c r="J219" s="29" t="str">
        <x:v>https://creativecommons.org/licenses/by-sa/2.0</x:v>
      </x:c>
      <x:c r="K219" s="29" t="str">
        <x:v>https://commons.wikimedia.org/wiki/File:Going_Down_Tehachapi_Loop.jpg</x:v>
      </x:c>
      <x:c r="L219" s="31"/>
      <x:c r="M219" s="31" t="d">
        <x:v>2026-10-24T00:00:00.000Z</x:v>
      </x:c>
      <x:c r="N219" s="29" t="str">
        <x:v>EXIF yönü uygulandı; boyut küçültülüp WebP biçimine dönüştürüldü.</x:v>
      </x:c>
      <x:c r="O219" s="29" t="str">
        <x:v>bakersfield:evidence:venue-22184</x:v>
      </x:c>
      <x:c r="P219" s="29" t="str">
        <x:v>Evet</x:v>
      </x:c>
      <x:c r="Q219" s="35" t="n">
        <x:v>0</x:v>
      </x:c>
      <x:c r="R219" s="29" t="str">
        <x:v>İnceleme</x:v>
      </x:c>
      <x:c r="S219" s="36" t="n">
        <x:f>IF(OR(A219="",C219&lt;&gt;"Mekân",P219&lt;&gt;"Evet"),0,IF(COUNTIFS($F$8:F219,F219,$C$8:C219,"Mekân",$P$8:P219,"Evet")=1,1,0))</x:f>
        <x:v>1</x:v>
      </x:c>
      <x:c r="T219" s="36" t="n">
        <x:f>IF(OR(A219="",C219&lt;&gt;"Kapak",P219&lt;&gt;"Evet"),0,IF(COUNTIFS($F$8:F219,F219,$C$8:C219,"Kapak",$P$8:P219,"Evet")=1,1,0))</x:f>
        <x:v>0</x:v>
      </x:c>
    </x:row>
    <x:row r="220" ht="54" customHeight="1">
      <x:c r="A220" s="29" t="str">
        <x:v>bakersfield:photo:venue-22185</x:v>
      </x:c>
      <x:c r="B220" s="29" t="str">
        <x:v>bakersfield</x:v>
      </x:c>
      <x:c r="C220" s="29" t="str">
        <x:v>Mekân</x:v>
      </x:c>
      <x:c r="D220" s="29" t="str">
        <x:v>bakersfield:yer-local-bakersfield-tehachapi-loop</x:v>
      </x:c>
      <x:c r="E220" s="29" t="str">
        <x:v>Fotoğraflar/bk-3537920457ed87af4495ed77.webp</x:v>
      </x:c>
      <x:c r="F220" s="29" t="str">
        <x:v>3537920457ed87af4495ed774fb75e6b5b97554d56d8981c364198b1382e1702</x:v>
      </x:c>
      <x:c r="G220" s="29" t="str">
        <x:v>Tehachapi Loop · 2003 tarihli fotoğraf</x:v>
      </x:c>
      <x:c r="H220" s="29" t="str">
        <x:v>Greg Hewgill</x:v>
      </x:c>
      <x:c r="I220" s="29" t="str">
        <x:v>CC BY 2.0</x:v>
      </x:c>
      <x:c r="J220" s="29" t="str">
        <x:v>https://creativecommons.org/licenses/by/2.0/</x:v>
      </x:c>
      <x:c r="K220" s="29" t="str">
        <x:v>https://www.flickr.com/photos/28923985@N00/132226219/</x:v>
      </x:c>
      <x:c r="L220" s="31" t="d">
        <x:v>2003-06-29T00:00:00.000Z</x:v>
      </x:c>
      <x:c r="M220" s="31" t="d">
        <x:v>2026-10-24T00:00:00.000Z</x:v>
      </x:c>
      <x:c r="N220" s="29" t="str">
        <x:v>EXIF yönü uygulandı; boyut küçültülüp WebP biçimine dönüştürüldü.</x:v>
      </x:c>
      <x:c r="O220" s="29" t="str">
        <x:v>bakersfield:evidence:venue-22185</x:v>
      </x:c>
      <x:c r="P220" s="29" t="str">
        <x:v>Evet</x:v>
      </x:c>
      <x:c r="Q220" s="35" t="n">
        <x:v>1</x:v>
      </x:c>
      <x:c r="R220" s="29" t="str">
        <x:v>İnceleme</x:v>
      </x:c>
      <x:c r="S220" s="36" t="n">
        <x:f>IF(OR(A220="",C220&lt;&gt;"Mekân",P220&lt;&gt;"Evet"),0,IF(COUNTIFS($F$8:F220,F220,$C$8:C220,"Mekân",$P$8:P220,"Evet")=1,1,0))</x:f>
        <x:v>1</x:v>
      </x:c>
      <x:c r="T220" s="36" t="n">
        <x:f>IF(OR(A220="",C220&lt;&gt;"Kapak",P220&lt;&gt;"Evet"),0,IF(COUNTIFS($F$8:F220,F220,$C$8:C220,"Kapak",$P$8:P220,"Evet")=1,1,0))</x:f>
        <x:v>0</x:v>
      </x:c>
    </x:row>
    <x:row r="221" ht="54" customHeight="1">
      <x:c r="A221" s="29" t="str">
        <x:v>bakersfield:photo:venue-22186</x:v>
      </x:c>
      <x:c r="B221" s="29" t="str">
        <x:v>bakersfield</x:v>
      </x:c>
      <x:c r="C221" s="29" t="str">
        <x:v>Mekân</x:v>
      </x:c>
      <x:c r="D221" s="29" t="str">
        <x:v>bakersfield:yer-local-bakersfield-tehachapi-loop</x:v>
      </x:c>
      <x:c r="E221" s="29" t="str">
        <x:v>Fotoğraflar/bk-e41d838477d99f9f329e1f22.webp</x:v>
      </x:c>
      <x:c r="F221" s="29" t="str">
        <x:v>e41d838477d99f9f329e1f228897234bb207a1d39b81fde53afc8d96980666b6</x:v>
      </x:c>
      <x:c r="G221" s="29" t="str">
        <x:v>Tehachapi Loop · 2024 tarihli fotoğraf</x:v>
      </x:c>
      <x:c r="H221" s="29" t="str">
        <x:v>David Brossard</x:v>
      </x:c>
      <x:c r="I221" s="29" t="str">
        <x:v>CC BY-SA 2.0</x:v>
      </x:c>
      <x:c r="J221" s="29" t="str">
        <x:v>https://creativecommons.org/licenses/by-sa/2.0/</x:v>
      </x:c>
      <x:c r="K221" s="29" t="str">
        <x:v>https://www.flickr.com/photos/16069488@N00/53796857552/</x:v>
      </x:c>
      <x:c r="L221" s="31" t="d">
        <x:v>2024-04-02T00:00:00.000Z</x:v>
      </x:c>
      <x:c r="M221" s="31" t="d">
        <x:v>2026-10-24T00:00:00.000Z</x:v>
      </x:c>
      <x:c r="N221" s="29" t="str">
        <x:v>EXIF yönü uygulandı; boyut küçültülüp WebP biçimine dönüştürüldü.</x:v>
      </x:c>
      <x:c r="O221" s="29" t="str">
        <x:v>bakersfield:evidence:venue-22186</x:v>
      </x:c>
      <x:c r="P221" s="29" t="str">
        <x:v>Evet</x:v>
      </x:c>
      <x:c r="Q221" s="35" t="n">
        <x:v>2</x:v>
      </x:c>
      <x:c r="R221" s="29" t="str">
        <x:v>İnceleme</x:v>
      </x:c>
      <x:c r="S221" s="36" t="n">
        <x:f>IF(OR(A221="",C221&lt;&gt;"Mekân",P221&lt;&gt;"Evet"),0,IF(COUNTIFS($F$8:F221,F221,$C$8:C221,"Mekân",$P$8:P221,"Evet")=1,1,0))</x:f>
        <x:v>1</x:v>
      </x:c>
      <x:c r="T221" s="36" t="n">
        <x:f>IF(OR(A221="",C221&lt;&gt;"Kapak",P221&lt;&gt;"Evet"),0,IF(COUNTIFS($F$8:F221,F221,$C$8:C221,"Kapak",$P$8:P221,"Evet")=1,1,0))</x:f>
        <x:v>0</x:v>
      </x:c>
    </x:row>
    <x:row r="222" ht="54" customHeight="1">
      <x:c r="A222" s="29" t="str">
        <x:v>bakersfield:photo:venue-22187</x:v>
      </x:c>
      <x:c r="B222" s="29" t="str">
        <x:v>bakersfield</x:v>
      </x:c>
      <x:c r="C222" s="29" t="str">
        <x:v>Mekân</x:v>
      </x:c>
      <x:c r="D222" s="29" t="str">
        <x:v>bakersfield:yer-local-bakersfield-tehachapi-loop</x:v>
      </x:c>
      <x:c r="E222" s="29" t="str">
        <x:v>Fotoğraflar/bk-04521a733c27bb9846718032.webp</x:v>
      </x:c>
      <x:c r="F222" s="29" t="str">
        <x:v>04521a733c27bb9846718032862f6559057a5c14ca24a7df1c3213793e125797</x:v>
      </x:c>
      <x:c r="G222" s="29" t="str">
        <x:v>Tehachapi Loop · 2024 tarihli fotoğraf</x:v>
      </x:c>
      <x:c r="H222" s="29" t="str">
        <x:v>Clay Gilliland</x:v>
      </x:c>
      <x:c r="I222" s="29" t="str">
        <x:v>CC BY-SA 2.0</x:v>
      </x:c>
      <x:c r="J222" s="29" t="str">
        <x:v>https://creativecommons.org/licenses/by-sa/2.0/</x:v>
      </x:c>
      <x:c r="K222" s="29" t="str">
        <x:v>https://www.flickr.com/photos/26781577@N07/53903714627/</x:v>
      </x:c>
      <x:c r="L222" s="31" t="d">
        <x:v>2024-06-11T00:00:00.000Z</x:v>
      </x:c>
      <x:c r="M222" s="31" t="d">
        <x:v>2026-10-24T00:00:00.000Z</x:v>
      </x:c>
      <x:c r="N222" s="29" t="str">
        <x:v>EXIF yönü uygulandı; boyut küçültülüp WebP biçimine dönüştürüldü.</x:v>
      </x:c>
      <x:c r="O222" s="29" t="str">
        <x:v>bakersfield:evidence:venue-22187</x:v>
      </x:c>
      <x:c r="P222" s="29" t="str">
        <x:v>Evet</x:v>
      </x:c>
      <x:c r="Q222" s="35" t="n">
        <x:v>3</x:v>
      </x:c>
      <x:c r="R222" s="29" t="str">
        <x:v>İnceleme</x:v>
      </x:c>
      <x:c r="S222" s="36" t="n">
        <x:f>IF(OR(A222="",C222&lt;&gt;"Mekân",P222&lt;&gt;"Evet"),0,IF(COUNTIFS($F$8:F222,F222,$C$8:C222,"Mekân",$P$8:P222,"Evet")=1,1,0))</x:f>
        <x:v>1</x:v>
      </x:c>
      <x:c r="T222" s="36" t="n">
        <x:f>IF(OR(A222="",C222&lt;&gt;"Kapak",P222&lt;&gt;"Evet"),0,IF(COUNTIFS($F$8:F222,F222,$C$8:C222,"Kapak",$P$8:P222,"Evet")=1,1,0))</x:f>
        <x:v>0</x:v>
      </x:c>
    </x:row>
    <x:row r="223" ht="54" customHeight="1">
      <x:c r="A223" s="29" t="str">
        <x:v>bakersfield:photo:venue-22188</x:v>
      </x:c>
      <x:c r="B223" s="29" t="str">
        <x:v>bakersfield</x:v>
      </x:c>
      <x:c r="C223" s="29" t="str">
        <x:v>Mekân</x:v>
      </x:c>
      <x:c r="D223" s="29" t="str">
        <x:v>bakersfield:yer-local-bakersfield-tehachapi-loop</x:v>
      </x:c>
      <x:c r="E223" s="29" t="str">
        <x:v>Fotoğraflar/bk-69aef49910a7efe96ccd92e0.webp</x:v>
      </x:c>
      <x:c r="F223" s="29" t="str">
        <x:v>69aef49910a7efe96ccd92e0618f46d384a0df0a1b8883e1714feb5f9bc40862</x:v>
      </x:c>
      <x:c r="G223" s="29" t="str">
        <x:v>Tehachapi Loop · 2024 tarihli fotoğraf</x:v>
      </x:c>
      <x:c r="H223" s="29" t="str">
        <x:v>Clay Gilliland</x:v>
      </x:c>
      <x:c r="I223" s="29" t="str">
        <x:v>CC BY-SA 2.0</x:v>
      </x:c>
      <x:c r="J223" s="29" t="str">
        <x:v>https://creativecommons.org/licenses/by-sa/2.0/</x:v>
      </x:c>
      <x:c r="K223" s="29" t="str">
        <x:v>https://www.flickr.com/photos/26781577@N07/53904975859/</x:v>
      </x:c>
      <x:c r="L223" s="31" t="d">
        <x:v>2024-06-11T00:00:00.000Z</x:v>
      </x:c>
      <x:c r="M223" s="31" t="d">
        <x:v>2026-10-24T00:00:00.000Z</x:v>
      </x:c>
      <x:c r="N223" s="29" t="str">
        <x:v>EXIF yönü uygulandı; boyut küçültülüp WebP biçimine dönüştürüldü.</x:v>
      </x:c>
      <x:c r="O223" s="29" t="str">
        <x:v>bakersfield:evidence:venue-22188</x:v>
      </x:c>
      <x:c r="P223" s="29" t="str">
        <x:v>Evet</x:v>
      </x:c>
      <x:c r="Q223" s="35" t="n">
        <x:v>4</x:v>
      </x:c>
      <x:c r="R223" s="29" t="str">
        <x:v>İnceleme</x:v>
      </x:c>
      <x:c r="S223" s="36" t="n">
        <x:f>IF(OR(A223="",C223&lt;&gt;"Mekân",P223&lt;&gt;"Evet"),0,IF(COUNTIFS($F$8:F223,F223,$C$8:C223,"Mekân",$P$8:P223,"Evet")=1,1,0))</x:f>
        <x:v>1</x:v>
      </x:c>
      <x:c r="T223" s="36" t="n">
        <x:f>IF(OR(A223="",C223&lt;&gt;"Kapak",P223&lt;&gt;"Evet"),0,IF(COUNTIFS($F$8:F223,F223,$C$8:C223,"Kapak",$P$8:P223,"Evet")=1,1,0))</x:f>
        <x:v>0</x:v>
      </x:c>
    </x:row>
    <x:row r="224" ht="54" customHeight="1">
      <x:c r="A224" s="29" t="str">
        <x:v>bakersfield:photo:venue-22189</x:v>
      </x:c>
      <x:c r="B224" s="29" t="str">
        <x:v>bakersfield</x:v>
      </x:c>
      <x:c r="C224" s="29" t="str">
        <x:v>Mekân</x:v>
      </x:c>
      <x:c r="D224" s="29" t="str">
        <x:v>bakersfield:yer-local-bakersfield-tehachapi-loop</x:v>
      </x:c>
      <x:c r="E224" s="29" t="str">
        <x:v>Fotoğraflar/bk-b76490898e2af59d605f93c7.webp</x:v>
      </x:c>
      <x:c r="F224" s="29" t="str">
        <x:v>b76490898e2af59d605f93c7288b49cd4a1b9a56581aa00f195a4293babd4040</x:v>
      </x:c>
      <x:c r="G224" s="29" t="str">
        <x:v>Tehachapi Loop</x:v>
      </x:c>
      <x:c r="H224" s="29" t="str">
        <x:v>orionpozo</x:v>
      </x:c>
      <x:c r="I224" s="29" t="str">
        <x:v>CC BY 2.0</x:v>
      </x:c>
      <x:c r="J224" s="29" t="str">
        <x:v>https://creativecommons.org/licenses/by/2.0/</x:v>
      </x:c>
      <x:c r="K224" s="29" t="str">
        <x:v>https://www.flickr.com/photos/65168863@N00/28098722463/</x:v>
      </x:c>
      <x:c r="L224" s="31"/>
      <x:c r="M224" s="31" t="d">
        <x:v>2026-10-24T00:00:00.000Z</x:v>
      </x:c>
      <x:c r="N224" s="29" t="str">
        <x:v>EXIF yönü uygulandı; boyut küçültülüp WebP biçimine dönüştürüldü.</x:v>
      </x:c>
      <x:c r="O224" s="29" t="str">
        <x:v>bakersfield:evidence:venue-22189</x:v>
      </x:c>
      <x:c r="P224" s="29" t="str">
        <x:v>Evet</x:v>
      </x:c>
      <x:c r="Q224" s="35" t="n">
        <x:v>5</x:v>
      </x:c>
      <x:c r="R224" s="29" t="str">
        <x:v>İnceleme</x:v>
      </x:c>
      <x:c r="S224" s="36" t="n">
        <x:f>IF(OR(A224="",C224&lt;&gt;"Mekân",P224&lt;&gt;"Evet"),0,IF(COUNTIFS($F$8:F224,F224,$C$8:C224,"Mekân",$P$8:P224,"Evet")=1,1,0))</x:f>
        <x:v>1</x:v>
      </x:c>
      <x:c r="T224" s="36" t="n">
        <x:f>IF(OR(A224="",C224&lt;&gt;"Kapak",P224&lt;&gt;"Evet"),0,IF(COUNTIFS($F$8:F224,F224,$C$8:C224,"Kapak",$P$8:P224,"Evet")=1,1,0))</x:f>
        <x:v>0</x:v>
      </x:c>
    </x:row>
    <x:row r="225" ht="54" customHeight="1">
      <x:c r="A225" s="29" t="str">
        <x:v>bakersfield:photo:venue-22190</x:v>
      </x:c>
      <x:c r="B225" s="29" t="str">
        <x:v>bakersfield</x:v>
      </x:c>
      <x:c r="C225" s="29" t="str">
        <x:v>Mekân</x:v>
      </x:c>
      <x:c r="D225" s="29" t="str">
        <x:v>bakersfield:yer-local-bakersfield-lake-isabella</x:v>
      </x:c>
      <x:c r="E225" s="29" t="str">
        <x:v>Fotoğraflar/bk-d35d7de91296d82ac53f3593.webp</x:v>
      </x:c>
      <x:c r="F225" s="29" t="str">
        <x:v>d35d7de91296d82ac53f3593c0facb50b76f29265f54bba857b9fc77f555994d</x:v>
      </x:c>
      <x:c r="G225" s="29" t="str">
        <x:v>Lake Isabella · Take tarihli fotoğraf</x:v>
      </x:c>
      <x:c r="H225" s="29" t="str">
        <x:v>Bobak Ha'Eri (talk · contribs)</x:v>
      </x:c>
      <x:c r="I225" s="29" t="str">
        <x:v>CC BY-SA 2.5</x:v>
      </x:c>
      <x:c r="J225" s="29" t="str">
        <x:v>https://creativecommons.org/licenses/by-sa/2.5</x:v>
      </x:c>
      <x:c r="K225" s="29" t="str">
        <x:v>https://commons.wikimedia.org/wiki/File:01-2007-LakeIsabella-SE-fork.jpg</x:v>
      </x:c>
      <x:c r="L225" s="31"/>
      <x:c r="M225" s="31" t="d">
        <x:v>2026-10-24T00:00:00.000Z</x:v>
      </x:c>
      <x:c r="N225" s="29" t="str">
        <x:v>EXIF yönü uygulandı; boyut küçültülüp WebP biçimine dönüştürüldü.</x:v>
      </x:c>
      <x:c r="O225" s="29" t="str">
        <x:v>bakersfield:evidence:venue-22190</x:v>
      </x:c>
      <x:c r="P225" s="29" t="str">
        <x:v>Evet</x:v>
      </x:c>
      <x:c r="Q225" s="35" t="n">
        <x:v>0</x:v>
      </x:c>
      <x:c r="R225" s="29" t="str">
        <x:v>İnceleme</x:v>
      </x:c>
      <x:c r="S225" s="36" t="n">
        <x:f>IF(OR(A225="",C225&lt;&gt;"Mekân",P225&lt;&gt;"Evet"),0,IF(COUNTIFS($F$8:F225,F225,$C$8:C225,"Mekân",$P$8:P225,"Evet")=1,1,0))</x:f>
        <x:v>1</x:v>
      </x:c>
      <x:c r="T225" s="36" t="n">
        <x:f>IF(OR(A225="",C225&lt;&gt;"Kapak",P225&lt;&gt;"Evet"),0,IF(COUNTIFS($F$8:F225,F225,$C$8:C225,"Kapak",$P$8:P225,"Evet")=1,1,0))</x:f>
        <x:v>0</x:v>
      </x:c>
    </x:row>
    <x:row r="226" ht="54" customHeight="1">
      <x:c r="A226" s="29" t="str">
        <x:v>bakersfield:photo:venue-22191</x:v>
      </x:c>
      <x:c r="B226" s="29" t="str">
        <x:v>bakersfield</x:v>
      </x:c>
      <x:c r="C226" s="29" t="str">
        <x:v>Mekân</x:v>
      </x:c>
      <x:c r="D226" s="29" t="str">
        <x:v>bakersfield:yer-local-bakersfield-lake-isabella</x:v>
      </x:c>
      <x:c r="E226" s="29" t="str">
        <x:v>Fotoğraflar/bk-944349b3f09f05aa191f44ab.webp</x:v>
      </x:c>
      <x:c r="F226" s="29" t="str">
        <x:v>944349b3f09f05aa191f44abce9cb345655d20572ae25a0e490af3fb47a51fa8</x:v>
      </x:c>
      <x:c r="G226" s="29" t="str">
        <x:v>Lake Isabella · 2007 tarihli fotoğraf</x:v>
      </x:c>
      <x:c r="H226" s="29" t="str">
        <x:v>Bobak Ha'Eri</x:v>
      </x:c>
      <x:c r="I226" s="29" t="str">
        <x:v>CC BY-SA 2.5</x:v>
      </x:c>
      <x:c r="J226" s="29" t="str">
        <x:v>https://creativecommons.org/licenses/by-sa/2.5</x:v>
      </x:c>
      <x:c r="K226" s="29" t="str">
        <x:v>https://commons.wikimedia.org/wiki/File:01-2007-LakeIsabella-South.jpg</x:v>
      </x:c>
      <x:c r="L226" s="31" t="d">
        <x:v>2007-01-05T00:00:00.000Z</x:v>
      </x:c>
      <x:c r="M226" s="31" t="d">
        <x:v>2026-10-24T00:00:00.000Z</x:v>
      </x:c>
      <x:c r="N226" s="29" t="str">
        <x:v>EXIF yönü uygulandı; boyut küçültülüp WebP biçimine dönüştürüldü.</x:v>
      </x:c>
      <x:c r="O226" s="29" t="str">
        <x:v>bakersfield:evidence:venue-22191</x:v>
      </x:c>
      <x:c r="P226" s="29" t="str">
        <x:v>Evet</x:v>
      </x:c>
      <x:c r="Q226" s="35" t="n">
        <x:v>1</x:v>
      </x:c>
      <x:c r="R226" s="29" t="str">
        <x:v>İnceleme</x:v>
      </x:c>
      <x:c r="S226" s="36" t="n">
        <x:f>IF(OR(A226="",C226&lt;&gt;"Mekân",P226&lt;&gt;"Evet"),0,IF(COUNTIFS($F$8:F226,F226,$C$8:C226,"Mekân",$P$8:P226,"Evet")=1,1,0))</x:f>
        <x:v>1</x:v>
      </x:c>
      <x:c r="T226" s="36" t="n">
        <x:f>IF(OR(A226="",C226&lt;&gt;"Kapak",P226&lt;&gt;"Evet"),0,IF(COUNTIFS($F$8:F226,F226,$C$8:C226,"Kapak",$P$8:P226,"Evet")=1,1,0))</x:f>
        <x:v>0</x:v>
      </x:c>
    </x:row>
    <x:row r="227" ht="54" customHeight="1">
      <x:c r="A227" s="29" t="str">
        <x:v>bakersfield:photo:venue-22192</x:v>
      </x:c>
      <x:c r="B227" s="29" t="str">
        <x:v>bakersfield</x:v>
      </x:c>
      <x:c r="C227" s="29" t="str">
        <x:v>Mekân</x:v>
      </x:c>
      <x:c r="D227" s="29" t="str">
        <x:v>bakersfield:yer-local-bakersfield-lake-isabella</x:v>
      </x:c>
      <x:c r="E227" s="29" t="str">
        <x:v>Fotoğraflar/bk-e11e01016ae75e5a7f6ae4e2.webp</x:v>
      </x:c>
      <x:c r="F227" s="29" t="str">
        <x:v>e11e01016ae75e5a7f6ae4e219a55c683306caf2406341c80c14e23e79ccf43e</x:v>
      </x:c>
      <x:c r="G227" s="29" t="str">
        <x:v>Lake Isabella · 2016 tarihli fotoğraf</x:v>
      </x:c>
      <x:c r="H227" s="29" t="str">
        <x:v>Joshuahudnall</x:v>
      </x:c>
      <x:c r="I227" s="29" t="str">
        <x:v>CC BY-SA 4.0</x:v>
      </x:c>
      <x:c r="J227" s="29" t="str">
        <x:v>https://creativecommons.org/licenses/by-sa/4.0</x:v>
      </x:c>
      <x:c r="K227" s="29" t="str">
        <x:v>https://commons.wikimedia.org/wiki/File:Aerial_View_Isabella_Dam.jpg</x:v>
      </x:c>
      <x:c r="L227" s="31" t="d">
        <x:v>2016-04-01T00:00:00.000Z</x:v>
      </x:c>
      <x:c r="M227" s="31" t="d">
        <x:v>2026-10-24T00:00:00.000Z</x:v>
      </x:c>
      <x:c r="N227" s="29" t="str">
        <x:v>EXIF yönü uygulandı; boyut küçültülüp WebP biçimine dönüştürüldü.</x:v>
      </x:c>
      <x:c r="O227" s="29" t="str">
        <x:v>bakersfield:evidence:venue-22192</x:v>
      </x:c>
      <x:c r="P227" s="29" t="str">
        <x:v>Evet</x:v>
      </x:c>
      <x:c r="Q227" s="35" t="n">
        <x:v>2</x:v>
      </x:c>
      <x:c r="R227" s="29" t="str">
        <x:v>İnceleme</x:v>
      </x:c>
      <x:c r="S227" s="36" t="n">
        <x:f>IF(OR(A227="",C227&lt;&gt;"Mekân",P227&lt;&gt;"Evet"),0,IF(COUNTIFS($F$8:F227,F227,$C$8:C227,"Mekân",$P$8:P227,"Evet")=1,1,0))</x:f>
        <x:v>1</x:v>
      </x:c>
      <x:c r="T227" s="36" t="n">
        <x:f>IF(OR(A227="",C227&lt;&gt;"Kapak",P227&lt;&gt;"Evet"),0,IF(COUNTIFS($F$8:F227,F227,$C$8:C227,"Kapak",$P$8:P227,"Evet")=1,1,0))</x:f>
        <x:v>0</x:v>
      </x:c>
    </x:row>
    <x:row r="228" ht="54" customHeight="1">
      <x:c r="A228" s="29" t="str">
        <x:v>bakersfield:photo:venue-22193</x:v>
      </x:c>
      <x:c r="B228" s="29" t="str">
        <x:v>bakersfield</x:v>
      </x:c>
      <x:c r="C228" s="29" t="str">
        <x:v>Mekân</x:v>
      </x:c>
      <x:c r="D228" s="29" t="str">
        <x:v>bakersfield:yer-local-bakersfield-lake-isabella</x:v>
      </x:c>
      <x:c r="E228" s="29" t="str">
        <x:v>Fotoğraflar/bk-e179289924248171ab2a4f02.webp</x:v>
      </x:c>
      <x:c r="F228" s="29" t="str">
        <x:v>e179289924248171ab2a4f02f98635da6c1bd697b0c11ee09cbf7534ac9bfd34</x:v>
      </x:c>
      <x:c r="G228" s="29" t="str">
        <x:v>Lake Isabella · 2018 tarihli fotoğraf</x:v>
      </x:c>
      <x:c r="H228" s="29" t="str">
        <x:v>Gillfoto</x:v>
      </x:c>
      <x:c r="I228" s="29" t="str">
        <x:v>CC BY-SA 4.0</x:v>
      </x:c>
      <x:c r="J228" s="29" t="str">
        <x:v>https://creativecommons.org/licenses/by-sa/4.0</x:v>
      </x:c>
      <x:c r="K228" s="29" t="str">
        <x:v>https://commons.wikimedia.org/wiki/File:Lake_Isabella_5965.jpg</x:v>
      </x:c>
      <x:c r="L228" s="31"/>
      <x:c r="M228" s="31" t="d">
        <x:v>2026-10-24T00:00:00.000Z</x:v>
      </x:c>
      <x:c r="N228" s="29" t="str">
        <x:v>EXIF yönü uygulandı; boyut küçültülüp WebP biçimine dönüştürüldü.</x:v>
      </x:c>
      <x:c r="O228" s="29" t="str">
        <x:v>bakersfield:evidence:venue-22193</x:v>
      </x:c>
      <x:c r="P228" s="29" t="str">
        <x:v>Evet</x:v>
      </x:c>
      <x:c r="Q228" s="35" t="n">
        <x:v>3</x:v>
      </x:c>
      <x:c r="R228" s="29" t="str">
        <x:v>İnceleme</x:v>
      </x:c>
      <x:c r="S228" s="36" t="n">
        <x:f>IF(OR(A228="",C228&lt;&gt;"Mekân",P228&lt;&gt;"Evet"),0,IF(COUNTIFS($F$8:F228,F228,$C$8:C228,"Mekân",$P$8:P228,"Evet")=1,1,0))</x:f>
        <x:v>1</x:v>
      </x:c>
      <x:c r="T228" s="36" t="n">
        <x:f>IF(OR(A228="",C228&lt;&gt;"Kapak",P228&lt;&gt;"Evet"),0,IF(COUNTIFS($F$8:F228,F228,$C$8:C228,"Kapak",$P$8:P228,"Evet")=1,1,0))</x:f>
        <x:v>0</x:v>
      </x:c>
    </x:row>
    <x:row r="229" ht="54" customHeight="1">
      <x:c r="A229" s="29" t="str">
        <x:v>bakersfield:photo:venue-22194</x:v>
      </x:c>
      <x:c r="B229" s="29" t="str">
        <x:v>bakersfield</x:v>
      </x:c>
      <x:c r="C229" s="29" t="str">
        <x:v>Mekân</x:v>
      </x:c>
      <x:c r="D229" s="29" t="str">
        <x:v>bakersfield:yer-local-bakersfield-kernville-riverside</x:v>
      </x:c>
      <x:c r="E229" s="29" t="str">
        <x:v>Fotoğraflar/bk-986c1cda0f92c6f55a17d5c6.webp</x:v>
      </x:c>
      <x:c r="F229" s="29" t="str">
        <x:v>986c1cda0f92c6f55a17d5c67827ef11e60fcab1fc459bd14b69f5968421441e</x:v>
      </x:c>
      <x:c r="G229" s="29" t="str">
        <x:v>Riverside Park, Kernville · nehir kıyısı panoraması · Take</x:v>
      </x:c>
      <x:c r="H229" s="29" t="str">
        <x:v>bahniuk</x:v>
      </x:c>
      <x:c r="I229" s="29" t="str">
        <x:v>CC BY 3.0</x:v>
      </x:c>
      <x:c r="J229" s="29" t="str">
        <x:v>https://creativecommons.org/licenses/by/3.0</x:v>
      </x:c>
      <x:c r="K229" s="29" t="str">
        <x:v>https://commons.wikimedia.org/wiki/File:Kernville_Park_Panoramic_-_panoramio.jpg</x:v>
      </x:c>
      <x:c r="L229" s="31"/>
      <x:c r="M229" s="31" t="d">
        <x:v>2026-10-24T00:00:00.000Z</x:v>
      </x:c>
      <x:c r="N229" s="29" t="str">
        <x:v>EXIF yönü uygulandı; boyut küçültülüp WebP biçimine dönüştürüldü.</x:v>
      </x:c>
      <x:c r="O229" s="29" t="str">
        <x:v>bakersfield:evidence:venue-22194</x:v>
      </x:c>
      <x:c r="P229" s="29" t="str">
        <x:v>Evet</x:v>
      </x:c>
      <x:c r="Q229" s="35" t="n">
        <x:v>0</x:v>
      </x:c>
      <x:c r="R229" s="29" t="str">
        <x:v>İnceleme</x:v>
      </x:c>
      <x:c r="S229" s="36" t="n">
        <x:f>IF(OR(A229="",C229&lt;&gt;"Mekân",P229&lt;&gt;"Evet"),0,IF(COUNTIFS($F$8:F229,F229,$C$8:C229,"Mekân",$P$8:P229,"Evet")=1,1,0))</x:f>
        <x:v>1</x:v>
      </x:c>
      <x:c r="T229" s="36" t="n">
        <x:f>IF(OR(A229="",C229&lt;&gt;"Kapak",P229&lt;&gt;"Evet"),0,IF(COUNTIFS($F$8:F229,F229,$C$8:C229,"Kapak",$P$8:P229,"Evet")=1,1,0))</x:f>
        <x:v>0</x:v>
      </x:c>
    </x:row>
    <x:row r="230" ht="54" customHeight="1">
      <x:c r="A230" s="29" t="str">
        <x:v>bakersfield:photo:venue-22195</x:v>
      </x:c>
      <x:c r="B230" s="29" t="str">
        <x:v>bakersfield</x:v>
      </x:c>
      <x:c r="C230" s="29" t="str">
        <x:v>Mekân</x:v>
      </x:c>
      <x:c r="D230" s="29" t="str">
        <x:v>bakersfield:yer-local-bakersfield-silver-city</x:v>
      </x:c>
      <x:c r="E230" s="29" t="str">
        <x:v>Fotoğraflar/bk-7bd882b6c78c706e799147ea.webp</x:v>
      </x:c>
      <x:c r="F230" s="29" t="str">
        <x:v>7bd882b6c78c706e799147eab0d6e83347c05182a13da773faccb9c817788b88</x:v>
      </x:c>
      <x:c r="G230" s="29" t="str">
        <x:v>Silver City Ghost Town · 2018 tarihli fotoğraf</x:v>
      </x:c>
      <x:c r="H230" s="29" t="str">
        <x:v>Gillfoto</x:v>
      </x:c>
      <x:c r="I230" s="29" t="str">
        <x:v>CC BY-SA 4.0</x:v>
      </x:c>
      <x:c r="J230" s="29" t="str">
        <x:v>https://creativecommons.org/licenses/by-sa/4.0</x:v>
      </x:c>
      <x:c r="K230" s="29" t="str">
        <x:v>https://commons.wikimedia.org/wiki/File:Silver_City_Ghost_Town_5984.jpg</x:v>
      </x:c>
      <x:c r="L230" s="31"/>
      <x:c r="M230" s="31" t="d">
        <x:v>2026-10-24T00:00:00.000Z</x:v>
      </x:c>
      <x:c r="N230" s="29" t="str">
        <x:v>EXIF yönü uygulandı; boyut küçültülüp WebP biçimine dönüştürüldü.</x:v>
      </x:c>
      <x:c r="O230" s="29" t="str">
        <x:v>bakersfield:evidence:venue-22195</x:v>
      </x:c>
      <x:c r="P230" s="29" t="str">
        <x:v>Evet</x:v>
      </x:c>
      <x:c r="Q230" s="35" t="n">
        <x:v>0</x:v>
      </x:c>
      <x:c r="R230" s="29" t="str">
        <x:v>İnceleme</x:v>
      </x:c>
      <x:c r="S230" s="36" t="n">
        <x:f>IF(OR(A230="",C230&lt;&gt;"Mekân",P230&lt;&gt;"Evet"),0,IF(COUNTIFS($F$8:F230,F230,$C$8:C230,"Mekân",$P$8:P230,"Evet")=1,1,0))</x:f>
        <x:v>1</x:v>
      </x:c>
      <x:c r="T230" s="36" t="n">
        <x:f>IF(OR(A230="",C230&lt;&gt;"Kapak",P230&lt;&gt;"Evet"),0,IF(COUNTIFS($F$8:F230,F230,$C$8:C230,"Kapak",$P$8:P230,"Evet")=1,1,0))</x:f>
        <x:v>0</x:v>
      </x:c>
    </x:row>
    <x:row r="231" ht="54" customHeight="1">
      <x:c r="A231" s="29" t="str">
        <x:v>bakersfield:photo:venue-22196</x:v>
      </x:c>
      <x:c r="B231" s="29" t="str">
        <x:v>bakersfield</x:v>
      </x:c>
      <x:c r="C231" s="29" t="str">
        <x:v>Mekân</x:v>
      </x:c>
      <x:c r="D231" s="29" t="str">
        <x:v>bakersfield:yer-local-bakersfield-silver-city</x:v>
      </x:c>
      <x:c r="E231" s="29" t="str">
        <x:v>Fotoğraflar/bk-f8c03a7898185cd4d9640821.webp</x:v>
      </x:c>
      <x:c r="F231" s="29" t="str">
        <x:v>f8c03a7898185cd4d9640821296782aae11d415b3860b38d939cb1182f4785fd</x:v>
      </x:c>
      <x:c r="G231" s="29" t="str">
        <x:v>Silver City Ghost Town · 2018 tarihli fotoğraf</x:v>
      </x:c>
      <x:c r="H231" s="29" t="str">
        <x:v>Gillfoto from Juneau, Alaska, United States</x:v>
      </x:c>
      <x:c r="I231" s="29" t="str">
        <x:v>CC BY-SA 2.0</x:v>
      </x:c>
      <x:c r="J231" s="29" t="str">
        <x:v>https://creativecommons.org/licenses/by-sa/2.0</x:v>
      </x:c>
      <x:c r="K231" s="29" t="str">
        <x:v>https://commons.wikimedia.org/wiki/File:Silver_City_Ghost_Town_(39358919714).jpg</x:v>
      </x:c>
      <x:c r="L231" s="31"/>
      <x:c r="M231" s="31" t="d">
        <x:v>2026-10-24T00:00:00.000Z</x:v>
      </x:c>
      <x:c r="N231" s="29" t="str">
        <x:v>EXIF yönü uygulandı; boyut küçültülüp WebP biçimine dönüştürüldü.</x:v>
      </x:c>
      <x:c r="O231" s="29" t="str">
        <x:v>bakersfield:evidence:venue-22196</x:v>
      </x:c>
      <x:c r="P231" s="29" t="str">
        <x:v>Evet</x:v>
      </x:c>
      <x:c r="Q231" s="35" t="n">
        <x:v>1</x:v>
      </x:c>
      <x:c r="R231" s="29" t="str">
        <x:v>İnceleme</x:v>
      </x:c>
      <x:c r="S231" s="36" t="n">
        <x:f>IF(OR(A231="",C231&lt;&gt;"Mekân",P231&lt;&gt;"Evet"),0,IF(COUNTIFS($F$8:F231,F231,$C$8:C231,"Mekân",$P$8:P231,"Evet")=1,1,0))</x:f>
        <x:v>1</x:v>
      </x:c>
      <x:c r="T231" s="36" t="n">
        <x:f>IF(OR(A231="",C231&lt;&gt;"Kapak",P231&lt;&gt;"Evet"),0,IF(COUNTIFS($F$8:F231,F231,$C$8:C231,"Kapak",$P$8:P231,"Evet")=1,1,0))</x:f>
        <x:v>0</x:v>
      </x:c>
    </x:row>
    <x:row r="232" ht="54" customHeight="1">
      <x:c r="A232" s="29" t="str">
        <x:v>bakersfield:photo:venue-22197</x:v>
      </x:c>
      <x:c r="B232" s="29" t="str">
        <x:v>bakersfield</x:v>
      </x:c>
      <x:c r="C232" s="29" t="str">
        <x:v>Mekân</x:v>
      </x:c>
      <x:c r="D232" s="29" t="str">
        <x:v>bakersfield:yer-local-bakersfield-silver-city</x:v>
      </x:c>
      <x:c r="E232" s="29" t="str">
        <x:v>Fotoğraflar/bk-5038399b5116a5b1bb5691d6.webp</x:v>
      </x:c>
      <x:c r="F232" s="29" t="str">
        <x:v>5038399b5116a5b1bb5691d63fe2fad161ca6f3c6fd0aa16899a5d6db8072ac6</x:v>
      </x:c>
      <x:c r="G232" s="29" t="str">
        <x:v>Silver City Ghost Town · 2018 tarihli fotoğraf</x:v>
      </x:c>
      <x:c r="H232" s="29" t="str">
        <x:v>Gillfoto</x:v>
      </x:c>
      <x:c r="I232" s="29" t="str">
        <x:v>CC BY-SA 4.0</x:v>
      </x:c>
      <x:c r="J232" s="29" t="str">
        <x:v>https://creativecommons.org/licenses/by-sa/4.0</x:v>
      </x:c>
      <x:c r="K232" s="29" t="str">
        <x:v>https://commons.wikimedia.org/wiki/File:Silver_City_Ghost_Town_5990.jpg</x:v>
      </x:c>
      <x:c r="L232" s="31"/>
      <x:c r="M232" s="31" t="d">
        <x:v>2026-10-24T00:00:00.000Z</x:v>
      </x:c>
      <x:c r="N232" s="29" t="str">
        <x:v>EXIF yönü uygulandı; boyut küçültülüp WebP biçimine dönüştürüldü.</x:v>
      </x:c>
      <x:c r="O232" s="29" t="str">
        <x:v>bakersfield:evidence:venue-22197</x:v>
      </x:c>
      <x:c r="P232" s="29" t="str">
        <x:v>Evet</x:v>
      </x:c>
      <x:c r="Q232" s="35" t="n">
        <x:v>2</x:v>
      </x:c>
      <x:c r="R232" s="29" t="str">
        <x:v>İnceleme</x:v>
      </x:c>
      <x:c r="S232" s="36" t="n">
        <x:f>IF(OR(A232="",C232&lt;&gt;"Mekân",P232&lt;&gt;"Evet"),0,IF(COUNTIFS($F$8:F232,F232,$C$8:C232,"Mekân",$P$8:P232,"Evet")=1,1,0))</x:f>
        <x:v>1</x:v>
      </x:c>
      <x:c r="T232" s="36" t="n">
        <x:f>IF(OR(A232="",C232&lt;&gt;"Kapak",P232&lt;&gt;"Evet"),0,IF(COUNTIFS($F$8:F232,F232,$C$8:C232,"Kapak",$P$8:P232,"Evet")=1,1,0))</x:f>
        <x:v>0</x:v>
      </x:c>
    </x:row>
    <x:row r="233" ht="54" customHeight="1">
      <x:c r="A233" s="29" t="str">
        <x:v>bakersfield:photo:venue-22198</x:v>
      </x:c>
      <x:c r="B233" s="29" t="str">
        <x:v>bakersfield</x:v>
      </x:c>
      <x:c r="C233" s="29" t="str">
        <x:v>Mekân</x:v>
      </x:c>
      <x:c r="D233" s="29" t="str">
        <x:v>bakersfield:yer-local-bakersfield-silver-city</x:v>
      </x:c>
      <x:c r="E233" s="29" t="str">
        <x:v>Fotoğraflar/bk-1010cd7666d0735158c9fa77.webp</x:v>
      </x:c>
      <x:c r="F233" s="29" t="str">
        <x:v>1010cd7666d0735158c9fa7739a0293032ecde2201a7531267bff47d7bdeea2d</x:v>
      </x:c>
      <x:c r="G233" s="29" t="str">
        <x:v>Silver City Ghost Town · 2018 tarihli fotoğraf</x:v>
      </x:c>
      <x:c r="H233" s="29" t="str">
        <x:v>Gillfoto</x:v>
      </x:c>
      <x:c r="I233" s="29" t="str">
        <x:v>CC BY-SA 4.0</x:v>
      </x:c>
      <x:c r="J233" s="29" t="str">
        <x:v>https://creativecommons.org/licenses/by-sa/4.0</x:v>
      </x:c>
      <x:c r="K233" s="29" t="str">
        <x:v>https://commons.wikimedia.org/wiki/File:Silver_City_Ghost_Town_5992.jpg</x:v>
      </x:c>
      <x:c r="L233" s="31"/>
      <x:c r="M233" s="31" t="d">
        <x:v>2026-10-24T00:00:00.000Z</x:v>
      </x:c>
      <x:c r="N233" s="29" t="str">
        <x:v>EXIF yönü uygulandı; boyut küçültülüp WebP biçimine dönüştürüldü.</x:v>
      </x:c>
      <x:c r="O233" s="29" t="str">
        <x:v>bakersfield:evidence:venue-22198</x:v>
      </x:c>
      <x:c r="P233" s="29" t="str">
        <x:v>Evet</x:v>
      </x:c>
      <x:c r="Q233" s="35" t="n">
        <x:v>3</x:v>
      </x:c>
      <x:c r="R233" s="29" t="str">
        <x:v>İnceleme</x:v>
      </x:c>
      <x:c r="S233" s="36" t="n">
        <x:f>IF(OR(A233="",C233&lt;&gt;"Mekân",P233&lt;&gt;"Evet"),0,IF(COUNTIFS($F$8:F233,F233,$C$8:C233,"Mekân",$P$8:P233,"Evet")=1,1,0))</x:f>
        <x:v>1</x:v>
      </x:c>
      <x:c r="T233" s="36" t="n">
        <x:f>IF(OR(A233="",C233&lt;&gt;"Kapak",P233&lt;&gt;"Evet"),0,IF(COUNTIFS($F$8:F233,F233,$C$8:C233,"Kapak",$P$8:P233,"Evet")=1,1,0))</x:f>
        <x:v>0</x:v>
      </x:c>
    </x:row>
    <x:row r="234" ht="54" customHeight="1">
      <x:c r="A234" s="29" t="str">
        <x:v>bakersfield:photo:venue-22199</x:v>
      </x:c>
      <x:c r="B234" s="29" t="str">
        <x:v>bakersfield</x:v>
      </x:c>
      <x:c r="C234" s="29" t="str">
        <x:v>Mekân</x:v>
      </x:c>
      <x:c r="D234" s="29" t="str">
        <x:v>bakersfield:yer-local-bakersfield-silver-city</x:v>
      </x:c>
      <x:c r="E234" s="29" t="str">
        <x:v>Fotoğraflar/bk-550908c690c6ec3f036a7a8c.webp</x:v>
      </x:c>
      <x:c r="F234" s="29" t="str">
        <x:v>550908c690c6ec3f036a7a8cac2faa476e4c55e6f4f4dd1468d9a0eb9b033006</x:v>
      </x:c>
      <x:c r="G234" s="29" t="str">
        <x:v>Silver City Ghost Town · 2018 tarihli fotoğraf</x:v>
      </x:c>
      <x:c r="H234" s="29" t="str">
        <x:v>Gillfoto</x:v>
      </x:c>
      <x:c r="I234" s="29" t="str">
        <x:v>CC BY-SA 4.0</x:v>
      </x:c>
      <x:c r="J234" s="29" t="str">
        <x:v>https://creativecommons.org/licenses/by-sa/4.0</x:v>
      </x:c>
      <x:c r="K234" s="29" t="str">
        <x:v>https://commons.wikimedia.org/wiki/File:Silver_City_Ghost_Town_5993.jpg</x:v>
      </x:c>
      <x:c r="L234" s="31"/>
      <x:c r="M234" s="31" t="d">
        <x:v>2026-10-24T00:00:00.000Z</x:v>
      </x:c>
      <x:c r="N234" s="29" t="str">
        <x:v>EXIF yönü uygulandı; boyut küçültülüp WebP biçimine dönüştürüldü.</x:v>
      </x:c>
      <x:c r="O234" s="29" t="str">
        <x:v>bakersfield:evidence:venue-22199</x:v>
      </x:c>
      <x:c r="P234" s="29" t="str">
        <x:v>Evet</x:v>
      </x:c>
      <x:c r="Q234" s="35" t="n">
        <x:v>4</x:v>
      </x:c>
      <x:c r="R234" s="29" t="str">
        <x:v>İnceleme</x:v>
      </x:c>
      <x:c r="S234" s="36" t="n">
        <x:f>IF(OR(A234="",C234&lt;&gt;"Mekân",P234&lt;&gt;"Evet"),0,IF(COUNTIFS($F$8:F234,F234,$C$8:C234,"Mekân",$P$8:P234,"Evet")=1,1,0))</x:f>
        <x:v>1</x:v>
      </x:c>
      <x:c r="T234" s="36" t="n">
        <x:f>IF(OR(A234="",C234&lt;&gt;"Kapak",P234&lt;&gt;"Evet"),0,IF(COUNTIFS($F$8:F234,F234,$C$8:C234,"Kapak",$P$8:P234,"Evet")=1,1,0))</x:f>
        <x:v>0</x:v>
      </x:c>
    </x:row>
    <x:row r="235" ht="54" customHeight="1">
      <x:c r="A235" s="29" t="str">
        <x:v>bakersfield:photo:venue-22200</x:v>
      </x:c>
      <x:c r="B235" s="29" t="str">
        <x:v>bakersfield</x:v>
      </x:c>
      <x:c r="C235" s="29" t="str">
        <x:v>Mekân</x:v>
      </x:c>
      <x:c r="D235" s="29" t="str">
        <x:v>bakersfield:yer-local-bakersfield-silver-city</x:v>
      </x:c>
      <x:c r="E235" s="29" t="str">
        <x:v>Fotoğraflar/bk-9afb9138c3a1037b797a8861.webp</x:v>
      </x:c>
      <x:c r="F235" s="29" t="str">
        <x:v>9afb9138c3a1037b797a8861a150934b5fe84041d00614c3d34ad375056fa43a</x:v>
      </x:c>
      <x:c r="G235" s="29" t="str">
        <x:v>Silver City Ghost Town · 2018 tarihli fotoğraf</x:v>
      </x:c>
      <x:c r="H235" s="29" t="str">
        <x:v>Gillfoto</x:v>
      </x:c>
      <x:c r="I235" s="29" t="str">
        <x:v>CC BY-SA 4.0</x:v>
      </x:c>
      <x:c r="J235" s="29" t="str">
        <x:v>https://creativecommons.org/licenses/by-sa/4.0</x:v>
      </x:c>
      <x:c r="K235" s="29" t="str">
        <x:v>https://commons.wikimedia.org/wiki/File:Silver_City_Ghost_Town_6002.jpg</x:v>
      </x:c>
      <x:c r="L235" s="31"/>
      <x:c r="M235" s="31" t="d">
        <x:v>2026-10-24T00:00:00.000Z</x:v>
      </x:c>
      <x:c r="N235" s="29" t="str">
        <x:v>EXIF yönü uygulandı; boyut küçültülüp WebP biçimine dönüştürüldü.</x:v>
      </x:c>
      <x:c r="O235" s="29" t="str">
        <x:v>bakersfield:evidence:venue-22200</x:v>
      </x:c>
      <x:c r="P235" s="29" t="str">
        <x:v>Evet</x:v>
      </x:c>
      <x:c r="Q235" s="35" t="n">
        <x:v>5</x:v>
      </x:c>
      <x:c r="R235" s="29" t="str">
        <x:v>İnceleme</x:v>
      </x:c>
      <x:c r="S235" s="36" t="n">
        <x:f>IF(OR(A235="",C235&lt;&gt;"Mekân",P235&lt;&gt;"Evet"),0,IF(COUNTIFS($F$8:F235,F235,$C$8:C235,"Mekân",$P$8:P235,"Evet")=1,1,0))</x:f>
        <x:v>1</x:v>
      </x:c>
      <x:c r="T235" s="36" t="n">
        <x:f>IF(OR(A235="",C235&lt;&gt;"Kapak",P235&lt;&gt;"Evet"),0,IF(COUNTIFS($F$8:F235,F235,$C$8:C235,"Kapak",$P$8:P235,"Evet")=1,1,0))</x:f>
        <x:v>0</x:v>
      </x:c>
    </x:row>
    <x:row r="236" ht="68" customHeight="1">
      <x:c r="A236" s="29" t="str">
        <x:v>bakersfield:photo:venue-22201</x:v>
      </x:c>
      <x:c r="B236" s="29" t="str">
        <x:v>bakersfield</x:v>
      </x:c>
      <x:c r="C236" s="29" t="str">
        <x:v>Mekân</x:v>
      </x:c>
      <x:c r="D236" s="29" t="str">
        <x:v>bakersfield:yer-local-bakersfield-nuui-cunni</x:v>
      </x:c>
      <x:c r="E236" s="29" t="str">
        <x:v>Fotoğraflar/bk-940c426dcf4b3588b01438c7.webp</x:v>
      </x:c>
      <x:c r="F236" s="29" t="str">
        <x:v>940c426dcf4b3588b01438c747e87e051ddfd87d261e6153c2f4db1cec426680</x:v>
      </x:c>
      <x:c r="G236" s="29" t="str">
        <x:v>Nuui Cunni Native American Intertribal Cultural Center · 2023 tarihli fotoğraf</x:v>
      </x:c>
      <x:c r="H236" s="29" t="str">
        <x:v>DarkNight0917</x:v>
      </x:c>
      <x:c r="I236" s="29" t="str">
        <x:v>CC BY-SA 4.0</x:v>
      </x:c>
      <x:c r="J236" s="29" t="str">
        <x:v>https://creativecommons.org/licenses/by-sa/4.0</x:v>
      </x:c>
      <x:c r="K236" s="29" t="str">
        <x:v>https://commons.wikimedia.org/wiki/File:Nuui_Cunni_exterior_closed_2023.jpg</x:v>
      </x:c>
      <x:c r="L236" s="31"/>
      <x:c r="M236" s="31" t="d">
        <x:v>2026-10-24T00:00:00.000Z</x:v>
      </x:c>
      <x:c r="N236" s="29" t="str">
        <x:v>EXIF yönü uygulandı; boyut küçültülüp WebP biçimine dönüştürüldü.</x:v>
      </x:c>
      <x:c r="O236" s="29" t="str">
        <x:v>bakersfield:evidence:venue-22201</x:v>
      </x:c>
      <x:c r="P236" s="29" t="str">
        <x:v>Evet</x:v>
      </x:c>
      <x:c r="Q236" s="35" t="n">
        <x:v>0</x:v>
      </x:c>
      <x:c r="R236" s="29" t="str">
        <x:v>İnceleme</x:v>
      </x:c>
      <x:c r="S236" s="36" t="n">
        <x:f>IF(OR(A236="",C236&lt;&gt;"Mekân",P236&lt;&gt;"Evet"),0,IF(COUNTIFS($F$8:F236,F236,$C$8:C236,"Mekân",$P$8:P236,"Evet")=1,1,0))</x:f>
        <x:v>1</x:v>
      </x:c>
      <x:c r="T236" s="36" t="n">
        <x:f>IF(OR(A236="",C236&lt;&gt;"Kapak",P236&lt;&gt;"Evet"),0,IF(COUNTIFS($F$8:F236,F236,$C$8:C236,"Kapak",$P$8:P236,"Evet")=1,1,0))</x:f>
        <x:v>0</x:v>
      </x:c>
    </x:row>
    <x:row r="237" ht="68" customHeight="1">
      <x:c r="A237" s="29" t="str">
        <x:v>bakersfield:photo:venue-22202</x:v>
      </x:c>
      <x:c r="B237" s="29" t="str">
        <x:v>bakersfield</x:v>
      </x:c>
      <x:c r="C237" s="29" t="str">
        <x:v>Mekân</x:v>
      </x:c>
      <x:c r="D237" s="29" t="str">
        <x:v>bakersfield:yer-local-bakersfield-nuui-cunni</x:v>
      </x:c>
      <x:c r="E237" s="29" t="str">
        <x:v>Fotoğraflar/bk-31bfa7cc438cc686da2e5cf5.webp</x:v>
      </x:c>
      <x:c r="F237" s="29" t="str">
        <x:v>31bfa7cc438cc686da2e5cf57495b00f4f0abf0525149dfd77be560c000d996b</x:v>
      </x:c>
      <x:c r="G237" s="29" t="str">
        <x:v>Nuui Cunni Native American Intertribal Cultural Center · 2023 tarihli fotoğraf</x:v>
      </x:c>
      <x:c r="H237" s="29" t="str">
        <x:v>DarkNight0917</x:v>
      </x:c>
      <x:c r="I237" s="29" t="str">
        <x:v>CC BY-SA 4.0</x:v>
      </x:c>
      <x:c r="J237" s="29" t="str">
        <x:v>https://creativecommons.org/licenses/by-sa/4.0</x:v>
      </x:c>
      <x:c r="K237" s="29" t="str">
        <x:v>https://commons.wikimedia.org/wiki/File:Nuui_Cunni_interior_2023_01.jpg</x:v>
      </x:c>
      <x:c r="L237" s="31"/>
      <x:c r="M237" s="31" t="d">
        <x:v>2026-10-24T00:00:00.000Z</x:v>
      </x:c>
      <x:c r="N237" s="29" t="str">
        <x:v>EXIF yönü uygulandı; boyut küçültülüp WebP biçimine dönüştürüldü.</x:v>
      </x:c>
      <x:c r="O237" s="29" t="str">
        <x:v>bakersfield:evidence:venue-22202</x:v>
      </x:c>
      <x:c r="P237" s="29" t="str">
        <x:v>Evet</x:v>
      </x:c>
      <x:c r="Q237" s="35" t="n">
        <x:v>1</x:v>
      </x:c>
      <x:c r="R237" s="29" t="str">
        <x:v>İnceleme</x:v>
      </x:c>
      <x:c r="S237" s="36" t="n">
        <x:f>IF(OR(A237="",C237&lt;&gt;"Mekân",P237&lt;&gt;"Evet"),0,IF(COUNTIFS($F$8:F237,F237,$C$8:C237,"Mekân",$P$8:P237,"Evet")=1,1,0))</x:f>
        <x:v>1</x:v>
      </x:c>
      <x:c r="T237" s="36" t="n">
        <x:f>IF(OR(A237="",C237&lt;&gt;"Kapak",P237&lt;&gt;"Evet"),0,IF(COUNTIFS($F$8:F237,F237,$C$8:C237,"Kapak",$P$8:P237,"Evet")=1,1,0))</x:f>
        <x:v>0</x:v>
      </x:c>
    </x:row>
    <x:row r="238" ht="68" customHeight="1">
      <x:c r="A238" s="29" t="str">
        <x:v>bakersfield:photo:venue-22203</x:v>
      </x:c>
      <x:c r="B238" s="29" t="str">
        <x:v>bakersfield</x:v>
      </x:c>
      <x:c r="C238" s="29" t="str">
        <x:v>Mekân</x:v>
      </x:c>
      <x:c r="D238" s="29" t="str">
        <x:v>bakersfield:yer-local-bakersfield-tortoise-area</x:v>
      </x:c>
      <x:c r="E238" s="29" t="str">
        <x:v>Fotoğraflar/bk-da8742db99f86428ddda22d9.webp</x:v>
      </x:c>
      <x:c r="F238" s="29" t="str">
        <x:v>da8742db99f86428ddda22d9d0815d585384970859c0c94ffd1d4945e7e569b0</x:v>
      </x:c>
      <x:c r="G238" s="29" t="str">
        <x:v>Desert Tortoise Natural Area · çöl boynuzlu kertenkelesi · 2022</x:v>
      </x:c>
      <x:c r="H238" s="29" t="str">
        <x:v>(c) Wendy St. John, some rights reserved (CC BY-SA)</x:v>
      </x:c>
      <x:c r="I238" s="29" t="str">
        <x:v>CC BY-SA 4.0</x:v>
      </x:c>
      <x:c r="J238" s="29" t="str">
        <x:v>https://creativecommons.org/licenses/by-sa/4.0</x:v>
      </x:c>
      <x:c r="K238" s="29" t="str">
        <x:v>https://commons.wikimedia.org/wiki/File:Desert_Horned_Lizard,_Desert_Tortoise_Natural_Area,_Kern,_California,_United_States_imported_from_iNaturalist_photo_199005924.jpg</x:v>
      </x:c>
      <x:c r="L238" s="31" t="d">
        <x:v>2022-04-15T00:00:00.000Z</x:v>
      </x:c>
      <x:c r="M238" s="31" t="d">
        <x:v>2026-10-24T00:00:00.000Z</x:v>
      </x:c>
      <x:c r="N238" s="29" t="str">
        <x:v>EXIF yönü uygulandı; boyut küçültülüp WebP biçimine dönüştürüldü.</x:v>
      </x:c>
      <x:c r="O238" s="29" t="str">
        <x:v>bakersfield:evidence:venue-22203</x:v>
      </x:c>
      <x:c r="P238" s="29" t="str">
        <x:v>Evet</x:v>
      </x:c>
      <x:c r="Q238" s="35" t="n">
        <x:v>0</x:v>
      </x:c>
      <x:c r="R238" s="29" t="str">
        <x:v>İnceleme</x:v>
      </x:c>
      <x:c r="S238" s="36" t="n">
        <x:f>IF(OR(A238="",C238&lt;&gt;"Mekân",P238&lt;&gt;"Evet"),0,IF(COUNTIFS($F$8:F238,F238,$C$8:C238,"Mekân",$P$8:P238,"Evet")=1,1,0))</x:f>
        <x:v>1</x:v>
      </x:c>
      <x:c r="T238" s="36" t="n">
        <x:f>IF(OR(A238="",C238&lt;&gt;"Kapak",P238&lt;&gt;"Evet"),0,IF(COUNTIFS($F$8:F238,F238,$C$8:C238,"Kapak",$P$8:P238,"Evet")=1,1,0))</x:f>
        <x:v>0</x:v>
      </x:c>
    </x:row>
    <x:row r="239" ht="54" customHeight="1">
      <x:c r="A239" s="29" t="str">
        <x:v>bakersfield:photo:venue-22204</x:v>
      </x:c>
      <x:c r="B239" s="29" t="str">
        <x:v>bakersfield</x:v>
      </x:c>
      <x:c r="C239" s="29" t="str">
        <x:v>Mekân</x:v>
      </x:c>
      <x:c r="D239" s="29" t="str">
        <x:v>bakersfield:yer-local-bakersfield-canebrake-reserve</x:v>
      </x:c>
      <x:c r="E239" s="29" t="str">
        <x:v>Fotoğraflar/bk-e2ba0584648d43efee675e53.webp</x:v>
      </x:c>
      <x:c r="F239" s="29" t="str">
        <x:v>e2ba0584648d43efee675e539e0e01069d0afa90bd011cde2be156a720ed7df4</x:v>
      </x:c>
      <x:c r="G239" s="29" t="str">
        <x:v>Canebrake Ecological Reserve · 2017 tarihli fotoğraf</x:v>
      </x:c>
      <x:c r="H239" s="29" t="str">
        <x:v>Junkyardsparkle</x:v>
      </x:c>
      <x:c r="I239" s="29" t="str">
        <x:v>CC0 1.0</x:v>
      </x:c>
      <x:c r="J239" s="29" t="str">
        <x:v>https://creativecommons.org/publicdomain/zero/1.0/</x:v>
      </x:c>
      <x:c r="K239" s="29" t="str">
        <x:v>https://commons.wikimedia.org/wiki/File:Canebrake_Ecological_Reserve_access_gate_2017-01-29.jpg</x:v>
      </x:c>
      <x:c r="L239" s="31"/>
      <x:c r="M239" s="31" t="d">
        <x:v>2026-10-24T00:00:00.000Z</x:v>
      </x:c>
      <x:c r="N239" s="29" t="str">
        <x:v>EXIF yönü uygulandı; boyut küçültülüp WebP biçimine dönüştürüldü.</x:v>
      </x:c>
      <x:c r="O239" s="29" t="str">
        <x:v>bakersfield:evidence:venue-22204</x:v>
      </x:c>
      <x:c r="P239" s="29" t="str">
        <x:v>Evet</x:v>
      </x:c>
      <x:c r="Q239" s="35" t="n">
        <x:v>0</x:v>
      </x:c>
      <x:c r="R239" s="29" t="str">
        <x:v>İnceleme</x:v>
      </x:c>
      <x:c r="S239" s="36" t="n">
        <x:f>IF(OR(A239="",C239&lt;&gt;"Mekân",P239&lt;&gt;"Evet"),0,IF(COUNTIFS($F$8:F239,F239,$C$8:C239,"Mekân",$P$8:P239,"Evet")=1,1,0))</x:f>
        <x:v>1</x:v>
      </x:c>
      <x:c r="T239" s="36" t="n">
        <x:f>IF(OR(A239="",C239&lt;&gt;"Kapak",P239&lt;&gt;"Evet"),0,IF(COUNTIFS($F$8:F239,F239,$C$8:C239,"Kapak",$P$8:P239,"Evet")=1,1,0))</x:f>
        <x:v>0</x:v>
      </x:c>
    </x:row>
    <x:row r="240" ht="54" customHeight="1">
      <x:c r="A240" s="29" t="str">
        <x:v>bakersfield:photo:venue-22205</x:v>
      </x:c>
      <x:c r="B240" s="29" t="str">
        <x:v>bakersfield</x:v>
      </x:c>
      <x:c r="C240" s="29" t="str">
        <x:v>Mekân</x:v>
      </x:c>
      <x:c r="D240" s="29" t="str">
        <x:v>bakersfield:yer-local-bakersfield-canebrake-reserve</x:v>
      </x:c>
      <x:c r="E240" s="29" t="str">
        <x:v>Fotoğraflar/bk-c4fddcec71f34dc64a12715d.webp</x:v>
      </x:c>
      <x:c r="F240" s="29" t="str">
        <x:v>c4fddcec71f34dc64a12715db2b2ef2c9b490ee70425ae78b13099df5c6f3921</x:v>
      </x:c>
      <x:c r="G240" s="29" t="str">
        <x:v>Canebrake Ecological Reserve · 2016 tarihli fotoğraf</x:v>
      </x:c>
      <x:c r="H240" s="29" t="str">
        <x:v>California Department of Fish and Wildlife from Sacramento, CA, USA</x:v>
      </x:c>
      <x:c r="I240" s="29" t="str">
        <x:v>CC BY 2.0</x:v>
      </x:c>
      <x:c r="J240" s="29" t="str">
        <x:v>https://creativecommons.org/licenses/by/2.0</x:v>
      </x:c>
      <x:c r="K240" s="29" t="str">
        <x:v>https://commons.wikimedia.org/wiki/File:Canebrake_ER0062_(1)_(26705164932).jpg</x:v>
      </x:c>
      <x:c r="L240" s="31"/>
      <x:c r="M240" s="31" t="d">
        <x:v>2026-10-24T00:00:00.000Z</x:v>
      </x:c>
      <x:c r="N240" s="29" t="str">
        <x:v>EXIF yönü uygulandı; boyut küçültülüp WebP biçimine dönüştürüldü.</x:v>
      </x:c>
      <x:c r="O240" s="29" t="str">
        <x:v>bakersfield:evidence:venue-22205</x:v>
      </x:c>
      <x:c r="P240" s="29" t="str">
        <x:v>Evet</x:v>
      </x:c>
      <x:c r="Q240" s="35" t="n">
        <x:v>1</x:v>
      </x:c>
      <x:c r="R240" s="29" t="str">
        <x:v>İnceleme</x:v>
      </x:c>
      <x:c r="S240" s="36" t="n">
        <x:f>IF(OR(A240="",C240&lt;&gt;"Mekân",P240&lt;&gt;"Evet"),0,IF(COUNTIFS($F$8:F240,F240,$C$8:C240,"Mekân",$P$8:P240,"Evet")=1,1,0))</x:f>
        <x:v>1</x:v>
      </x:c>
      <x:c r="T240" s="36" t="n">
        <x:f>IF(OR(A240="",C240&lt;&gt;"Kapak",P240&lt;&gt;"Evet"),0,IF(COUNTIFS($F$8:F240,F240,$C$8:C240,"Kapak",$P$8:P240,"Evet")=1,1,0))</x:f>
        <x:v>0</x:v>
      </x:c>
    </x:row>
    <x:row r="241" ht="54" customHeight="1">
      <x:c r="A241" s="29" t="str">
        <x:v>bakersfield:photo:venue-22206</x:v>
      </x:c>
      <x:c r="B241" s="29" t="str">
        <x:v>bakersfield</x:v>
      </x:c>
      <x:c r="C241" s="29" t="str">
        <x:v>Mekân</x:v>
      </x:c>
      <x:c r="D241" s="29" t="str">
        <x:v>bakersfield:yer-local-bakersfield-canebrake-reserve</x:v>
      </x:c>
      <x:c r="E241" s="29" t="str">
        <x:v>Fotoğraflar/bk-6f1504e80a78a195754adaee.webp</x:v>
      </x:c>
      <x:c r="F241" s="29" t="str">
        <x:v>6f1504e80a78a195754adaee8b207cee37bab758931882e45d4db09efc86851e</x:v>
      </x:c>
      <x:c r="G241" s="29" t="str">
        <x:v>Canebrake Ecological Reserve · 2016 tarihli fotoğraf</x:v>
      </x:c>
      <x:c r="H241" s="29" t="str">
        <x:v>California Department of Fish and Wildlife from Sacramento, CA, USA</x:v>
      </x:c>
      <x:c r="I241" s="29" t="str">
        <x:v>CC BY 2.0</x:v>
      </x:c>
      <x:c r="J241" s="29" t="str">
        <x:v>https://creativecommons.org/licenses/by/2.0</x:v>
      </x:c>
      <x:c r="K241" s="29" t="str">
        <x:v>https://commons.wikimedia.org/wiki/File:Canebrake_ER0062_(15)_(26798152315).jpg</x:v>
      </x:c>
      <x:c r="L241" s="31"/>
      <x:c r="M241" s="31" t="d">
        <x:v>2026-10-24T00:00:00.000Z</x:v>
      </x:c>
      <x:c r="N241" s="29" t="str">
        <x:v>EXIF yönü uygulandı; boyut küçültülüp WebP biçimine dönüştürüldü.</x:v>
      </x:c>
      <x:c r="O241" s="29" t="str">
        <x:v>bakersfield:evidence:venue-22206</x:v>
      </x:c>
      <x:c r="P241" s="29" t="str">
        <x:v>Evet</x:v>
      </x:c>
      <x:c r="Q241" s="35" t="n">
        <x:v>2</x:v>
      </x:c>
      <x:c r="R241" s="29" t="str">
        <x:v>İnceleme</x:v>
      </x:c>
      <x:c r="S241" s="36" t="n">
        <x:f>IF(OR(A241="",C241&lt;&gt;"Mekân",P241&lt;&gt;"Evet"),0,IF(COUNTIFS($F$8:F241,F241,$C$8:C241,"Mekân",$P$8:P241,"Evet")=1,1,0))</x:f>
        <x:v>1</x:v>
      </x:c>
      <x:c r="T241" s="36" t="n">
        <x:f>IF(OR(A241="",C241&lt;&gt;"Kapak",P241&lt;&gt;"Evet"),0,IF(COUNTIFS($F$8:F241,F241,$C$8:C241,"Kapak",$P$8:P241,"Evet")=1,1,0))</x:f>
        <x:v>0</x:v>
      </x:c>
    </x:row>
    <x:row r="242" ht="54" customHeight="1">
      <x:c r="A242" s="29" t="str">
        <x:v>bakersfield:photo:venue-22207</x:v>
      </x:c>
      <x:c r="B242" s="29" t="str">
        <x:v>bakersfield</x:v>
      </x:c>
      <x:c r="C242" s="29" t="str">
        <x:v>Mekân</x:v>
      </x:c>
      <x:c r="D242" s="29" t="str">
        <x:v>bakersfield:yer-local-bakersfield-kern-wildlife-refuge</x:v>
      </x:c>
      <x:c r="E242" s="29" t="str">
        <x:v>Fotoğraflar/bk-05a1f4abf7bc1974515a88e5.webp</x:v>
      </x:c>
      <x:c r="F242" s="29" t="str">
        <x:v>05a1f4abf7bc1974515a88e57767974117f7a172144f58b23d2730fd41f60774</x:v>
      </x:c>
      <x:c r="G242" s="29" t="str">
        <x:v>Kern National Wildlife Refuge · Take tarihli fotoğraf</x:v>
      </x:c>
      <x:c r="H242" s="29" t="str">
        <x:v>Annette Teng</x:v>
      </x:c>
      <x:c r="I242" s="29" t="str">
        <x:v>CC BY 3.0</x:v>
      </x:c>
      <x:c r="J242" s="29" t="str">
        <x:v>https://creativecommons.org/licenses/by/3.0</x:v>
      </x:c>
      <x:c r="K242" s="29" t="str">
        <x:v>https://commons.wikimedia.org/wiki/File:Kern_Bird_Refuge_-_panoramio.jpg</x:v>
      </x:c>
      <x:c r="L242" s="31"/>
      <x:c r="M242" s="31" t="d">
        <x:v>2026-10-24T00:00:00.000Z</x:v>
      </x:c>
      <x:c r="N242" s="29" t="str">
        <x:v>EXIF yönü uygulandı; boyut küçültülüp WebP biçimine dönüştürüldü.</x:v>
      </x:c>
      <x:c r="O242" s="29" t="str">
        <x:v>bakersfield:evidence:venue-22207</x:v>
      </x:c>
      <x:c r="P242" s="29" t="str">
        <x:v>Evet</x:v>
      </x:c>
      <x:c r="Q242" s="35" t="n">
        <x:v>0</x:v>
      </x:c>
      <x:c r="R242" s="29" t="str">
        <x:v>İnceleme</x:v>
      </x:c>
      <x:c r="S242" s="36" t="n">
        <x:f>IF(OR(A242="",C242&lt;&gt;"Mekân",P242&lt;&gt;"Evet"),0,IF(COUNTIFS($F$8:F242,F242,$C$8:C242,"Mekân",$P$8:P242,"Evet")=1,1,0))</x:f>
        <x:v>1</x:v>
      </x:c>
      <x:c r="T242" s="36" t="n">
        <x:f>IF(OR(A242="",C242&lt;&gt;"Kapak",P242&lt;&gt;"Evet"),0,IF(COUNTIFS($F$8:F242,F242,$C$8:C242,"Kapak",$P$8:P242,"Evet")=1,1,0))</x:f>
        <x:v>0</x:v>
      </x:c>
    </x:row>
    <x:row r="243" ht="54" customHeight="1">
      <x:c r="A243" s="29" t="str">
        <x:v>bakersfield:photo:venue-22208</x:v>
      </x:c>
      <x:c r="B243" s="29" t="str">
        <x:v>bakersfield</x:v>
      </x:c>
      <x:c r="C243" s="29" t="str">
        <x:v>Mekân</x:v>
      </x:c>
      <x:c r="D243" s="29" t="str">
        <x:v>bakersfield:yer-local-bakersfield-buttonwillow-raceway</x:v>
      </x:c>
      <x:c r="E243" s="29" t="str">
        <x:v>Fotoğraflar/bk-c80879eb04db6ace2f0d8fe1.webp</x:v>
      </x:c>
      <x:c r="F243" s="29" t="str">
        <x:v>c80879eb04db6ace2f0d8fe1eb2d4c70415da2c7426a8d5368f7a4e484103330</x:v>
      </x:c>
      <x:c r="G243" s="29" t="str">
        <x:v>Buttonwillow Raceway Park · 2003 tarihli fotoğraf</x:v>
      </x:c>
      <x:c r="H243" s="29" t="str">
        <x:v>Craig Howell</x:v>
      </x:c>
      <x:c r="I243" s="29" t="str">
        <x:v>CC BY 2.0</x:v>
      </x:c>
      <x:c r="J243" s="29" t="str">
        <x:v>https://creativecommons.org/licenses/by/2.0/</x:v>
      </x:c>
      <x:c r="K243" s="29" t="str">
        <x:v>https://www.flickr.com/photos/78317199@N00/2684325136/</x:v>
      </x:c>
      <x:c r="L243" s="31" t="d">
        <x:v>2003-05-04T00:00:00.000Z</x:v>
      </x:c>
      <x:c r="M243" s="31" t="d">
        <x:v>2026-10-24T00:00:00.000Z</x:v>
      </x:c>
      <x:c r="N243" s="29" t="str">
        <x:v>EXIF yönü uygulandı; boyut küçültülüp WebP biçimine dönüştürüldü.</x:v>
      </x:c>
      <x:c r="O243" s="29" t="str">
        <x:v>bakersfield:evidence:venue-22208</x:v>
      </x:c>
      <x:c r="P243" s="29" t="str">
        <x:v>Evet</x:v>
      </x:c>
      <x:c r="Q243" s="35" t="n">
        <x:v>0</x:v>
      </x:c>
      <x:c r="R243" s="29" t="str">
        <x:v>İnceleme</x:v>
      </x:c>
      <x:c r="S243" s="36" t="n">
        <x:f>IF(OR(A243="",C243&lt;&gt;"Mekân",P243&lt;&gt;"Evet"),0,IF(COUNTIFS($F$8:F243,F243,$C$8:C243,"Mekân",$P$8:P243,"Evet")=1,1,0))</x:f>
        <x:v>1</x:v>
      </x:c>
      <x:c r="T243" s="36" t="n">
        <x:f>IF(OR(A243="",C243&lt;&gt;"Kapak",P243&lt;&gt;"Evet"),0,IF(COUNTIFS($F$8:F243,F243,$C$8:C243,"Kapak",$P$8:P243,"Evet")=1,1,0))</x:f>
        <x:v>0</x:v>
      </x:c>
    </x:row>
    <x:row r="244" ht="54" customHeight="1">
      <x:c r="A244" s="29" t="str">
        <x:v>bakersfield:photo:venue-22209</x:v>
      </x:c>
      <x:c r="B244" s="29" t="str">
        <x:v>bakersfield</x:v>
      </x:c>
      <x:c r="C244" s="29" t="str">
        <x:v>Mekân</x:v>
      </x:c>
      <x:c r="D244" s="29" t="str">
        <x:v>bakersfield:yer-local-bakersfield-red-rock-canyon</x:v>
      </x:c>
      <x:c r="E244" s="29" t="str">
        <x:v>Fotoğraflar/bk-f6984b0516e9dbbc515fc5c8.webp</x:v>
      </x:c>
      <x:c r="F244" s="29" t="str">
        <x:v>f6984b0516e9dbbc515fc5c80c762a39c8c229e9ad91b50383059eae371a5dfa</x:v>
      </x:c>
      <x:c r="G244" s="29" t="str">
        <x:v>Red Rock Canyon State Park · Take tarihli fotoğraf</x:v>
      </x:c>
      <x:c r="H244" s="29" t="str">
        <x:v>Annette Teng</x:v>
      </x:c>
      <x:c r="I244" s="29" t="str">
        <x:v>CC BY 3.0</x:v>
      </x:c>
      <x:c r="J244" s="29" t="str">
        <x:v>https://creativecommons.org/licenses/by/3.0</x:v>
      </x:c>
      <x:c r="K244" s="29" t="str">
        <x:v>https://commons.wikimedia.org/wiki/File:Aerospace_Highway_-_panoramio.jpg</x:v>
      </x:c>
      <x:c r="L244" s="31"/>
      <x:c r="M244" s="31" t="d">
        <x:v>2026-10-24T00:00:00.000Z</x:v>
      </x:c>
      <x:c r="N244" s="29" t="str">
        <x:v>EXIF yönü uygulandı; boyut küçültülüp WebP biçimine dönüştürüldü.</x:v>
      </x:c>
      <x:c r="O244" s="29" t="str">
        <x:v>bakersfield:evidence:venue-22209</x:v>
      </x:c>
      <x:c r="P244" s="29" t="str">
        <x:v>Evet</x:v>
      </x:c>
      <x:c r="Q244" s="35" t="n">
        <x:v>0</x:v>
      </x:c>
      <x:c r="R244" s="29" t="str">
        <x:v>İnceleme</x:v>
      </x:c>
      <x:c r="S244" s="36" t="n">
        <x:f>IF(OR(A244="",C244&lt;&gt;"Mekân",P244&lt;&gt;"Evet"),0,IF(COUNTIFS($F$8:F244,F244,$C$8:C244,"Mekân",$P$8:P244,"Evet")=1,1,0))</x:f>
        <x:v>1</x:v>
      </x:c>
      <x:c r="T244" s="36" t="n">
        <x:f>IF(OR(A244="",C244&lt;&gt;"Kapak",P244&lt;&gt;"Evet"),0,IF(COUNTIFS($F$8:F244,F244,$C$8:C244,"Kapak",$P$8:P244,"Evet")=1,1,0))</x:f>
        <x:v>0</x:v>
      </x:c>
    </x:row>
    <x:row r="245" ht="54" customHeight="1">
      <x:c r="A245" s="29" t="str">
        <x:v>bakersfield:photo:venue-22210</x:v>
      </x:c>
      <x:c r="B245" s="29" t="str">
        <x:v>bakersfield</x:v>
      </x:c>
      <x:c r="C245" s="29" t="str">
        <x:v>Mekân</x:v>
      </x:c>
      <x:c r="D245" s="29" t="str">
        <x:v>bakersfield:yer-local-bakersfield-red-rock-canyon</x:v>
      </x:c>
      <x:c r="E245" s="29" t="str">
        <x:v>Fotoğraflar/bk-8de616903537169a6b1b559a.webp</x:v>
      </x:c>
      <x:c r="F245" s="29" t="str">
        <x:v>8de616903537169a6b1b559a3e7a3d3759436e8843fd6178b729ada4f9004e5c</x:v>
      </x:c>
      <x:c r="G245" s="29" t="str">
        <x:v>Red Rock Canyon State Park · 3 Ap tarihli fotoğraf</x:v>
      </x:c>
      <x:c r="H245" s="29" t="str">
        <x:v>Tracie Hall from Orange County, us</x:v>
      </x:c>
      <x:c r="I245" s="29" t="str">
        <x:v>CC BY-SA 2.0</x:v>
      </x:c>
      <x:c r="J245" s="29" t="str">
        <x:v>https://creativecommons.org/licenses/by-sa/2.0</x:v>
      </x:c>
      <x:c r="K245" s="29" t="str">
        <x:v>https://commons.wikimedia.org/wiki/File:DSC_0063_(51105212879).jpg</x:v>
      </x:c>
      <x:c r="L245" s="31"/>
      <x:c r="M245" s="31" t="d">
        <x:v>2026-10-24T00:00:00.000Z</x:v>
      </x:c>
      <x:c r="N245" s="29" t="str">
        <x:v>EXIF yönü uygulandı; boyut küçültülüp WebP biçimine dönüştürüldü.</x:v>
      </x:c>
      <x:c r="O245" s="29" t="str">
        <x:v>bakersfield:evidence:venue-22210</x:v>
      </x:c>
      <x:c r="P245" s="29" t="str">
        <x:v>Evet</x:v>
      </x:c>
      <x:c r="Q245" s="35" t="n">
        <x:v>1</x:v>
      </x:c>
      <x:c r="R245" s="29" t="str">
        <x:v>İnceleme</x:v>
      </x:c>
      <x:c r="S245" s="36" t="n">
        <x:f>IF(OR(A245="",C245&lt;&gt;"Mekân",P245&lt;&gt;"Evet"),0,IF(COUNTIFS($F$8:F245,F245,$C$8:C245,"Mekân",$P$8:P245,"Evet")=1,1,0))</x:f>
        <x:v>1</x:v>
      </x:c>
      <x:c r="T245" s="36" t="n">
        <x:f>IF(OR(A245="",C245&lt;&gt;"Kapak",P245&lt;&gt;"Evet"),0,IF(COUNTIFS($F$8:F245,F245,$C$8:C245,"Kapak",$P$8:P245,"Evet")=1,1,0))</x:f>
        <x:v>0</x:v>
      </x:c>
    </x:row>
    <x:row r="246" ht="54" customHeight="1">
      <x:c r="A246" s="29" t="str">
        <x:v>bakersfield:photo:venue-22211</x:v>
      </x:c>
      <x:c r="B246" s="29" t="str">
        <x:v>bakersfield</x:v>
      </x:c>
      <x:c r="C246" s="29" t="str">
        <x:v>Mekân</x:v>
      </x:c>
      <x:c r="D246" s="29" t="str">
        <x:v>bakersfield:yer-local-bakersfield-carrizo-plain</x:v>
      </x:c>
      <x:c r="E246" s="29" t="str">
        <x:v>Fotoğraflar/bk-f523ba46ab64c14fa980835e.webp</x:v>
      </x:c>
      <x:c r="F246" s="29" t="str">
        <x:v>f523ba46ab64c14fa980835ed483b0dc65fe4bf67fc411599a26748ca5df8b4b</x:v>
      </x:c>
      <x:c r="G246" s="29" t="str">
        <x:v>Carrizo Plain National Monument · 2015 tarihli fotoğraf</x:v>
      </x:c>
      <x:c r="H246" s="29" t="str">
        <x:v>Jimstoic</x:v>
      </x:c>
      <x:c r="I246" s="29" t="str">
        <x:v>CC BY-SA 4.0</x:v>
      </x:c>
      <x:c r="J246" s="29" t="str">
        <x:v>https://creativecommons.org/licenses/by-sa/4.0</x:v>
      </x:c>
      <x:c r="K246" s="29" t="str">
        <x:v>https://commons.wikimedia.org/wiki/File:5C3A3969.JPG</x:v>
      </x:c>
      <x:c r="L246" s="31" t="d">
        <x:v>2015-09-26T00:00:00.000Z</x:v>
      </x:c>
      <x:c r="M246" s="31" t="d">
        <x:v>2026-10-24T00:00:00.000Z</x:v>
      </x:c>
      <x:c r="N246" s="29" t="str">
        <x:v>EXIF yönü uygulandı; boyut küçültülüp WebP biçimine dönüştürüldü.</x:v>
      </x:c>
      <x:c r="O246" s="29" t="str">
        <x:v>bakersfield:evidence:venue-22211</x:v>
      </x:c>
      <x:c r="P246" s="29" t="str">
        <x:v>Evet</x:v>
      </x:c>
      <x:c r="Q246" s="35" t="n">
        <x:v>0</x:v>
      </x:c>
      <x:c r="R246" s="29" t="str">
        <x:v>İnceleme</x:v>
      </x:c>
      <x:c r="S246" s="36" t="n">
        <x:f>IF(OR(A246="",C246&lt;&gt;"Mekân",P246&lt;&gt;"Evet"),0,IF(COUNTIFS($F$8:F246,F246,$C$8:C246,"Mekân",$P$8:P246,"Evet")=1,1,0))</x:f>
        <x:v>1</x:v>
      </x:c>
      <x:c r="T246" s="36" t="n">
        <x:f>IF(OR(A246="",C246&lt;&gt;"Kapak",P246&lt;&gt;"Evet"),0,IF(COUNTIFS($F$8:F246,F246,$C$8:C246,"Kapak",$P$8:P246,"Evet")=1,1,0))</x:f>
        <x:v>0</x:v>
      </x:c>
    </x:row>
    <x:row r="247" ht="54" customHeight="1">
      <x:c r="A247" s="29" t="str">
        <x:v>bakersfield:photo:venue-22212</x:v>
      </x:c>
      <x:c r="B247" s="29" t="str">
        <x:v>bakersfield</x:v>
      </x:c>
      <x:c r="C247" s="29" t="str">
        <x:v>Mekân</x:v>
      </x:c>
      <x:c r="D247" s="29" t="str">
        <x:v>bakersfield:yer-local-bakersfield-carrizo-plain</x:v>
      </x:c>
      <x:c r="E247" s="29" t="str">
        <x:v>Fotoğraflar/bk-0e4b11bb4214f3a920e56094.webp</x:v>
      </x:c>
      <x:c r="F247" s="29" t="str">
        <x:v>0e4b11bb4214f3a920e560946c6d09a6d91a3a4cbfb3d188ef73a3881fc1461c</x:v>
      </x:c>
      <x:c r="G247" s="29" t="str">
        <x:v>Carrizo Plain National Monument · 2009 tarihli fotoğraf</x:v>
      </x:c>
      <x:c r="H247" s="29" t="str">
        <x:v>Damian Gadal</x:v>
      </x:c>
      <x:c r="I247" s="29" t="str">
        <x:v>CC BY 2.0</x:v>
      </x:c>
      <x:c r="J247" s="29" t="str">
        <x:v>https://creativecommons.org/licenses/by/2.0</x:v>
      </x:c>
      <x:c r="K247" s="29" t="str">
        <x:v>https://commons.wikimedia.org/wiki/File:Abandoned_on_the_plain_(3291435995).jpg</x:v>
      </x:c>
      <x:c r="L247" s="31"/>
      <x:c r="M247" s="31" t="d">
        <x:v>2026-10-24T00:00:00.000Z</x:v>
      </x:c>
      <x:c r="N247" s="29" t="str">
        <x:v>EXIF yönü uygulandı; boyut küçültülüp WebP biçimine dönüştürüldü.</x:v>
      </x:c>
      <x:c r="O247" s="29" t="str">
        <x:v>bakersfield:evidence:venue-22212</x:v>
      </x:c>
      <x:c r="P247" s="29" t="str">
        <x:v>Evet</x:v>
      </x:c>
      <x:c r="Q247" s="35" t="n">
        <x:v>1</x:v>
      </x:c>
      <x:c r="R247" s="29" t="str">
        <x:v>İnceleme</x:v>
      </x:c>
      <x:c r="S247" s="36" t="n">
        <x:f>IF(OR(A247="",C247&lt;&gt;"Mekân",P247&lt;&gt;"Evet"),0,IF(COUNTIFS($F$8:F247,F247,$C$8:C247,"Mekân",$P$8:P247,"Evet")=1,1,0))</x:f>
        <x:v>1</x:v>
      </x:c>
      <x:c r="T247" s="36" t="n">
        <x:f>IF(OR(A247="",C247&lt;&gt;"Kapak",P247&lt;&gt;"Evet"),0,IF(COUNTIFS($F$8:F247,F247,$C$8:C247,"Kapak",$P$8:P247,"Evet")=1,1,0))</x:f>
        <x:v>0</x:v>
      </x:c>
    </x:row>
    <x:row r="248" ht="54" customHeight="1">
      <x:c r="A248" s="29" t="str">
        <x:v>bakersfield:photo:venue-22213</x:v>
      </x:c>
      <x:c r="B248" s="29" t="str">
        <x:v>bakersfield</x:v>
      </x:c>
      <x:c r="C248" s="29" t="str">
        <x:v>Mekân</x:v>
      </x:c>
      <x:c r="D248" s="29" t="str">
        <x:v>bakersfield:yer-local-bakersfield-carrizo-plain</x:v>
      </x:c>
      <x:c r="E248" s="29" t="str">
        <x:v>Fotoğraflar/bk-8379f1cc434d68ab7d527b49.webp</x:v>
      </x:c>
      <x:c r="F248" s="29" t="str">
        <x:v>8379f1cc434d68ab7d527b496007dbb9e72dd66dccdd9e13e09101d3a66376ed</x:v>
      </x:c>
      <x:c r="G248" s="29" t="str">
        <x:v>Carrizo Plain National Monument · 2008 tarihli fotoğraf</x:v>
      </x:c>
      <x:c r="H248" s="29" t="str">
        <x:v>Damian Gadal</x:v>
      </x:c>
      <x:c r="I248" s="29" t="str">
        <x:v>CC BY 2.0</x:v>
      </x:c>
      <x:c r="J248" s="29" t="str">
        <x:v>https://creativecommons.org/licenses/by/2.0</x:v>
      </x:c>
      <x:c r="K248" s="29" t="str">
        <x:v>https://commons.wikimedia.org/wiki/File:Above_the_Road_(4691645001).jpg</x:v>
      </x:c>
      <x:c r="L248" s="31"/>
      <x:c r="M248" s="31" t="d">
        <x:v>2026-10-24T00:00:00.000Z</x:v>
      </x:c>
      <x:c r="N248" s="29" t="str">
        <x:v>EXIF yönü uygulandı; boyut küçültülüp WebP biçimine dönüştürüldü.</x:v>
      </x:c>
      <x:c r="O248" s="29" t="str">
        <x:v>bakersfield:evidence:venue-22213</x:v>
      </x:c>
      <x:c r="P248" s="29" t="str">
        <x:v>Evet</x:v>
      </x:c>
      <x:c r="Q248" s="35" t="n">
        <x:v>2</x:v>
      </x:c>
      <x:c r="R248" s="29" t="str">
        <x:v>İnceleme</x:v>
      </x:c>
      <x:c r="S248" s="36" t="n">
        <x:f>IF(OR(A248="",C248&lt;&gt;"Mekân",P248&lt;&gt;"Evet"),0,IF(COUNTIFS($F$8:F248,F248,$C$8:C248,"Mekân",$P$8:P248,"Evet")=1,1,0))</x:f>
        <x:v>1</x:v>
      </x:c>
      <x:c r="T248" s="36" t="n">
        <x:f>IF(OR(A248="",C248&lt;&gt;"Kapak",P248&lt;&gt;"Evet"),0,IF(COUNTIFS($F$8:F248,F248,$C$8:C248,"Kapak",$P$8:P248,"Evet")=1,1,0))</x:f>
        <x:v>0</x:v>
      </x:c>
    </x:row>
    <x:row r="249" ht="54" customHeight="1">
      <x:c r="A249" s="29" t="str">
        <x:v>bakersfield:photo:venue-22214</x:v>
      </x:c>
      <x:c r="B249" s="29" t="str">
        <x:v>bakersfield</x:v>
      </x:c>
      <x:c r="C249" s="29" t="str">
        <x:v>Mekân</x:v>
      </x:c>
      <x:c r="D249" s="29" t="str">
        <x:v>bakersfield:yer-local-bakersfield-carrizo-plain</x:v>
      </x:c>
      <x:c r="E249" s="29" t="str">
        <x:v>Fotoğraflar/bk-1897e6c113666f16fadb9a34.webp</x:v>
      </x:c>
      <x:c r="F249" s="29" t="str">
        <x:v>1897e6c113666f16fadb9a34f1dca30a99ae98d0a7dec840856a6cb3ca059308</x:v>
      </x:c>
      <x:c r="G249" s="29" t="str">
        <x:v>Carrizo Plain National Monument · 2017 tarihli fotoğraf</x:v>
      </x:c>
      <x:c r="H249" s="29" t="str">
        <x:v>Collette14713</x:v>
      </x:c>
      <x:c r="I249" s="29" t="str">
        <x:v>CC BY-SA 4.0</x:v>
      </x:c>
      <x:c r="J249" s="29" t="str">
        <x:v>https://creativecommons.org/licenses/by-sa/4.0</x:v>
      </x:c>
      <x:c r="K249" s="29" t="str">
        <x:v>https://commons.wikimedia.org/wiki/File:Blue_sky_and_yellow_flowers.jpg</x:v>
      </x:c>
      <x:c r="L249" s="31"/>
      <x:c r="M249" s="31" t="d">
        <x:v>2026-10-24T00:00:00.000Z</x:v>
      </x:c>
      <x:c r="N249" s="29" t="str">
        <x:v>EXIF yönü uygulandı; boyut küçültülüp WebP biçimine dönüştürüldü.</x:v>
      </x:c>
      <x:c r="O249" s="29" t="str">
        <x:v>bakersfield:evidence:venue-22214</x:v>
      </x:c>
      <x:c r="P249" s="29" t="str">
        <x:v>Evet</x:v>
      </x:c>
      <x:c r="Q249" s="35" t="n">
        <x:v>3</x:v>
      </x:c>
      <x:c r="R249" s="29" t="str">
        <x:v>İnceleme</x:v>
      </x:c>
      <x:c r="S249" s="36" t="n">
        <x:f>IF(OR(A249="",C249&lt;&gt;"Mekân",P249&lt;&gt;"Evet"),0,IF(COUNTIFS($F$8:F249,F249,$C$8:C249,"Mekân",$P$8:P249,"Evet")=1,1,0))</x:f>
        <x:v>1</x:v>
      </x:c>
      <x:c r="T249" s="36" t="n">
        <x:f>IF(OR(A249="",C249&lt;&gt;"Kapak",P249&lt;&gt;"Evet"),0,IF(COUNTIFS($F$8:F249,F249,$C$8:C249,"Kapak",$P$8:P249,"Evet")=1,1,0))</x:f>
        <x:v>0</x:v>
      </x:c>
    </x:row>
    <x:row r="250" ht="54" customHeight="1">
      <x:c r="A250" s="29" t="str">
        <x:v>bakersfield:photo:venue-22215</x:v>
      </x:c>
      <x:c r="B250" s="29" t="str">
        <x:v>bakersfield</x:v>
      </x:c>
      <x:c r="C250" s="29" t="str">
        <x:v>Mekân</x:v>
      </x:c>
      <x:c r="D250" s="29" t="str">
        <x:v>bakersfield:yer-local-bakersfield-carrizo-plain</x:v>
      </x:c>
      <x:c r="E250" s="29" t="str">
        <x:v>Fotoğraflar/bk-1dbedc0bd3929ae854533ef9.webp</x:v>
      </x:c>
      <x:c r="F250" s="29" t="str">
        <x:v>1dbedc0bd3929ae854533ef9e332d35ed557b82731ddecbafb5efe545f595343</x:v>
      </x:c>
      <x:c r="G250" s="29" t="str">
        <x:v>Carrizo Plain National Monument · 2010 tarihli fotoğraf</x:v>
      </x:c>
      <x:c r="H250" s="29" t="str">
        <x:v>Bureau  of Land Management</x:v>
      </x:c>
      <x:c r="I250" s="29" t="str">
        <x:v>CC BY 2.0</x:v>
      </x:c>
      <x:c r="J250" s="29" t="str">
        <x:v>https://creativecommons.org/licenses/by/2.0/</x:v>
      </x:c>
      <x:c r="K250" s="29" t="str">
        <x:v>https://www.flickr.com/photos/91981596@N06/8779594981/</x:v>
      </x:c>
      <x:c r="L250" s="31" t="d">
        <x:v>2010-04-14T00:00:00.000Z</x:v>
      </x:c>
      <x:c r="M250" s="31" t="d">
        <x:v>2026-10-24T00:00:00.000Z</x:v>
      </x:c>
      <x:c r="N250" s="29" t="str">
        <x:v>EXIF yönü uygulandı; boyut küçültülüp WebP biçimine dönüştürüldü.</x:v>
      </x:c>
      <x:c r="O250" s="29" t="str">
        <x:v>bakersfield:evidence:venue-22215</x:v>
      </x:c>
      <x:c r="P250" s="29" t="str">
        <x:v>Evet</x:v>
      </x:c>
      <x:c r="Q250" s="35" t="n">
        <x:v>4</x:v>
      </x:c>
      <x:c r="R250" s="29" t="str">
        <x:v>İnceleme</x:v>
      </x:c>
      <x:c r="S250" s="36" t="n">
        <x:f>IF(OR(A250="",C250&lt;&gt;"Mekân",P250&lt;&gt;"Evet"),0,IF(COUNTIFS($F$8:F250,F250,$C$8:C250,"Mekân",$P$8:P250,"Evet")=1,1,0))</x:f>
        <x:v>1</x:v>
      </x:c>
      <x:c r="T250" s="36" t="n">
        <x:f>IF(OR(A250="",C250&lt;&gt;"Kapak",P250&lt;&gt;"Evet"),0,IF(COUNTIFS($F$8:F250,F250,$C$8:C250,"Kapak",$P$8:P250,"Evet")=1,1,0))</x:f>
        <x:v>0</x:v>
      </x:c>
    </x:row>
    <x:row r="251" ht="54" customHeight="1">
      <x:c r="A251" s="29" t="str">
        <x:v>bakersfield:photo:venue-22216</x:v>
      </x:c>
      <x:c r="B251" s="29" t="str">
        <x:v>bakersfield</x:v>
      </x:c>
      <x:c r="C251" s="29" t="str">
        <x:v>Mekân</x:v>
      </x:c>
      <x:c r="D251" s="29" t="str">
        <x:v>bakersfield:yer-local-bakersfield-carrizo-plain</x:v>
      </x:c>
      <x:c r="E251" s="29" t="str">
        <x:v>Fotoğraflar/bk-ac2ab73a81351c09ccd7823b.webp</x:v>
      </x:c>
      <x:c r="F251" s="29" t="str">
        <x:v>ac2ab73a81351c09ccd7823bc0bf83ef010a400a2f4ce70415b60a1eddcc5f4e</x:v>
      </x:c>
      <x:c r="G251" s="29" t="str">
        <x:v>Carrizo Plain National Monument · 2005 tarihli fotoğraf</x:v>
      </x:c>
      <x:c r="H251" s="29" t="str">
        <x:v>Bureau  of Land Management</x:v>
      </x:c>
      <x:c r="I251" s="29" t="str">
        <x:v>CC BY 2.0</x:v>
      </x:c>
      <x:c r="J251" s="29" t="str">
        <x:v>https://creativecommons.org/licenses/by/2.0/</x:v>
      </x:c>
      <x:c r="K251" s="29" t="str">
        <x:v>https://www.flickr.com/photos/91981596@N06/8779601771/</x:v>
      </x:c>
      <x:c r="L251" s="31" t="d">
        <x:v>2005-04-01T00:00:00.000Z</x:v>
      </x:c>
      <x:c r="M251" s="31" t="d">
        <x:v>2026-10-24T00:00:00.000Z</x:v>
      </x:c>
      <x:c r="N251" s="29" t="str">
        <x:v>EXIF yönü uygulandı; boyut küçültülüp WebP biçimine dönüştürüldü.</x:v>
      </x:c>
      <x:c r="O251" s="29" t="str">
        <x:v>bakersfield:evidence:venue-22216</x:v>
      </x:c>
      <x:c r="P251" s="29" t="str">
        <x:v>Evet</x:v>
      </x:c>
      <x:c r="Q251" s="35" t="n">
        <x:v>5</x:v>
      </x:c>
      <x:c r="R251" s="29" t="str">
        <x:v>İnceleme</x:v>
      </x:c>
      <x:c r="S251" s="36" t="n">
        <x:f>IF(OR(A251="",C251&lt;&gt;"Mekân",P251&lt;&gt;"Evet"),0,IF(COUNTIFS($F$8:F251,F251,$C$8:C251,"Mekân",$P$8:P251,"Evet")=1,1,0))</x:f>
        <x:v>1</x:v>
      </x:c>
      <x:c r="T251" s="36" t="n">
        <x:f>IF(OR(A251="",C251&lt;&gt;"Kapak",P251&lt;&gt;"Evet"),0,IF(COUNTIFS($F$8:F251,F251,$C$8:C251,"Kapak",$P$8:P251,"Evet")=1,1,0))</x:f>
        <x:v>0</x:v>
      </x:c>
    </x:row>
    <x:row r="252" ht="54" customHeight="1">
      <x:c r="A252" s="29" t="str">
        <x:v>bakersfield:photo:venue-22217</x:v>
      </x:c>
      <x:c r="B252" s="29" t="str">
        <x:v>bakersfield</x:v>
      </x:c>
      <x:c r="C252" s="29" t="str">
        <x:v>Mekân</x:v>
      </x:c>
      <x:c r="D252" s="29" t="str">
        <x:v>bakersfield:yer-local-bakersfield-carrizo-plain</x:v>
      </x:c>
      <x:c r="E252" s="29" t="str">
        <x:v>Fotoğraflar/bk-85b6576e648b0789ed3328e9.webp</x:v>
      </x:c>
      <x:c r="F252" s="29" t="str">
        <x:v>85b6576e648b0789ed3328e914d890e7fe8e95043e852ec109de8364da0ccbba</x:v>
      </x:c>
      <x:c r="G252" s="29" t="str">
        <x:v>Carrizo Plain National Monument · 2003 tarihli fotoğraf</x:v>
      </x:c>
      <x:c r="H252" s="29" t="str">
        <x:v>Bureau  of Land Management</x:v>
      </x:c>
      <x:c r="I252" s="29" t="str">
        <x:v>CC BY 2.0</x:v>
      </x:c>
      <x:c r="J252" s="29" t="str">
        <x:v>https://creativecommons.org/licenses/by/2.0/</x:v>
      </x:c>
      <x:c r="K252" s="29" t="str">
        <x:v>https://www.flickr.com/photos/91981596@N06/8779622945/</x:v>
      </x:c>
      <x:c r="L252" s="31" t="d">
        <x:v>2003-01-13T00:00:00.000Z</x:v>
      </x:c>
      <x:c r="M252" s="31" t="d">
        <x:v>2026-10-24T00:00:00.000Z</x:v>
      </x:c>
      <x:c r="N252" s="29" t="str">
        <x:v>EXIF yönü uygulandı; boyut küçültülüp WebP biçimine dönüştürüldü.</x:v>
      </x:c>
      <x:c r="O252" s="29" t="str">
        <x:v>bakersfield:evidence:venue-22217</x:v>
      </x:c>
      <x:c r="P252" s="29" t="str">
        <x:v>Evet</x:v>
      </x:c>
      <x:c r="Q252" s="35" t="n">
        <x:v>6</x:v>
      </x:c>
      <x:c r="R252" s="29" t="str">
        <x:v>İnceleme</x:v>
      </x:c>
      <x:c r="S252" s="36" t="n">
        <x:f>IF(OR(A252="",C252&lt;&gt;"Mekân",P252&lt;&gt;"Evet"),0,IF(COUNTIFS($F$8:F252,F252,$C$8:C252,"Mekân",$P$8:P252,"Evet")=1,1,0))</x:f>
        <x:v>1</x:v>
      </x:c>
      <x:c r="T252" s="36" t="n">
        <x:f>IF(OR(A252="",C252&lt;&gt;"Kapak",P252&lt;&gt;"Evet"),0,IF(COUNTIFS($F$8:F252,F252,$C$8:C252,"Kapak",$P$8:P252,"Evet")=1,1,0))</x:f>
        <x:v>0</x:v>
      </x:c>
    </x:row>
    <x:row r="253" ht="54" customHeight="1">
      <x:c r="A253" s="29" t="str">
        <x:v>bakersfield:photo:venue-22218</x:v>
      </x:c>
      <x:c r="B253" s="29" t="str">
        <x:v>bakersfield</x:v>
      </x:c>
      <x:c r="C253" s="29" t="str">
        <x:v>Mekân</x:v>
      </x:c>
      <x:c r="D253" s="29" t="str">
        <x:v>bakersfield:yer-local-bakersfield-carrizo-plain</x:v>
      </x:c>
      <x:c r="E253" s="29" t="str">
        <x:v>Fotoğraflar/bk-34f1dba632eeefa08d8d533c.webp</x:v>
      </x:c>
      <x:c r="F253" s="29" t="str">
        <x:v>34f1dba632eeefa08d8d533c059a2e9c2bef4eec67ee91c5b5f4e5f36ebc8288</x:v>
      </x:c>
      <x:c r="G253" s="29" t="str">
        <x:v>Carrizo Plain National Monument · 2003 tarihli fotoğraf</x:v>
      </x:c>
      <x:c r="H253" s="29" t="str">
        <x:v>Bureau  of Land Management</x:v>
      </x:c>
      <x:c r="I253" s="29" t="str">
        <x:v>CC BY 2.0</x:v>
      </x:c>
      <x:c r="J253" s="29" t="str">
        <x:v>https://creativecommons.org/licenses/by/2.0/</x:v>
      </x:c>
      <x:c r="K253" s="29" t="str">
        <x:v>https://www.flickr.com/photos/91981596@N06/8786189898/</x:v>
      </x:c>
      <x:c r="L253" s="31" t="d">
        <x:v>2003-01-14T00:00:00.000Z</x:v>
      </x:c>
      <x:c r="M253" s="31" t="d">
        <x:v>2026-10-24T00:00:00.000Z</x:v>
      </x:c>
      <x:c r="N253" s="29" t="str">
        <x:v>EXIF yönü uygulandı; boyut küçültülüp WebP biçimine dönüştürüldü.</x:v>
      </x:c>
      <x:c r="O253" s="29" t="str">
        <x:v>bakersfield:evidence:venue-22218</x:v>
      </x:c>
      <x:c r="P253" s="29" t="str">
        <x:v>Evet</x:v>
      </x:c>
      <x:c r="Q253" s="35" t="n">
        <x:v>7</x:v>
      </x:c>
      <x:c r="R253" s="29" t="str">
        <x:v>İnceleme</x:v>
      </x:c>
      <x:c r="S253" s="36" t="n">
        <x:f>IF(OR(A253="",C253&lt;&gt;"Mekân",P253&lt;&gt;"Evet"),0,IF(COUNTIFS($F$8:F253,F253,$C$8:C253,"Mekân",$P$8:P253,"Evet")=1,1,0))</x:f>
        <x:v>1</x:v>
      </x:c>
      <x:c r="T253" s="36" t="n">
        <x:f>IF(OR(A253="",C253&lt;&gt;"Kapak",P253&lt;&gt;"Evet"),0,IF(COUNTIFS($F$8:F253,F253,$C$8:C253,"Kapak",$P$8:P253,"Evet")=1,1,0))</x:f>
        <x:v>0</x:v>
      </x:c>
    </x:row>
    <x:row r="254" ht="54" customHeight="1">
      <x:c r="A254" s="29" t="str">
        <x:v>bakersfield:photo:venue-22219</x:v>
      </x:c>
      <x:c r="B254" s="29" t="str">
        <x:v>bakersfield</x:v>
      </x:c>
      <x:c r="C254" s="29" t="str">
        <x:v>Mekân</x:v>
      </x:c>
      <x:c r="D254" s="29" t="str">
        <x:v>bakersfield:yer-local-bakersfield-kern-canyon</x:v>
      </x:c>
      <x:c r="E254" s="29" t="str">
        <x:v>Fotoğraflar/bk-2030f994a92ee4180cd487ac.webp</x:v>
      </x:c>
      <x:c r="F254" s="29" t="str">
        <x:v>2030f994a92ee4180cd487ac58b2db6669173dd897bf73c23182201a96b0be83</x:v>
      </x:c>
      <x:c r="G254" s="29" t="str">
        <x:v>Kern River Canyon · 2019 tarihli fotoğraf</x:v>
      </x:c>
      <x:c r="H254" s="29" t="str">
        <x:v>Matthew Dillon</x:v>
      </x:c>
      <x:c r="I254" s="29" t="str">
        <x:v>CC BY 2.0</x:v>
      </x:c>
      <x:c r="J254" s="29" t="str">
        <x:v>https://creativecommons.org/licenses/by/2.0/</x:v>
      </x:c>
      <x:c r="K254" s="29" t="str">
        <x:v>https://www.flickr.com/photos/21874566@N07/48156748017/</x:v>
      </x:c>
      <x:c r="L254" s="31" t="d">
        <x:v>2019-06-23T00:00:00.000Z</x:v>
      </x:c>
      <x:c r="M254" s="31" t="d">
        <x:v>2026-10-24T00:00:00.000Z</x:v>
      </x:c>
      <x:c r="N254" s="29" t="str">
        <x:v>EXIF yönü uygulandı; boyut küçültülüp WebP biçimine dönüştürüldü.</x:v>
      </x:c>
      <x:c r="O254" s="29" t="str">
        <x:v>bakersfield:evidence:venue-22219</x:v>
      </x:c>
      <x:c r="P254" s="29" t="str">
        <x:v>Evet</x:v>
      </x:c>
      <x:c r="Q254" s="35" t="n">
        <x:v>0</x:v>
      </x:c>
      <x:c r="R254" s="29" t="str">
        <x:v>İnceleme</x:v>
      </x:c>
      <x:c r="S254" s="36" t="n">
        <x:f>IF(OR(A254="",C254&lt;&gt;"Mekân",P254&lt;&gt;"Evet"),0,IF(COUNTIFS($F$8:F254,F254,$C$8:C254,"Mekân",$P$8:P254,"Evet")=1,1,0))</x:f>
        <x:v>1</x:v>
      </x:c>
      <x:c r="T254" s="36" t="n">
        <x:f>IF(OR(A254="",C254&lt;&gt;"Kapak",P254&lt;&gt;"Evet"),0,IF(COUNTIFS($F$8:F254,F254,$C$8:C254,"Kapak",$P$8:P254,"Evet")=1,1,0))</x:f>
        <x:v>0</x:v>
      </x:c>
    </x:row>
    <x:row r="255" ht="54" customHeight="1">
      <x:c r="A255" s="29" t="str">
        <x:v>bakersfield:photo:venue-22220</x:v>
      </x:c>
      <x:c r="B255" s="29" t="str">
        <x:v>bakersfield</x:v>
      </x:c>
      <x:c r="C255" s="29" t="str">
        <x:v>Mekân</x:v>
      </x:c>
      <x:c r="D255" s="29" t="str">
        <x:v>bakersfield:yer-local-bakersfield-kern-canyon</x:v>
      </x:c>
      <x:c r="E255" s="29" t="str">
        <x:v>Fotoğraflar/bk-ff212623ba275ee37a4989ff.webp</x:v>
      </x:c>
      <x:c r="F255" s="29" t="str">
        <x:v>ff212623ba275ee37a4989ff103043d5df728896133d975154b080c131297784</x:v>
      </x:c>
      <x:c r="G255" s="29" t="str">
        <x:v>Kern River Canyon · 2017 tarihli fotoğraf</x:v>
      </x:c>
      <x:c r="H255" s="29" t="str">
        <x:v>Anon Anon</x:v>
      </x:c>
      <x:c r="I255" s="29" t="str">
        <x:v>CC0 1.0</x:v>
      </x:c>
      <x:c r="J255" s="29" t="str">
        <x:v>https://creativecommons.org/publicdomain/zero/1.0/</x:v>
      </x:c>
      <x:c r="K255" s="29" t="str">
        <x:v>https://www.flickr.com/photos/193771854@N06/51822720858/</x:v>
      </x:c>
      <x:c r="L255" s="31" t="d">
        <x:v>2017-09-28T00:00:00.000Z</x:v>
      </x:c>
      <x:c r="M255" s="31" t="d">
        <x:v>2026-10-24T00:00:00.000Z</x:v>
      </x:c>
      <x:c r="N255" s="29" t="str">
        <x:v>EXIF yönü uygulandı; boyut küçültülüp WebP biçimine dönüştürüldü.</x:v>
      </x:c>
      <x:c r="O255" s="29" t="str">
        <x:v>bakersfield:evidence:venue-22220</x:v>
      </x:c>
      <x:c r="P255" s="29" t="str">
        <x:v>Evet</x:v>
      </x:c>
      <x:c r="Q255" s="35" t="n">
        <x:v>1</x:v>
      </x:c>
      <x:c r="R255" s="29" t="str">
        <x:v>İnceleme</x:v>
      </x:c>
      <x:c r="S255" s="36" t="n">
        <x:f>IF(OR(A255="",C255&lt;&gt;"Mekân",P255&lt;&gt;"Evet"),0,IF(COUNTIFS($F$8:F255,F255,$C$8:C255,"Mekân",$P$8:P255,"Evet")=1,1,0))</x:f>
        <x:v>1</x:v>
      </x:c>
      <x:c r="T255" s="36" t="n">
        <x:f>IF(OR(A255="",C255&lt;&gt;"Kapak",P255&lt;&gt;"Evet"),0,IF(COUNTIFS($F$8:F255,F255,$C$8:C255,"Kapak",$P$8:P255,"Evet")=1,1,0))</x:f>
        <x:v>0</x:v>
      </x:c>
    </x:row>
    <x:row r="256" ht="54" customHeight="1">
      <x:c r="A256" s="29" t="str">
        <x:v>bakersfield:photo:venue-22221</x:v>
      </x:c>
      <x:c r="B256" s="29" t="str">
        <x:v>bakersfield</x:v>
      </x:c>
      <x:c r="C256" s="29" t="str">
        <x:v>Mekân</x:v>
      </x:c>
      <x:c r="D256" s="29" t="str">
        <x:v>bakersfield:yer-local-bakersfield-kern-canyon</x:v>
      </x:c>
      <x:c r="E256" s="29" t="str">
        <x:v>Fotoğraflar/bk-122da4dbb6b711f5f9d4cfe0.webp</x:v>
      </x:c>
      <x:c r="F256" s="29" t="str">
        <x:v>122da4dbb6b711f5f9d4cfe080ab5bb3621df3813e1279c3074466f1109b1d0a</x:v>
      </x:c>
      <x:c r="G256" s="29" t="str">
        <x:v>Kern River Canyon · 2019 tarihli fotoğraf</x:v>
      </x:c>
      <x:c r="H256" s="29" t="str">
        <x:v>Matthew Dillon</x:v>
      </x:c>
      <x:c r="I256" s="29" t="str">
        <x:v>CC BY 2.0</x:v>
      </x:c>
      <x:c r="J256" s="29" t="str">
        <x:v>https://creativecommons.org/licenses/by/2.0/</x:v>
      </x:c>
      <x:c r="K256" s="29" t="str">
        <x:v>https://www.flickr.com/photos/21874566@N07/48156671041/</x:v>
      </x:c>
      <x:c r="L256" s="31" t="d">
        <x:v>2019-06-23T00:00:00.000Z</x:v>
      </x:c>
      <x:c r="M256" s="31" t="d">
        <x:v>2026-10-24T00:00:00.000Z</x:v>
      </x:c>
      <x:c r="N256" s="29" t="str">
        <x:v>EXIF yönü uygulandı; boyut küçültülüp WebP biçimine dönüştürüldü.</x:v>
      </x:c>
      <x:c r="O256" s="29" t="str">
        <x:v>bakersfield:evidence:venue-22221</x:v>
      </x:c>
      <x:c r="P256" s="29" t="str">
        <x:v>Evet</x:v>
      </x:c>
      <x:c r="Q256" s="35" t="n">
        <x:v>2</x:v>
      </x:c>
      <x:c r="R256" s="29" t="str">
        <x:v>İnceleme</x:v>
      </x:c>
      <x:c r="S256" s="36" t="n">
        <x:f>IF(OR(A256="",C256&lt;&gt;"Mekân",P256&lt;&gt;"Evet"),0,IF(COUNTIFS($F$8:F256,F256,$C$8:C256,"Mekân",$P$8:P256,"Evet")=1,1,0))</x:f>
        <x:v>1</x:v>
      </x:c>
      <x:c r="T256" s="36" t="n">
        <x:f>IF(OR(A256="",C256&lt;&gt;"Kapak",P256&lt;&gt;"Evet"),0,IF(COUNTIFS($F$8:F256,F256,$C$8:C256,"Kapak",$P$8:P256,"Evet")=1,1,0))</x:f>
        <x:v>0</x:v>
      </x:c>
    </x:row>
    <x:row r="257" ht="54" customHeight="1">
      <x:c r="A257" s="29" t="str">
        <x:v>bakersfield:photo:venue-22222</x:v>
      </x:c>
      <x:c r="B257" s="29" t="str">
        <x:v>bakersfield</x:v>
      </x:c>
      <x:c r="C257" s="29" t="str">
        <x:v>Mekân</x:v>
      </x:c>
      <x:c r="D257" s="29" t="str">
        <x:v>bakersfield:yer-local-bakersfield-kern-canyon</x:v>
      </x:c>
      <x:c r="E257" s="29" t="str">
        <x:v>Fotoğraflar/bk-e54890bf02c662a92f8a1b17.webp</x:v>
      </x:c>
      <x:c r="F257" s="29" t="str">
        <x:v>e54890bf02c662a92f8a1b17da5e6be477e083f584e5bcbaa371eb1e5aaae925</x:v>
      </x:c>
      <x:c r="G257" s="29" t="str">
        <x:v>Kern River Canyon · 2015 tarihli fotoğraf</x:v>
      </x:c>
      <x:c r="H257" s="29" t="str">
        <x:v>Julie Jordan Scott</x:v>
      </x:c>
      <x:c r="I257" s="29" t="str">
        <x:v>CC BY 2.0</x:v>
      </x:c>
      <x:c r="J257" s="29" t="str">
        <x:v>https://creativecommons.org/licenses/by/2.0/</x:v>
      </x:c>
      <x:c r="K257" s="29" t="str">
        <x:v>https://www.flickr.com/photos/98609821@N00/19737306910/</x:v>
      </x:c>
      <x:c r="L257" s="31" t="d">
        <x:v>2015-07-21T00:00:00.000Z</x:v>
      </x:c>
      <x:c r="M257" s="31" t="d">
        <x:v>2026-10-24T00:00:00.000Z</x:v>
      </x:c>
      <x:c r="N257" s="29" t="str">
        <x:v>EXIF yönü uygulandı; boyut küçültülüp WebP biçimine dönüştürüldü.</x:v>
      </x:c>
      <x:c r="O257" s="29" t="str">
        <x:v>bakersfield:evidence:venue-22222</x:v>
      </x:c>
      <x:c r="P257" s="29" t="str">
        <x:v>Evet</x:v>
      </x:c>
      <x:c r="Q257" s="35" t="n">
        <x:v>3</x:v>
      </x:c>
      <x:c r="R257" s="29" t="str">
        <x:v>İnceleme</x:v>
      </x:c>
      <x:c r="S257" s="36" t="n">
        <x:f>IF(OR(A257="",C257&lt;&gt;"Mekân",P257&lt;&gt;"Evet"),0,IF(COUNTIFS($F$8:F257,F257,$C$8:C257,"Mekân",$P$8:P257,"Evet")=1,1,0))</x:f>
        <x:v>1</x:v>
      </x:c>
      <x:c r="T257" s="36" t="n">
        <x:f>IF(OR(A257="",C257&lt;&gt;"Kapak",P257&lt;&gt;"Evet"),0,IF(COUNTIFS($F$8:F257,F257,$C$8:C257,"Kapak",$P$8:P257,"Evet")=1,1,0))</x:f>
        <x:v>0</x:v>
      </x:c>
    </x:row>
    <x:row r="258" ht="54" customHeight="1">
      <x:c r="A258" s="29" t="str">
        <x:v>bakersfield:photo:venue-22223</x:v>
      </x:c>
      <x:c r="B258" s="29" t="str">
        <x:v>bakersfield</x:v>
      </x:c>
      <x:c r="C258" s="29" t="str">
        <x:v>Mekân</x:v>
      </x:c>
      <x:c r="D258" s="29" t="str">
        <x:v>bakersfield:yer-local-bakersfield-weedpatch-camp</x:v>
      </x:c>
      <x:c r="E258" s="29" t="str">
        <x:v>Fotoğraflar/bk-943d7c9402819aab0a2cee7a.webp</x:v>
      </x:c>
      <x:c r="F258" s="29" t="str">
        <x:v>943d7c9402819aab0a2cee7a2c8b836ab9f4f45ad227433f2dc03fce1d9ef3de</x:v>
      </x:c>
      <x:c r="G258" s="29" t="str">
        <x:v>Sunset Labor Camp – Weedpatch · 2009 tarihli fotoğraf</x:v>
      </x:c>
      <x:c r="H258" s="29" t="str">
        <x:v>Bobak Ha'Eri</x:v>
      </x:c>
      <x:c r="I258" s="29" t="str">
        <x:v>CC BY 3.0</x:v>
      </x:c>
      <x:c r="J258" s="29" t="str">
        <x:v>https://creativecommons.org/licenses/by/3.0</x:v>
      </x:c>
      <x:c r="K258" s="29" t="str">
        <x:v>https://commons.wikimedia.org/wiki/File:2009-0820-WeedpatchCamp-LibPO.jpg</x:v>
      </x:c>
      <x:c r="L258" s="31" t="d">
        <x:v>2009-08-20T00:00:00.000Z</x:v>
      </x:c>
      <x:c r="M258" s="31" t="d">
        <x:v>2026-10-24T00:00:00.000Z</x:v>
      </x:c>
      <x:c r="N258" s="29" t="str">
        <x:v>EXIF yönü uygulandı; boyut küçültülüp WebP biçimine dönüştürüldü.</x:v>
      </x:c>
      <x:c r="O258" s="29" t="str">
        <x:v>bakersfield:evidence:venue-22223</x:v>
      </x:c>
      <x:c r="P258" s="29" t="str">
        <x:v>Evet</x:v>
      </x:c>
      <x:c r="Q258" s="35" t="n">
        <x:v>0</x:v>
      </x:c>
      <x:c r="R258" s="29" t="str">
        <x:v>İnceleme</x:v>
      </x:c>
      <x:c r="S258" s="36" t="n">
        <x:f>IF(OR(A258="",C258&lt;&gt;"Mekân",P258&lt;&gt;"Evet"),0,IF(COUNTIFS($F$8:F258,F258,$C$8:C258,"Mekân",$P$8:P258,"Evet")=1,1,0))</x:f>
        <x:v>1</x:v>
      </x:c>
      <x:c r="T258" s="36" t="n">
        <x:f>IF(OR(A258="",C258&lt;&gt;"Kapak",P258&lt;&gt;"Evet"),0,IF(COUNTIFS($F$8:F258,F258,$C$8:C258,"Kapak",$P$8:P258,"Evet")=1,1,0))</x:f>
        <x:v>0</x:v>
      </x:c>
    </x:row>
    <x:row r="259" ht="54" customHeight="1">
      <x:c r="A259" s="29" t="str">
        <x:v>bakersfield:photo:venue-22224</x:v>
      </x:c>
      <x:c r="B259" s="29" t="str">
        <x:v>bakersfield</x:v>
      </x:c>
      <x:c r="C259" s="29" t="str">
        <x:v>Mekân</x:v>
      </x:c>
      <x:c r="D259" s="29" t="str">
        <x:v>bakersfield:yer-local-bakersfield-frazier-mountain-park</x:v>
      </x:c>
      <x:c r="E259" s="29" t="str">
        <x:v>Fotoğraflar/bk-deaac0975bca4c437a51386b.webp</x:v>
      </x:c>
      <x:c r="F259" s="29" t="str">
        <x:v>deaac0975bca4c437a51386baf3fbebdc7a8365f3e4b02e8271ad02d1592fd5e</x:v>
      </x:c>
      <x:c r="G259" s="29" t="str">
        <x:v>Frazier Mountain Park · 2021 tarihli fotoğraf</x:v>
      </x:c>
      <x:c r="H259" s="29" t="str">
        <x:v>LittleT889</x:v>
      </x:c>
      <x:c r="I259" s="29" t="str">
        <x:v>CC BY-SA 4.0</x:v>
      </x:c>
      <x:c r="J259" s="29" t="str">
        <x:v>https://creativecommons.org/licenses/by-sa/4.0</x:v>
      </x:c>
      <x:c r="K259" s="29" t="str">
        <x:v>https://commons.wikimedia.org/wiki/File:Frazier_Mountain_Park.jpg</x:v>
      </x:c>
      <x:c r="L259" s="31"/>
      <x:c r="M259" s="31" t="d">
        <x:v>2026-10-24T00:00:00.000Z</x:v>
      </x:c>
      <x:c r="N259" s="29" t="str">
        <x:v>EXIF yönü uygulandı; boyut küçültülüp WebP biçimine dönüştürüldü.</x:v>
      </x:c>
      <x:c r="O259" s="29" t="str">
        <x:v>bakersfield:evidence:venue-22224</x:v>
      </x:c>
      <x:c r="P259" s="29" t="str">
        <x:v>Evet</x:v>
      </x:c>
      <x:c r="Q259" s="35" t="n">
        <x:v>0</x:v>
      </x:c>
      <x:c r="R259" s="29" t="str">
        <x:v>İnceleme</x:v>
      </x:c>
      <x:c r="S259" s="36" t="n">
        <x:f>IF(OR(A259="",C259&lt;&gt;"Mekân",P259&lt;&gt;"Evet"),0,IF(COUNTIFS($F$8:F259,F259,$C$8:C259,"Mekân",$P$8:P259,"Evet")=1,1,0))</x:f>
        <x:v>1</x:v>
      </x:c>
      <x:c r="T259" s="36" t="n">
        <x:f>IF(OR(A259="",C259&lt;&gt;"Kapak",P259&lt;&gt;"Evet"),0,IF(COUNTIFS($F$8:F259,F259,$C$8:C259,"Kapak",$P$8:P259,"Evet")=1,1,0))</x:f>
        <x:v>0</x:v>
      </x:c>
    </x:row>
    <x:row r="260" ht="54" customHeight="1">
      <x:c r="A260" s="29" t="str">
        <x:v>bakersfield:photo:venue-22225</x:v>
      </x:c>
      <x:c r="B260" s="29" t="str">
        <x:v>bakersfield</x:v>
      </x:c>
      <x:c r="C260" s="29" t="str">
        <x:v>Mekân</x:v>
      </x:c>
      <x:c r="D260" s="29" t="str">
        <x:v>bakersfield:yer-local-bakersfield-maturango-museum</x:v>
      </x:c>
      <x:c r="E260" s="29" t="str">
        <x:v>Fotoğraflar/bk-020f151489372ea7a0ba71e2.webp</x:v>
      </x:c>
      <x:c r="F260" s="29" t="str">
        <x:v>020f151489372ea7a0ba71e20420a779d375ef36a6a3d751ed10c6af9a3806ba</x:v>
      </x:c>
      <x:c r="G260" s="29" t="str">
        <x:v>Maturango Museum · 2010 tarihli fotoğraf</x:v>
      </x:c>
      <x:c r="H260" s="29" t="str">
        <x:v>Qfl247 (talk) (Transferred by Citypeek/Original uploaded by Qfl247)</x:v>
      </x:c>
      <x:c r="I260" s="29" t="str">
        <x:v>CC BY-SA 3.0</x:v>
      </x:c>
      <x:c r="J260" s="29" t="str">
        <x:v>https://creativecommons.org/licenses/by-sa/3.0</x:v>
      </x:c>
      <x:c r="K260" s="29" t="str">
        <x:v>https://commons.wikimedia.org/wiki/File:MaturangoMuseum.JPG</x:v>
      </x:c>
      <x:c r="L260" s="31"/>
      <x:c r="M260" s="31" t="d">
        <x:v>2026-10-24T00:00:00.000Z</x:v>
      </x:c>
      <x:c r="N260" s="29" t="str">
        <x:v>EXIF yönü uygulandı; boyut küçültülüp WebP biçimine dönüştürüldü.</x:v>
      </x:c>
      <x:c r="O260" s="29" t="str">
        <x:v>bakersfield:evidence:venue-22225</x:v>
      </x:c>
      <x:c r="P260" s="29" t="str">
        <x:v>Evet</x:v>
      </x:c>
      <x:c r="Q260" s="35" t="n">
        <x:v>0</x:v>
      </x:c>
      <x:c r="R260" s="29" t="str">
        <x:v>İnceleme</x:v>
      </x:c>
      <x:c r="S260" s="36" t="n">
        <x:f>IF(OR(A260="",C260&lt;&gt;"Mekân",P260&lt;&gt;"Evet"),0,IF(COUNTIFS($F$8:F260,F260,$C$8:C260,"Mekân",$P$8:P260,"Evet")=1,1,0))</x:f>
        <x:v>1</x:v>
      </x:c>
      <x:c r="T260" s="36" t="n">
        <x:f>IF(OR(A260="",C260&lt;&gt;"Kapak",P260&lt;&gt;"Evet"),0,IF(COUNTIFS($F$8:F260,F260,$C$8:C260,"Kapak",$P$8:P260,"Evet")=1,1,0))</x:f>
        <x:v>0</x:v>
      </x:c>
    </x:row>
    <x:row r="261" ht="54" customHeight="1">
      <x:c r="A261" s="29" t="str">
        <x:v>bakersfield:photo:venue-22226</x:v>
      </x:c>
      <x:c r="B261" s="29" t="str">
        <x:v>bakersfield</x:v>
      </x:c>
      <x:c r="C261" s="29" t="str">
        <x:v>Mekân</x:v>
      </x:c>
      <x:c r="D261" s="29" t="str">
        <x:v>bakersfield:yer-local-bakersfield-walker-pass</x:v>
      </x:c>
      <x:c r="E261" s="29" t="str">
        <x:v>Fotoğraflar/bk-b28db44a0b1872a3cb2b8f2e.webp</x:v>
      </x:c>
      <x:c r="F261" s="29" t="str">
        <x:v>b28db44a0b1872a3cb2b8f2eabc3c33e68f2105297637f025acc0853775272e0</x:v>
      </x:c>
      <x:c r="G261" s="29" t="str">
        <x:v>Walker Pass Campground ve PCT bağlantısı · 2021 tarihli fotoğraf</x:v>
      </x:c>
      <x:c r="H261" s="29" t="str">
        <x:v>Tracie Hall</x:v>
      </x:c>
      <x:c r="I261" s="29" t="str">
        <x:v>CC BY-SA 2.0</x:v>
      </x:c>
      <x:c r="J261" s="29" t="str">
        <x:v>https://creativecommons.org/licenses/by-sa/2.0/</x:v>
      </x:c>
      <x:c r="K261" s="29" t="str">
        <x:v>https://www.flickr.com/photos/54597574@N00/51714873670/</x:v>
      </x:c>
      <x:c r="L261" s="31" t="d">
        <x:v>2021-11-26T00:00:00.000Z</x:v>
      </x:c>
      <x:c r="M261" s="31" t="d">
        <x:v>2026-10-24T00:00:00.000Z</x:v>
      </x:c>
      <x:c r="N261" s="29" t="str">
        <x:v>EXIF yönü uygulandı; boyut küçültülüp WebP biçimine dönüştürüldü.</x:v>
      </x:c>
      <x:c r="O261" s="29" t="str">
        <x:v>bakersfield:evidence:venue-22226</x:v>
      </x:c>
      <x:c r="P261" s="29" t="str">
        <x:v>Evet</x:v>
      </x:c>
      <x:c r="Q261" s="35" t="n">
        <x:v>0</x:v>
      </x:c>
      <x:c r="R261" s="29" t="str">
        <x:v>İnceleme</x:v>
      </x:c>
      <x:c r="S261" s="36" t="n">
        <x:f>IF(OR(A261="",C261&lt;&gt;"Mekân",P261&lt;&gt;"Evet"),0,IF(COUNTIFS($F$8:F261,F261,$C$8:C261,"Mekân",$P$8:P261,"Evet")=1,1,0))</x:f>
        <x:v>1</x:v>
      </x:c>
      <x:c r="T261" s="36" t="n">
        <x:f>IF(OR(A261="",C261&lt;&gt;"Kapak",P261&lt;&gt;"Evet"),0,IF(COUNTIFS($F$8:F261,F261,$C$8:C261,"Kapak",$P$8:P261,"Evet")=1,1,0))</x:f>
        <x:v>0</x:v>
      </x:c>
    </x:row>
    <x:row r="262" ht="54" customHeight="1">
      <x:c r="A262" s="29" t="str">
        <x:v>bakersfield:photo:venue-22227</x:v>
      </x:c>
      <x:c r="B262" s="29" t="str">
        <x:v>bakersfield</x:v>
      </x:c>
      <x:c r="C262" s="29" t="str">
        <x:v>Mekân</x:v>
      </x:c>
      <x:c r="D262" s="29" t="str">
        <x:v>bakersfield:yer-local-bakersfield-walker-pass</x:v>
      </x:c>
      <x:c r="E262" s="29" t="str">
        <x:v>Fotoğraflar/bk-8186a5cea95823a6ed1f22b3.webp</x:v>
      </x:c>
      <x:c r="F262" s="29" t="str">
        <x:v>8186a5cea95823a6ed1f22b3be167fbfbf9707d6c91992c19335b9d2019a861e</x:v>
      </x:c>
      <x:c r="G262" s="29" t="str">
        <x:v>Walker Pass Campground ve PCT bağlantısı · 2016 tarihli fotoğraf</x:v>
      </x:c>
      <x:c r="H262" s="29" t="str">
        <x:v>Tom Hilton</x:v>
      </x:c>
      <x:c r="I262" s="29" t="str">
        <x:v>CC BY 2.0</x:v>
      </x:c>
      <x:c r="J262" s="29" t="str">
        <x:v>https://creativecommons.org/licenses/by/2.0/</x:v>
      </x:c>
      <x:c r="K262" s="29" t="str">
        <x:v>https://www.flickr.com/photos/54259492@N00/30362978451/</x:v>
      </x:c>
      <x:c r="L262" s="31" t="d">
        <x:v>2016-10-17T00:00:00.000Z</x:v>
      </x:c>
      <x:c r="M262" s="31" t="d">
        <x:v>2026-10-24T00:00:00.000Z</x:v>
      </x:c>
      <x:c r="N262" s="29" t="str">
        <x:v>EXIF yönü uygulandı; boyut küçültülüp WebP biçimine dönüştürüldü.</x:v>
      </x:c>
      <x:c r="O262" s="29" t="str">
        <x:v>bakersfield:evidence:venue-22227</x:v>
      </x:c>
      <x:c r="P262" s="29" t="str">
        <x:v>Evet</x:v>
      </x:c>
      <x:c r="Q262" s="35" t="n">
        <x:v>1</x:v>
      </x:c>
      <x:c r="R262" s="29" t="str">
        <x:v>İnceleme</x:v>
      </x:c>
      <x:c r="S262" s="36" t="n">
        <x:f>IF(OR(A262="",C262&lt;&gt;"Mekân",P262&lt;&gt;"Evet"),0,IF(COUNTIFS($F$8:F262,F262,$C$8:C262,"Mekân",$P$8:P262,"Evet")=1,1,0))</x:f>
        <x:v>1</x:v>
      </x:c>
      <x:c r="T262" s="36" t="n">
        <x:f>IF(OR(A262="",C262&lt;&gt;"Kapak",P262&lt;&gt;"Evet"),0,IF(COUNTIFS($F$8:F262,F262,$C$8:C262,"Kapak",$P$8:P262,"Evet")=1,1,0))</x:f>
        <x:v>0</x:v>
      </x:c>
    </x:row>
    <x:row r="263" ht="54" customHeight="1">
      <x:c r="A263" s="29" t="str">
        <x:v>bakersfield:photo:venue-22228</x:v>
      </x:c>
      <x:c r="B263" s="29" t="str">
        <x:v>bakersfield</x:v>
      </x:c>
      <x:c r="C263" s="29" t="str">
        <x:v>Mekân</x:v>
      </x:c>
      <x:c r="D263" s="29" t="str">
        <x:v>bakersfield:yer-local-bakersfield-walker-pass</x:v>
      </x:c>
      <x:c r="E263" s="29" t="str">
        <x:v>Fotoğraflar/bk-d42bb7f51dd54d632ae63d45.webp</x:v>
      </x:c>
      <x:c r="F263" s="29" t="str">
        <x:v>d42bb7f51dd54d632ae63d4553e6a09319a869a948abb307c0ea18dd0e661baa</x:v>
      </x:c>
      <x:c r="G263" s="29" t="str">
        <x:v>Walker Pass Campground ve PCT bağlantısı · 2008 tarihli fotoğraf</x:v>
      </x:c>
      <x:c r="H263" s="29" t="str">
        <x:v>Justin Ennis</x:v>
      </x:c>
      <x:c r="I263" s="29" t="str">
        <x:v>CC BY 2.0</x:v>
      </x:c>
      <x:c r="J263" s="29" t="str">
        <x:v>https://creativecommons.org/licenses/by/2.0/</x:v>
      </x:c>
      <x:c r="K263" s="29" t="str">
        <x:v>https://www.flickr.com/photos/27749836@N02/3128918287/</x:v>
      </x:c>
      <x:c r="L263" s="31" t="d">
        <x:v>2008-12-20T00:00:00.000Z</x:v>
      </x:c>
      <x:c r="M263" s="31" t="d">
        <x:v>2026-10-24T00:00:00.000Z</x:v>
      </x:c>
      <x:c r="N263" s="29" t="str">
        <x:v>EXIF yönü uygulandı; boyut küçültülüp WebP biçimine dönüştürüldü.</x:v>
      </x:c>
      <x:c r="O263" s="29" t="str">
        <x:v>bakersfield:evidence:venue-22228</x:v>
      </x:c>
      <x:c r="P263" s="29" t="str">
        <x:v>Evet</x:v>
      </x:c>
      <x:c r="Q263" s="35" t="n">
        <x:v>2</x:v>
      </x:c>
      <x:c r="R263" s="29" t="str">
        <x:v>İnceleme</x:v>
      </x:c>
      <x:c r="S263" s="36" t="n">
        <x:f>IF(OR(A263="",C263&lt;&gt;"Mekân",P263&lt;&gt;"Evet"),0,IF(COUNTIFS($F$8:F263,F263,$C$8:C263,"Mekân",$P$8:P263,"Evet")=1,1,0))</x:f>
        <x:v>1</x:v>
      </x:c>
      <x:c r="T263" s="36" t="n">
        <x:f>IF(OR(A263="",C263&lt;&gt;"Kapak",P263&lt;&gt;"Evet"),0,IF(COUNTIFS($F$8:F263,F263,$C$8:C263,"Kapak",$P$8:P263,"Evet")=1,1,0))</x:f>
        <x:v>0</x:v>
      </x:c>
    </x:row>
    <x:row r="264" ht="54" customHeight="1">
      <x:c r="A264" s="29" t="str">
        <x:v>bakersfield:photo:venue-22229</x:v>
      </x:c>
      <x:c r="B264" s="29" t="str">
        <x:v>bakersfield</x:v>
      </x:c>
      <x:c r="C264" s="29" t="str">
        <x:v>Mekân</x:v>
      </x:c>
      <x:c r="D264" s="29" t="str">
        <x:v>bakersfield:yer-local-bakersfield-walker-pass</x:v>
      </x:c>
      <x:c r="E264" s="29" t="str">
        <x:v>Fotoğraflar/bk-ada5997bfb26748bccf15f74.webp</x:v>
      </x:c>
      <x:c r="F264" s="29" t="str">
        <x:v>ada5997bfb26748bccf15f74addecf176034bb41df7198e2ecbb7af5fcac8473</x:v>
      </x:c>
      <x:c r="G264" s="29" t="str">
        <x:v>Walker Pass Campground ve PCT bağlantısı · 2013 tarihli fotoğraf</x:v>
      </x:c>
      <x:c r="H264" s="29" t="str">
        <x:v>Kyle</x:v>
      </x:c>
      <x:c r="I264" s="29" t="str">
        <x:v>CC BY 2.0</x:v>
      </x:c>
      <x:c r="J264" s="29" t="str">
        <x:v>https://creativecommons.org/licenses/by/2.0/</x:v>
      </x:c>
      <x:c r="K264" s="29" t="str">
        <x:v>https://www.flickr.com/photos/68444185@N04/8992220121/</x:v>
      </x:c>
      <x:c r="L264" s="31" t="d">
        <x:v>2013-05-18T00:00:00.000Z</x:v>
      </x:c>
      <x:c r="M264" s="31" t="d">
        <x:v>2026-10-24T00:00:00.000Z</x:v>
      </x:c>
      <x:c r="N264" s="29" t="str">
        <x:v>EXIF yönü uygulandı; boyut küçültülüp WebP biçimine dönüştürüldü.</x:v>
      </x:c>
      <x:c r="O264" s="29" t="str">
        <x:v>bakersfield:evidence:venue-22229</x:v>
      </x:c>
      <x:c r="P264" s="29" t="str">
        <x:v>Evet</x:v>
      </x:c>
      <x:c r="Q264" s="35" t="n">
        <x:v>3</x:v>
      </x:c>
      <x:c r="R264" s="29" t="str">
        <x:v>İnceleme</x:v>
      </x:c>
      <x:c r="S264" s="36" t="n">
        <x:f>IF(OR(A264="",C264&lt;&gt;"Mekân",P264&lt;&gt;"Evet"),0,IF(COUNTIFS($F$8:F264,F264,$C$8:C264,"Mekân",$P$8:P264,"Evet")=1,1,0))</x:f>
        <x:v>1</x:v>
      </x:c>
      <x:c r="T264" s="36" t="n">
        <x:f>IF(OR(A264="",C264&lt;&gt;"Kapak",P264&lt;&gt;"Evet"),0,IF(COUNTIFS($F$8:F264,F264,$C$8:C264,"Kapak",$P$8:P264,"Evet")=1,1,0))</x:f>
        <x:v>0</x:v>
      </x:c>
    </x:row>
    <x:row r="265" ht="54" customHeight="1">
      <x:c r="A265" s="29" t="str">
        <x:v>bakersfield:photo:venue-22230</x:v>
      </x:c>
      <x:c r="B265" s="29" t="str">
        <x:v>bakersfield</x:v>
      </x:c>
      <x:c r="C265" s="29" t="str">
        <x:v>Mekân</x:v>
      </x:c>
      <x:c r="D265" s="29" t="str">
        <x:v>bakersfield:yer-local-bakersfield-jawbone-canyon</x:v>
      </x:c>
      <x:c r="E265" s="29" t="str">
        <x:v>Fotoğraflar/bk-54661aaaae2917d6827984a8.webp</x:v>
      </x:c>
      <x:c r="F265" s="29" t="str">
        <x:v>54661aaaae2917d6827984a8c628872dea00c5c9617559e5a72b74bb24c15ee2</x:v>
      </x:c>
      <x:c r="G265" s="29" t="str">
        <x:v>Jawbone Canyon OHV Area · 2022 tarihli fotoğraf</x:v>
      </x:c>
      <x:c r="H265" s="29" t="str">
        <x:v>Matthew Dillon</x:v>
      </x:c>
      <x:c r="I265" s="29" t="str">
        <x:v>CC BY 2.0</x:v>
      </x:c>
      <x:c r="J265" s="29" t="str">
        <x:v>https://creativecommons.org/licenses/by/2.0/</x:v>
      </x:c>
      <x:c r="K265" s="29" t="str">
        <x:v>https://www.flickr.com/photos/21874566@N07/51951176103/</x:v>
      </x:c>
      <x:c r="L265" s="31" t="d">
        <x:v>2022-03-05T00:00:00.000Z</x:v>
      </x:c>
      <x:c r="M265" s="31" t="d">
        <x:v>2026-10-24T00:00:00.000Z</x:v>
      </x:c>
      <x:c r="N265" s="29" t="str">
        <x:v>EXIF yönü uygulandı; boyut küçültülüp WebP biçimine dönüştürüldü.</x:v>
      </x:c>
      <x:c r="O265" s="29" t="str">
        <x:v>bakersfield:evidence:venue-22230</x:v>
      </x:c>
      <x:c r="P265" s="29" t="str">
        <x:v>Evet</x:v>
      </x:c>
      <x:c r="Q265" s="35" t="n">
        <x:v>0</x:v>
      </x:c>
      <x:c r="R265" s="29" t="str">
        <x:v>İnceleme</x:v>
      </x:c>
      <x:c r="S265" s="36" t="n">
        <x:f>IF(OR(A265="",C265&lt;&gt;"Mekân",P265&lt;&gt;"Evet"),0,IF(COUNTIFS($F$8:F265,F265,$C$8:C265,"Mekân",$P$8:P265,"Evet")=1,1,0))</x:f>
        <x:v>1</x:v>
      </x:c>
      <x:c r="T265" s="36" t="n">
        <x:f>IF(OR(A265="",C265&lt;&gt;"Kapak",P265&lt;&gt;"Evet"),0,IF(COUNTIFS($F$8:F265,F265,$C$8:C265,"Kapak",$P$8:P265,"Evet")=1,1,0))</x:f>
        <x:v>0</x:v>
      </x:c>
    </x:row>
    <x:row r="266" ht="54" customHeight="1">
      <x:c r="A266" s="29" t="str">
        <x:v>bakersfield:photo:venue-22231</x:v>
      </x:c>
      <x:c r="B266" s="29" t="str">
        <x:v>bakersfield</x:v>
      </x:c>
      <x:c r="C266" s="29" t="str">
        <x:v>Mekân</x:v>
      </x:c>
      <x:c r="D266" s="29" t="str">
        <x:v>bakersfield:yer-local-bakersfield-jawbone-canyon</x:v>
      </x:c>
      <x:c r="E266" s="29" t="str">
        <x:v>Fotoğraflar/bk-0916e50c34803807807c3bc7.webp</x:v>
      </x:c>
      <x:c r="F266" s="29" t="str">
        <x:v>0916e50c34803807807c3bc7e9a51cb9fa1fc4a52e28896162f4dd94ab9c99be</x:v>
      </x:c>
      <x:c r="G266" s="29" t="str">
        <x:v>Jawbone Canyon OHV Area · 2022 tarihli fotoğraf</x:v>
      </x:c>
      <x:c r="H266" s="29" t="str">
        <x:v>Matthew Dillon</x:v>
      </x:c>
      <x:c r="I266" s="29" t="str">
        <x:v>CC BY 2.0</x:v>
      </x:c>
      <x:c r="J266" s="29" t="str">
        <x:v>https://creativecommons.org/licenses/by/2.0/</x:v>
      </x:c>
      <x:c r="K266" s="29" t="str">
        <x:v>https://www.flickr.com/photos/21874566@N07/51957222547/</x:v>
      </x:c>
      <x:c r="L266" s="31" t="d">
        <x:v>2022-03-05T00:00:00.000Z</x:v>
      </x:c>
      <x:c r="M266" s="31" t="d">
        <x:v>2026-10-24T00:00:00.000Z</x:v>
      </x:c>
      <x:c r="N266" s="29" t="str">
        <x:v>EXIF yönü uygulandı; boyut küçültülüp WebP biçimine dönüştürüldü.</x:v>
      </x:c>
      <x:c r="O266" s="29" t="str">
        <x:v>bakersfield:evidence:venue-22231</x:v>
      </x:c>
      <x:c r="P266" s="29" t="str">
        <x:v>Evet</x:v>
      </x:c>
      <x:c r="Q266" s="35" t="n">
        <x:v>1</x:v>
      </x:c>
      <x:c r="R266" s="29" t="str">
        <x:v>İnceleme</x:v>
      </x:c>
      <x:c r="S266" s="36" t="n">
        <x:f>IF(OR(A266="",C266&lt;&gt;"Mekân",P266&lt;&gt;"Evet"),0,IF(COUNTIFS($F$8:F266,F266,$C$8:C266,"Mekân",$P$8:P266,"Evet")=1,1,0))</x:f>
        <x:v>1</x:v>
      </x:c>
      <x:c r="T266" s="36" t="n">
        <x:f>IF(OR(A266="",C266&lt;&gt;"Kapak",P266&lt;&gt;"Evet"),0,IF(COUNTIFS($F$8:F266,F266,$C$8:C266,"Kapak",$P$8:P266,"Evet")=1,1,0))</x:f>
        <x:v>0</x:v>
      </x:c>
    </x:row>
    <x:row r="267" ht="54" customHeight="1">
      <x:c r="A267" s="29" t="str">
        <x:v>bakersfield:photo:venue-22232</x:v>
      </x:c>
      <x:c r="B267" s="29" t="str">
        <x:v>bakersfield</x:v>
      </x:c>
      <x:c r="C267" s="29" t="str">
        <x:v>Mekân</x:v>
      </x:c>
      <x:c r="D267" s="29" t="str">
        <x:v>bakersfield:yer-local-bakersfield-jawbone-canyon</x:v>
      </x:c>
      <x:c r="E267" s="29" t="str">
        <x:v>Fotoğraflar/bk-4822f2c030abf47089d68a1c.webp</x:v>
      </x:c>
      <x:c r="F267" s="29" t="str">
        <x:v>4822f2c030abf47089d68a1cc4508b80b8524841e43f820dfd59c9076343a293</x:v>
      </x:c>
      <x:c r="G267" s="29" t="str">
        <x:v>Jawbone Canyon OHV Area · 2022 tarihli fotoğraf</x:v>
      </x:c>
      <x:c r="H267" s="29" t="str">
        <x:v>Matthew Dillon</x:v>
      </x:c>
      <x:c r="I267" s="29" t="str">
        <x:v>CC BY 2.0</x:v>
      </x:c>
      <x:c r="J267" s="29" t="str">
        <x:v>https://creativecommons.org/licenses/by/2.0/</x:v>
      </x:c>
      <x:c r="K267" s="29" t="str">
        <x:v>https://www.flickr.com/photos/21874566@N07/52019204865/</x:v>
      </x:c>
      <x:c r="L267" s="31" t="d">
        <x:v>2022-03-20T00:00:00.000Z</x:v>
      </x:c>
      <x:c r="M267" s="31" t="d">
        <x:v>2026-10-24T00:00:00.000Z</x:v>
      </x:c>
      <x:c r="N267" s="29" t="str">
        <x:v>EXIF yönü uygulandı; boyut küçültülüp WebP biçimine dönüştürüldü.</x:v>
      </x:c>
      <x:c r="O267" s="29" t="str">
        <x:v>bakersfield:evidence:venue-22232</x:v>
      </x:c>
      <x:c r="P267" s="29" t="str">
        <x:v>Evet</x:v>
      </x:c>
      <x:c r="Q267" s="35" t="n">
        <x:v>2</x:v>
      </x:c>
      <x:c r="R267" s="29" t="str">
        <x:v>İnceleme</x:v>
      </x:c>
      <x:c r="S267" s="36" t="n">
        <x:f>IF(OR(A267="",C267&lt;&gt;"Mekân",P267&lt;&gt;"Evet"),0,IF(COUNTIFS($F$8:F267,F267,$C$8:C267,"Mekân",$P$8:P267,"Evet")=1,1,0))</x:f>
        <x:v>1</x:v>
      </x:c>
      <x:c r="T267" s="36" t="n">
        <x:f>IF(OR(A267="",C267&lt;&gt;"Kapak",P267&lt;&gt;"Evet"),0,IF(COUNTIFS($F$8:F267,F267,$C$8:C267,"Kapak",$P$8:P267,"Evet")=1,1,0))</x:f>
        <x:v>0</x:v>
      </x:c>
    </x:row>
    <x:row r="268" ht="54" customHeight="1">
      <x:c r="A268" s="29" t="str">
        <x:v>bakersfield:photo:venue-22233</x:v>
      </x:c>
      <x:c r="B268" s="29" t="str">
        <x:v>bakersfield</x:v>
      </x:c>
      <x:c r="C268" s="29" t="str">
        <x:v>Mekân</x:v>
      </x:c>
      <x:c r="D268" s="29" t="str">
        <x:v>bakersfield:yer-local-bakersfield-jawbone-canyon</x:v>
      </x:c>
      <x:c r="E268" s="29" t="str">
        <x:v>Fotoğraflar/bk-7102ad84cd24405e42c0ffe1.webp</x:v>
      </x:c>
      <x:c r="F268" s="29" t="str">
        <x:v>7102ad84cd24405e42c0ffe1d215aa7a9b91284889675ca1d819bcc0dff22645</x:v>
      </x:c>
      <x:c r="G268" s="29" t="str">
        <x:v>Jawbone Canyon OHV Area · 2022 tarihli fotoğraf</x:v>
      </x:c>
      <x:c r="H268" s="29" t="str">
        <x:v>Matthew Dillon</x:v>
      </x:c>
      <x:c r="I268" s="29" t="str">
        <x:v>CC BY 2.0</x:v>
      </x:c>
      <x:c r="J268" s="29" t="str">
        <x:v>https://creativecommons.org/licenses/by/2.0/</x:v>
      </x:c>
      <x:c r="K268" s="29" t="str">
        <x:v>https://www.flickr.com/photos/21874566@N07/52070452336/</x:v>
      </x:c>
      <x:c r="L268" s="31" t="d">
        <x:v>2022-04-04T00:00:00.000Z</x:v>
      </x:c>
      <x:c r="M268" s="31" t="d">
        <x:v>2026-10-24T00:00:00.000Z</x:v>
      </x:c>
      <x:c r="N268" s="29" t="str">
        <x:v>EXIF yönü uygulandı; boyut küçültülüp WebP biçimine dönüştürüldü.</x:v>
      </x:c>
      <x:c r="O268" s="29" t="str">
        <x:v>bakersfield:evidence:venue-22233</x:v>
      </x:c>
      <x:c r="P268" s="29" t="str">
        <x:v>Evet</x:v>
      </x:c>
      <x:c r="Q268" s="35" t="n">
        <x:v>3</x:v>
      </x:c>
      <x:c r="R268" s="29" t="str">
        <x:v>İnceleme</x:v>
      </x:c>
      <x:c r="S268" s="36" t="n">
        <x:f>IF(OR(A268="",C268&lt;&gt;"Mekân",P268&lt;&gt;"Evet"),0,IF(COUNTIFS($F$8:F268,F268,$C$8:C268,"Mekân",$P$8:P268,"Evet")=1,1,0))</x:f>
        <x:v>1</x:v>
      </x:c>
      <x:c r="T268" s="36" t="n">
        <x:f>IF(OR(A268="",C268&lt;&gt;"Kapak",P268&lt;&gt;"Evet"),0,IF(COUNTIFS($F$8:F268,F268,$C$8:C268,"Kapak",$P$8:P268,"Evet")=1,1,0))</x:f>
        <x:v>0</x:v>
      </x:c>
    </x:row>
    <x:row r="269" ht="54" customHeight="1">
      <x:c r="A269" s="29" t="str">
        <x:v>bakersfield:photo:venue-22234</x:v>
      </x:c>
      <x:c r="B269" s="29" t="str">
        <x:v>bakersfield</x:v>
      </x:c>
      <x:c r="C269" s="29" t="str">
        <x:v>Mekân</x:v>
      </x:c>
      <x:c r="D269" s="29" t="str">
        <x:v>bakersfield:yer-local-bakersfield-dove-springs</x:v>
      </x:c>
      <x:c r="E269" s="29" t="str">
        <x:v>Fotoğraflar/bk-1141143e192455c74bd8226a.webp</x:v>
      </x:c>
      <x:c r="F269" s="29" t="str">
        <x:v>1141143e192455c74bd8226a2d76eb0f16432214cdf45706958db6b784a35cee</x:v>
      </x:c>
      <x:c r="G269" s="29" t="str">
        <x:v>Dove Springs OHV Area · 2009 tarihli fotoğraf</x:v>
      </x:c>
      <x:c r="H269" s="29" t="str">
        <x:v>BirdsEyePix</x:v>
      </x:c>
      <x:c r="I269" s="29" t="str">
        <x:v>CC BY-SA 2.0</x:v>
      </x:c>
      <x:c r="J269" s="29" t="str">
        <x:v>https://creativecommons.org/licenses/by-sa/2.0/</x:v>
      </x:c>
      <x:c r="K269" s="29" t="str">
        <x:v>https://www.flickr.com/photos/38534720@N00/3960656206/</x:v>
      </x:c>
      <x:c r="L269" s="31" t="d">
        <x:v>2009-09-27T00:00:00.000Z</x:v>
      </x:c>
      <x:c r="M269" s="31" t="d">
        <x:v>2026-10-24T00:00:00.000Z</x:v>
      </x:c>
      <x:c r="N269" s="29" t="str">
        <x:v>EXIF yönü uygulandı; boyut küçültülüp WebP biçimine dönüştürüldü.</x:v>
      </x:c>
      <x:c r="O269" s="29" t="str">
        <x:v>bakersfield:evidence:venue-22234</x:v>
      </x:c>
      <x:c r="P269" s="29" t="str">
        <x:v>Evet</x:v>
      </x:c>
      <x:c r="Q269" s="35" t="n">
        <x:v>0</x:v>
      </x:c>
      <x:c r="R269" s="29" t="str">
        <x:v>İnceleme</x:v>
      </x:c>
      <x:c r="S269" s="36" t="n">
        <x:f>IF(OR(A269="",C269&lt;&gt;"Mekân",P269&lt;&gt;"Evet"),0,IF(COUNTIFS($F$8:F269,F269,$C$8:C269,"Mekân",$P$8:P269,"Evet")=1,1,0))</x:f>
        <x:v>1</x:v>
      </x:c>
      <x:c r="T269" s="36" t="n">
        <x:f>IF(OR(A269="",C269&lt;&gt;"Kapak",P269&lt;&gt;"Evet"),0,IF(COUNTIFS($F$8:F269,F269,$C$8:C269,"Kapak",$P$8:P269,"Evet")=1,1,0))</x:f>
        <x:v>0</x:v>
      </x:c>
    </x:row>
    <x:row r="270" ht="54" customHeight="1">
      <x:c r="A270" s="29" t="str">
        <x:v>bakersfield:photo:venue-22235</x:v>
      </x:c>
      <x:c r="B270" s="29" t="str">
        <x:v>bakersfield</x:v>
      </x:c>
      <x:c r="C270" s="29" t="str">
        <x:v>Mekân</x:v>
      </x:c>
      <x:c r="D270" s="29" t="str">
        <x:v>bakersfield:yer-local-bakersfield-panorama-vista</x:v>
      </x:c>
      <x:c r="E270" s="29" t="str">
        <x:v>Fotoğraflar/bk-91279e285646480aea63c579.webp</x:v>
      </x:c>
      <x:c r="F270" s="29" t="str">
        <x:v>91279e285646480aea63c5792601cc9975d09b48cc80d8d6c8fbcad32c6ced85</x:v>
      </x:c>
      <x:c r="G270" s="29" t="str">
        <x:v>Panorama Vista Preserve · açık koruluk ve çayır, 2016</x:v>
      </x:c>
      <x:c r="H270" s="29" t="str">
        <x:v>Julie Jordan Scott</x:v>
      </x:c>
      <x:c r="I270" s="29" t="str">
        <x:v>CC BY 2.0</x:v>
      </x:c>
      <x:c r="J270" s="29" t="str">
        <x:v>https://creativecommons.org/licenses/by/2.0/</x:v>
      </x:c>
      <x:c r="K270" s="29" t="str">
        <x:v>https://www.flickr.com/photos/98609821@N00/27493486013/</x:v>
      </x:c>
      <x:c r="L270" s="31" t="d">
        <x:v>2016-07-05T00:00:00.000Z</x:v>
      </x:c>
      <x:c r="M270" s="31" t="d">
        <x:v>2026-10-24T00:00:00.000Z</x:v>
      </x:c>
      <x:c r="N270" s="29" t="str">
        <x:v>EXIF yönü uygulandı; boyut küçültülüp WebP biçimine dönüştürüldü.</x:v>
      </x:c>
      <x:c r="O270" s="29" t="str">
        <x:v>bakersfield:evidence:venue-22235</x:v>
      </x:c>
      <x:c r="P270" s="29" t="str">
        <x:v>Evet</x:v>
      </x:c>
      <x:c r="Q270" s="35" t="n">
        <x:v>0</x:v>
      </x:c>
      <x:c r="R270" s="29" t="str">
        <x:v>İnceleme</x:v>
      </x:c>
      <x:c r="S270" s="36" t="n">
        <x:f>IF(OR(A270="",C270&lt;&gt;"Mekân",P270&lt;&gt;"Evet"),0,IF(COUNTIFS($F$8:F270,F270,$C$8:C270,"Mekân",$P$8:P270,"Evet")=1,1,0))</x:f>
        <x:v>1</x:v>
      </x:c>
      <x:c r="T270" s="36" t="n">
        <x:f>IF(OR(A270="",C270&lt;&gt;"Kapak",P270&lt;&gt;"Evet"),0,IF(COUNTIFS($F$8:F270,F270,$C$8:C270,"Kapak",$P$8:P270,"Evet")=1,1,0))</x:f>
        <x:v>0</x:v>
      </x:c>
    </x:row>
    <x:row r="271" ht="54" customHeight="1">
      <x:c r="A271" s="29" t="str">
        <x:v>bakersfield:photo:venue-22236</x:v>
      </x:c>
      <x:c r="B271" s="29" t="str">
        <x:v>bakersfield</x:v>
      </x:c>
      <x:c r="C271" s="29" t="str">
        <x:v>Mekân</x:v>
      </x:c>
      <x:c r="D271" s="29" t="str">
        <x:v>bakersfield:yer-local-bakersfield-panorama-vista</x:v>
      </x:c>
      <x:c r="E271" s="29" t="str">
        <x:v>Fotoğraflar/bk-b9c9d2b8460596af742e0368.webp</x:v>
      </x:c>
      <x:c r="F271" s="29" t="str">
        <x:v>b9c9d2b8460596af742e0368d5a25f32d9407b27f97fb20395360faf79a0bf29</x:v>
      </x:c>
      <x:c r="G271" s="29" t="str">
        <x:v>Panorama Vista Preserve · sulak alan, 2016</x:v>
      </x:c>
      <x:c r="H271" s="29" t="str">
        <x:v>Julie Jordan Scott</x:v>
      </x:c>
      <x:c r="I271" s="29" t="str">
        <x:v>CC BY 2.0</x:v>
      </x:c>
      <x:c r="J271" s="29" t="str">
        <x:v>https://creativecommons.org/licenses/by/2.0/</x:v>
      </x:c>
      <x:c r="K271" s="29" t="str">
        <x:v>https://www.flickr.com/photos/98609821@N00/28074478076/</x:v>
      </x:c>
      <x:c r="L271" s="31" t="d">
        <x:v>2016-07-05T00:00:00.000Z</x:v>
      </x:c>
      <x:c r="M271" s="31" t="d">
        <x:v>2026-10-24T00:00:00.000Z</x:v>
      </x:c>
      <x:c r="N271" s="29" t="str">
        <x:v>EXIF yönü uygulandı; boyut küçültülüp WebP biçimine dönüştürüldü.</x:v>
      </x:c>
      <x:c r="O271" s="29" t="str">
        <x:v>bakersfield:evidence:venue-22236</x:v>
      </x:c>
      <x:c r="P271" s="29" t="str">
        <x:v>Evet</x:v>
      </x:c>
      <x:c r="Q271" s="35" t="n">
        <x:v>1</x:v>
      </x:c>
      <x:c r="R271" s="29" t="str">
        <x:v>İnceleme</x:v>
      </x:c>
      <x:c r="S271" s="36" t="n">
        <x:f>IF(OR(A271="",C271&lt;&gt;"Mekân",P271&lt;&gt;"Evet"),0,IF(COUNTIFS($F$8:F271,F271,$C$8:C271,"Mekân",$P$8:P271,"Evet")=1,1,0))</x:f>
        <x:v>1</x:v>
      </x:c>
      <x:c r="T271" s="36" t="n">
        <x:f>IF(OR(A271="",C271&lt;&gt;"Kapak",P271&lt;&gt;"Evet"),0,IF(COUNTIFS($F$8:F271,F271,$C$8:C271,"Kapak",$P$8:P271,"Evet")=1,1,0))</x:f>
        <x:v>0</x:v>
      </x:c>
    </x:row>
    <x:row r="272" ht="54" customHeight="1">
      <x:c r="A272" s="29" t="str">
        <x:v>bakersfield:photo:venue-22237</x:v>
      </x:c>
      <x:c r="B272" s="29" t="str">
        <x:v>bakersfield</x:v>
      </x:c>
      <x:c r="C272" s="29" t="str">
        <x:v>Mekân</x:v>
      </x:c>
      <x:c r="D272" s="29" t="str">
        <x:v>bakersfield:yer-local-bakersfield-panorama-vista</x:v>
      </x:c>
      <x:c r="E272" s="29" t="str">
        <x:v>Fotoğraflar/bk-edd98021adfd1919eaeab084.webp</x:v>
      </x:c>
      <x:c r="F272" s="29" t="str">
        <x:v>edd98021adfd1919eaeab084805dd404d97402be12c919978672de9043db4edd</x:v>
      </x:c>
      <x:c r="G272" s="29" t="str">
        <x:v>Panorama Vista Preserve · ağaçlar arasındaki patika, 2016</x:v>
      </x:c>
      <x:c r="H272" s="29" t="str">
        <x:v>Julie Jordan Scott</x:v>
      </x:c>
      <x:c r="I272" s="29" t="str">
        <x:v>CC BY 2.0</x:v>
      </x:c>
      <x:c r="J272" s="29" t="str">
        <x:v>https://creativecommons.org/licenses/by/2.0/</x:v>
      </x:c>
      <x:c r="K272" s="29" t="str">
        <x:v>https://www.flickr.com/photos/98609821@N00/28109065195/</x:v>
      </x:c>
      <x:c r="L272" s="31" t="d">
        <x:v>2016-07-05T00:00:00.000Z</x:v>
      </x:c>
      <x:c r="M272" s="31" t="d">
        <x:v>2026-10-24T00:00:00.000Z</x:v>
      </x:c>
      <x:c r="N272" s="29" t="str">
        <x:v>EXIF yönü uygulandı; boyut küçültülüp WebP biçimine dönüştürüldü.</x:v>
      </x:c>
      <x:c r="O272" s="29" t="str">
        <x:v>bakersfield:evidence:venue-22237</x:v>
      </x:c>
      <x:c r="P272" s="29" t="str">
        <x:v>Evet</x:v>
      </x:c>
      <x:c r="Q272" s="35" t="n">
        <x:v>2</x:v>
      </x:c>
      <x:c r="R272" s="29" t="str">
        <x:v>İnceleme</x:v>
      </x:c>
      <x:c r="S272" s="36" t="n">
        <x:f>IF(OR(A272="",C272&lt;&gt;"Mekân",P272&lt;&gt;"Evet"),0,IF(COUNTIFS($F$8:F272,F272,$C$8:C272,"Mekân",$P$8:P272,"Evet")=1,1,0))</x:f>
        <x:v>1</x:v>
      </x:c>
      <x:c r="T272" s="36" t="n">
        <x:f>IF(OR(A272="",C272&lt;&gt;"Kapak",P272&lt;&gt;"Evet"),0,IF(COUNTIFS($F$8:F272,F272,$C$8:C272,"Kapak",$P$8:P272,"Evet")=1,1,0))</x:f>
        <x:v>0</x:v>
      </x:c>
    </x:row>
    <x:row r="273" ht="54" customHeight="1">
      <x:c r="A273" s="29" t="str">
        <x:v>bakersfield:photo:venue-22238</x:v>
      </x:c>
      <x:c r="B273" s="29" t="str">
        <x:v>bakersfield</x:v>
      </x:c>
      <x:c r="C273" s="29" t="str">
        <x:v>Mekân</x:v>
      </x:c>
      <x:c r="D273" s="29" t="str">
        <x:v>bakersfield:yer-local-bakersfield-panorama-vista</x:v>
      </x:c>
      <x:c r="E273" s="29" t="str">
        <x:v>Fotoğraflar/bk-0bd94bc1675c6031e1bcf1ed.webp</x:v>
      </x:c>
      <x:c r="F273" s="29" t="str">
        <x:v>0bd94bc1675c6031e1bcf1ed53fea32a7ec465fdb4a66b472b84f0e25415d912</x:v>
      </x:c>
      <x:c r="G273" s="29" t="str">
        <x:v>Panorama Vista Preserve · giriş kapısı, 2016</x:v>
      </x:c>
      <x:c r="H273" s="29" t="str">
        <x:v>Julie Jordan Scott</x:v>
      </x:c>
      <x:c r="I273" s="29" t="str">
        <x:v>CC BY 2.0</x:v>
      </x:c>
      <x:c r="J273" s="29" t="str">
        <x:v>https://creativecommons.org/licenses/by/2.0/</x:v>
      </x:c>
      <x:c r="K273" s="29" t="str">
        <x:v>https://www.flickr.com/photos/98609821@N00/27828203780/</x:v>
      </x:c>
      <x:c r="L273" s="31" t="d">
        <x:v>2016-07-05T00:00:00.000Z</x:v>
      </x:c>
      <x:c r="M273" s="31" t="d">
        <x:v>2026-10-24T00:00:00.000Z</x:v>
      </x:c>
      <x:c r="N273" s="29" t="str">
        <x:v>EXIF yönü uygulandı; boyut küçültülüp WebP biçimine dönüştürüldü.</x:v>
      </x:c>
      <x:c r="O273" s="29" t="str">
        <x:v>bakersfield:evidence:venue-22238</x:v>
      </x:c>
      <x:c r="P273" s="29" t="str">
        <x:v>Evet</x:v>
      </x:c>
      <x:c r="Q273" s="35" t="n">
        <x:v>3</x:v>
      </x:c>
      <x:c r="R273" s="29" t="str">
        <x:v>İnceleme</x:v>
      </x:c>
      <x:c r="S273" s="36" t="n">
        <x:f>IF(OR(A273="",C273&lt;&gt;"Mekân",P273&lt;&gt;"Evet"),0,IF(COUNTIFS($F$8:F273,F273,$C$8:C273,"Mekân",$P$8:P273,"Evet")=1,1,0))</x:f>
        <x:v>1</x:v>
      </x:c>
      <x:c r="T273" s="36" t="n">
        <x:f>IF(OR(A273="",C273&lt;&gt;"Kapak",P273&lt;&gt;"Evet"),0,IF(COUNTIFS($F$8:F273,F273,$C$8:C273,"Kapak",$P$8:P273,"Evet")=1,1,0))</x:f>
        <x:v>0</x:v>
      </x:c>
    </x:row>
    <x:row r="274" ht="54" customHeight="1">
      <x:c r="A274" s="29" t="str">
        <x:v>bakersfield:photo:venue-22239</x:v>
      </x:c>
      <x:c r="B274" s="29" t="str">
        <x:v>bakersfield</x:v>
      </x:c>
      <x:c r="C274" s="29" t="str">
        <x:v>Mekân</x:v>
      </x:c>
      <x:c r="D274" s="29" t="str">
        <x:v>bakersfield:yer-local-bakersfield-bickel-camp</x:v>
      </x:c>
      <x:c r="E274" s="29" t="str">
        <x:v>Fotoğraflar/bk-91d62a5c2d6b3fdb2ef3c5f6.webp</x:v>
      </x:c>
      <x:c r="F274" s="29" t="str">
        <x:v>91d62a5c2d6b3fdb2ef3c5f68fa26d2d57ca84c38582e3a7340d5df93aafe3d6</x:v>
      </x:c>
      <x:c r="G274" s="29" t="str">
        <x:v>Bickel Camp · 2013 tarihli fotoğraf</x:v>
      </x:c>
      <x:c r="H274" s="29" t="str">
        <x:v>Kurtis Clark</x:v>
      </x:c>
      <x:c r="I274" s="29" t="str">
        <x:v>CC BY-SA 3.0</x:v>
      </x:c>
      <x:c r="J274" s="29" t="str">
        <x:v>https://creativecommons.org/licenses/by-sa/3.0</x:v>
      </x:c>
      <x:c r="K274" s="29" t="str">
        <x:v>https://commons.wikimedia.org/wiki/File:Bickel_Camp_cabin.JPG</x:v>
      </x:c>
      <x:c r="L274" s="31"/>
      <x:c r="M274" s="31" t="d">
        <x:v>2026-10-24T00:00:00.000Z</x:v>
      </x:c>
      <x:c r="N274" s="29" t="str">
        <x:v>EXIF yönü uygulandı; boyut küçültülüp WebP biçimine dönüştürüldü.</x:v>
      </x:c>
      <x:c r="O274" s="29" t="str">
        <x:v>bakersfield:evidence:venue-22239</x:v>
      </x:c>
      <x:c r="P274" s="29" t="str">
        <x:v>Evet</x:v>
      </x:c>
      <x:c r="Q274" s="35" t="n">
        <x:v>0</x:v>
      </x:c>
      <x:c r="R274" s="29" t="str">
        <x:v>İnceleme</x:v>
      </x:c>
      <x:c r="S274" s="36" t="n">
        <x:f>IF(OR(A274="",C274&lt;&gt;"Mekân",P274&lt;&gt;"Evet"),0,IF(COUNTIFS($F$8:F274,F274,$C$8:C274,"Mekân",$P$8:P274,"Evet")=1,1,0))</x:f>
        <x:v>1</x:v>
      </x:c>
      <x:c r="T274" s="36" t="n">
        <x:f>IF(OR(A274="",C274&lt;&gt;"Kapak",P274&lt;&gt;"Evet"),0,IF(COUNTIFS($F$8:F274,F274,$C$8:C274,"Kapak",$P$8:P274,"Evet")=1,1,0))</x:f>
        <x:v>0</x:v>
      </x:c>
    </x:row>
    <x:row r="275" ht="54" customHeight="1">
      <x:c r="A275" s="29" t="str">
        <x:v>bakersfield:photo:venue-22240</x:v>
      </x:c>
      <x:c r="B275" s="29" t="str">
        <x:v>bakersfield</x:v>
      </x:c>
      <x:c r="C275" s="29" t="str">
        <x:v>Mekân</x:v>
      </x:c>
      <x:c r="D275" s="29" t="str">
        <x:v>bakersfield:yer-local-bakersfield-bickel-camp</x:v>
      </x:c>
      <x:c r="E275" s="29" t="str">
        <x:v>Fotoğraflar/bk-1ee4d2d61c41778e8dcd3ce7.webp</x:v>
      </x:c>
      <x:c r="F275" s="29" t="str">
        <x:v>1ee4d2d61c41778e8dcd3ce7450cc4a6cb1a10c3b896abe66b809bcb0425f462</x:v>
      </x:c>
      <x:c r="G275" s="29" t="str">
        <x:v>Bickel Camp · 2013 tarihli fotoğraf</x:v>
      </x:c>
      <x:c r="H275" s="29" t="str">
        <x:v>Kurtis Clark</x:v>
      </x:c>
      <x:c r="I275" s="29" t="str">
        <x:v>CC BY-SA 3.0</x:v>
      </x:c>
      <x:c r="J275" s="29" t="str">
        <x:v>https://creativecommons.org/licenses/by-sa/3.0</x:v>
      </x:c>
      <x:c r="K275" s="29" t="str">
        <x:v>https://commons.wikimedia.org/wiki/File:Bickel_Camp_workshop.JPG</x:v>
      </x:c>
      <x:c r="L275" s="31"/>
      <x:c r="M275" s="31" t="d">
        <x:v>2026-10-24T00:00:00.000Z</x:v>
      </x:c>
      <x:c r="N275" s="29" t="str">
        <x:v>EXIF yönü uygulandı; boyut küçültülüp WebP biçimine dönüştürüldü.</x:v>
      </x:c>
      <x:c r="O275" s="29" t="str">
        <x:v>bakersfield:evidence:venue-22240</x:v>
      </x:c>
      <x:c r="P275" s="29" t="str">
        <x:v>Evet</x:v>
      </x:c>
      <x:c r="Q275" s="35" t="n">
        <x:v>1</x:v>
      </x:c>
      <x:c r="R275" s="29" t="str">
        <x:v>İnceleme</x:v>
      </x:c>
      <x:c r="S275" s="36" t="n">
        <x:f>IF(OR(A275="",C275&lt;&gt;"Mekân",P275&lt;&gt;"Evet"),0,IF(COUNTIFS($F$8:F275,F275,$C$8:C275,"Mekân",$P$8:P275,"Evet")=1,1,0))</x:f>
        <x:v>1</x:v>
      </x:c>
      <x:c r="T275" s="36" t="n">
        <x:f>IF(OR(A275="",C275&lt;&gt;"Kapak",P275&lt;&gt;"Evet"),0,IF(COUNTIFS($F$8:F275,F275,$C$8:C275,"Kapak",$P$8:P275,"Evet")=1,1,0))</x:f>
        <x:v>0</x:v>
      </x:c>
    </x:row>
    <x:row r="276" ht="54" customHeight="1">
      <x:c r="A276" s="29" t="str">
        <x:v>bakersfield:photo:venue-22241</x:v>
      </x:c>
      <x:c r="B276" s="29" t="str">
        <x:v>bakersfield</x:v>
      </x:c>
      <x:c r="C276" s="29" t="str">
        <x:v>Mekân</x:v>
      </x:c>
      <x:c r="D276" s="29" t="str">
        <x:v>bakersfield:yer-local-bakersfield-burro-schmidt</x:v>
      </x:c>
      <x:c r="E276" s="29" t="str">
        <x:v>Fotoğraflar/bk-3274c4b709717ec381dce45a.webp</x:v>
      </x:c>
      <x:c r="F276" s="29" t="str">
        <x:v>3274c4b709717ec381dce45adabbec09b7695d603ff0a7530087b0c1d628afe3</x:v>
      </x:c>
      <x:c r="G276" s="29" t="str">
        <x:v>Burro Schmidt Tunnel çevresi · 2013 tarihli fotoğraf</x:v>
      </x:c>
      <x:c r="H276" s="29" t="str">
        <x:v>Kurtis2014</x:v>
      </x:c>
      <x:c r="I276" s="29" t="str">
        <x:v>CC BY-SA 3.0</x:v>
      </x:c>
      <x:c r="J276" s="29" t="str">
        <x:v>https://creativecommons.org/licenses/by-sa/3.0</x:v>
      </x:c>
      <x:c r="K276" s="29" t="str">
        <x:v>https://commons.wikimedia.org/wiki/File:Tunnel_south_entrance.JPG</x:v>
      </x:c>
      <x:c r="L276" s="31"/>
      <x:c r="M276" s="31" t="d">
        <x:v>2026-10-24T00:00:00.000Z</x:v>
      </x:c>
      <x:c r="N276" s="29" t="str">
        <x:v>EXIF yönü uygulandı; boyut küçültülüp WebP biçimine dönüştürüldü.</x:v>
      </x:c>
      <x:c r="O276" s="29" t="str">
        <x:v>bakersfield:evidence:venue-22241</x:v>
      </x:c>
      <x:c r="P276" s="29" t="str">
        <x:v>Evet</x:v>
      </x:c>
      <x:c r="Q276" s="35" t="n">
        <x:v>0</x:v>
      </x:c>
      <x:c r="R276" s="29" t="str">
        <x:v>İnceleme</x:v>
      </x:c>
      <x:c r="S276" s="36" t="n">
        <x:f>IF(OR(A276="",C276&lt;&gt;"Mekân",P276&lt;&gt;"Evet"),0,IF(COUNTIFS($F$8:F276,F276,$C$8:C276,"Mekân",$P$8:P276,"Evet")=1,1,0))</x:f>
        <x:v>1</x:v>
      </x:c>
      <x:c r="T276" s="36" t="n">
        <x:f>IF(OR(A276="",C276&lt;&gt;"Kapak",P276&lt;&gt;"Evet"),0,IF(COUNTIFS($F$8:F276,F276,$C$8:C276,"Kapak",$P$8:P276,"Evet")=1,1,0))</x:f>
        <x:v>0</x:v>
      </x:c>
    </x:row>
    <x:row r="277" ht="54" customHeight="1">
      <x:c r="A277" s="29" t="str">
        <x:v>bakersfield:photo:venue-22242</x:v>
      </x:c>
      <x:c r="B277" s="29" t="str">
        <x:v>bakersfield</x:v>
      </x:c>
      <x:c r="C277" s="29" t="str">
        <x:v>Mekân</x:v>
      </x:c>
      <x:c r="D277" s="29" t="str">
        <x:v>bakersfield:yer-local-bakersfield-burro-schmidt</x:v>
      </x:c>
      <x:c r="E277" s="29" t="str">
        <x:v>Fotoğraflar/bk-5b4b8fb2e990816b55ea4cdf.webp</x:v>
      </x:c>
      <x:c r="F277" s="29" t="str">
        <x:v>5b4b8fb2e990816b55ea4cdf64ea466edd8e4fc830231b3458c3280fae8f2c6c</x:v>
      </x:c>
      <x:c r="G277" s="29" t="str">
        <x:v>Burro Schmidt Tunnel çevresi · 2008 tarihli fotoğraf</x:v>
      </x:c>
      <x:c r="H277" s="29" t="str">
        <x:v>Kurtis2014</x:v>
      </x:c>
      <x:c r="I277" s="29" t="str">
        <x:v>CC BY-SA 3.0</x:v>
      </x:c>
      <x:c r="J277" s="29" t="str">
        <x:v>https://creativecommons.org/licenses/by-sa/3.0</x:v>
      </x:c>
      <x:c r="K277" s="29" t="str">
        <x:v>https://commons.wikimedia.org/wiki/File:Burro_Schmidt%27s_cabin.jpg</x:v>
      </x:c>
      <x:c r="L277" s="31"/>
      <x:c r="M277" s="31" t="d">
        <x:v>2026-10-24T00:00:00.000Z</x:v>
      </x:c>
      <x:c r="N277" s="29" t="str">
        <x:v>EXIF yönü uygulandı; boyut küçültülüp WebP biçimine dönüştürüldü.</x:v>
      </x:c>
      <x:c r="O277" s="29" t="str">
        <x:v>bakersfield:evidence:venue-22242</x:v>
      </x:c>
      <x:c r="P277" s="29" t="str">
        <x:v>Evet</x:v>
      </x:c>
      <x:c r="Q277" s="35" t="n">
        <x:v>1</x:v>
      </x:c>
      <x:c r="R277" s="29" t="str">
        <x:v>İnceleme</x:v>
      </x:c>
      <x:c r="S277" s="36" t="n">
        <x:f>IF(OR(A277="",C277&lt;&gt;"Mekân",P277&lt;&gt;"Evet"),0,IF(COUNTIFS($F$8:F277,F277,$C$8:C277,"Mekân",$P$8:P277,"Evet")=1,1,0))</x:f>
        <x:v>1</x:v>
      </x:c>
      <x:c r="T277" s="36" t="n">
        <x:f>IF(OR(A277="",C277&lt;&gt;"Kapak",P277&lt;&gt;"Evet"),0,IF(COUNTIFS($F$8:F277,F277,$C$8:C277,"Kapak",$P$8:P277,"Evet")=1,1,0))</x:f>
        <x:v>0</x:v>
      </x:c>
    </x:row>
    <x:row r="278" ht="68" customHeight="1">
      <x:c r="A278" s="29" t="str">
        <x:v>bakersfield:photo:venue-22243</x:v>
      </x:c>
      <x:c r="B278" s="29" t="str">
        <x:v>bakersfield</x:v>
      </x:c>
      <x:c r="C278" s="29" t="str">
        <x:v>Mekân</x:v>
      </x:c>
      <x:c r="D278" s="29" t="str">
        <x:v>bakersfield:yer-local-bakersfield-tehachapi-wind</x:v>
      </x:c>
      <x:c r="E278" s="29" t="str">
        <x:v>Fotoğraflar/bk-d02137d310f16e925f1c62f5.webp</x:v>
      </x:c>
      <x:c r="F278" s="29" t="str">
        <x:v>d02137d310f16e925f1c62f52487a8bc38ed3d60deb9dcde85a353b7f764ec20</x:v>
      </x:c>
      <x:c r="G278" s="29" t="str">
        <x:v>Tehachapi rüzgâr enerjisi peyzajı · 6 De tarihli fotoğraf</x:v>
      </x:c>
      <x:c r="H278" s="29" t="str">
        <x:v>No machine-readable author provided. Rogerhoward assumed (based on copyright claims).</x:v>
      </x:c>
      <x:c r="I278" s="29" t="str">
        <x:v>CC BY-SA 2.5</x:v>
      </x:c>
      <x:c r="J278" s="29" t="str">
        <x:v>https://creativecommons.org/licenses/by-sa/2.5</x:v>
      </x:c>
      <x:c r="K278" s="29" t="str">
        <x:v>https://commons.wikimedia.org/wiki/File:20050101_Tehachapi_Windmills_04_pano.jpg</x:v>
      </x:c>
      <x:c r="L278" s="31"/>
      <x:c r="M278" s="31" t="d">
        <x:v>2026-10-24T00:00:00.000Z</x:v>
      </x:c>
      <x:c r="N278" s="29" t="str">
        <x:v>EXIF yönü uygulandı; boyut küçültülüp WebP biçimine dönüştürüldü.</x:v>
      </x:c>
      <x:c r="O278" s="29" t="str">
        <x:v>bakersfield:evidence:venue-22243</x:v>
      </x:c>
      <x:c r="P278" s="29" t="str">
        <x:v>Evet</x:v>
      </x:c>
      <x:c r="Q278" s="35" t="n">
        <x:v>0</x:v>
      </x:c>
      <x:c r="R278" s="29" t="str">
        <x:v>İnceleme</x:v>
      </x:c>
      <x:c r="S278" s="36" t="n">
        <x:f>IF(OR(A278="",C278&lt;&gt;"Mekân",P278&lt;&gt;"Evet"),0,IF(COUNTIFS($F$8:F278,F278,$C$8:C278,"Mekân",$P$8:P278,"Evet")=1,1,0))</x:f>
        <x:v>1</x:v>
      </x:c>
      <x:c r="T278" s="36" t="n">
        <x:f>IF(OR(A278="",C278&lt;&gt;"Kapak",P278&lt;&gt;"Evet"),0,IF(COUNTIFS($F$8:F278,F278,$C$8:C278,"Kapak",$P$8:P278,"Evet")=1,1,0))</x:f>
        <x:v>0</x:v>
      </x:c>
    </x:row>
    <x:row r="279" ht="54" customHeight="1">
      <x:c r="A279" s="29" t="str">
        <x:v>bakersfield:photo:venue-22244</x:v>
      </x:c>
      <x:c r="B279" s="29" t="str">
        <x:v>bakersfield</x:v>
      </x:c>
      <x:c r="C279" s="29" t="str">
        <x:v>Mekân</x:v>
      </x:c>
      <x:c r="D279" s="29" t="str">
        <x:v>bakersfield:yer-local-bakersfield-pinos-ranger-station</x:v>
      </x:c>
      <x:c r="E279" s="29" t="str">
        <x:v>Fotoğraflar/bk-939319bf57338ab83a7895ff.webp</x:v>
      </x:c>
      <x:c r="F279" s="29" t="str">
        <x:v>939319bf57338ab83a7895ffa8406a92c1b558d4398f489d8184ef1437b17399</x:v>
      </x:c>
      <x:c r="G279" s="29" t="str">
        <x:v>Mt. Pinos Ranger Station – Chuchupate · 2021 tarihli fotoğraf</x:v>
      </x:c>
      <x:c r="H279" s="29" t="str">
        <x:v>The Fun Chronicles</x:v>
      </x:c>
      <x:c r="I279" s="29" t="str">
        <x:v>CC0 1.0</x:v>
      </x:c>
      <x:c r="J279" s="29" t="str">
        <x:v>https://creativecommons.org/publicdomain/zero/1.0/</x:v>
      </x:c>
      <x:c r="K279" s="29" t="str">
        <x:v>https://commons.wikimedia.org/wiki/File:61_Frazier_Mountain_Road_Views_(25)_-_Mount_Pinos_Ranger_Station_(1).jpg</x:v>
      </x:c>
      <x:c r="L279" s="31"/>
      <x:c r="M279" s="31" t="d">
        <x:v>2026-10-24T00:00:00.000Z</x:v>
      </x:c>
      <x:c r="N279" s="29" t="str">
        <x:v>EXIF yönü uygulandı; boyut küçültülüp WebP biçimine dönüştürüldü.</x:v>
      </x:c>
      <x:c r="O279" s="29" t="str">
        <x:v>bakersfield:evidence:venue-22244</x:v>
      </x:c>
      <x:c r="P279" s="29" t="str">
        <x:v>Evet</x:v>
      </x:c>
      <x:c r="Q279" s="35" t="n">
        <x:v>0</x:v>
      </x:c>
      <x:c r="R279" s="29" t="str">
        <x:v>İnceleme</x:v>
      </x:c>
      <x:c r="S279" s="36" t="n">
        <x:f>IF(OR(A279="",C279&lt;&gt;"Mekân",P279&lt;&gt;"Evet"),0,IF(COUNTIFS($F$8:F279,F279,$C$8:C279,"Mekân",$P$8:P279,"Evet")=1,1,0))</x:f>
        <x:v>1</x:v>
      </x:c>
      <x:c r="T279" s="36" t="n">
        <x:f>IF(OR(A279="",C279&lt;&gt;"Kapak",P279&lt;&gt;"Evet"),0,IF(COUNTIFS($F$8:F279,F279,$C$8:C279,"Kapak",$P$8:P279,"Evet")=1,1,0))</x:f>
        <x:v>0</x:v>
      </x:c>
    </x:row>
    <x:row r="280" ht="54" customHeight="1">
      <x:c r="A280" s="29" t="str">
        <x:v>bakersfield:photo:venue-22245</x:v>
      </x:c>
      <x:c r="B280" s="29" t="str">
        <x:v>bakersfield</x:v>
      </x:c>
      <x:c r="C280" s="29" t="str">
        <x:v>Mekân</x:v>
      </x:c>
      <x:c r="D280" s="29" t="str">
        <x:v>bakersfield:yer-local-bakersfield-pinos-ranger-station</x:v>
      </x:c>
      <x:c r="E280" s="29" t="str">
        <x:v>Fotoğraflar/bk-a108f295151115762860aaf6.webp</x:v>
      </x:c>
      <x:c r="F280" s="29" t="str">
        <x:v>a108f295151115762860aaf6d0b0558150689219696f9f9a50927d815aa20ff9</x:v>
      </x:c>
      <x:c r="G280" s="29" t="str">
        <x:v>Mt. Pinos Ranger Station – Chuchupate · 2021 tarihli fotoğraf</x:v>
      </x:c>
      <x:c r="H280" s="29" t="str">
        <x:v>The Fun Chronicles</x:v>
      </x:c>
      <x:c r="I280" s="29" t="str">
        <x:v>CC0 1.0</x:v>
      </x:c>
      <x:c r="J280" s="29" t="str">
        <x:v>https://creativecommons.org/publicdomain/zero/1.0/</x:v>
      </x:c>
      <x:c r="K280" s="29" t="str">
        <x:v>https://commons.wikimedia.org/wiki/File:62_Frazier_Mountain_Road_Views_(26)_-_Mount_Pinos_Ranger_Station_(2).jpg</x:v>
      </x:c>
      <x:c r="L280" s="31"/>
      <x:c r="M280" s="31" t="d">
        <x:v>2026-10-24T00:00:00.000Z</x:v>
      </x:c>
      <x:c r="N280" s="29" t="str">
        <x:v>EXIF yönü uygulandı; boyut küçültülüp WebP biçimine dönüştürüldü.</x:v>
      </x:c>
      <x:c r="O280" s="29" t="str">
        <x:v>bakersfield:evidence:venue-22245</x:v>
      </x:c>
      <x:c r="P280" s="29" t="str">
        <x:v>Evet</x:v>
      </x:c>
      <x:c r="Q280" s="35" t="n">
        <x:v>1</x:v>
      </x:c>
      <x:c r="R280" s="29" t="str">
        <x:v>İnceleme</x:v>
      </x:c>
      <x:c r="S280" s="36" t="n">
        <x:f>IF(OR(A280="",C280&lt;&gt;"Mekân",P280&lt;&gt;"Evet"),0,IF(COUNTIFS($F$8:F280,F280,$C$8:C280,"Mekân",$P$8:P280,"Evet")=1,1,0))</x:f>
        <x:v>1</x:v>
      </x:c>
      <x:c r="T280" s="36" t="n">
        <x:f>IF(OR(A280="",C280&lt;&gt;"Kapak",P280&lt;&gt;"Evet"),0,IF(COUNTIFS($F$8:F280,F280,$C$8:C280,"Kapak",$P$8:P280,"Evet")=1,1,0))</x:f>
        <x:v>0</x:v>
      </x:c>
    </x:row>
    <x:row r="281" ht="54" customHeight="1">
      <x:c r="A281" s="29" t="str">
        <x:v>bakersfield:photo:venue-22246</x:v>
      </x:c>
      <x:c r="B281" s="29" t="str">
        <x:v>bakersfield</x:v>
      </x:c>
      <x:c r="C281" s="29" t="str">
        <x:v>Mekân</x:v>
      </x:c>
      <x:c r="D281" s="29" t="str">
        <x:v>bakersfield:mahalle-local-bakersfield-area-downtown</x:v>
      </x:c>
      <x:c r="E281" s="29" t="str">
        <x:v>Fotoğraflar/bk-6349205a7e370536e7a3f979.webp</x:v>
      </x:c>
      <x:c r="F281" s="29" t="str">
        <x:v>6349205a7e370536e7a3f97964462f0021b160d7f3a6e2e8d1d459a2e26335a8</x:v>
      </x:c>
      <x:c r="G281" s="29" t="str">
        <x:v>Downtown · 2026 tarihli fotoğraf</x:v>
      </x:c>
      <x:c r="H281" s="29" t="str">
        <x:v>Daderot</x:v>
      </x:c>
      <x:c r="I281" s="29" t="str">
        <x:v>CC0 1.0</x:v>
      </x:c>
      <x:c r="J281" s="29" t="str">
        <x:v>https://creativecommons.org/publicdomain/zero/1.0/</x:v>
      </x:c>
      <x:c r="K281" s="29" t="str">
        <x:v>https://commons.wikimedia.org/wiki/File:Fox_Theater_-_Bakersfield,_CA_-_DSC00462.jpg</x:v>
      </x:c>
      <x:c r="L281" s="31"/>
      <x:c r="M281" s="31" t="d">
        <x:v>2026-10-24T00:00:00.000Z</x:v>
      </x:c>
      <x:c r="N281" s="29" t="str">
        <x:v>EXIF yönü uygulandı; boyut küçültülüp WebP biçimine dönüştürüldü.</x:v>
      </x:c>
      <x:c r="O281" s="29" t="str">
        <x:v>bakersfield:evidence:venue-22246</x:v>
      </x:c>
      <x:c r="P281" s="29" t="str">
        <x:v>Evet</x:v>
      </x:c>
      <x:c r="Q281" s="35" t="n">
        <x:v>0</x:v>
      </x:c>
      <x:c r="R281" s="29" t="str">
        <x:v>İnceleme</x:v>
      </x:c>
      <x:c r="S281" s="36" t="n">
        <x:f>IF(OR(A281="",C281&lt;&gt;"Mekân",P281&lt;&gt;"Evet"),0,IF(COUNTIFS($F$8:F281,F281,$C$8:C281,"Mekân",$P$8:P281,"Evet")=1,1,0))</x:f>
        <x:v>0</x:v>
      </x:c>
      <x:c r="T281" s="36" t="n">
        <x:f>IF(OR(A281="",C281&lt;&gt;"Kapak",P281&lt;&gt;"Evet"),0,IF(COUNTIFS($F$8:F281,F281,$C$8:C281,"Kapak",$P$8:P281,"Evet")=1,1,0))</x:f>
        <x:v>0</x:v>
      </x:c>
    </x:row>
    <x:row r="282" ht="54" customHeight="1">
      <x:c r="A282" s="29" t="str">
        <x:v>bakersfield:photo:venue-22247</x:v>
      </x:c>
      <x:c r="B282" s="29" t="str">
        <x:v>bakersfield</x:v>
      </x:c>
      <x:c r="C282" s="29" t="str">
        <x:v>Mekân</x:v>
      </x:c>
      <x:c r="D282" s="29" t="str">
        <x:v>bakersfield:mahalle-local-bakersfield-area-mill-creek</x:v>
      </x:c>
      <x:c r="E282" s="29" t="str">
        <x:v>Fotoğraflar/bk-5987d5a76c2414407ef94d89.webp</x:v>
      </x:c>
      <x:c r="F282" s="29" t="str">
        <x:v>5987d5a76c2414407ef94d89bef4087b85ced7db99d25ddde7ba949331160065</x:v>
      </x:c>
      <x:c r="G282" s="29" t="str">
        <x:v>Mill Creek çevresi · 2011 tarihli fotoğraf</x:v>
      </x:c>
      <x:c r="H282" s="29" t="str">
        <x:v>Chuck Abbe</x:v>
      </x:c>
      <x:c r="I282" s="29" t="str">
        <x:v>CC BY 2.0</x:v>
      </x:c>
      <x:c r="J282" s="29" t="str">
        <x:v>https://creativecommons.org/licenses/by/2.0/</x:v>
      </x:c>
      <x:c r="K282" s="29" t="str">
        <x:v>https://www.flickr.com/photos/93406569@N00/6345264555/</x:v>
      </x:c>
      <x:c r="L282" s="31" t="d">
        <x:v>2011-11-14T00:00:00.000Z</x:v>
      </x:c>
      <x:c r="M282" s="31" t="d">
        <x:v>2026-10-24T00:00:00.000Z</x:v>
      </x:c>
      <x:c r="N282" s="29" t="str">
        <x:v>EXIF yönü uygulandı; boyut küçültülüp WebP biçimine dönüştürüldü.</x:v>
      </x:c>
      <x:c r="O282" s="29" t="str">
        <x:v>bakersfield:evidence:venue-22247</x:v>
      </x:c>
      <x:c r="P282" s="29" t="str">
        <x:v>Evet</x:v>
      </x:c>
      <x:c r="Q282" s="35" t="n">
        <x:v>0</x:v>
      </x:c>
      <x:c r="R282" s="29" t="str">
        <x:v>İnceleme</x:v>
      </x:c>
      <x:c r="S282" s="36" t="n">
        <x:f>IF(OR(A282="",C282&lt;&gt;"Mekân",P282&lt;&gt;"Evet"),0,IF(COUNTIFS($F$8:F282,F282,$C$8:C282,"Mekân",$P$8:P282,"Evet")=1,1,0))</x:f>
        <x:v>0</x:v>
      </x:c>
      <x:c r="T282" s="36" t="n">
        <x:f>IF(OR(A282="",C282&lt;&gt;"Kapak",P282&lt;&gt;"Evet"),0,IF(COUNTIFS($F$8:F282,F282,$C$8:C282,"Kapak",$P$8:P282,"Evet")=1,1,0))</x:f>
        <x:v>0</x:v>
      </x:c>
    </x:row>
    <x:row r="283" ht="54" customHeight="1">
      <x:c r="A283" s="29" t="str">
        <x:v>bakersfield:photo:venue-22248</x:v>
      </x:c>
      <x:c r="B283" s="29" t="str">
        <x:v>bakersfield</x:v>
      </x:c>
      <x:c r="C283" s="29" t="str">
        <x:v>Mekân</x:v>
      </x:c>
      <x:c r="D283" s="29" t="str">
        <x:v>bakersfield:mahalle-local-bakersfield-area-westchester</x:v>
      </x:c>
      <x:c r="E283" s="29" t="str">
        <x:v>Fotoğraflar/bk-92512eac2e0ea0bfef36b828.webp</x:v>
      </x:c>
      <x:c r="F283" s="29" t="str">
        <x:v>92512eac2e0ea0bfef36b82894489211ba5f5415c72020771a73726e7de69f71</x:v>
      </x:c>
      <x:c r="G283" s="29" t="str">
        <x:v>Westchester · 2010 tarihli fotoğraf</x:v>
      </x:c>
      <x:c r="H283" s="29" t="str">
        <x:v>Julie Jordan Scott</x:v>
      </x:c>
      <x:c r="I283" s="29" t="str">
        <x:v>CC BY 2.0</x:v>
      </x:c>
      <x:c r="J283" s="29" t="str">
        <x:v>https://creativecommons.org/licenses/by/2.0/</x:v>
      </x:c>
      <x:c r="K283" s="29" t="str">
        <x:v>https://www.flickr.com/photos/98609821@N00/4300726314/</x:v>
      </x:c>
      <x:c r="L283" s="31" t="d">
        <x:v>2010-01-23T00:00:00.000Z</x:v>
      </x:c>
      <x:c r="M283" s="31" t="d">
        <x:v>2026-10-24T00:00:00.000Z</x:v>
      </x:c>
      <x:c r="N283" s="29" t="str">
        <x:v>EXIF yönü uygulandı; boyut küçültülüp WebP biçimine dönüştürüldü.</x:v>
      </x:c>
      <x:c r="O283" s="29" t="str">
        <x:v>bakersfield:evidence:venue-22248</x:v>
      </x:c>
      <x:c r="P283" s="29" t="str">
        <x:v>Evet</x:v>
      </x:c>
      <x:c r="Q283" s="35" t="n">
        <x:v>0</x:v>
      </x:c>
      <x:c r="R283" s="29" t="str">
        <x:v>İnceleme</x:v>
      </x:c>
      <x:c r="S283" s="36" t="n">
        <x:f>IF(OR(A283="",C283&lt;&gt;"Mekân",P283&lt;&gt;"Evet"),0,IF(COUNTIFS($F$8:F283,F283,$C$8:C283,"Mekân",$P$8:P283,"Evet")=1,1,0))</x:f>
        <x:v>0</x:v>
      </x:c>
      <x:c r="T283" s="36" t="n">
        <x:f>IF(OR(A283="",C283&lt;&gt;"Kapak",P283&lt;&gt;"Evet"),0,IF(COUNTIFS($F$8:F283,F283,$C$8:C283,"Kapak",$P$8:P283,"Evet")=1,1,0))</x:f>
        <x:v>0</x:v>
      </x:c>
    </x:row>
    <x:row r="284" ht="54" customHeight="1">
      <x:c r="A284" s="29" t="str">
        <x:v>bakersfield:photo:venue-22249</x:v>
      </x:c>
      <x:c r="B284" s="29" t="str">
        <x:v>bakersfield</x:v>
      </x:c>
      <x:c r="C284" s="29" t="str">
        <x:v>Mekân</x:v>
      </x:c>
      <x:c r="D284" s="29" t="str">
        <x:v>bakersfield:mahalle-local-bakersfield-area-oleander-eye</x:v>
      </x:c>
      <x:c r="E284" s="29" t="str">
        <x:v>Fotoğraflar/bk-bbadd314ba659b58029982cb.webp</x:v>
      </x:c>
      <x:c r="F284" s="29" t="str">
        <x:v>bbadd314ba659b58029982cba5ee2bbe0221cc42df5151fb978d91c18f66d628</x:v>
      </x:c>
      <x:c r="G284" s="29" t="str">
        <x:v>Oleander–Sunset / Eye Street çevresi · 2008 tarihli fotoğraf</x:v>
      </x:c>
      <x:c r="H284" s="29" t="str">
        <x:v>David Steele</x:v>
      </x:c>
      <x:c r="I284" s="29" t="str">
        <x:v>CC BY 2.0</x:v>
      </x:c>
      <x:c r="J284" s="29" t="str">
        <x:v>https://creativecommons.org/licenses/by/2.0/</x:v>
      </x:c>
      <x:c r="K284" s="29" t="str">
        <x:v>https://www.flickr.com/photos/49025781@N00/2375477975/</x:v>
      </x:c>
      <x:c r="L284" s="31" t="d">
        <x:v>2008-02-18T00:00:00.000Z</x:v>
      </x:c>
      <x:c r="M284" s="31" t="d">
        <x:v>2026-10-24T00:00:00.000Z</x:v>
      </x:c>
      <x:c r="N284" s="29" t="str">
        <x:v>EXIF yönü uygulandı; boyut küçültülüp WebP biçimine dönüştürüldü.</x:v>
      </x:c>
      <x:c r="O284" s="29" t="str">
        <x:v>bakersfield:evidence:venue-22249</x:v>
      </x:c>
      <x:c r="P284" s="29" t="str">
        <x:v>Evet</x:v>
      </x:c>
      <x:c r="Q284" s="35" t="n">
        <x:v>0</x:v>
      </x:c>
      <x:c r="R284" s="29" t="str">
        <x:v>İnceleme</x:v>
      </x:c>
      <x:c r="S284" s="36" t="n">
        <x:f>IF(OR(A284="",C284&lt;&gt;"Mekân",P284&lt;&gt;"Evet"),0,IF(COUNTIFS($F$8:F284,F284,$C$8:C284,"Mekân",$P$8:P284,"Evet")=1,1,0))</x:f>
        <x:v>0</x:v>
      </x:c>
      <x:c r="T284" s="36" t="n">
        <x:f>IF(OR(A284="",C284&lt;&gt;"Kapak",P284&lt;&gt;"Evet"),0,IF(COUNTIFS($F$8:F284,F284,$C$8:C284,"Kapak",$P$8:P284,"Evet")=1,1,0))</x:f>
        <x:v>0</x:v>
      </x:c>
    </x:row>
    <x:row r="285" ht="54" customHeight="1">
      <x:c r="A285" s="29" t="str">
        <x:v>bakersfield:photo:venue-22250</x:v>
      </x:c>
      <x:c r="B285" s="29" t="str">
        <x:v>bakersfield</x:v>
      </x:c>
      <x:c r="C285" s="29" t="str">
        <x:v>Mekân</x:v>
      </x:c>
      <x:c r="D285" s="29" t="str">
        <x:v>bakersfield:mahalle-local-bakersfield-area-old-town-kern</x:v>
      </x:c>
      <x:c r="E285" s="29" t="str">
        <x:v>Fotoğraflar/bk-442f904e6392375df25c9f64.webp</x:v>
      </x:c>
      <x:c r="F285" s="29" t="str">
        <x:v>442f904e6392375df25c9f64f63c3572737da260b01510df7934e17eecc33408</x:v>
      </x:c>
      <x:c r="G285" s="29" t="str">
        <x:v>Old Town Kern / Baker Street · 2009 tarihli fotoğraf</x:v>
      </x:c>
      <x:c r="H285" s="29" t="str">
        <x:v>Bobak Ha'Eri</x:v>
      </x:c>
      <x:c r="I285" s="29" t="str">
        <x:v>CC BY 3.0</x:v>
      </x:c>
      <x:c r="J285" s="29" t="str">
        <x:v>https://creativecommons.org/licenses/by/3.0</x:v>
      </x:c>
      <x:c r="K285" s="29" t="str">
        <x:v>https://commons.wikimedia.org/wiki/File:2009-0726-CA-Bakersfield-BakerLib.jpg</x:v>
      </x:c>
      <x:c r="L285" s="31" t="d">
        <x:v>2009-07-26T00:00:00.000Z</x:v>
      </x:c>
      <x:c r="M285" s="31" t="d">
        <x:v>2026-10-24T00:00:00.000Z</x:v>
      </x:c>
      <x:c r="N285" s="29" t="str">
        <x:v>EXIF yönü uygulandı; boyut küçültülüp WebP biçimine dönüştürüldü.</x:v>
      </x:c>
      <x:c r="O285" s="29" t="str">
        <x:v>bakersfield:evidence:venue-22250</x:v>
      </x:c>
      <x:c r="P285" s="29" t="str">
        <x:v>Evet</x:v>
      </x:c>
      <x:c r="Q285" s="35" t="n">
        <x:v>0</x:v>
      </x:c>
      <x:c r="R285" s="29" t="str">
        <x:v>İnceleme</x:v>
      </x:c>
      <x:c r="S285" s="36" t="n">
        <x:f>IF(OR(A285="",C285&lt;&gt;"Mekân",P285&lt;&gt;"Evet"),0,IF(COUNTIFS($F$8:F285,F285,$C$8:C285,"Mekân",$P$8:P285,"Evet")=1,1,0))</x:f>
        <x:v>0</x:v>
      </x:c>
      <x:c r="T285" s="36" t="n">
        <x:f>IF(OR(A285="",C285&lt;&gt;"Kapak",P285&lt;&gt;"Evet"),0,IF(COUNTIFS($F$8:F285,F285,$C$8:C285,"Kapak",$P$8:P285,"Evet")=1,1,0))</x:f>
        <x:v>0</x:v>
      </x:c>
    </x:row>
    <x:row r="286" ht="54" customHeight="1">
      <x:c r="A286" s="29" t="str">
        <x:v>bakersfield:photo:venue-22251</x:v>
      </x:c>
      <x:c r="B286" s="29" t="str">
        <x:v>bakersfield</x:v>
      </x:c>
      <x:c r="C286" s="29" t="str">
        <x:v>Mekân</x:v>
      </x:c>
      <x:c r="D286" s="29" t="str">
        <x:v>bakersfield:mahalle-local-bakersfield-area-college-panorama</x:v>
      </x:c>
      <x:c r="E286" s="29" t="str">
        <x:v>Fotoğraflar/bk-c056d8a64da5e705aef2f3c7.webp</x:v>
      </x:c>
      <x:c r="F286" s="29" t="str">
        <x:v>c056d8a64da5e705aef2f3c71cbd4a628f00a0d1dbed356db88eb292847ec202</x:v>
      </x:c>
      <x:c r="G286" s="29" t="str">
        <x:v>Bakersfield College / Panorama çevresi · 2007 tarihli fotoğraf</x:v>
      </x:c>
      <x:c r="H286" s="29" t="str">
        <x:v>Bobak Ha'Eri</x:v>
      </x:c>
      <x:c r="I286" s="29" t="str">
        <x:v>CC BY-SA 2.5</x:v>
      </x:c>
      <x:c r="J286" s="29" t="str">
        <x:v>https://creativecommons.org/licenses/by-sa/2.5</x:v>
      </x:c>
      <x:c r="K286" s="29" t="str">
        <x:v>https://commons.wikimedia.org/wiki/File:01-2007-BakersfieldCollege.jpg</x:v>
      </x:c>
      <x:c r="L286" s="31" t="d">
        <x:v>2007-01-04T00:00:00.000Z</x:v>
      </x:c>
      <x:c r="M286" s="31" t="d">
        <x:v>2026-10-24T00:00:00.000Z</x:v>
      </x:c>
      <x:c r="N286" s="29" t="str">
        <x:v>EXIF yönü uygulandı; boyut küçültülüp WebP biçimine dönüştürüldü.</x:v>
      </x:c>
      <x:c r="O286" s="29" t="str">
        <x:v>bakersfield:evidence:venue-22251</x:v>
      </x:c>
      <x:c r="P286" s="29" t="str">
        <x:v>Evet</x:v>
      </x:c>
      <x:c r="Q286" s="35" t="n">
        <x:v>0</x:v>
      </x:c>
      <x:c r="R286" s="29" t="str">
        <x:v>İnceleme</x:v>
      </x:c>
      <x:c r="S286" s="36" t="n">
        <x:f>IF(OR(A286="",C286&lt;&gt;"Mekân",P286&lt;&gt;"Evet"),0,IF(COUNTIFS($F$8:F286,F286,$C$8:C286,"Mekân",$P$8:P286,"Evet")=1,1,0))</x:f>
        <x:v>0</x:v>
      </x:c>
      <x:c r="T286" s="36" t="n">
        <x:f>IF(OR(A286="",C286&lt;&gt;"Kapak",P286&lt;&gt;"Evet"),0,IF(COUNTIFS($F$8:F286,F286,$C$8:C286,"Kapak",$P$8:P286,"Evet")=1,1,0))</x:f>
        <x:v>0</x:v>
      </x:c>
    </x:row>
    <x:row r="287" ht="68" customHeight="1">
      <x:c r="A287" s="29" t="str">
        <x:v>bakersfield:photo:venue-22252</x:v>
      </x:c>
      <x:c r="B287" s="29" t="str">
        <x:v>bakersfield</x:v>
      </x:c>
      <x:c r="C287" s="29" t="str">
        <x:v>Mekân</x:v>
      </x:c>
      <x:c r="D287" s="29" t="str">
        <x:v>bakersfield:mahalle-local-bakersfield-area-south-bakersfield</x:v>
      </x:c>
      <x:c r="E287" s="29" t="str">
        <x:v>Fotoğraflar/bk-2427fa95ade7fdbb056aeb27.webp</x:v>
      </x:c>
      <x:c r="F287" s="29" t="str">
        <x:v>2427fa95ade7fdbb056aeb27012457256a3d065fd84b333803411ceaa6892b08</x:v>
      </x:c>
      <x:c r="G287" s="29" t="str">
        <x:v>South Bakersfield / Union çevresi · 2026 tarihli fotoğraf</x:v>
      </x:c>
      <x:c r="H287" s="29" t="str">
        <x:v>Etor (Tagzania user ID: 11653)</x:v>
      </x:c>
      <x:c r="I287" s="29" t="str">
        <x:v>CC BY-SA 4.0</x:v>
      </x:c>
      <x:c r="J287" s="29" t="str">
        <x:v>https://creativecommons.org/licenses/by-sa/4.0</x:v>
      </x:c>
      <x:c r="K287" s="29" t="str">
        <x:v>https://commons.wikimedia.org/wiki/File:Kern_County_Basque_Club_Bajersfield_-_Kern_County_Basque_Club_(Bakersfield,_California)_-_Tagzania_-_1779647739991.jpg</x:v>
      </x:c>
      <x:c r="L287" s="31" t="d">
        <x:v>2026-05-24T00:00:00.000Z</x:v>
      </x:c>
      <x:c r="M287" s="31" t="d">
        <x:v>2026-10-24T00:00:00.000Z</x:v>
      </x:c>
      <x:c r="N287" s="29" t="str">
        <x:v>EXIF yönü uygulandı; boyut küçültülüp WebP biçimine dönüştürüldü.</x:v>
      </x:c>
      <x:c r="O287" s="29" t="str">
        <x:v>bakersfield:evidence:venue-22252</x:v>
      </x:c>
      <x:c r="P287" s="29" t="str">
        <x:v>Evet</x:v>
      </x:c>
      <x:c r="Q287" s="35" t="n">
        <x:v>0</x:v>
      </x:c>
      <x:c r="R287" s="29" t="str">
        <x:v>İnceleme</x:v>
      </x:c>
      <x:c r="S287" s="36" t="n">
        <x:f>IF(OR(A287="",C287&lt;&gt;"Mekân",P287&lt;&gt;"Evet"),0,IF(COUNTIFS($F$8:F287,F287,$C$8:C287,"Mekân",$P$8:P287,"Evet")=1,1,0))</x:f>
        <x:v>0</x:v>
      </x:c>
      <x:c r="T287" s="36" t="n">
        <x:f>IF(OR(A287="",C287&lt;&gt;"Kapak",P287&lt;&gt;"Evet"),0,IF(COUNTIFS($F$8:F287,F287,$C$8:C287,"Kapak",$P$8:P287,"Evet")=1,1,0))</x:f>
        <x:v>0</x:v>
      </x:c>
    </x:row>
    <x:row r="288" ht="54" customHeight="1">
      <x:c r="A288" s="29" t="str">
        <x:v>bakersfield:photo:venue-22253</x:v>
      </x:c>
      <x:c r="B288" s="29" t="str">
        <x:v>bakersfield</x:v>
      </x:c>
      <x:c r="C288" s="29" t="str">
        <x:v>Mekân</x:v>
      </x:c>
      <x:c r="D288" s="29" t="str">
        <x:v>bakersfield:mahalle-local-bakersfield-area-ming-valley-plaza</x:v>
      </x:c>
      <x:c r="E288" s="29" t="str">
        <x:v>Fotoğraflar/bk-b9955a4588121278551bc8d8.webp</x:v>
      </x:c>
      <x:c r="F288" s="29" t="str">
        <x:v>b9955a4588121278551bc8d8848bd79834e07099cac85dea46410dd2ab0bb36e</x:v>
      </x:c>
      <x:c r="G288" s="29" t="str">
        <x:v>Ming Avenue / Valley Plaza çevresi · 2021 tarihli fotoğraf</x:v>
      </x:c>
      <x:c r="H288" s="29" t="str">
        <x:v>LittleT889</x:v>
      </x:c>
      <x:c r="I288" s="29" t="str">
        <x:v>CC BY-SA 4.0</x:v>
      </x:c>
      <x:c r="J288" s="29" t="str">
        <x:v>https://creativecommons.org/licenses/by-sa/4.0</x:v>
      </x:c>
      <x:c r="K288" s="29" t="str">
        <x:v>https://commons.wikimedia.org/wiki/File:Valley_Plaza_Mall.jpg</x:v>
      </x:c>
      <x:c r="L288" s="31"/>
      <x:c r="M288" s="31" t="d">
        <x:v>2026-10-24T00:00:00.000Z</x:v>
      </x:c>
      <x:c r="N288" s="29" t="str">
        <x:v>EXIF yönü uygulandı; boyut küçültülüp WebP biçimine dönüştürüldü.</x:v>
      </x:c>
      <x:c r="O288" s="29" t="str">
        <x:v>bakersfield:evidence:venue-22253</x:v>
      </x:c>
      <x:c r="P288" s="29" t="str">
        <x:v>Evet</x:v>
      </x:c>
      <x:c r="Q288" s="35" t="n">
        <x:v>0</x:v>
      </x:c>
      <x:c r="R288" s="29" t="str">
        <x:v>İnceleme</x:v>
      </x:c>
      <x:c r="S288" s="36" t="n">
        <x:f>IF(OR(A288="",C288&lt;&gt;"Mekân",P288&lt;&gt;"Evet"),0,IF(COUNTIFS($F$8:F288,F288,$C$8:C288,"Mekân",$P$8:P288,"Evet")=1,1,0))</x:f>
        <x:v>0</x:v>
      </x:c>
      <x:c r="T288" s="36" t="n">
        <x:f>IF(OR(A288="",C288&lt;&gt;"Kapak",P288&lt;&gt;"Evet"),0,IF(COUNTIFS($F$8:F288,F288,$C$8:C288,"Kapak",$P$8:P288,"Evet")=1,1,0))</x:f>
        <x:v>0</x:v>
      </x:c>
    </x:row>
    <x:row r="289" ht="54" customHeight="1">
      <x:c r="A289" s="29" t="str">
        <x:v>bakersfield:photo:venue-22254</x:v>
      </x:c>
      <x:c r="B289" s="29" t="str">
        <x:v>bakersfield</x:v>
      </x:c>
      <x:c r="C289" s="29" t="str">
        <x:v>Mekân</x:v>
      </x:c>
      <x:c r="D289" s="29" t="str">
        <x:v>bakersfield:mahalle-local-bakersfield-area-haggin-oaks-marketplace</x:v>
      </x:c>
      <x:c r="E289" s="29" t="str">
        <x:v>Fotoğraflar/bk-95164e559e7b6eb56eebaee7.webp</x:v>
      </x:c>
      <x:c r="F289" s="29" t="str">
        <x:v>95164e559e7b6eb56eebaee76338b22c00472ead7581fe177b9382d911207b55</x:v>
      </x:c>
      <x:c r="G289" s="29" t="str">
        <x:v>Haggin Oaks / Marketplace çevresi · 2020 tarihli fotoğraf</x:v>
      </x:c>
      <x:c r="H289" s="29" t="str">
        <x:v>Pf1127</x:v>
      </x:c>
      <x:c r="I289" s="29" t="str">
        <x:v>CC BY-SA 4.0</x:v>
      </x:c>
      <x:c r="J289" s="29" t="str">
        <x:v>https://creativecommons.org/licenses/by-sa/4.0</x:v>
      </x:c>
      <x:c r="K289" s="29" t="str">
        <x:v>https://commons.wikimedia.org/wiki/File:The_Marketplace_shopping_center_Bakersfield.jpg</x:v>
      </x:c>
      <x:c r="L289" s="31"/>
      <x:c r="M289" s="31" t="d">
        <x:v>2026-10-24T00:00:00.000Z</x:v>
      </x:c>
      <x:c r="N289" s="29" t="str">
        <x:v>EXIF yönü uygulandı; boyut küçültülüp WebP biçimine dönüştürüldü.</x:v>
      </x:c>
      <x:c r="O289" s="29" t="str">
        <x:v>bakersfield:evidence:venue-22254</x:v>
      </x:c>
      <x:c r="P289" s="29" t="str">
        <x:v>Evet</x:v>
      </x:c>
      <x:c r="Q289" s="35" t="n">
        <x:v>0</x:v>
      </x:c>
      <x:c r="R289" s="29" t="str">
        <x:v>İnceleme</x:v>
      </x:c>
      <x:c r="S289" s="36" t="n">
        <x:f>IF(OR(A289="",C289&lt;&gt;"Mekân",P289&lt;&gt;"Evet"),0,IF(COUNTIFS($F$8:F289,F289,$C$8:C289,"Mekân",$P$8:P289,"Evet")=1,1,0))</x:f>
        <x:v>0</x:v>
      </x:c>
      <x:c r="T289" s="36" t="n">
        <x:f>IF(OR(A289="",C289&lt;&gt;"Kapak",P289&lt;&gt;"Evet"),0,IF(COUNTIFS($F$8:F289,F289,$C$8:C289,"Kapak",$P$8:P289,"Evet")=1,1,0))</x:f>
        <x:v>0</x:v>
      </x:c>
    </x:row>
    <x:row r="290" ht="54" customHeight="1">
      <x:c r="A290" s="29" t="str">
        <x:v>bakersfield:photo:venue-22255</x:v>
      </x:c>
      <x:c r="B290" s="29" t="str">
        <x:v>bakersfield</x:v>
      </x:c>
      <x:c r="C290" s="29" t="str">
        <x:v>Mekân</x:v>
      </x:c>
      <x:c r="D290" s="29" t="str">
        <x:v>bakersfield:mahalle-local-bakersfield-area-stockdale-csub</x:v>
      </x:c>
      <x:c r="E290" s="29" t="str">
        <x:v>Fotoğraflar/bk-79e1270a75034ce8a665e869.webp</x:v>
      </x:c>
      <x:c r="F290" s="29" t="str">
        <x:v>79e1270a75034ce8a665e8698ca20de46fd1f43d8aa01087cb4a2065752e42db</x:v>
      </x:c>
      <x:c r="G290" s="29" t="str">
        <x:v>Stockdale / CSU Bakersfield çevresi · 2017 tarihli fotoğraf</x:v>
      </x:c>
      <x:c r="H290" s="29" t="str">
        <x:v>Spatms</x:v>
      </x:c>
      <x:c r="I290" s="29" t="str">
        <x:v>CC BY-SA 4.0</x:v>
      </x:c>
      <x:c r="J290" s="29" t="str">
        <x:v>https://creativecommons.org/licenses/by-sa/4.0</x:v>
      </x:c>
      <x:c r="K290" s="29" t="str">
        <x:v>https://commons.wikimedia.org/wiki/File:Main_Soccer_Field_(Cal_State_Bakersfield).jpg</x:v>
      </x:c>
      <x:c r="L290" s="31"/>
      <x:c r="M290" s="31" t="d">
        <x:v>2026-10-24T00:00:00.000Z</x:v>
      </x:c>
      <x:c r="N290" s="29" t="str">
        <x:v>EXIF yönü uygulandı; boyut küçültülüp WebP biçimine dönüştürüldü.</x:v>
      </x:c>
      <x:c r="O290" s="29" t="str">
        <x:v>bakersfield:evidence:venue-22255</x:v>
      </x:c>
      <x:c r="P290" s="29" t="str">
        <x:v>Evet</x:v>
      </x:c>
      <x:c r="Q290" s="35" t="n">
        <x:v>0</x:v>
      </x:c>
      <x:c r="R290" s="29" t="str">
        <x:v>İnceleme</x:v>
      </x:c>
      <x:c r="S290" s="36" t="n">
        <x:f>IF(OR(A290="",C290&lt;&gt;"Mekân",P290&lt;&gt;"Evet"),0,IF(COUNTIFS($F$8:F290,F290,$C$8:C290,"Mekân",$P$8:P290,"Evet")=1,1,0))</x:f>
        <x:v>0</x:v>
      </x:c>
      <x:c r="T290" s="36" t="n">
        <x:f>IF(OR(A290="",C290&lt;&gt;"Kapak",P290&lt;&gt;"Evet"),0,IF(COUNTIFS($F$8:F290,F290,$C$8:C290,"Kapak",$P$8:P290,"Evet")=1,1,0))</x:f>
        <x:v>0</x:v>
      </x:c>
    </x:row>
    <x:row r="291" ht="54" customHeight="1">
      <x:c r="A291" s="29" t="str">
        <x:v>bakersfield:photo:venue-22256</x:v>
      </x:c>
      <x:c r="B291" s="29" t="str">
        <x:v>bakersfield</x:v>
      </x:c>
      <x:c r="C291" s="29" t="str">
        <x:v>Mekân</x:v>
      </x:c>
      <x:c r="D291" s="29" t="str">
        <x:v>bakersfield:mahalle-local-bakersfield-area-river-walk-area</x:v>
      </x:c>
      <x:c r="E291" s="29" t="str">
        <x:v>Fotoğraflar/bk-aca55bc144d639c8a693bc38.webp</x:v>
      </x:c>
      <x:c r="F291" s="29" t="str">
        <x:v>aca55bc144d639c8a693bc387604d6c8894122ba63d80c932fd6d9e03326520f</x:v>
      </x:c>
      <x:c r="G291" s="29" t="str">
        <x:v>River Walk çevresi · 2012 tarihli fotoğraf</x:v>
      </x:c>
      <x:c r="H291" s="29" t="str">
        <x:v>Randall Degges</x:v>
      </x:c>
      <x:c r="I291" s="29" t="str">
        <x:v>CC BY 2.0</x:v>
      </x:c>
      <x:c r="J291" s="29" t="str">
        <x:v>https://creativecommons.org/licenses/by/2.0/</x:v>
      </x:c>
      <x:c r="K291" s="29" t="str">
        <x:v>https://www.flickr.com/photos/59834630@N07/7624837100/</x:v>
      </x:c>
      <x:c r="L291" s="31" t="d">
        <x:v>2012-06-28T00:00:00.000Z</x:v>
      </x:c>
      <x:c r="M291" s="31" t="d">
        <x:v>2026-10-24T00:00:00.000Z</x:v>
      </x:c>
      <x:c r="N291" s="29" t="str">
        <x:v>EXIF yönü uygulandı; boyut küçültülüp WebP biçimine dönüştürüldü.</x:v>
      </x:c>
      <x:c r="O291" s="29" t="str">
        <x:v>bakersfield:evidence:venue-22256</x:v>
      </x:c>
      <x:c r="P291" s="29" t="str">
        <x:v>Evet</x:v>
      </x:c>
      <x:c r="Q291" s="35" t="n">
        <x:v>0</x:v>
      </x:c>
      <x:c r="R291" s="29" t="str">
        <x:v>İnceleme</x:v>
      </x:c>
      <x:c r="S291" s="36" t="n">
        <x:f>IF(OR(A291="",C291&lt;&gt;"Mekân",P291&lt;&gt;"Evet"),0,IF(COUNTIFS($F$8:F291,F291,$C$8:C291,"Mekân",$P$8:P291,"Evet")=1,1,0))</x:f>
        <x:v>0</x:v>
      </x:c>
      <x:c r="T291" s="36" t="n">
        <x:f>IF(OR(A291="",C291&lt;&gt;"Kapak",P291&lt;&gt;"Evet"),0,IF(COUNTIFS($F$8:F291,F291,$C$8:C291,"Kapak",$P$8:P291,"Evet")=1,1,0))</x:f>
        <x:v>0</x:v>
      </x:c>
    </x:row>
    <x:row r="292" ht="54" customHeight="1">
      <x:c r="A292" s="29" t="str">
        <x:v>bakersfield:photo:venue-22257</x:v>
      </x:c>
      <x:c r="B292" s="29" t="str">
        <x:v>bakersfield</x:v>
      </x:c>
      <x:c r="C292" s="29" t="str">
        <x:v>Mekân</x:v>
      </x:c>
      <x:c r="D292" s="29" t="str">
        <x:v>bakersfield:mahalle-local-bakersfield-area-silver-creek-area</x:v>
      </x:c>
      <x:c r="E292" s="29" t="str">
        <x:v>Fotoğraflar/bk-4b4bc408d7f04182d9e5252c.webp</x:v>
      </x:c>
      <x:c r="F292" s="29" t="str">
        <x:v>4b4bc408d7f04182d9e5252cd916ef5c1f28d7df4681aae75240f568bf0668ec</x:v>
      </x:c>
      <x:c r="G292" s="29" t="str">
        <x:v>Silver Creek · 2021 tarihli fotoğraf</x:v>
      </x:c>
      <x:c r="H292" s="29" t="str">
        <x:v>Mx. Granger</x:v>
      </x:c>
      <x:c r="I292" s="29" t="str">
        <x:v>CC0 1.0</x:v>
      </x:c>
      <x:c r="J292" s="29" t="str">
        <x:v>https://creativecommons.org/publicdomain/zero/1.0/</x:v>
      </x:c>
      <x:c r="K292" s="29" t="str">
        <x:v>https://commons.wikimedia.org/wiki/File:Silver_Creek_Park.jpg</x:v>
      </x:c>
      <x:c r="L292" s="31"/>
      <x:c r="M292" s="31" t="d">
        <x:v>2026-10-24T00:00:00.000Z</x:v>
      </x:c>
      <x:c r="N292" s="29" t="str">
        <x:v>EXIF yönü uygulandı; boyut küçültülüp WebP biçimine dönüştürüldü.</x:v>
      </x:c>
      <x:c r="O292" s="29" t="str">
        <x:v>bakersfield:evidence:venue-22257</x:v>
      </x:c>
      <x:c r="P292" s="29" t="str">
        <x:v>Evet</x:v>
      </x:c>
      <x:c r="Q292" s="35" t="n">
        <x:v>0</x:v>
      </x:c>
      <x:c r="R292" s="29" t="str">
        <x:v>İnceleme</x:v>
      </x:c>
      <x:c r="S292" s="36" t="n">
        <x:f>IF(OR(A292="",C292&lt;&gt;"Mekân",P292&lt;&gt;"Evet"),0,IF(COUNTIFS($F$8:F292,F292,$C$8:C292,"Mekân",$P$8:P292,"Evet")=1,1,0))</x:f>
        <x:v>0</x:v>
      </x:c>
      <x:c r="T292" s="36" t="n">
        <x:f>IF(OR(A292="",C292&lt;&gt;"Kapak",P292&lt;&gt;"Evet"),0,IF(COUNTIFS($F$8:F292,F292,$C$8:C292,"Kapak",$P$8:P292,"Evet")=1,1,0))</x:f>
        <x:v>0</x:v>
      </x:c>
    </x:row>
    <x:row r="293" ht="54" customHeight="1">
      <x:c r="A293" s="29" t="str">
        <x:v>bakersfield:photo:venue-22258</x:v>
      </x:c>
      <x:c r="B293" s="29" t="str">
        <x:v>bakersfield</x:v>
      </x:c>
      <x:c r="C293" s="29" t="str">
        <x:v>Mekân</x:v>
      </x:c>
      <x:c r="D293" s="29" t="str">
        <x:v>bakersfield:mahalle-local-bakersfield-area-rio-bravo-area</x:v>
      </x:c>
      <x:c r="E293" s="29" t="str">
        <x:v>Fotoğraflar/bk-9c7a306f1ae9ef4d33bb8c64.webp</x:v>
      </x:c>
      <x:c r="F293" s="29" t="str">
        <x:v>9c7a306f1ae9ef4d33bb8c6452b510adeda4bd0355c28187b3d12000d5b6dade</x:v>
      </x:c>
      <x:c r="G293" s="29" t="str">
        <x:v>Rio Bravo çevresindeki golf alanı ve doğu etekleri</x:v>
      </x:c>
      <x:c r="H293" s="29" t="str">
        <x:v>Jey0h (talk)</x:v>
      </x:c>
      <x:c r="I293" s="29" t="str">
        <x:v>Public domain</x:v>
      </x:c>
      <x:c r="J293" s="29" t="str">
        <x:v>https://commons.wikimedia.org/wiki/File:Rio_Bravo_Country_Club.jpg#Licensing</x:v>
      </x:c>
      <x:c r="K293" s="29" t="str">
        <x:v>https://commons.wikimedia.org/wiki/File:Rio_Bravo_Country_Club.jpg</x:v>
      </x:c>
      <x:c r="L293" s="31"/>
      <x:c r="M293" s="31" t="d">
        <x:v>2026-10-24T00:00:00.000Z</x:v>
      </x:c>
      <x:c r="N293" s="29" t="str">
        <x:v>EXIF yönü uygulandı; boyut küçültülüp WebP biçimine dönüştürüldü.</x:v>
      </x:c>
      <x:c r="O293" s="29" t="str">
        <x:v>bakersfield:evidence:venue-22258</x:v>
      </x:c>
      <x:c r="P293" s="29" t="str">
        <x:v>Evet</x:v>
      </x:c>
      <x:c r="Q293" s="35" t="n">
        <x:v>0</x:v>
      </x:c>
      <x:c r="R293" s="29" t="str">
        <x:v>İnceleme</x:v>
      </x:c>
      <x:c r="S293" s="36" t="n">
        <x:f>IF(OR(A293="",C293&lt;&gt;"Mekân",P293&lt;&gt;"Evet"),0,IF(COUNTIFS($F$8:F293,F293,$C$8:C293,"Mekân",$P$8:P293,"Evet")=1,1,0))</x:f>
        <x:v>1</x:v>
      </x:c>
      <x:c r="T293" s="36" t="n">
        <x:f>IF(OR(A293="",C293&lt;&gt;"Kapak",P293&lt;&gt;"Evet"),0,IF(COUNTIFS($F$8:F293,F293,$C$8:C293,"Kapak",$P$8:P293,"Evet")=1,1,0))</x:f>
        <x:v>0</x:v>
      </x:c>
    </x:row>
    <x:row r="294" ht="54" customHeight="1">
      <x:c r="A294" s="29" t="str">
        <x:v>bakersfield:photo:venue-22259</x:v>
      </x:c>
      <x:c r="B294" s="29" t="str">
        <x:v>bakersfield</x:v>
      </x:c>
      <x:c r="C294" s="29" t="str">
        <x:v>Mekân</x:v>
      </x:c>
      <x:c r="D294" s="29" t="str">
        <x:v>bakersfield:mahalle-local-bakersfield-area-meadows-field-area</x:v>
      </x:c>
      <x:c r="E294" s="29" t="str">
        <x:v>Fotoğraflar/bk-48aec186bb0d09acb369fc38.webp</x:v>
      </x:c>
      <x:c r="F294" s="29" t="str">
        <x:v>48aec186bb0d09acb369fc3894e31e713acd69443dcbd06cdc43ae98180625ca</x:v>
      </x:c>
      <x:c r="G294" s="29" t="str">
        <x:v>Meadows Field / Airport çevresi · 2010 tarihli fotoğraf</x:v>
      </x:c>
      <x:c r="H294" s="29" t="str">
        <x:v>a.dombrowski</x:v>
      </x:c>
      <x:c r="I294" s="29" t="str">
        <x:v>CC BY-SA 2.0</x:v>
      </x:c>
      <x:c r="J294" s="29" t="str">
        <x:v>https://creativecommons.org/licenses/by-sa/2.0/</x:v>
      </x:c>
      <x:c r="K294" s="29" t="str">
        <x:v>https://www.flickr.com/photos/30237618@N03/5285152841/</x:v>
      </x:c>
      <x:c r="L294" s="31" t="d">
        <x:v>2010-08-13T00:00:00.000Z</x:v>
      </x:c>
      <x:c r="M294" s="31" t="d">
        <x:v>2026-10-24T00:00:00.000Z</x:v>
      </x:c>
      <x:c r="N294" s="29" t="str">
        <x:v>EXIF yönü uygulandı; boyut küçültülüp WebP biçimine dönüştürüldü.</x:v>
      </x:c>
      <x:c r="O294" s="29" t="str">
        <x:v>bakersfield:evidence:venue-22259</x:v>
      </x:c>
      <x:c r="P294" s="29" t="str">
        <x:v>Evet</x:v>
      </x:c>
      <x:c r="Q294" s="35" t="n">
        <x:v>0</x:v>
      </x:c>
      <x:c r="R294" s="29" t="str">
        <x:v>İnceleme</x:v>
      </x:c>
      <x:c r="S294" s="36" t="n">
        <x:f>IF(OR(A294="",C294&lt;&gt;"Mekân",P294&lt;&gt;"Evet"),0,IF(COUNTIFS($F$8:F294,F294,$C$8:C294,"Mekân",$P$8:P294,"Evet")=1,1,0))</x:f>
        <x:v>1</x:v>
      </x:c>
      <x:c r="T294" s="36" t="n">
        <x:f>IF(OR(A294="",C294&lt;&gt;"Kapak",P294&lt;&gt;"Evet"),0,IF(COUNTIFS($F$8:F294,F294,$C$8:C294,"Kapak",$P$8:P294,"Evet")=1,1,0))</x:f>
        <x:v>0</x:v>
      </x:c>
    </x:row>
    <x:row r="295" ht="54" customHeight="1">
      <x:c r="A295" s="29" t="str">
        <x:v>bakersfield:photo:venue-22260</x:v>
      </x:c>
      <x:c r="B295" s="29" t="str">
        <x:v>bakersfield</x:v>
      </x:c>
      <x:c r="C295" s="29" t="str">
        <x:v>Mekân</x:v>
      </x:c>
      <x:c r="D295" s="29" t="str">
        <x:v>bakersfield:mahalle-local-bakersfield-area-buck-owens-corridor</x:v>
      </x:c>
      <x:c r="E295" s="29" t="str">
        <x:v>Fotoğraflar/bk-2f2bc4897c80a5d857be3cc2.webp</x:v>
      </x:c>
      <x:c r="F295" s="29" t="str">
        <x:v>2f2bc4897c80a5d857be3cc231606b8a0842ff27ce73db4d97b52647942f61e3</x:v>
      </x:c>
      <x:c r="G295" s="29" t="str">
        <x:v>Buck Owens Boulevard çevresi · 2007 tarihli fotoğraf</x:v>
      </x:c>
      <x:c r="H295" s="29" t="str">
        <x:v>David Goehring</x:v>
      </x:c>
      <x:c r="I295" s="29" t="str">
        <x:v>CC BY 2.0</x:v>
      </x:c>
      <x:c r="J295" s="29" t="str">
        <x:v>https://creativecommons.org/licenses/by/2.0/</x:v>
      </x:c>
      <x:c r="K295" s="29" t="str">
        <x:v>https://www.flickr.com/photos/15923063@N00/824119067/</x:v>
      </x:c>
      <x:c r="L295" s="31" t="d">
        <x:v>2007-07-15T00:00:00.000Z</x:v>
      </x:c>
      <x:c r="M295" s="31" t="d">
        <x:v>2026-10-24T00:00:00.000Z</x:v>
      </x:c>
      <x:c r="N295" s="29" t="str">
        <x:v>EXIF yönü uygulandı; boyut küçültülüp WebP biçimine dönüştürüldü.</x:v>
      </x:c>
      <x:c r="O295" s="29" t="str">
        <x:v>bakersfield:evidence:venue-22260</x:v>
      </x:c>
      <x:c r="P295" s="29" t="str">
        <x:v>Evet</x:v>
      </x:c>
      <x:c r="Q295" s="35" t="n">
        <x:v>0</x:v>
      </x:c>
      <x:c r="R295" s="29" t="str">
        <x:v>İnceleme</x:v>
      </x:c>
      <x:c r="S295" s="36" t="n">
        <x:f>IF(OR(A295="",C295&lt;&gt;"Mekân",P295&lt;&gt;"Evet"),0,IF(COUNTIFS($F$8:F295,F295,$C$8:C295,"Mekân",$P$8:P295,"Evet")=1,1,0))</x:f>
        <x:v>0</x:v>
      </x:c>
      <x:c r="T295" s="36" t="n">
        <x:f>IF(OR(A295="",C295&lt;&gt;"Kapak",P295&lt;&gt;"Evet"),0,IF(COUNTIFS($F$8:F295,F295,$C$8:C295,"Kapak",$P$8:P295,"Evet")=1,1,0))</x:f>
        <x:v>0</x:v>
      </x:c>
    </x:row>
    <x:row r="296" ht="54" customHeight="1">
      <x:c r="A296" s="29" t="str">
        <x:v>bakersfield:photo:venue-22261</x:v>
      </x:c>
      <x:c r="B296" s="29" t="str">
        <x:v>bakersfield</x:v>
      </x:c>
      <x:c r="C296" s="29" t="str">
        <x:v>Mekân</x:v>
      </x:c>
      <x:c r="D296" s="29" t="str">
        <x:v>bakersfield:mahalle-local-bakersfield-area-northeast-parks</x:v>
      </x:c>
      <x:c r="E296" s="29" t="str">
        <x:v>Fotoğraflar/bk-e84925a3bbd9f6cfeb517305.webp</x:v>
      </x:c>
      <x:c r="F296" s="29" t="str">
        <x:v>e84925a3bbd9f6cfeb517305ec63834d24cad831360cf0deea763d068e0c3923</x:v>
      </x:c>
      <x:c r="G296" s="29" t="str">
        <x:v>Northeast / Kern River County Park çevresi · 2023 tarihli fotoğraf</x:v>
      </x:c>
      <x:c r="H296" s="29" t="str">
        <x:v>Anon Anon</x:v>
      </x:c>
      <x:c r="I296" s="29" t="str">
        <x:v>CC0 1.0</x:v>
      </x:c>
      <x:c r="J296" s="29" t="str">
        <x:v>https://creativecommons.org/publicdomain/zero/1.0/</x:v>
      </x:c>
      <x:c r="K296" s="29" t="str">
        <x:v>https://www.flickr.com/photos/193771854@N06/52775718110/</x:v>
      </x:c>
      <x:c r="L296" s="31" t="d">
        <x:v>2023-03-13T00:00:00.000Z</x:v>
      </x:c>
      <x:c r="M296" s="31" t="d">
        <x:v>2026-10-24T00:00:00.000Z</x:v>
      </x:c>
      <x:c r="N296" s="29" t="str">
        <x:v>EXIF yönü uygulandı; boyut küçültülüp WebP biçimine dönüştürüldü.</x:v>
      </x:c>
      <x:c r="O296" s="29" t="str">
        <x:v>bakersfield:evidence:venue-22261</x:v>
      </x:c>
      <x:c r="P296" s="29" t="str">
        <x:v>Evet</x:v>
      </x:c>
      <x:c r="Q296" s="35" t="n">
        <x:v>0</x:v>
      </x:c>
      <x:c r="R296" s="29" t="str">
        <x:v>İnceleme</x:v>
      </x:c>
      <x:c r="S296" s="36" t="n">
        <x:f>IF(OR(A296="",C296&lt;&gt;"Mekân",P296&lt;&gt;"Evet"),0,IF(COUNTIFS($F$8:F296,F296,$C$8:C296,"Mekân",$P$8:P296,"Evet")=1,1,0))</x:f>
        <x:v>0</x:v>
      </x:c>
      <x:c r="T296" s="36" t="n">
        <x:f>IF(OR(A296="",C296&lt;&gt;"Kapak",P296&lt;&gt;"Evet"),0,IF(COUNTIFS($F$8:F296,F296,$C$8:C296,"Kapak",$P$8:P296,"Evet")=1,1,0))</x:f>
        <x:v>0</x:v>
      </x:c>
    </x:row>
    <x:row r="297" ht="54" customHeight="1">
      <x:c r="A297" s="29" t="str">
        <x:v>bakersfield:photo:hero-613</x:v>
      </x:c>
      <x:c r="B297" s="29" t="str">
        <x:v>bakersfield</x:v>
      </x:c>
      <x:c r="C297" s="29" t="str">
        <x:v>Kapak</x:v>
      </x:c>
      <x:c r="D297" s="29"/>
      <x:c r="E297" s="29" t="str">
        <x:v>Fotoğraflar/bk-6349205a7e370536e7a3f979.webp</x:v>
      </x:c>
      <x:c r="F297" s="29" t="str">
        <x:v>6349205a7e370536e7a3f97964462f0021b160d7f3a6e2e8d1d459a2e26335a8</x:v>
      </x:c>
      <x:c r="G297" s="29" t="str">
        <x:v>Historic Bakersfield Fox Theater · 2026 tarihli fotoğraf</x:v>
      </x:c>
      <x:c r="H297" s="29" t="str">
        <x:v>Daderot</x:v>
      </x:c>
      <x:c r="I297" s="29" t="str">
        <x:v>CC0 1.0</x:v>
      </x:c>
      <x:c r="J297" s="29" t="str">
        <x:v>https://creativecommons.org/publicdomain/zero/1.0/</x:v>
      </x:c>
      <x:c r="K297" s="29" t="str">
        <x:v>https://commons.wikimedia.org/wiki/File:Fox_Theater_-_Bakersfield,_CA_-_DSC00462.jpg</x:v>
      </x:c>
      <x:c r="L297" s="31"/>
      <x:c r="M297" s="31" t="d">
        <x:v>2026-10-24T00:00:00.000Z</x:v>
      </x:c>
      <x:c r="N297" s="29" t="str">
        <x:v>EXIF yönü uygulandı; boyut küçültülüp WebP biçimine dönüştürüldü.</x:v>
      </x:c>
      <x:c r="O297" s="29" t="str">
        <x:v>bakersfield:evidence:hero-613</x:v>
      </x:c>
      <x:c r="P297" s="29" t="str">
        <x:v>Evet</x:v>
      </x:c>
      <x:c r="Q297" s="35" t="n">
        <x:v>0</x:v>
      </x:c>
      <x:c r="R297" s="29" t="str">
        <x:v>İnceleme</x:v>
      </x:c>
      <x:c r="S297" s="36" t="n">
        <x:f>IF(OR(A297="",C297&lt;&gt;"Mekân",P297&lt;&gt;"Evet"),0,IF(COUNTIFS($F$8:F297,F297,$C$8:C297,"Mekân",$P$8:P297,"Evet")=1,1,0))</x:f>
        <x:v>0</x:v>
      </x:c>
      <x:c r="T297" s="36" t="n">
        <x:f>IF(OR(A297="",C297&lt;&gt;"Kapak",P297&lt;&gt;"Evet"),0,IF(COUNTIFS($F$8:F297,F297,$C$8:C297,"Kapak",$P$8:P297,"Evet")=1,1,0))</x:f>
        <x:v>1</x:v>
      </x:c>
    </x:row>
    <x:row r="298" ht="54" customHeight="1">
      <x:c r="A298" s="29" t="str">
        <x:v>bakersfield:photo:hero-614</x:v>
      </x:c>
      <x:c r="B298" s="29" t="str">
        <x:v>bakersfield</x:v>
      </x:c>
      <x:c r="C298" s="29" t="str">
        <x:v>Kapak</x:v>
      </x:c>
      <x:c r="D298" s="29"/>
      <x:c r="E298" s="29" t="str">
        <x:v>Fotoğraflar/bk-aca55bc144d639c8a693bc38.webp</x:v>
      </x:c>
      <x:c r="F298" s="29" t="str">
        <x:v>aca55bc144d639c8a693bc387604d6c8894122ba63d80c932fd6d9e03326520f</x:v>
      </x:c>
      <x:c r="G298" s="29" t="str">
        <x:v>The Park at River Walk · 2012 tarihli fotoğraf</x:v>
      </x:c>
      <x:c r="H298" s="29" t="str">
        <x:v>Randall Degges</x:v>
      </x:c>
      <x:c r="I298" s="29" t="str">
        <x:v>CC BY 2.0</x:v>
      </x:c>
      <x:c r="J298" s="29" t="str">
        <x:v>https://creativecommons.org/licenses/by/2.0/</x:v>
      </x:c>
      <x:c r="K298" s="29" t="str">
        <x:v>https://www.flickr.com/photos/59834630@N07/7624837100/</x:v>
      </x:c>
      <x:c r="L298" s="31" t="d">
        <x:v>2012-06-28T00:00:00.000Z</x:v>
      </x:c>
      <x:c r="M298" s="31" t="d">
        <x:v>2026-10-24T00:00:00.000Z</x:v>
      </x:c>
      <x:c r="N298" s="29" t="str">
        <x:v>EXIF yönü uygulandı; boyut küçültülüp WebP biçimine dönüştürüldü.</x:v>
      </x:c>
      <x:c r="O298" s="29" t="str">
        <x:v>bakersfield:evidence:hero-614</x:v>
      </x:c>
      <x:c r="P298" s="29" t="str">
        <x:v>Evet</x:v>
      </x:c>
      <x:c r="Q298" s="35" t="n">
        <x:v>1</x:v>
      </x:c>
      <x:c r="R298" s="29" t="str">
        <x:v>İnceleme</x:v>
      </x:c>
      <x:c r="S298" s="36" t="n">
        <x:f>IF(OR(A298="",C298&lt;&gt;"Mekân",P298&lt;&gt;"Evet"),0,IF(COUNTIFS($F$8:F298,F298,$C$8:C298,"Mekân",$P$8:P298,"Evet")=1,1,0))</x:f>
        <x:v>0</x:v>
      </x:c>
      <x:c r="T298" s="36" t="n">
        <x:f>IF(OR(A298="",C298&lt;&gt;"Kapak",P298&lt;&gt;"Evet"),0,IF(COUNTIFS($F$8:F298,F298,$C$8:C298,"Kapak",$P$8:P298,"Evet")=1,1,0))</x:f>
        <x:v>1</x:v>
      </x:c>
    </x:row>
    <x:row r="299" ht="54" customHeight="1">
      <x:c r="A299" s="29" t="str">
        <x:v>bakersfield:photo:hero-615</x:v>
      </x:c>
      <x:c r="B299" s="29" t="str">
        <x:v>bakersfield</x:v>
      </x:c>
      <x:c r="C299" s="29" t="str">
        <x:v>Kapak</x:v>
      </x:c>
      <x:c r="D299" s="29"/>
      <x:c r="E299" s="29" t="str">
        <x:v>Fotoğraflar/bk-d384836a02f2593d26fc127f.webp</x:v>
      </x:c>
      <x:c r="F299" s="29" t="str">
        <x:v>d384836a02f2593d26fc127f1095201e1b445512ceb4b37e8c7c390802ad3923</x:v>
      </x:c>
      <x:c r="G299" s="29" t="str">
        <x:v>Kern County Museum · 2011 tarihli fotoğraf</x:v>
      </x:c>
      <x:c r="H299" s="29" t="str">
        <x:v>Skyman9999</x:v>
      </x:c>
      <x:c r="I299" s="29" t="str">
        <x:v>CC0 1.0</x:v>
      </x:c>
      <x:c r="J299" s="29" t="str">
        <x:v>https://creativecommons.org/publicdomain/zero/1.0/</x:v>
      </x:c>
      <x:c r="K299" s="29" t="str">
        <x:v>https://commons.wikimedia.org/wiki/File:Kern_County_Chamber_of_Commerce_Building_Facing_West.jpg</x:v>
      </x:c>
      <x:c r="L299" s="31" t="d">
        <x:v>2011-08-30T00:00:00.000Z</x:v>
      </x:c>
      <x:c r="M299" s="31" t="d">
        <x:v>2026-10-24T00:00:00.000Z</x:v>
      </x:c>
      <x:c r="N299" s="29" t="str">
        <x:v>EXIF yönü uygulandı; boyut küçültülüp WebP biçimine dönüştürüldü.</x:v>
      </x:c>
      <x:c r="O299" s="29" t="str">
        <x:v>bakersfield:evidence:hero-615</x:v>
      </x:c>
      <x:c r="P299" s="29" t="str">
        <x:v>Evet</x:v>
      </x:c>
      <x:c r="Q299" s="35" t="n">
        <x:v>2</x:v>
      </x:c>
      <x:c r="R299" s="29" t="str">
        <x:v>İnceleme</x:v>
      </x:c>
      <x:c r="S299" s="36" t="n">
        <x:f>IF(OR(A299="",C299&lt;&gt;"Mekân",P299&lt;&gt;"Evet"),0,IF(COUNTIFS($F$8:F299,F299,$C$8:C299,"Mekân",$P$8:P299,"Evet")=1,1,0))</x:f>
        <x:v>0</x:v>
      </x:c>
      <x:c r="T299" s="36" t="n">
        <x:f>IF(OR(A299="",C299&lt;&gt;"Kapak",P299&lt;&gt;"Evet"),0,IF(COUNTIFS($F$8:F299,F299,$C$8:C299,"Kapak",$P$8:P299,"Evet")=1,1,0))</x:f>
        <x:v>1</x:v>
      </x:c>
    </x:row>
    <x:row r="300" ht="54" customHeight="1">
      <x:c r="A300" s="29" t="str">
        <x:v>bakersfield:photo:hero-616</x:v>
      </x:c>
      <x:c r="B300" s="29" t="str">
        <x:v>bakersfield</x:v>
      </x:c>
      <x:c r="C300" s="29" t="str">
        <x:v>Kapak</x:v>
      </x:c>
      <x:c r="D300" s="29"/>
      <x:c r="E300" s="29" t="str">
        <x:v>Fotoğraflar/bk-1af73c7f3d448d09d27875de.webp</x:v>
      </x:c>
      <x:c r="F300" s="29" t="str">
        <x:v>1af73c7f3d448d09d27875de669d7da9e30e04e85ed7b7b021d7b3cedbcfcb31</x:v>
      </x:c>
      <x:c r="G300" s="29" t="str">
        <x:v>Bakersfield Museum of Art · 2012 tarihli fotoğraf</x:v>
      </x:c>
      <x:c r="H300" s="29" t="str">
        <x:v>Julie Jordan Scott</x:v>
      </x:c>
      <x:c r="I300" s="29" t="str">
        <x:v>CC BY 2.0</x:v>
      </x:c>
      <x:c r="J300" s="29" t="str">
        <x:v>https://creativecommons.org/licenses/by/2.0/</x:v>
      </x:c>
      <x:c r="K300" s="29" t="str">
        <x:v>https://www.flickr.com/photos/98609821@N00/7137059327/</x:v>
      </x:c>
      <x:c r="L300" s="31" t="d">
        <x:v>2012-05-02T00:00:00.000Z</x:v>
      </x:c>
      <x:c r="M300" s="31" t="d">
        <x:v>2026-10-24T00:00:00.000Z</x:v>
      </x:c>
      <x:c r="N300" s="29" t="str">
        <x:v>EXIF yönü uygulandı; boyut küçültülüp WebP biçimine dönüştürüldü.</x:v>
      </x:c>
      <x:c r="O300" s="29" t="str">
        <x:v>bakersfield:evidence:hero-616</x:v>
      </x:c>
      <x:c r="P300" s="29" t="str">
        <x:v>Evet</x:v>
      </x:c>
      <x:c r="Q300" s="35" t="n">
        <x:v>3</x:v>
      </x:c>
      <x:c r="R300" s="29" t="str">
        <x:v>İnceleme</x:v>
      </x:c>
      <x:c r="S300" s="36" t="n">
        <x:f>IF(OR(A300="",C300&lt;&gt;"Mekân",P300&lt;&gt;"Evet"),0,IF(COUNTIFS($F$8:F300,F300,$C$8:C300,"Mekân",$P$8:P300,"Evet")=1,1,0))</x:f>
        <x:v>0</x:v>
      </x:c>
      <x:c r="T300" s="36" t="n">
        <x:f>IF(OR(A300="",C300&lt;&gt;"Kapak",P300&lt;&gt;"Evet"),0,IF(COUNTIFS($F$8:F300,F300,$C$8:C300,"Kapak",$P$8:P300,"Evet")=1,1,0))</x:f>
        <x:v>1</x:v>
      </x:c>
    </x:row>
    <x:row r="301" ht="54" customHeight="1">
      <x:c r="A301" s="29" t="str">
        <x:v>bakersfield:photo:hero-617</x:v>
      </x:c>
      <x:c r="B301" s="29" t="str">
        <x:v>bakersfield</x:v>
      </x:c>
      <x:c r="C301" s="29" t="str">
        <x:v>Kapak</x:v>
      </x:c>
      <x:c r="D301" s="29"/>
      <x:c r="E301" s="29" t="str">
        <x:v>Fotoğraflar/bk-1d09279412ce5af775910e7b.webp</x:v>
      </x:c>
      <x:c r="F301" s="29" t="str">
        <x:v>1d09279412ce5af775910e7bb1c5292062308bf2db295b39660300f5e29f4387</x:v>
      </x:c>
      <x:c r="G301" s="29" t="str">
        <x:v>The Padre Hotel · 2011 tarihli fotoğraf</x:v>
      </x:c>
      <x:c r="H301" s="29" t="str">
        <x:v>David Brossard</x:v>
      </x:c>
      <x:c r="I301" s="29" t="str">
        <x:v>CC BY-SA 2.0</x:v>
      </x:c>
      <x:c r="J301" s="29" t="str">
        <x:v>https://creativecommons.org/licenses/by-sa/2.0/</x:v>
      </x:c>
      <x:c r="K301" s="29" t="str">
        <x:v>https://www.flickr.com/photos/16069488@N00/7359702674/</x:v>
      </x:c>
      <x:c r="L301" s="31" t="d">
        <x:v>2011-03-04T00:00:00.000Z</x:v>
      </x:c>
      <x:c r="M301" s="31" t="d">
        <x:v>2026-10-24T00:00:00.000Z</x:v>
      </x:c>
      <x:c r="N301" s="29" t="str">
        <x:v>EXIF yönü uygulandı; boyut küçültülüp WebP biçimine dönüştürüldü.</x:v>
      </x:c>
      <x:c r="O301" s="29" t="str">
        <x:v>bakersfield:evidence:hero-617</x:v>
      </x:c>
      <x:c r="P301" s="29" t="str">
        <x:v>Evet</x:v>
      </x:c>
      <x:c r="Q301" s="35" t="n">
        <x:v>4</x:v>
      </x:c>
      <x:c r="R301" s="29" t="str">
        <x:v>İnceleme</x:v>
      </x:c>
      <x:c r="S301" s="36" t="n">
        <x:f>IF(OR(A301="",C301&lt;&gt;"Mekân",P301&lt;&gt;"Evet"),0,IF(COUNTIFS($F$8:F301,F301,$C$8:C301,"Mekân",$P$8:P301,"Evet")=1,1,0))</x:f>
        <x:v>0</x:v>
      </x:c>
      <x:c r="T301" s="36" t="n">
        <x:f>IF(OR(A301="",C301&lt;&gt;"Kapak",P301&lt;&gt;"Evet"),0,IF(COUNTIFS($F$8:F301,F301,$C$8:C301,"Kapak",$P$8:P301,"Evet")=1,1,0))</x:f>
        <x:v>1</x:v>
      </x:c>
    </x:row>
    <x:row r="302" ht="54" customHeight="1">
      <x:c r="A302" s="29" t="str">
        <x:v>bakersfield:photo:hero-618</x:v>
      </x:c>
      <x:c r="B302" s="29" t="str">
        <x:v>bakersfield</x:v>
      </x:c>
      <x:c r="C302" s="29" t="str">
        <x:v>Kapak</x:v>
      </x:c>
      <x:c r="D302" s="29"/>
      <x:c r="E302" s="29" t="str">
        <x:v>Fotoğraflar/bk-e84925a3bbd9f6cfeb517305.webp</x:v>
      </x:c>
      <x:c r="F302" s="29" t="str">
        <x:v>e84925a3bbd9f6cfeb517305ec63834d24cad831360cf0deea763d068e0c3923</x:v>
      </x:c>
      <x:c r="G302" s="29" t="str">
        <x:v>Hart Memorial Park · 2023 tarihli fotoğraf</x:v>
      </x:c>
      <x:c r="H302" s="29" t="str">
        <x:v>Anon Anon</x:v>
      </x:c>
      <x:c r="I302" s="29" t="str">
        <x:v>CC0 1.0</x:v>
      </x:c>
      <x:c r="J302" s="29" t="str">
        <x:v>https://creativecommons.org/publicdomain/zero/1.0/</x:v>
      </x:c>
      <x:c r="K302" s="29" t="str">
        <x:v>https://www.flickr.com/photos/193771854@N06/52775718110/</x:v>
      </x:c>
      <x:c r="L302" s="31" t="d">
        <x:v>2023-03-13T00:00:00.000Z</x:v>
      </x:c>
      <x:c r="M302" s="31" t="d">
        <x:v>2026-10-24T00:00:00.000Z</x:v>
      </x:c>
      <x:c r="N302" s="29" t="str">
        <x:v>EXIF yönü uygulandı; boyut küçültülüp WebP biçimine dönüştürüldü.</x:v>
      </x:c>
      <x:c r="O302" s="29" t="str">
        <x:v>bakersfield:evidence:hero-618</x:v>
      </x:c>
      <x:c r="P302" s="29" t="str">
        <x:v>Evet</x:v>
      </x:c>
      <x:c r="Q302" s="35" t="n">
        <x:v>5</x:v>
      </x:c>
      <x:c r="R302" s="29" t="str">
        <x:v>İnceleme</x:v>
      </x:c>
      <x:c r="S302" s="36" t="n">
        <x:f>IF(OR(A302="",C302&lt;&gt;"Mekân",P302&lt;&gt;"Evet"),0,IF(COUNTIFS($F$8:F302,F302,$C$8:C302,"Mekân",$P$8:P302,"Evet")=1,1,0))</x:f>
        <x:v>0</x:v>
      </x:c>
      <x:c r="T302" s="36" t="n">
        <x:f>IF(OR(A302="",C302&lt;&gt;"Kapak",P302&lt;&gt;"Evet"),0,IF(COUNTIFS($F$8:F302,F302,$C$8:C302,"Kapak",$P$8:P302,"Evet")=1,1,0))</x:f>
        <x:v>1</x:v>
      </x:c>
    </x:row>
    <x:row r="303" ht="54" customHeight="1">
      <x:c r="A303" s="29" t="str">
        <x:v>bakersfield:photo:hero-619</x:v>
      </x:c>
      <x:c r="B303" s="29" t="str">
        <x:v>bakersfield</x:v>
      </x:c>
      <x:c r="C303" s="29" t="str">
        <x:v>Kapak</x:v>
      </x:c>
      <x:c r="D303" s="29"/>
      <x:c r="E303" s="29" t="str">
        <x:v>Fotoğraflar/bk-8b560d5736be7c7c7e0337b3.webp</x:v>
      </x:c>
      <x:c r="F303" s="29" t="str">
        <x:v>8b560d5736be7c7c7e0337b37cc43b2d9c385f4c2032964a7d64f6f39591d19d</x:v>
      </x:c>
      <x:c r="G303" s="29" t="str">
        <x:v>Wind Wolves Preserve · 2022 tarihli fotoğraf</x:v>
      </x:c>
      <x:c r="H303" s="29" t="str">
        <x:v>BookOfDisquiet</x:v>
      </x:c>
      <x:c r="I303" s="29" t="str">
        <x:v>CC BY 4.0</x:v>
      </x:c>
      <x:c r="J303" s="29" t="str">
        <x:v>https://creativecommons.org/licenses/by/4.0</x:v>
      </x:c>
      <x:c r="K303" s="29" t="str">
        <x:v>https://commons.wikimedia.org/wiki/File:Wind_Wolves_entrance_gate.jpg</x:v>
      </x:c>
      <x:c r="L303" s="31"/>
      <x:c r="M303" s="31" t="d">
        <x:v>2026-10-24T00:00:00.000Z</x:v>
      </x:c>
      <x:c r="N303" s="29" t="str">
        <x:v>EXIF yönü uygulandı; boyut küçültülüp WebP biçimine dönüştürüldü.</x:v>
      </x:c>
      <x:c r="O303" s="29" t="str">
        <x:v>bakersfield:evidence:hero-619</x:v>
      </x:c>
      <x:c r="P303" s="29" t="str">
        <x:v>Evet</x:v>
      </x:c>
      <x:c r="Q303" s="35" t="n">
        <x:v>6</x:v>
      </x:c>
      <x:c r="R303" s="29" t="str">
        <x:v>İnceleme</x:v>
      </x:c>
      <x:c r="S303" s="36" t="n">
        <x:f>IF(OR(A303="",C303&lt;&gt;"Mekân",P303&lt;&gt;"Evet"),0,IF(COUNTIFS($F$8:F303,F303,$C$8:C303,"Mekân",$P$8:P303,"Evet")=1,1,0))</x:f>
        <x:v>0</x:v>
      </x:c>
      <x:c r="T303" s="36" t="n">
        <x:f>IF(OR(A303="",C303&lt;&gt;"Kapak",P303&lt;&gt;"Evet"),0,IF(COUNTIFS($F$8:F303,F303,$C$8:C303,"Kapak",$P$8:P303,"Evet")=1,1,0))</x:f>
        <x:v>1</x:v>
      </x:c>
    </x:row>
    <x:row r="304" ht="54" customHeight="1">
      <x:c r="A304" s="29" t="str">
        <x:v>bakersfield:photo:hero-620</x:v>
      </x:c>
      <x:c r="B304" s="29" t="str">
        <x:v>bakersfield</x:v>
      </x:c>
      <x:c r="C304" s="29" t="str">
        <x:v>Kapak</x:v>
      </x:c>
      <x:c r="D304" s="29"/>
      <x:c r="E304" s="29" t="str">
        <x:v>Fotoğraflar/bk-8c5c05633be89f0803989c78.webp</x:v>
      </x:c>
      <x:c r="F304" s="29" t="str">
        <x:v>8c5c05633be89f0803989c78522c96157ed19c7e5c6bb036a4766cc03f910247</x:v>
      </x:c>
      <x:c r="G304" s="29" t="str">
        <x:v>Fort Tejon State Historic Park · 2007 tarihli fotoğraf</x:v>
      </x:c>
      <x:c r="H304" s="29" t="str">
        <x:v>Yellowute at English Wikipedia</x:v>
      </x:c>
      <x:c r="I304" s="29" t="str">
        <x:v>Public domain</x:v>
      </x:c>
      <x:c r="J304" s="29" t="str">
        <x:v>https://commons.wikimedia.org/wiki/File:Fort_Tejon_Barracks_from_CO_Qtrs.JPG#Licensing</x:v>
      </x:c>
      <x:c r="K304" s="29" t="str">
        <x:v>https://commons.wikimedia.org/wiki/File:Fort_Tejon_Barracks_from_CO_Qtrs.JPG</x:v>
      </x:c>
      <x:c r="L304" s="31" t="d">
        <x:v>2007-06-25T00:00:00.000Z</x:v>
      </x:c>
      <x:c r="M304" s="31" t="d">
        <x:v>2026-10-24T00:00:00.000Z</x:v>
      </x:c>
      <x:c r="N304" s="29" t="str">
        <x:v>EXIF yönü uygulandı; boyut küçültülüp WebP biçimine dönüştürüldü.</x:v>
      </x:c>
      <x:c r="O304" s="29" t="str">
        <x:v>bakersfield:evidence:hero-620</x:v>
      </x:c>
      <x:c r="P304" s="29" t="str">
        <x:v>Evet</x:v>
      </x:c>
      <x:c r="Q304" s="35" t="n">
        <x:v>7</x:v>
      </x:c>
      <x:c r="R304" s="29" t="str">
        <x:v>İnceleme</x:v>
      </x:c>
      <x:c r="S304" s="36" t="n">
        <x:f>IF(OR(A304="",C304&lt;&gt;"Mekân",P304&lt;&gt;"Evet"),0,IF(COUNTIFS($F$8:F304,F304,$C$8:C304,"Mekân",$P$8:P304,"Evet")=1,1,0))</x:f>
        <x:v>0</x:v>
      </x:c>
      <x:c r="T304" s="36" t="n">
        <x:f>IF(OR(A304="",C304&lt;&gt;"Kapak",P304&lt;&gt;"Evet"),0,IF(COUNTIFS($F$8:F304,F304,$C$8:C304,"Kapak",$P$8:P304,"Evet")=1,1,0))</x:f>
        <x:v>1</x:v>
      </x:c>
    </x:row>
    <x:row r="305" ht="54" customHeight="1">
      <x:c r="A305" s="29"/>
      <x:c r="B305" s="29"/>
      <x:c r="C305" s="29"/>
      <x:c r="D305" s="29"/>
      <x:c r="E305" s="29"/>
      <x:c r="F305" s="29"/>
      <x:c r="G305" s="29"/>
      <x:c r="H305" s="29"/>
      <x:c r="I305" s="29"/>
      <x:c r="J305" s="29"/>
      <x:c r="K305" s="29"/>
      <x:c r="L305" s="31"/>
      <x:c r="M305" s="31"/>
      <x:c r="N305" s="29"/>
      <x:c r="O305" s="29"/>
      <x:c r="P305" s="29"/>
      <x:c r="Q305" s="35"/>
      <x:c r="R305" s="29"/>
      <x:c r="S305" s="36" t="n">
        <x:f>IF(OR(A305="",C305&lt;&gt;"Mekân",P305&lt;&gt;"Evet"),0,IF(COUNTIFS($F$8:F305,F305,$C$8:C305,"Mekân",$P$8:P305,"Evet")=1,1,0))</x:f>
        <x:v>0</x:v>
      </x:c>
      <x:c r="T305" s="36" t="n">
        <x:f>IF(OR(A305="",C305&lt;&gt;"Kapak",P305&lt;&gt;"Evet"),0,IF(COUNTIFS($F$8:F305,F305,$C$8:C305,"Kapak",$P$8:P305,"Evet")=1,1,0))</x:f>
        <x:v>0</x:v>
      </x:c>
    </x:row>
    <x:row r="306" ht="54" customHeight="1">
      <x:c r="A306" s="29"/>
      <x:c r="B306" s="29"/>
      <x:c r="C306" s="29"/>
      <x:c r="D306" s="29"/>
      <x:c r="E306" s="29"/>
      <x:c r="F306" s="29"/>
      <x:c r="G306" s="29"/>
      <x:c r="H306" s="29"/>
      <x:c r="I306" s="29"/>
      <x:c r="J306" s="29"/>
      <x:c r="K306" s="29"/>
      <x:c r="L306" s="31"/>
      <x:c r="M306" s="31"/>
      <x:c r="N306" s="29"/>
      <x:c r="O306" s="29"/>
      <x:c r="P306" s="29"/>
      <x:c r="Q306" s="35"/>
      <x:c r="R306" s="29"/>
      <x:c r="S306" s="36" t="n">
        <x:f>IF(OR(A306="",C306&lt;&gt;"Mekân",P306&lt;&gt;"Evet"),0,IF(COUNTIFS($F$8:F306,F306,$C$8:C306,"Mekân",$P$8:P306,"Evet")=1,1,0))</x:f>
        <x:v>0</x:v>
      </x:c>
      <x:c r="T306" s="36" t="n">
        <x:f>IF(OR(A306="",C306&lt;&gt;"Kapak",P306&lt;&gt;"Evet"),0,IF(COUNTIFS($F$8:F306,F306,$C$8:C306,"Kapak",$P$8:P306,"Evet")=1,1,0))</x:f>
        <x:v>0</x:v>
      </x:c>
    </x:row>
  </x:sheetData>
  <x:mergeCells>
    <x:mergeCell ref="A3:H3"/>
  </x:mergeCells>
  <x:conditionalFormatting sqref="A8:A306">
    <x:cfRule type="expression" dxfId="114" priority="1">
      <x:formula>AND($A8&lt;&gt;"",ISBLANK(A8))</x:formula>
    </x:cfRule>
  </x:conditionalFormatting>
  <x:conditionalFormatting sqref="B8:B306">
    <x:cfRule type="expression" dxfId="115" priority="2">
      <x:formula>AND($A8&lt;&gt;"",ISBLANK(B8))</x:formula>
    </x:cfRule>
  </x:conditionalFormatting>
  <x:conditionalFormatting sqref="C8:C306">
    <x:cfRule type="expression" dxfId="116" priority="3">
      <x:formula>AND($A8&lt;&gt;"",ISBLANK(C8))</x:formula>
    </x:cfRule>
  </x:conditionalFormatting>
  <x:conditionalFormatting sqref="E8:E306">
    <x:cfRule type="expression" dxfId="117" priority="4">
      <x:formula>AND($A8&lt;&gt;"",ISBLANK(E8))</x:formula>
    </x:cfRule>
  </x:conditionalFormatting>
  <x:conditionalFormatting sqref="F8:F306">
    <x:cfRule type="expression" dxfId="118" priority="5">
      <x:formula>AND($A8&lt;&gt;"",ISBLANK(F8))</x:formula>
    </x:cfRule>
  </x:conditionalFormatting>
  <x:conditionalFormatting sqref="G8:G306">
    <x:cfRule type="expression" dxfId="119" priority="6">
      <x:formula>AND($A8&lt;&gt;"",ISBLANK(G8))</x:formula>
    </x:cfRule>
  </x:conditionalFormatting>
  <x:conditionalFormatting sqref="H8:H306">
    <x:cfRule type="expression" dxfId="120" priority="7">
      <x:formula>AND($A8&lt;&gt;"",ISBLANK(H8))</x:formula>
    </x:cfRule>
  </x:conditionalFormatting>
  <x:conditionalFormatting sqref="I8:I306">
    <x:cfRule type="expression" dxfId="121" priority="8">
      <x:formula>AND($A8&lt;&gt;"",ISBLANK(I8))</x:formula>
    </x:cfRule>
  </x:conditionalFormatting>
  <x:conditionalFormatting sqref="J8:J306">
    <x:cfRule type="expression" dxfId="122" priority="9">
      <x:formula>AND($A8&lt;&gt;"",ISBLANK(J8))</x:formula>
    </x:cfRule>
  </x:conditionalFormatting>
  <x:conditionalFormatting sqref="K8:K306">
    <x:cfRule type="expression" dxfId="123" priority="10">
      <x:formula>AND($A8&lt;&gt;"",ISBLANK(K8))</x:formula>
    </x:cfRule>
  </x:conditionalFormatting>
  <x:conditionalFormatting sqref="M8:M306">
    <x:cfRule type="expression" dxfId="124" priority="11">
      <x:formula>AND($A8&lt;&gt;"",ISBLANK(M8))</x:formula>
    </x:cfRule>
  </x:conditionalFormatting>
  <x:conditionalFormatting sqref="N8:N306">
    <x:cfRule type="expression" dxfId="125" priority="12">
      <x:formula>AND($A8&lt;&gt;"",ISBLANK(N8))</x:formula>
    </x:cfRule>
  </x:conditionalFormatting>
  <x:conditionalFormatting sqref="O8:O306">
    <x:cfRule type="expression" dxfId="126" priority="13">
      <x:formula>AND($A8&lt;&gt;"",ISBLANK(O8))</x:formula>
    </x:cfRule>
  </x:conditionalFormatting>
  <x:conditionalFormatting sqref="P8:P306">
    <x:cfRule type="expression" dxfId="127" priority="14">
      <x:formula>AND($A8&lt;&gt;"",ISBLANK(P8))</x:formula>
    </x:cfRule>
  </x:conditionalFormatting>
  <x:conditionalFormatting sqref="Q8:Q306">
    <x:cfRule type="expression" dxfId="128" priority="15">
      <x:formula>AND($A8&lt;&gt;"",ISBLANK(Q8))</x:formula>
    </x:cfRule>
  </x:conditionalFormatting>
  <x:conditionalFormatting sqref="R8:R306">
    <x:cfRule type="expression" dxfId="129" priority="16">
      <x:formula>AND($A8&lt;&gt;"",ISBLANK(R8))</x:formula>
    </x:cfRule>
  </x:conditionalFormatting>
  <x:dataValidations count="3">
    <x:dataValidation type="list" sqref="C8:C306">
      <x:formula1>"Mekân,Kapak"</x:formula1>
    </x:dataValidation>
    <x:dataValidation type="list" sqref="P8:P306">
      <x:formula1>"Evet,Hayır"</x:formula1>
    </x:dataValidation>
    <x:dataValidation type="list" sqref="R8:R306">
      <x:formula1>"Taslak,İnceleme,Düzeltme,Onaylandı"</x:formula1>
    </x:dataValidation>
  </x:dataValidations>
  <x:pageMargins left="0.7" right="0.7" top="0.75" bottom="0.75" header="0.3" footer="0.3"/>
  <x:tableParts count="1">
    <x:tablePart xmlns:r="http://schemas.openxmlformats.org/officeDocument/2006/relationships" r:id="Rbea8252824d946f8"/>
  </x:tableParts>
</x:worksheet>
</file>

<file path=xl/worksheets/sheet1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48" hidden="0" customWidth="1"/>
    <x:col min="5" max="5" width="28" hidden="0" customWidth="1"/>
    <x:col min="6" max="6" width="28" hidden="0" customWidth="1"/>
    <x:col min="7" max="7" width="28" hidden="0" customWidth="1"/>
    <x:col min="8" max="8" width="48" hidden="0" customWidth="1"/>
    <x:col min="9" max="9" width="58" hidden="0" customWidth="1"/>
    <x:col min="10" max="10" width="28" hidden="0" customWidth="1"/>
    <x:col min="11" max="11" width="28" hidden="0" customWidth="1"/>
    <x:col min="12" max="12" width="20" hidden="0" customWidth="1"/>
    <x:col min="13" max="13" width="28" hidden="0" customWidth="1"/>
    <x:col min="14" max="14" width="28" hidden="0" customWidth="1"/>
    <x:col min="15" max="15" width="28" hidden="0" customWidth="1"/>
    <x:col min="16" max="16" width="58" hidden="0" customWidth="1"/>
    <x:col min="17" max="17" width="28" hidden="0" customWidth="1"/>
    <x:col min="18" max="18" width="58" hidden="0" customWidth="1"/>
    <x:col min="19" max="19" width="28" hidden="0" customWidth="1"/>
    <x:col min="20" max="20" width="28" hidden="0" customWidth="1"/>
    <x:col min="21" max="21" width="28" hidden="0" customWidth="1"/>
    <x:col min="22" max="22" width="28" hidden="0" customWidth="1"/>
    <x:col min="23" max="23" width="48" hidden="0" customWidth="1"/>
  </x:cols>
  <x:sheetData>
    <x:row r="1" ht="30" customHeight="1">
      <x:c r="A1" s="2"/>
      <x:c r="B1" s="2"/>
      <x:c r="C1" s="2"/>
      <x:c r="D1" s="2"/>
      <x:c r="E1" s="2"/>
      <x:c r="F1" s="2"/>
      <x:c r="G1" s="2"/>
      <x:c r="H1" s="2"/>
      <x:c r="I1" s="2"/>
      <x:c r="J1" s="2"/>
      <x:c r="K1" s="2"/>
      <x:c r="L1" s="2"/>
      <x:c r="M1" s="2"/>
      <x:c r="N1" s="2"/>
      <x:c r="O1" s="2"/>
      <x:c r="P1" s="2"/>
      <x:c r="Q1" s="2"/>
      <x:c r="R1" s="2"/>
      <x:c r="S1" s="2"/>
      <x:c r="T1" s="2"/>
      <x:c r="U1" s="2"/>
      <x:c r="V1" s="2"/>
      <x:c r="W1" s="2"/>
    </x:row>
    <x:row r="2" ht="30" customHeight="1">
      <x:c r="A2" s="19" t="str">
        <x:v>Corteqs · Fotoğraf kaynak ve hak kanıtı</x:v>
      </x:c>
      <x:c r="B2" s="2"/>
      <x:c r="C2" s="2"/>
      <x:c r="D2" s="2"/>
      <x:c r="E2" s="2"/>
      <x:c r="F2" s="2"/>
      <x:c r="G2" s="2"/>
      <x:c r="H2" s="2"/>
      <x:c r="I2" s="2"/>
      <x:c r="J2" s="2"/>
      <x:c r="K2" s="2"/>
      <x:c r="L2" s="2"/>
      <x:c r="M2" s="2"/>
      <x:c r="N2" s="2"/>
      <x:c r="O2" s="2"/>
      <x:c r="P2" s="2"/>
      <x:c r="Q2" s="2"/>
      <x:c r="R2" s="2"/>
      <x:c r="S2" s="2"/>
      <x:c r="T2" s="2"/>
      <x:c r="U2" s="2"/>
      <x:c r="V2" s="2"/>
      <x:c r="W2" s="2"/>
    </x:row>
    <x:row r="3" ht="36" customHeight="1">
      <x:c r="A3" s="20" t="str">
        <x:v>Türkçe başlığı okuyun; veriyi 8. satırdan yazın. 7. satırdaki alan adını ve sayfa adını değiştirmeyin.</x:v>
      </x:c>
      <x:c r="B3" s="20"/>
      <x:c r="C3" s="20"/>
      <x:c r="D3" s="20"/>
      <x:c r="E3" s="20"/>
      <x:c r="F3" s="20"/>
      <x:c r="G3" s="20"/>
      <x:c r="H3" s="20"/>
      <x:c r="I3" s="2"/>
      <x:c r="J3" s="2"/>
      <x:c r="K3" s="2"/>
      <x:c r="L3" s="2"/>
      <x:c r="M3" s="2"/>
      <x:c r="N3" s="2"/>
      <x:c r="O3" s="2"/>
      <x:c r="P3" s="2"/>
      <x:c r="Q3" s="2"/>
      <x:c r="R3" s="2"/>
      <x:c r="S3" s="2"/>
      <x:c r="T3" s="2"/>
      <x:c r="U3" s="2"/>
      <x:c r="V3" s="2"/>
      <x:c r="W3" s="2"/>
    </x:row>
    <x:row r="4" ht="30" customHeight="1">
      <x:c r="A4" s="21"/>
      <x:c r="B4" s="21"/>
      <x:c r="C4" s="21"/>
      <x:c r="D4" s="21"/>
      <x:c r="E4" s="21"/>
      <x:c r="F4" s="21"/>
      <x:c r="G4" s="21"/>
      <x:c r="H4" s="21"/>
      <x:c r="I4" s="21"/>
      <x:c r="J4" s="21"/>
      <x:c r="K4" s="21"/>
      <x:c r="L4" s="21"/>
      <x:c r="M4" s="21"/>
      <x:c r="N4" s="21"/>
      <x:c r="O4" s="21"/>
      <x:c r="P4" s="21"/>
      <x:c r="Q4" s="21"/>
      <x:c r="R4" s="21"/>
      <x:c r="S4" s="21"/>
      <x:c r="T4" s="21"/>
      <x:c r="U4" s="21"/>
      <x:c r="V4" s="21"/>
      <x:c r="W4" s="21"/>
    </x:row>
    <x:row r="5" ht="26" customHeight="1">
      <x:c r="A5" s="22" t="str">
        <x:v>Zorunlu</x:v>
      </x:c>
      <x:c r="B5" s="22" t="str">
        <x:v>Zorunlu</x:v>
      </x:c>
      <x:c r="C5" s="22" t="str">
        <x:v>Zorunlu</x:v>
      </x:c>
      <x:c r="D5" s="22" t="str">
        <x:v>Zorunlu</x:v>
      </x:c>
      <x:c r="E5" s="22" t="str">
        <x:v>Zorunlu</x:v>
      </x:c>
      <x:c r="F5" s="22" t="str">
        <x:v>Zorunlu</x:v>
      </x:c>
      <x:c r="G5" s="22" t="str">
        <x:v>Zorunlu</x:v>
      </x:c>
      <x:c r="H5" s="22" t="str">
        <x:v>Zorunlu</x:v>
      </x:c>
      <x:c r="I5" s="22" t="str">
        <x:v>Zorunlu</x:v>
      </x:c>
      <x:c r="J5" s="22" t="str">
        <x:v>İsteğe bağlı</x:v>
      </x:c>
      <x:c r="K5" s="22" t="str">
        <x:v>İsteğe bağlı</x:v>
      </x:c>
      <x:c r="L5" s="22" t="str">
        <x:v>Zorunlu · tarih</x:v>
      </x:c>
      <x:c r="M5" s="22" t="str">
        <x:v>Zorunlu</x:v>
      </x:c>
      <x:c r="N5" s="22" t="str">
        <x:v>Zorunlu</x:v>
      </x:c>
      <x:c r="O5" s="22" t="str">
        <x:v>İsteğe bağlı</x:v>
      </x:c>
      <x:c r="P5" s="22" t="str">
        <x:v>İsteğe bağlı</x:v>
      </x:c>
      <x:c r="Q5" s="22" t="str">
        <x:v>Zorunlu</x:v>
      </x:c>
      <x:c r="R5" s="22" t="str">
        <x:v>İsteğe bağlı</x:v>
      </x:c>
      <x:c r="S5" s="22" t="str">
        <x:v>İsteğe bağlı</x:v>
      </x:c>
      <x:c r="T5" s="22" t="str">
        <x:v>İsteğe bağlı</x:v>
      </x:c>
      <x:c r="U5" s="22" t="str">
        <x:v>İsteğe bağlı</x:v>
      </x:c>
      <x:c r="V5" s="22" t="str">
        <x:v>İsteğe bağlı</x:v>
      </x:c>
      <x:c r="W5" s="22" t="str">
        <x:v>İsteğe bağlı · JSON</x:v>
      </x:c>
    </x:row>
    <x:row r="6" ht="44" customHeight="1">
      <x:c r="A6" s="25" t="str">
        <x:v>Kanıt kimliği</x:v>
      </x:c>
      <x:c r="B6" s="25" t="str">
        <x:v>Şehir kimliği</x:v>
      </x:c>
      <x:c r="C6" s="25" t="str">
        <x:v>Fotoğraf kimliği</x:v>
      </x:c>
      <x:c r="D6" s="25" t="str">
        <x:v>Kaynak sayfası</x:v>
      </x:c>
      <x:c r="E6" s="25" t="str">
        <x:v>Kaynak görsel başlığı</x:v>
      </x:c>
      <x:c r="F6" s="25" t="str">
        <x:v>Kaynak fotoğrafçısı</x:v>
      </x:c>
      <x:c r="G6" s="25" t="str">
        <x:v>Kaynak lisansı</x:v>
      </x:c>
      <x:c r="H6" s="25" t="str">
        <x:v>Kaynak lisans bağlantısı</x:v>
      </x:c>
      <x:c r="I6" s="25" t="str">
        <x:v>Kullanım koşulları</x:v>
      </x:c>
      <x:c r="J6" s="25" t="str">
        <x:v>Gerekli atıf metni</x:v>
      </x:c>
      <x:c r="K6" s="25" t="str">
        <x:v>Kısıt / üçüncü kişi hakkı</x:v>
      </x:c>
      <x:c r="L6" s="25" t="str">
        <x:v>Kanıt kontrol tarihi</x:v>
      </x:c>
      <x:c r="M6" s="25" t="str">
        <x:v>Kaynak bilgisi incelemesi</x:v>
      </x:c>
      <x:c r="N6" s="25" t="str">
        <x:v>Kare / mekân incelemesi</x:v>
      </x:c>
      <x:c r="O6" s="25" t="str">
        <x:v>İncelenen görsel dosyası</x:v>
      </x:c>
      <x:c r="P6" s="25" t="str">
        <x:v>Mekân eşleşmesi ve kare notu</x:v>
      </x:c>
      <x:c r="Q6" s="25" t="str">
        <x:v>Üçüncü kişi hak incelemesi</x:v>
      </x:c>
      <x:c r="R6" s="25" t="str">
        <x:v>Hak değerlendirmesi gerekçesi</x:v>
      </x:c>
      <x:c r="S6" s="25" t="str">
        <x:v>Kaynak sayfası kanıt dosyası</x:v>
      </x:c>
      <x:c r="T6" s="25" t="str">
        <x:v>Kaynak kanıt SHA-256</x:v>
      </x:c>
      <x:c r="U6" s="25" t="str">
        <x:v>Lisans kanıt dosyası</x:v>
      </x:c>
      <x:c r="V6" s="25" t="str">
        <x:v>Lisans kanıt SHA-256</x:v>
      </x:c>
      <x:c r="W6" s="25" t="str">
        <x:v>Tam özgün kanıt yapısı (JSON)</x:v>
      </x:c>
    </x:row>
    <x:row r="7" ht="32" customHeight="1">
      <x:c r="A7" s="28" t="str">
        <x:v>evidence_id</x:v>
      </x:c>
      <x:c r="B7" s="28" t="str">
        <x:v>city_id</x:v>
      </x:c>
      <x:c r="C7" s="28" t="str">
        <x:v>photo_id</x:v>
      </x:c>
      <x:c r="D7" s="28" t="str">
        <x:v>source_url</x:v>
      </x:c>
      <x:c r="E7" s="28" t="str">
        <x:v>source_title</x:v>
      </x:c>
      <x:c r="F7" s="28" t="str">
        <x:v>author</x:v>
      </x:c>
      <x:c r="G7" s="28" t="str">
        <x:v>license</x:v>
      </x:c>
      <x:c r="H7" s="28" t="str">
        <x:v>license_url</x:v>
      </x:c>
      <x:c r="I7" s="28" t="str">
        <x:v>usage_terms</x:v>
      </x:c>
      <x:c r="J7" s="28" t="str">
        <x:v>attribution</x:v>
      </x:c>
      <x:c r="K7" s="28" t="str">
        <x:v>restrictions</x:v>
      </x:c>
      <x:c r="L7" s="28" t="str">
        <x:v>checked_on</x:v>
      </x:c>
      <x:c r="M7" s="28" t="str">
        <x:v>metadata_review_status</x:v>
      </x:c>
      <x:c r="N7" s="28" t="str">
        <x:v>pixel_review_status</x:v>
      </x:c>
      <x:c r="O7" s="28" t="str">
        <x:v>pixel_review_file</x:v>
      </x:c>
      <x:c r="P7" s="28" t="str">
        <x:v>pixel_review_note</x:v>
      </x:c>
      <x:c r="Q7" s="28" t="str">
        <x:v>rights_status</x:v>
      </x:c>
      <x:c r="R7" s="28" t="str">
        <x:v>rights_basis</x:v>
      </x:c>
      <x:c r="S7" s="28" t="str">
        <x:v>source_snapshot_file</x:v>
      </x:c>
      <x:c r="T7" s="28" t="str">
        <x:v>source_snapshot_sha256</x:v>
      </x:c>
      <x:c r="U7" s="28" t="str">
        <x:v>license_snapshot_file</x:v>
      </x:c>
      <x:c r="V7" s="28" t="str">
        <x:v>license_snapshot_sha256</x:v>
      </x:c>
      <x:c r="W7" s="28" t="str">
        <x:v>source_evidence_json</x:v>
      </x:c>
    </x:row>
    <x:row r="8" ht="300" customHeight="1">
      <x:c r="A8" s="29" t="str">
        <x:v>bakersfield:evidence:venue-21973</x:v>
      </x:c>
      <x:c r="B8" s="29" t="str">
        <x:v>bakersfield</x:v>
      </x:c>
      <x:c r="C8" s="29" t="str">
        <x:v>bakersfield:photo:venue-21973</x:v>
      </x:c>
      <x:c r="D8" s="29" t="str">
        <x:v>https://commons.wikimedia.org/wiki/File:Kern_County_Chamber_of_Commerce_Building_Facing_West.jpg</x:v>
      </x:c>
      <x:c r="E8" s="29" t="str">
        <x:v>Kern County Chamber of Commerce Building Facing West.jpg</x:v>
      </x:c>
      <x:c r="F8" s="29" t="str">
        <x:v>Skyman9999</x:v>
      </x:c>
      <x:c r="G8" s="29" t="str">
        <x:v>CC0 1.0</x:v>
      </x:c>
      <x:c r="H8" s="29" t="str">
        <x:v>https://creativecommons.org/publicdomain/zero/1.0/</x:v>
      </x:c>
      <x:c r="I8" s="29" t="str">
        <x:v>Creative Commons Zero, Public Domain Dedication</x:v>
      </x:c>
      <x:c r="J8" s="29" t="str">
        <x:v>Kern County Chamber of Commerce Building Facing West.jpg · Skyman9999 · CC0 1.0 · https://commons.wikimedia.org/wiki/File:Kern_County_Chamber_of_Commerce_Building_Facing_West.jpg</x:v>
      </x:c>
      <x:c r="K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 s="31" t="d">
        <x:v>2026-10-24T00:00:00.000Z</x:v>
      </x:c>
      <x:c r="M8" s="29" t="str">
        <x:v>Doğrulandı</x:v>
      </x:c>
      <x:c r="N8" s="29" t="str">
        <x:v>Doğrulandı</x:v>
      </x:c>
      <x:c r="O8" s="29" t="str">
        <x:v>Fotoğraflar/bk-d384836a02f2593d26fc127f.webp</x:v>
      </x:c>
      <x:c r="P8" s="29" t="str">
        <x:v>Kern County Museum · 2011 tarihli fotoğraf · İndirilen kare temas sayfasında görüldü; kaynak mekân kimliğiyle eşleştirildi. Seçim kaydı final-pixel-review.json.</x:v>
      </x:c>
      <x:c r="Q8" s="29" t="str">
        <x:v>Bu kare için uygun</x:v>
      </x:c>
      <x:c r="R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 s="29" t="str">
        <x:v>Lisans kanıtları/bk-d384836a02f2593d26fc127f.source-evidence.json</x:v>
      </x:c>
      <x:c r="T8" s="29" t="str">
        <x:v>7cc8bf698a2e1eadb8990ee3daa4ed73b8a2f21eb0c44714d0fc6f63ccc95e7d</x:v>
      </x:c>
      <x:c r="U8" s="29" t="str">
        <x:v>Lisans kanıtları/bk-d384836a02f2593d26fc127f.license-record.json</x:v>
      </x:c>
      <x:c r="V8" s="29" t="str">
        <x:v>13500b0eda4d976575cd3b9afbf6d62b75dad681d2d818c4b000d5fb3a7bc5f8</x:v>
      </x:c>
      <x:c r="W8" s="29" t="str">
        <x:v>{"file":"bk-d384836a02f2593d26fc127f.webp","width":1280,"author":"Skyman9999","height":851,"sha256":"d384836a02f2593d26fc127f1095201e1b445512ceb4b37e8c7c390802ad3923","license":"CC0 1.0","imageinfo":{"url":"https://upload.wikimedia.org/wikipedia/commons/e/ef/Kern_County_Chamber_of_Commerce_Building_Facing_West.jpg?utm_source=commons.wikimedia.org&amp;utm_campaign=imageinfo&amp;utm_content=original","mime":"image/jpeg","sha1":"00fc6ea51179d02f864247e988fb0c727cd54da5","size":3124834,"width":3008,"height":2000,"pageid":17185032,"thumburl":"https://thumb.wikimedia.org/wikipedia/commons/thumb/e/ef/Kern_County_Chamber_of_Commerce_Building_Facing_West.jpg/1280px-Kern_County_Chamber_of_Commerce_Building_Facing_West.jpg?utm_source=commons.wikimedia.org&amp;utm_campaign=imageinfo&amp;utm_content=thumbnail","timestamp":"2011-10-30T22:22:09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work&lt;/span&gt;","source":"commons-desc-page"},"License":{"value":"cc0","hidden":"","source":"commons-templates"},"DateTime":{"value":"2011-10-30 22:22:09","hidden":"","source":"mediawiki-metadata"},"Categories":{"value":"Taken with Nikon D50|CC-Zero|Kern County Museum|Self-published work","hidden":"","source":"commons-categories"},"LicenseUrl":{"value":"http://creativecommons.org/publicdomain/zero/1.0/deed.en","source":"commons-desc-page"},"ObjectName":{"value":"Kern County Chamber of Commerce Building Facing West","source":"mediawiki-metadata"},"UsageTerms":{"value":"Creative Commons Zero, Public Domain Dedication","source":"commons-desc-page"},"Assessments":{"value":"","hidden":"","source":"commons-categories"},"Copyrighted":{"value":"True","hidden":"","source":"commons-desc-page"},"Restrictions":{"value":"","hidden":"","source":"commons-desc-page"},"DateTimeOriginal":{"value":"2011-08-30","source":"commons-desc-page"},"ImageDescription":{"value":"The west side of the old Kern County Chamber of Commerce Building.","source":"commons-desc-page"},"LicenseShortName":{"value":"CC0","hidden":"","source":"commons-desc-page"},"AttributionRequired":{"value":"false","hidden":"","source":"commons-desc-page"},"CommonsMetadataExtension":{"value":1.2,"hidden":"","source":"extension"}},"thumbheight":851,"thumbattribs":{"src":"https://thumb.wikimedia.org/wikipedia/commons/thumb/e/ef/Kern_County_Chamber_of_Commerce_Building_Facing_West.jpg/1280px-Kern_County_Chamber_of_Commerce_Building_Facing_West.jpg?utm_source=commons.wikimedia.org&amp;utm_campaign=imageinfo&amp;utm_content=thumbnail","width":1280,"height":851,"srcset":"https://upload.wikimedia.org/wikipedia/commons/e/ef/Kern_County_Chamber_of_Commerce_Building_Facing_West.jpg?utm_source=commons.wikimedia.org&amp;utm_campaign=imageinfo&amp;utm_content=thumbnail_unscaled 2x","loading":"lazy","decoding":"async"},"descriptionurl":"https://commons.wikimedia.org/wiki/File:Kern_County_Chamber_of_Commerce_Building_Facing_West.jpg","responsiveUrls":{"2":"https://upload.wikimedia.org/wikipedia/commons/e/ef/Kern_County_Chamber_of_Commerce_Building_Facing_West.jpg?utm_source=commons.wikimedia.org&amp;utm_campaign=imageinfo&amp;utm_content=thumbnail_unscaled"},"descriptionshorturl":"https://commons.wikimedia.org/w/index.php?curid=17185032"},"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cropping.","source_url":"https://commons.wikimedia.org/wiki/File:Kern_County_Chamber_of_Commerce_Building_Facing_West.jpg","author_urls":["https://commons.wikimedia.org/wiki/User:Skyman9999"],"description":"The west side of the old Kern County Chamber of Commerce Building.","license_url":"https://creativecommons.org/publicdomain/zero/1.0/","reviewed_on":"2026-10-24","capture_date":"2011-08-30","download_url":"https://thumb.wikimedia.org/wikipedia/commons/thumb/e/ef/Kern_County_Chamber_of_Commerce_Building_Facing_West.jpg/1280px-Kern_County_Chamber_of_Commerce_Building_Facing_West.jpg?utm_source=commons.wikimedia.org&amp;utm_campaign=imageinfo&amp;utm_content=thumbnail","original_url":"https://upload.wikimedia.org/wikipedia/commons/e/ef/Kern_County_Chamber_of_Commerce_Building_Facing_West.jpg?utm_source=commons.wikimedia.org&amp;utm_campaign=imageinfo&amp;utm_content=original","pixel_review":{"method":"İndirilen kare temas sayfasında görüldü; kaynak mekân kimliğiyle eşleştirildi. Seçim kaydı final-pixel-review.json.","status":"verified","caption":"Kern County Museum · 2011 tarihli fotoğraf","reviewer":"Codex (AI)","review_id":"C165"},"downloaded_at":"2026-10-23T19:08:35.769981+00:00","download_sha256":"8006701d90706537b5afdee7dda44fed3fd133242b84fedbdf32b55a0a20e440","downloaded_file":"downloads/8006701d90706537b5afdee7dda44fed3fd133242b84fedbdf32b55a0a20e440.jpg","acquisition_file":"7f64d29c5a3c608cd71bddba.webp","commons_filename":"Kern County Chamber of Commerce Building Facing West.jpg","original_file_url":"https://upload.wikimedia.org/wikipedia/commons/e/ef/Kern_County_Chamber_of_Commerce_Building_Facing_West.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e/ef/Kern_County_Chamber_of_Commerce_Building_Facing_West.jpg?utm_source=commons.wikimedia.org&amp;utm_campaign=imageinfo&amp;utm_content=original"},"metadata_reviewed_on":"2026-10-24","metadata_review_status":"verified"}}</x:v>
      </x:c>
    </x:row>
    <x:row r="9" ht="300" customHeight="1">
      <x:c r="A9" s="29" t="str">
        <x:v>bakersfield:evidence:venue-21974</x:v>
      </x:c>
      <x:c r="B9" s="29" t="str">
        <x:v>bakersfield</x:v>
      </x:c>
      <x:c r="C9" s="29" t="str">
        <x:v>bakersfield:photo:venue-21974</x:v>
      </x:c>
      <x:c r="D9" s="29" t="str">
        <x:v>https://commons.wikimedia.org/wiki/File:Kern_County_Chamber_of_Commerce_Building_South_Entrance_(cropped).jpg</x:v>
      </x:c>
      <x:c r="E9" s="29" t="str">
        <x:v>Kern County Chamber of Commerce Building South Entrance (cropped).jpg</x:v>
      </x:c>
      <x:c r="F9" s="29" t="str">
        <x:v>Skyman9999</x:v>
      </x:c>
      <x:c r="G9" s="29" t="str">
        <x:v>CC0 1.0</x:v>
      </x:c>
      <x:c r="H9" s="29" t="str">
        <x:v>https://creativecommons.org/publicdomain/zero/1.0/</x:v>
      </x:c>
      <x:c r="I9" s="29" t="str">
        <x:v>Creative Commons Zero, Public Domain Dedication</x:v>
      </x:c>
      <x:c r="J9" s="29" t="str">
        <x:v>Kern County Chamber of Commerce Building South Entrance (cropped).jpg · Skyman9999 · CC0 1.0 · https://commons.wikimedia.org/wiki/File:Kern_County_Chamber_of_Commerce_Building_South_Entrance_(cropped).jpg</x:v>
      </x:c>
      <x:c r="K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 s="31" t="d">
        <x:v>2026-10-24T00:00:00.000Z</x:v>
      </x:c>
      <x:c r="M9" s="29" t="str">
        <x:v>Doğrulandı</x:v>
      </x:c>
      <x:c r="N9" s="29" t="str">
        <x:v>Doğrulandı</x:v>
      </x:c>
      <x:c r="O9" s="29" t="str">
        <x:v>Fotoğraflar/bk-82cc4976c480ad7f9cd93ef3.webp</x:v>
      </x:c>
      <x:c r="P9" s="29" t="str">
        <x:v>Kern County Museum · 2011 tarihli fotoğraf · İndirilen kare temas sayfasında görüldü; kaynak mekân kimliğiyle eşleştirildi. Seçim kaydı final-pixel-review.json.</x:v>
      </x:c>
      <x:c r="Q9" s="29" t="str">
        <x:v>Bu kare için uygun</x:v>
      </x:c>
      <x:c r="R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 s="29" t="str">
        <x:v>Lisans kanıtları/bk-82cc4976c480ad7f9cd93ef3.source-evidence.json</x:v>
      </x:c>
      <x:c r="T9" s="29" t="str">
        <x:v>8a7c84aac1cff9d6f1100ad8289377248313c65cf80f3c21b04f9097fb1d9cff</x:v>
      </x:c>
      <x:c r="U9" s="29" t="str">
        <x:v>Lisans kanıtları/bk-82cc4976c480ad7f9cd93ef3.license-record.json</x:v>
      </x:c>
      <x:c r="V9" s="29" t="str">
        <x:v>2d13f63f45265495b17bfab75b40e7da9d4eed35b49136f0bbc64018f365f6c2</x:v>
      </x:c>
      <x:c r="W9" s="29" t="str">
        <x:v>{"file":"bk-82cc4976c480ad7f9cd93ef3.webp","width":1079,"author":"Skyman9999","height":1440,"sha256":"82cc4976c480ad7f9cd93ef3032dfa919b462c4ff347af78277ffaace33b3a3c","license":"CC0 1.0","imageinfo":{"url":"https://upload.wikimedia.org/wikipedia/commons/d/dd/Kern_County_Chamber_of_Commerce_Building_South_Entrance_%28cropped%29.jpg?utm_source=commons.wikimedia.org&amp;utm_campaign=imageinfo&amp;utm_content=original","mime":"image/jpeg","sha1":"1d84f9658f53b657cead8b8000f4aab707162084","size":1749937,"width":1658,"height":2214,"pageid":103095284,"thumburl":"https://thumb.wikimedia.org/wikipedia/commons/thumb/d/dd/Kern_County_Chamber_of_Commerce_Building_South_Entrance_%28cropped%29.jpg/1280px-Kern_County_Chamber_of_Commerce_Building_South_Entrance_%28cropped%29.jpg?utm_source=commons.wikimedia.org&amp;utm_campaign=imageinfo&amp;utm_content=thumbnail","timestamp":"2021-04-05T03:16:34Z","thumbwidth":1280,"extmetadata":{"Artist":{"value":"&lt;a href=\"//commons.wikimedia.org/wiki/User:Skyman9999\" title=\"User:Skyman9999\"&gt;Skyman9999&lt;/a&gt;","source":"commons-desc-page"},"Credit":{"value":"&lt;span class=\"int-own-work\" lang=\"en\"&gt;Own work&lt;/span&gt;","source":"commons-desc-page"},"License":{"value":"cc0","hidden":"","source":"commons-templates"},"DateTime":{"value":"2021-04-05 03:16:34","hidden":"","source":"mediawiki-metadata"},"Categories":{"value":"CC-Zero|Kern County Museum|Self-published work|Extracted images","hidden":"","source":"commons-categories"},"LicenseUrl":{"value":"http://creativecommons.org/publicdomain/zero/1.0/deed.en","source":"commons-desc-page"},"ObjectName":{"value":"Kern County Chamber of Commerce Building South Entrance (cropped)","source":"mediawiki-metadata"},"UsageTerms":{"value":"Creative Commons Zero, Public Domain Dedication","source":"commons-desc-page"},"Assessments":{"value":"","hidden":"","source":"commons-categories"},"Copyrighted":{"value":"True","hidden":"","source":"commons-desc-page"},"Restrictions":{"value":"","hidden":"","source":"commons-desc-page"},"DateTimeOriginal":{"value":"2011-08-30","source":"commons-desc-page"},"ImageDescription":{"value":"South entrance for the old Kern County Chamber of Commerce Building.","source":"commons-desc-page"},"LicenseShortName":{"value":"CC0","hidden":"","source":"commons-desc-page"},"AttributionRequired":{"value":"false","hidden":"","source":"commons-desc-page"},"CommonsMetadataExtension":{"value":1.2,"hidden":"","source":"extension"}},"thumbheight":1709,"thumbattribs":{"src":"https://thumb.wikimedia.org/wikipedia/commons/thumb/d/dd/Kern_County_Chamber_of_Commerce_Building_South_Entrance_%28cropped%29.jpg/1280px-Kern_County_Chamber_of_Commerce_Building_South_Entrance_%28cropped%29.jpg?utm_source=commons.wikimedia.org&amp;utm_campaign=imageinfo&amp;utm_content=thumbnail","width":1280,"height":1709,"srcset":"https://upload.wikimedia.org/wikipedia/commons/d/dd/Kern_County_Chamber_of_Commerce_Building_South_Entrance_%28cropped%29.jpg?utm_source=commons.wikimedia.org&amp;utm_campaign=imageinfo&amp;utm_content=thumbnail_unscaled 2x","loading":"lazy","decoding":"async"},"descriptionurl":"https://commons.wikimedia.org/wiki/File:Kern_County_Chamber_of_Commerce_Building_South_Entrance_(cropped).jpg","responsiveUrls":{"2":"https://upload.wikimedia.org/wikipedia/commons/d/dd/Kern_County_Chamber_of_Commerce_Building_South_Entrance_%28cropped%29.jpg?utm_source=commons.wikimedia.org&amp;utm_campaign=imageinfo&amp;utm_content=thumbnail_unscaled"},"descriptionshorturl":"https://commons.wikimedia.org/w/index.php?curid=103095284"},"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cropping.","source_url":"https://commons.wikimedia.org/wiki/File:Kern_County_Chamber_of_Commerce_Building_South_Entrance_(cropped).jpg","author_urls":["https://commons.wikimedia.org/wiki/User:Skyman9999"],"description":"South entrance for the old Kern County Chamber of Commerce Building.","license_url":"https://creativecommons.org/publicdomain/zero/1.0/","reviewed_on":"2026-10-24","capture_date":"2011-08-30","download_url":"https://thumb.wikimedia.org/wikipedia/commons/thumb/d/dd/Kern_County_Chamber_of_Commerce_Building_South_Entrance_%28cropped%29.jpg/1280px-Kern_County_Chamber_of_Commerce_Building_South_Entrance_%28cropped%29.jpg?utm_source=commons.wikimedia.org&amp;utm_campaign=imageinfo&amp;utm_content=thumbnail","original_url":"https://upload.wikimedia.org/wikipedia/commons/d/dd/Kern_County_Chamber_of_Commerce_Building_South_Entrance_%28cropped%29.jpg?utm_source=commons.wikimedia.org&amp;utm_campaign=imageinfo&amp;utm_content=original","pixel_review":{"method":"İndirilen kare temas sayfasında görüldü; kaynak mekân kimliğiyle eşleştirildi. Seçim kaydı final-pixel-review.json.","status":"verified","caption":"Kern County Museum · 2011 tarihli fotoğraf","reviewer":"Codex (AI)","review_id":"C166"},"downloaded_at":"2026-10-23T19:08:37.029315+00:00","download_sha256":"8aaf58c87359e6d98f16630a6946c9961b3a6cdc4e83f24ce020cb1330e326bd","downloaded_file":"downloads/8aaf58c87359e6d98f16630a6946c9961b3a6cdc4e83f24ce020cb1330e326bd.jpg","acquisition_file":"acb20b609b23e5e5190709de.webp","commons_filename":"Kern County Chamber of Commerce Building South Entrance (cropped).jpg","original_file_url":"https://upload.wikimedia.org/wikipedia/commons/d/dd/Kern_County_Chamber_of_Commerce_Building_South_Entrance_%28cropped%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d/dd/Kern_County_Chamber_of_Commerce_Building_South_Entrance_%28cropped%29.jpg?utm_source=commons.wikimedia.org&amp;utm_campaign=imageinfo&amp;utm_content=original"},"metadata_reviewed_on":"2026-10-24","metadata_review_status":"verified"}}</x:v>
      </x:c>
    </x:row>
    <x:row r="10" ht="300" customHeight="1">
      <x:c r="A10" s="29" t="str">
        <x:v>bakersfield:evidence:venue-21975</x:v>
      </x:c>
      <x:c r="B10" s="29" t="str">
        <x:v>bakersfield</x:v>
      </x:c>
      <x:c r="C10" s="29" t="str">
        <x:v>bakersfield:photo:venue-21975</x:v>
      </x:c>
      <x:c r="D10" s="29" t="str">
        <x:v>https://commons.wikimedia.org/wiki/File:Kern_County_Museum-2.jpg</x:v>
      </x:c>
      <x:c r="E10" s="29" t="str">
        <x:v>Kern County Museum-2.jpg</x:v>
      </x:c>
      <x:c r="F10" s="29" t="str">
        <x:v>(WT-de) Mistoffeles</x:v>
      </x:c>
      <x:c r="G10" s="29" t="str">
        <x:v>CC BY-SA 4.0</x:v>
      </x:c>
      <x:c r="H10" s="29" t="str">
        <x:v>https://creativecommons.org/licenses/by-sa/4.0</x:v>
      </x:c>
      <x:c r="I10" s="29" t="str">
        <x:v>Creative Commons Attribution-Share Alike 4.0</x:v>
      </x:c>
      <x:c r="J10" s="29" t="str">
        <x:v>Kern County Museum-2.jpg · (WT-de) Mistoffeles · CC BY-SA 4.0 · https://commons.wikimedia.org/wiki/File:Kern_County_Museum-2.jpg</x:v>
      </x:c>
      <x:c r="K1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 s="31" t="d">
        <x:v>2026-10-24T00:00:00.000Z</x:v>
      </x:c>
      <x:c r="M10" s="29" t="str">
        <x:v>Doğrulandı</x:v>
      </x:c>
      <x:c r="N10" s="29" t="str">
        <x:v>Doğrulandı</x:v>
      </x:c>
      <x:c r="O10" s="29" t="str">
        <x:v>Fotoğraflar/bk-bbe6541f71a03b54835f48d5.webp</x:v>
      </x:c>
      <x:c r="P10" s="29" t="str">
        <x:v>Kern County Museum · 2006 tarihli fotoğraf · İndirilen kare temas sayfasında görüldü; kaynak mekân kimliğiyle eşleştirildi. Seçim kaydı final-pixel-review.json.</x:v>
      </x:c>
      <x:c r="Q10" s="29" t="str">
        <x:v>Bu kare için uygun</x:v>
      </x:c>
      <x:c r="R1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 s="29" t="str">
        <x:v>Lisans kanıtları/bk-bbe6541f71a03b54835f48d5.source-evidence.json</x:v>
      </x:c>
      <x:c r="T10" s="29" t="str">
        <x:v>080b4d996eeb3bb355694d6e1f245756d2efdfd2043493d4b75b30f8301ee5aa</x:v>
      </x:c>
      <x:c r="U10" s="29" t="str">
        <x:v>Lisans kanıtları/bk-bbe6541f71a03b54835f48d5.license-record.json</x:v>
      </x:c>
      <x:c r="V10" s="29" t="str">
        <x:v>0ac5cb62758df43c52d78048f47b8e161c44892517788c22a6614574e694df90</x:v>
      </x:c>
      <x:c r="W10" s="29" t="str">
        <x:v>{"file":"bk-bbe6541f71a03b54835f48d5.webp","width":1280,"author":"(WT-de) Mistoffeles","height":960,"sha256":"bbe6541f71a03b54835f48d5d5a906f0e93193cfe33e22b0614f74bd41a1db79","license":"CC BY-SA 4.0","imageinfo":{"url":"https://upload.wikimedia.org/wikipedia/commons/e/e1/Kern_County_Museum-2.jpg?utm_source=commons.wikimedia.org&amp;utm_campaign=imageinfo&amp;utm_content=original","mime":"image/jpeg","sha1":"a33efa849dbe2e00d5554fa9d31fb365cbc5b150","size":1490644,"width":2048,"height":1536,"pageid":22790781,"thumburl":"https://thumb.wikimedia.org/wikipedia/commons/thumb/e/e1/Kern_County_Museum-2.jpg/1280px-Kern_County_Museum-2.jpg?utm_source=commons.wikimedia.org&amp;utm_campaign=imageinfo&amp;utm_content=thumbnail","timestamp":"2012-11-20T21:48:23Z","thumbwidth":1280,"extmetadata":{"Artist":{"value":"&lt;a href=\"https://en.wikivoyage.org/wiki/de:Benutzer:(WT-de)_Mistoffeles\" class=\"extiw\" title=\"voy:de:Benutzer:(WT-de) Mistoffeles\"&gt;(WT-de) Mistoffeles&lt;/a&gt;","source":"commons-desc-page"},"Credit":{"value":"Photographer's own","source":"commons-desc-page"},"License":{"value":"cc-by-sa-4.0","hidden":"","source":"commons-templates"},"DateTime":{"value":"2012-11-20 21:48:23","hidden":"","source":"mediawiki-metadata"},"Categories":{"value":"Taken with Sony DSC-W50|Kern County Museum|CC-BY-SA-4.0,3.0,2.5,2.0,1.0|Self-published work|Files from Wikivoyage wts|Files moved from wts.oldwikivoyage to Commons requiring review|Files moved to Commons requiring review as of 20 November 2012|Files by Wikivoyage user Mistoffeles","hidden":"","source":"commons-categories"},"LicenseUrl":{"value":"https://creativecommons.org/licenses/by-sa/4.0","source":"commons-desc-page"},"ObjectName":{"value":"Kern County Museum-2","source":"mediawiki-metadata"},"UsageTerms":{"value":"Creative Commons Attribution-Share Alike 4.0","source":"commons-desc-page"},"Assessments":{"value":"","hidden":"","source":"commons-categories"},"Attribution":{"value":"User: (WT-shared) Mistoffeles at  wts wikivoyage","hidden":"","source":"commons-desc-page"},"Copyrighted":{"value":"True","hidden":"","source":"commons-desc-page"},"Restrictions":{"value":"","hidden":"","source":"commons-desc-page"},"DateTimeOriginal":{"value":"2006-08-13","source":"commons-desc-page"},"ImageDescription":{"value":"Location: Kern County Museum.","source":"commons-desc-page"},"LicenseShortName":{"value":"CC BY-SA 4.0","hidden":"","source":"commons-desc-page"},"AttributionRequired":{"value":"true","hidden":"","source":"commons-desc-page"},"CommonsMetadataExtension":{"value":1.2,"hidden":"","source":"extension"}},"thumbheight":960,"thumbattribs":{"src":"https://thumb.wikimedia.org/wikipedia/commons/thumb/e/e1/Kern_County_Museum-2.jpg/1280px-Kern_County_Museum-2.jpg?utm_source=commons.wikimedia.org&amp;utm_campaign=imageinfo&amp;utm_content=thumbnail","width":1280,"height":960,"srcset":"https://upload.wikimedia.org/wikipedia/commons/e/e1/Kern_County_Museum-2.jpg?utm_source=commons.wikimedia.org&amp;utm_campaign=imageinfo&amp;utm_content=thumbnail_unscaled 2x","loading":"lazy","decoding":"async"},"descriptionurl":"https://commons.wikimedia.org/wiki/File:Kern_County_Museum-2.jpg","responsiveUrls":{"2":"https://upload.wikimedia.org/wikipedia/commons/e/e1/Kern_County_Museum-2.jpg?utm_source=commons.wikimedia.org&amp;utm_campaign=imageinfo&amp;utm_content=thumbnail_unscaled"},"descriptionshorturl":"https://commons.wikimedia.org/w/index.php?curid=22790781"},"selection":{"qid":"pending","kind":"candidate","title":"Bakersfield local buildings"},"author_url":"https://en.wikivoyage.org/wiki/de:Benutzer:(WT-de)_Mistoffeles","derivative":"Wikimedia thumbnail decoded; EXIF orientation applied; converted to WebP quality 86; no generated pixels, no cropping.","source_url":"https://commons.wikimedia.org/wiki/File:Kern_County_Museum-2.jpg","author_urls":["https://en.wikivoyage.org/wiki/de:Benutzer:(WT-de)_Mistoffeles"],"description":"Location: Kern County Museum.","license_url":"https://creativecommons.org/licenses/by-sa/4.0","reviewed_on":"2026-10-24","capture_date":"2006-08-13","download_url":"https://thumb.wikimedia.org/wikipedia/commons/thumb/e/e1/Kern_County_Museum-2.jpg/1280px-Kern_County_Museum-2.jpg?utm_source=commons.wikimedia.org&amp;utm_campaign=imageinfo&amp;utm_content=thumbnail","original_url":"https://upload.wikimedia.org/wikipedia/commons/e/e1/Kern_County_Museum-2.jpg?utm_source=commons.wikimedia.org&amp;utm_campaign=imageinfo&amp;utm_content=original","pixel_review":{"method":"İndirilen kare temas sayfasında görüldü; kaynak mekân kimliğiyle eşleştirildi. Seçim kaydı final-pixel-review.json.","status":"verified","caption":"Kern County Museum · 2006 tarihli fotoğraf","reviewer":"Codex (AI)","review_id":"C172"},"downloaded_at":"2026-10-23T19:08:39.287844+00:00","download_sha256":"cca3b142b7e29032efc11bd10c066b82eb8fe32e110dda04682cbc1499dc9783","downloaded_file":"downloads/cca3b142b7e29032efc11bd10c066b82eb8fe32e110dda04682cbc1499dc9783.jpg","acquisition_file":"4a3f92a5ee396b98ee02a66f.webp","commons_filename":"Kern County Museum-2.jpg","original_file_url":"https://upload.wikimedia.org/wikipedia/commons/e/e1/Kern_County_Museum-2.jpg?utm_source=commons.wikimedia.org&amp;utm_campaign=imageinfo&amp;utm_content=original","pixel_review_status":"pending","third_party_rights_review":{"basis":"Kaynakta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dönüştürüldü.","photo_attribution":{"author_url":"https://en.wikivoyage.org/wiki/de:Benutzer:(WT-de)_Mistoffeles","modifications":"EXIF yönü uygulandı; boyut küçültülüp WebP biçimine dönüştürüldü.","original_file_url":"https://upload.wikimedia.org/wikipedia/commons/e/e1/Kern_County_Museum-2.jpg?utm_source=commons.wikimedia.org&amp;utm_campaign=imageinfo&amp;utm_content=original"},"metadata_reviewed_on":"2026-10-24","metadata_review_status":"verified"}}</x:v>
      </x:c>
    </x:row>
    <x:row r="11" ht="300" customHeight="1">
      <x:c r="A11" s="29" t="str">
        <x:v>bakersfield:evidence:venue-21976</x:v>
      </x:c>
      <x:c r="B11" s="29" t="str">
        <x:v>bakersfield</x:v>
      </x:c>
      <x:c r="C11" s="29" t="str">
        <x:v>bakersfield:photo:venue-21976</x:v>
      </x:c>
      <x:c r="D11" s="29" t="str">
        <x:v>https://commons.wikimedia.org/wiki/File:Kern_County_Museum-5.jpg</x:v>
      </x:c>
      <x:c r="E11" s="29" t="str">
        <x:v>Kern County Museum-5.jpg</x:v>
      </x:c>
      <x:c r="F11" s="29" t="str">
        <x:v>(WT-de) Mistoffeles</x:v>
      </x:c>
      <x:c r="G11" s="29" t="str">
        <x:v>CC BY-SA 4.0</x:v>
      </x:c>
      <x:c r="H11" s="29" t="str">
        <x:v>https://creativecommons.org/licenses/by-sa/4.0</x:v>
      </x:c>
      <x:c r="I11" s="29" t="str">
        <x:v>Creative Commons Attribution-Share Alike 4.0</x:v>
      </x:c>
      <x:c r="J11" s="29" t="str">
        <x:v>Kern County Museum-5.jpg · (WT-de) Mistoffeles · CC BY-SA 4.0 · https://commons.wikimedia.org/wiki/File:Kern_County_Museum-5.jpg</x:v>
      </x:c>
      <x:c r="K1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 s="31" t="d">
        <x:v>2026-10-24T00:00:00.000Z</x:v>
      </x:c>
      <x:c r="M11" s="29" t="str">
        <x:v>Doğrulandı</x:v>
      </x:c>
      <x:c r="N11" s="29" t="str">
        <x:v>Doğrulandı</x:v>
      </x:c>
      <x:c r="O11" s="29" t="str">
        <x:v>Fotoğraflar/bk-97a030123641ef81799b73cd.webp</x:v>
      </x:c>
      <x:c r="P11" s="29" t="str">
        <x:v>Kern County Museum · 2006 tarihli fotoğraf · İndirilen kare temas sayfasında görüldü; kaynak mekân kimliğiyle eşleştirildi. Seçim kaydı final-pixel-review.json.</x:v>
      </x:c>
      <x:c r="Q11" s="29" t="str">
        <x:v>Bu kare için uygun</x:v>
      </x:c>
      <x:c r="R1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 s="29" t="str">
        <x:v>Lisans kanıtları/bk-97a030123641ef81799b73cd.source-evidence.json</x:v>
      </x:c>
      <x:c r="T11" s="29" t="str">
        <x:v>a161199d0a7993342aa54c7f18620d47921f1787803c595f568c89c602fa0070</x:v>
      </x:c>
      <x:c r="U11" s="29" t="str">
        <x:v>Lisans kanıtları/bk-97a030123641ef81799b73cd.license-record.json</x:v>
      </x:c>
      <x:c r="V11" s="29" t="str">
        <x:v>a252190be44ea2cb5e14f7d6fe269ee12d7aed8aeb3fd6495e0bc4c6f7a853ed</x:v>
      </x:c>
      <x:c r="W11" s="29" t="str">
        <x:v>{"file":"bk-97a030123641ef81799b73cd.webp","width":1280,"author":"(WT-de) Mistoffeles","height":960,"sha256":"97a030123641ef81799b73cdafe82330e12dc3045f290fba32572262e828dd77","license":"CC BY-SA 4.0","imageinfo":{"url":"https://upload.wikimedia.org/wikipedia/commons/1/11/Kern_County_Museum-5.jpg?utm_source=commons.wikimedia.org&amp;utm_campaign=imageinfo&amp;utm_content=original","mime":"image/jpeg","sha1":"613e565972c9c9a0e70232731670a604880f52e2","size":1526381,"width":2048,"height":1536,"pageid":22790794,"thumburl":"https://thumb.wikimedia.org/wikipedia/commons/thumb/1/11/Kern_County_Museum-5.jpg/1280px-Kern_County_Museum-5.jpg?utm_source=commons.wikimedia.org&amp;utm_campaign=imageinfo&amp;utm_content=thumbnail","timestamp":"2012-11-20T21:49:38Z","thumbwidth":1280,"extmetadata":{"Artist":{"value":"&lt;a href=\"https://en.wikivoyage.org/wiki/de:Benutzer:(WT-de)_Mistoffeles\" class=\"extiw\" title=\"voy:de:Benutzer:(WT-de) Mistoffeles\"&gt;(WT-de) Mistoffeles&lt;/a&gt;","source":"commons-desc-page"},"Credit":{"value":"Photographer's own","source":"commons-desc-page"},"License":{"value":"cc-by-sa-4.0","hidden":"","source":"commons-templates"},"DateTime":{"value":"2012-11-20 21:49:38","hidden":"","source":"mediawiki-metadata"},"Categories":{"value":"Taken with Sony DSC-W50|Kern County Museum|Former Southern Pacific Railroad stations|CC-BY-SA-4.0,3.0,2.5,2.0,1.0|Self-published work|Files from Wikivoyage wts|Files moved from wts.oldwikivoyage to Commons requiring review|Files moved to Commons requiring review as of 20 November 2012|Files by Wikivoyage user Mistoffeles","hidden":"","source":"commons-categories"},"LicenseUrl":{"value":"https://creativecommons.org/licenses/by-sa/4.0","source":"commons-desc-page"},"ObjectName":{"value":"Kern County Museum-5","source":"mediawiki-metadata"},"UsageTerms":{"value":"Creative Commons Attribution-Share Alike 4.0","source":"commons-desc-page"},"Assessments":{"value":"","hidden":"","source":"commons-categories"},"Attribution":{"value":"User: (WT-shared) Mistoffeles at  wts wikivoyage","hidden":"","source":"commons-desc-page"},"Copyrighted":{"value":"True","hidden":"","source":"commons-desc-page"},"Restrictions":{"value":"","hidden":"","source":"commons-desc-page"},"DateTimeOriginal":{"value":"2006-08-13","source":"commons-desc-page"},"ImageDescription":{"value":"Location: Kern County Museum.","source":"commons-desc-page"},"LicenseShortName":{"value":"CC BY-SA 4.0","hidden":"","source":"commons-desc-page"},"AttributionRequired":{"value":"true","hidden":"","source":"commons-desc-page"},"CommonsMetadataExtension":{"value":1.2,"hidden":"","source":"extension"}},"thumbheight":960,"thumbattribs":{"src":"https://thumb.wikimedia.org/wikipedia/commons/thumb/1/11/Kern_County_Museum-5.jpg/1280px-Kern_County_Museum-5.jpg?utm_source=commons.wikimedia.org&amp;utm_campaign=imageinfo&amp;utm_content=thumbnail","width":1280,"height":960,"srcset":"https://upload.wikimedia.org/wikipedia/commons/1/11/Kern_County_Museum-5.jpg?utm_source=commons.wikimedia.org&amp;utm_campaign=imageinfo&amp;utm_content=thumbnail_unscaled 2x","loading":"lazy","decoding":"async"},"descriptionurl":"https://commons.wikimedia.org/wiki/File:Kern_County_Museum-5.jpg","responsiveUrls":{"2":"https://upload.wikimedia.org/wikipedia/commons/1/11/Kern_County_Museum-5.jpg?utm_source=commons.wikimedia.org&amp;utm_campaign=imageinfo&amp;utm_content=thumbnail_unscaled"},"descriptionshorturl":"https://commons.wikimedia.org/w/index.php?curid=22790794"},"selection":{"qid":"pending","kind":"candidate","title":"Bakersfield local buildings"},"author_url":"https://en.wikivoyage.org/wiki/de:Benutzer:(WT-de)_Mistoffeles","derivative":"Wikimedia thumbnail decoded; EXIF orientation applied; converted to WebP quality 86; no generated pixels, no cropping.","source_url":"https://commons.wikimedia.org/wiki/File:Kern_County_Museum-5.jpg","author_urls":["https://en.wikivoyage.org/wiki/de:Benutzer:(WT-de)_Mistoffeles"],"description":"Location: Kern County Museum.","license_url":"https://creativecommons.org/licenses/by-sa/4.0","reviewed_on":"2026-10-24","capture_date":"2006-08-13","download_url":"https://thumb.wikimedia.org/wikipedia/commons/thumb/1/11/Kern_County_Museum-5.jpg/1280px-Kern_County_Museum-5.jpg?utm_source=commons.wikimedia.org&amp;utm_campaign=imageinfo&amp;utm_content=thumbnail","original_url":"https://upload.wikimedia.org/wikipedia/commons/1/11/Kern_County_Museum-5.jpg?utm_source=commons.wikimedia.org&amp;utm_campaign=imageinfo&amp;utm_content=original","pixel_review":{"method":"İndirilen kare temas sayfasında görüldü; kaynak mekân kimliğiyle eşleştirildi. Seçim kaydı final-pixel-review.json.","status":"verified","caption":"Kern County Museum · 2006 tarihli fotoğraf","reviewer":"Codex (AI)","review_id":"C175"},"downloaded_at":"2026-10-23T19:08:42.005926+00:00","download_sha256":"cabd7ff2bbee0f281a4ac91670f2fc6e8cf9f6a6d805a31a9c53989ecca3832a","downloaded_file":"downloads/cabd7ff2bbee0f281a4ac91670f2fc6e8cf9f6a6d805a31a9c53989ecca3832a.jpg","acquisition_file":"0a88c4561610386c460c5cc2.webp","commons_filename":"Kern County Museum-5.jpg","original_file_url":"https://upload.wikimedia.org/wikipedia/commons/1/11/Kern_County_Museum-5.jpg?utm_source=commons.wikimedia.org&amp;utm_campaign=imageinfo&amp;utm_content=original","pixel_review_status":"pending","third_party_rights_review":{"basis":"Kaynakta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dönüştürüldü.","photo_attribution":{"author_url":"https://en.wikivoyage.org/wiki/de:Benutzer:(WT-de)_Mistoffeles","modifications":"EXIF yönü uygulandı; boyut küçültülüp WebP biçimine dönüştürüldü.","original_file_url":"https://upload.wikimedia.org/wikipedia/commons/1/11/Kern_County_Museum-5.jpg?utm_source=commons.wikimedia.org&amp;utm_campaign=imageinfo&amp;utm_content=original"},"metadata_reviewed_on":"2026-10-24","metadata_review_status":"verified"}}</x:v>
      </x:c>
    </x:row>
    <x:row r="12" ht="300" customHeight="1">
      <x:c r="A12" s="29" t="str">
        <x:v>bakersfield:evidence:venue-21977</x:v>
      </x:c>
      <x:c r="B12" s="29" t="str">
        <x:v>bakersfield</x:v>
      </x:c>
      <x:c r="C12" s="29" t="str">
        <x:v>bakersfield:photo:venue-21977</x:v>
      </x:c>
      <x:c r="D12" s="29" t="str">
        <x:v>https://commons.wikimedia.org/wiki/File:Kern_County_Museum-7.jpg</x:v>
      </x:c>
      <x:c r="E12" s="29" t="str">
        <x:v>Kern County Museum-7.jpg</x:v>
      </x:c>
      <x:c r="F12" s="29" t="str">
        <x:v>(WT-de) Mistoffeles</x:v>
      </x:c>
      <x:c r="G12" s="29" t="str">
        <x:v>CC BY-SA 4.0</x:v>
      </x:c>
      <x:c r="H12" s="29" t="str">
        <x:v>https://creativecommons.org/licenses/by-sa/4.0</x:v>
      </x:c>
      <x:c r="I12" s="29" t="str">
        <x:v>Creative Commons Attribution-Share Alike 4.0</x:v>
      </x:c>
      <x:c r="J12" s="29" t="str">
        <x:v>Kern County Museum-7.jpg · (WT-de) Mistoffeles · CC BY-SA 4.0 · https://commons.wikimedia.org/wiki/File:Kern_County_Museum-7.jpg</x:v>
      </x:c>
      <x:c r="K1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 s="31" t="d">
        <x:v>2026-10-24T00:00:00.000Z</x:v>
      </x:c>
      <x:c r="M12" s="29" t="str">
        <x:v>Doğrulandı</x:v>
      </x:c>
      <x:c r="N12" s="29" t="str">
        <x:v>Doğrulandı</x:v>
      </x:c>
      <x:c r="O12" s="29" t="str">
        <x:v>Fotoğraflar/bk-fd6cc0110a1a7124077246f8.webp</x:v>
      </x:c>
      <x:c r="P12" s="29" t="str">
        <x:v>Kern County Museum · 2006 tarihli fotoğraf · İndirilen kare temas sayfasında görüldü; kaynak mekân kimliğiyle eşleştirildi. Seçim kaydı final-pixel-review.json.</x:v>
      </x:c>
      <x:c r="Q12" s="29" t="str">
        <x:v>Bu kare için uygun</x:v>
      </x:c>
      <x:c r="R1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 s="29" t="str">
        <x:v>Lisans kanıtları/bk-fd6cc0110a1a7124077246f8.source-evidence.json</x:v>
      </x:c>
      <x:c r="T12" s="29" t="str">
        <x:v>bdefebaa4619f526f92c3d282c2d6cf46a0a476b226da33da1b531c486a49a1a</x:v>
      </x:c>
      <x:c r="U12" s="29" t="str">
        <x:v>Lisans kanıtları/bk-fd6cc0110a1a7124077246f8.license-record.json</x:v>
      </x:c>
      <x:c r="V12" s="29" t="str">
        <x:v>c368454d71550b8337bb962bb6c2bfdeaa07d2d8f3c173018a670237b8e21abb</x:v>
      </x:c>
      <x:c r="W12" s="29" t="str">
        <x:v>{"file":"bk-fd6cc0110a1a7124077246f8.webp","width":1280,"author":"(WT-de) Mistoffeles","height":960,"sha256":"fd6cc0110a1a7124077246f8ca7192d7a2e5ffd6dcaf8db50a20d24b653d7703","license":"CC BY-SA 4.0","imageinfo":{"url":"https://upload.wikimedia.org/wikipedia/commons/5/58/Kern_County_Museum-7.jpg?utm_source=commons.wikimedia.org&amp;utm_campaign=imageinfo&amp;utm_content=original","mime":"image/jpeg","sha1":"b206a0f7dd012031655d33df3f9fbd7d9751b663","size":1419265,"width":2048,"height":1536,"pageid":22790806,"thumburl":"https://thumb.wikimedia.org/wikipedia/commons/thumb/5/58/Kern_County_Museum-7.jpg/1280px-Kern_County_Museum-7.jpg?utm_source=commons.wikimedia.org&amp;utm_campaign=imageinfo&amp;utm_content=thumbnail","timestamp":"2012-11-20T21:50:29Z","thumbwidth":1280,"extmetadata":{"Artist":{"value":"&lt;a href=\"https://en.wikivoyage.org/wiki/de:Benutzer:(WT-de)_Mistoffeles\" class=\"extiw\" title=\"voy:de:Benutzer:(WT-de) Mistoffeles\"&gt;(WT-de) Mistoffeles&lt;/a&gt;","source":"commons-desc-page"},"Credit":{"value":"Photographer's own","source":"commons-desc-page"},"License":{"value":"cc-by-sa-4.0","hidden":"","source":"commons-templates"},"DateTime":{"value":"2012-11-20 21:50:29","hidden":"","source":"mediawiki-metadata"},"Categories":{"value":"Taken with Sony DSC-W50|CC-BY-SA-4.0,3.0,2.5,2.0,1.0|Self-published work|Files from Wikivoyage wts|Files moved from wts.oldwikivoyage to Commons requiring review|2006 in railway preservation in the United States|Files moved to Commons requiring review as of 20 November 2012|Files by Wikivoyage user Mistoffeles|Southern Pacific 2914","hidden":"","source":"commons-categories"},"LicenseUrl":{"value":"https://creativecommons.org/licenses/by-sa/4.0","source":"commons-desc-page"},"ObjectName":{"value":"Kern County Museum-7","source":"mediawiki-metadata"},"UsageTerms":{"value":"Creative Commons Attribution-Share Alike 4.0","source":"commons-desc-page"},"Assessments":{"value":"","hidden":"","source":"commons-categories"},"Attribution":{"value":"User: (WT-shared) Mistoffeles at  wts wikivoyage","hidden":"","source":"commons-desc-page"},"Copyrighted":{"value":"True","hidden":"","source":"commons-desc-page"},"Restrictions":{"value":"","hidden":"","source":"commons-desc-page"},"DateTimeOriginal":{"value":"2006-08-13","source":"commons-desc-page"},"ImageDescription":{"value":"Location: Kern County Museum.","source":"commons-desc-page"},"LicenseShortName":{"value":"CC BY-SA 4.0","hidden":"","source":"commons-desc-page"},"AttributionRequired":{"value":"true","hidden":"","source":"commons-desc-page"},"CommonsMetadataExtension":{"value":1.2,"hidden":"","source":"extension"}},"thumbheight":960,"thumbattribs":{"src":"https://thumb.wikimedia.org/wikipedia/commons/thumb/5/58/Kern_County_Museum-7.jpg/1280px-Kern_County_Museum-7.jpg?utm_source=commons.wikimedia.org&amp;utm_campaign=imageinfo&amp;utm_content=thumbnail","width":1280,"height":960,"srcset":"https://upload.wikimedia.org/wikipedia/commons/5/58/Kern_County_Museum-7.jpg?utm_source=commons.wikimedia.org&amp;utm_campaign=imageinfo&amp;utm_content=thumbnail_unscaled 2x","loading":"lazy","decoding":"async"},"descriptionurl":"https://commons.wikimedia.org/wiki/File:Kern_County_Museum-7.jpg","responsiveUrls":{"2":"https://upload.wikimedia.org/wikipedia/commons/5/58/Kern_County_Museum-7.jpg?utm_source=commons.wikimedia.org&amp;utm_campaign=imageinfo&amp;utm_content=thumbnail_unscaled"},"descriptionshorturl":"https://commons.wikimedia.org/w/index.php?curid=22790806"},"selection":{"qid":"pending","kind":"candidate","title":"Bakersfield local buildings"},"author_url":"https://en.wikivoyage.org/wiki/de:Benutzer:(WT-de)_Mistoffeles","derivative":"Wikimedia thumbnail decoded; EXIF orientation applied; converted to WebP quality 86; no generated pixels, no cropping.","source_url":"https://commons.wikimedia.org/wiki/File:Kern_County_Museum-7.jpg","author_urls":["https://en.wikivoyage.org/wiki/de:Benutzer:(WT-de)_Mistoffeles"],"description":"Location: Kern County Museum.","license_url":"https://creativecommons.org/licenses/by-sa/4.0","reviewed_on":"2026-10-24","capture_date":"2006-08-13","download_url":"https://thumb.wikimedia.org/wikipedia/commons/thumb/5/58/Kern_County_Museum-7.jpg/1280px-Kern_County_Museum-7.jpg?utm_source=commons.wikimedia.org&amp;utm_campaign=imageinfo&amp;utm_content=thumbnail","original_url":"https://upload.wikimedia.org/wikipedia/commons/5/58/Kern_County_Museum-7.jpg?utm_source=commons.wikimedia.org&amp;utm_campaign=imageinfo&amp;utm_content=original","pixel_review":{"method":"İndirilen kare temas sayfasında görüldü; kaynak mekân kimliğiyle eşleştirildi. Seçim kaydı final-pixel-review.json.","status":"verified","caption":"Kern County Museum · 2006 tarihli fotoğraf","reviewer":"Codex (AI)","review_id":"C177"},"downloaded_at":"2026-10-23T19:08:42.617597+00:00","download_sha256":"5ec833abaf9286eb016a957ba3dd7a90c2cf89ce3b45bffa990a7572b0cfeb5d","downloaded_file":"downloads/5ec833abaf9286eb016a957ba3dd7a90c2cf89ce3b45bffa990a7572b0cfeb5d.jpg","acquisition_file":"f9f32ba5813c638eab1c778b.webp","commons_filename":"Kern County Museum-7.jpg","original_file_url":"https://upload.wikimedia.org/wikipedia/commons/5/58/Kern_County_Museum-7.jpg?utm_source=commons.wikimedia.org&amp;utm_campaign=imageinfo&amp;utm_content=original","pixel_review_status":"pending","third_party_rights_review":{"basis":"Kaynakta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dönüştürüldü.","photo_attribution":{"author_url":"https://en.wikivoyage.org/wiki/de:Benutzer:(WT-de)_Mistoffeles","modifications":"EXIF yönü uygulandı; boyut küçültülüp WebP biçimine dönüştürüldü.","original_file_url":"https://upload.wikimedia.org/wikipedia/commons/5/58/Kern_County_Museum-7.jpg?utm_source=commons.wikimedia.org&amp;utm_campaign=imageinfo&amp;utm_content=original"},"metadata_reviewed_on":"2026-10-24","metadata_review_status":"verified"}}</x:v>
      </x:c>
    </x:row>
    <x:row r="13" ht="300" customHeight="1">
      <x:c r="A13" s="29" t="str">
        <x:v>bakersfield:evidence:venue-21978</x:v>
      </x:c>
      <x:c r="B13" s="29" t="str">
        <x:v>bakersfield</x:v>
      </x:c>
      <x:c r="C13" s="29" t="str">
        <x:v>bakersfield:photo:venue-21978</x:v>
      </x:c>
      <x:c r="D13" s="29" t="str">
        <x:v>https://commons.wikimedia.org/wiki/File:Kern_County_Museum-8.jpg</x:v>
      </x:c>
      <x:c r="E13" s="29" t="str">
        <x:v>Kern County Museum-8.jpg</x:v>
      </x:c>
      <x:c r="F13" s="29" t="str">
        <x:v>(WT-de) Mistoffeles</x:v>
      </x:c>
      <x:c r="G13" s="29" t="str">
        <x:v>CC BY-SA 4.0</x:v>
      </x:c>
      <x:c r="H13" s="29" t="str">
        <x:v>https://creativecommons.org/licenses/by-sa/4.0</x:v>
      </x:c>
      <x:c r="I13" s="29" t="str">
        <x:v>Creative Commons Attribution-Share Alike 4.0</x:v>
      </x:c>
      <x:c r="J13" s="29" t="str">
        <x:v>Kern County Museum-8.jpg · (WT-de) Mistoffeles · CC BY-SA 4.0 · https://commons.wikimedia.org/wiki/File:Kern_County_Museum-8.jpg</x:v>
      </x:c>
      <x:c r="K1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 s="31" t="d">
        <x:v>2026-10-24T00:00:00.000Z</x:v>
      </x:c>
      <x:c r="M13" s="29" t="str">
        <x:v>Doğrulandı</x:v>
      </x:c>
      <x:c r="N13" s="29" t="str">
        <x:v>Doğrulandı</x:v>
      </x:c>
      <x:c r="O13" s="29" t="str">
        <x:v>Fotoğraflar/bk-fa2317c28f5a489d59027499.webp</x:v>
      </x:c>
      <x:c r="P13" s="29" t="str">
        <x:v>Kern County Museum · 2006 tarihli fotoğraf · İndirilen kare temas sayfasında görüldü; kaynak mekân kimliğiyle eşleştirildi. Seçim kaydı final-pixel-review.json.</x:v>
      </x:c>
      <x:c r="Q13" s="29" t="str">
        <x:v>Bu kare için uygun</x:v>
      </x:c>
      <x:c r="R1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 s="29" t="str">
        <x:v>Lisans kanıtları/bk-fa2317c28f5a489d59027499.source-evidence.json</x:v>
      </x:c>
      <x:c r="T13" s="29" t="str">
        <x:v>dd863af1332019de5f28a90bb792d782130ff6a5bbba8236b8c2db7716dd23ef</x:v>
      </x:c>
      <x:c r="U13" s="29" t="str">
        <x:v>Lisans kanıtları/bk-fa2317c28f5a489d59027499.license-record.json</x:v>
      </x:c>
      <x:c r="V13" s="29" t="str">
        <x:v>07adf7fb5a4e645d920b595cc85f27af800dc65eda2a9026a87b64e033ae1c43</x:v>
      </x:c>
      <x:c r="W13" s="29" t="str">
        <x:v>{"file":"bk-fa2317c28f5a489d59027499.webp","width":1280,"author":"(WT-de) Mistoffeles","height":960,"sha256":"fa2317c28f5a489d5902749986736dda23c01764b1d26fad39a7da5bc1683a42","license":"CC BY-SA 4.0","imageinfo":{"url":"https://upload.wikimedia.org/wikipedia/commons/6/6e/Kern_County_Museum-8.jpg?utm_source=commons.wikimedia.org&amp;utm_campaign=imageinfo&amp;utm_content=original","mime":"image/jpeg","sha1":"5e1608878dcbc598329c9250e7c0590088bdae75","size":1398275,"width":2048,"height":1536,"pageid":22790808,"thumburl":"https://thumb.wikimedia.org/wikipedia/commons/thumb/6/6e/Kern_County_Museum-8.jpg/1280px-Kern_County_Museum-8.jpg?utm_source=commons.wikimedia.org&amp;utm_campaign=imageinfo&amp;utm_content=thumbnail","timestamp":"2012-11-20T21:50:54Z","thumbwidth":1280,"extmetadata":{"Artist":{"value":"&lt;a href=\"https://en.wikivoyage.org/wiki/de:Benutzer:(WT-de)_Mistoffeles\" class=\"extiw\" title=\"voy:de:Benutzer:(WT-de) Mistoffeles\"&gt;(WT-de) Mistoffeles&lt;/a&gt;","source":"commons-desc-page"},"Credit":{"value":"Photographer's own","source":"commons-desc-page"},"License":{"value":"cc-by-sa-4.0","hidden":"","source":"commons-templates"},"DateTime":{"value":"2012-11-20 21:50:54","hidden":"","source":"mediawiki-metadata"},"Categories":{"value":"Taken with Sony DSC-W50|Kern County Museum|CC-BY-SA-4.0,3.0,2.5,2.0,1.0|Self-published work|Files from Wikivoyage wts|Files moved from wts.oldwikivoyage to Commons requiring review|Files moved to Commons requiring review as of 20 November 2012|Files by Wikivoyage user Mistoffeles","hidden":"","source":"commons-categories"},"LicenseUrl":{"value":"https://creativecommons.org/licenses/by-sa/4.0","source":"commons-desc-page"},"ObjectName":{"value":"Kern County Museum-8","source":"mediawiki-metadata"},"UsageTerms":{"value":"Creative Commons Attribution-Share Alike 4.0","source":"commons-desc-page"},"Assessments":{"value":"","hidden":"","source":"commons-categories"},"Attribution":{"value":"User: (WT-shared) Mistoffeles at  wts wikivoyage","hidden":"","source":"commons-desc-page"},"Copyrighted":{"value":"True","hidden":"","source":"commons-desc-page"},"Restrictions":{"value":"","hidden":"","source":"commons-desc-page"},"DateTimeOriginal":{"value":"2006-08-13","source":"commons-desc-page"},"ImageDescription":{"value":"Location: Kern County Museum.","source":"commons-desc-page"},"LicenseShortName":{"value":"CC BY-SA 4.0","hidden":"","source":"commons-desc-page"},"AttributionRequired":{"value":"true","hidden":"","source":"commons-desc-page"},"CommonsMetadataExtension":{"value":1.2,"hidden":"","source":"extension"}},"thumbheight":960,"thumbattribs":{"src":"https://thumb.wikimedia.org/wikipedia/commons/thumb/6/6e/Kern_County_Museum-8.jpg/1280px-Kern_County_Museum-8.jpg?utm_source=commons.wikimedia.org&amp;utm_campaign=imageinfo&amp;utm_content=thumbnail","width":1280,"height":960,"srcset":"https://upload.wikimedia.org/wikipedia/commons/6/6e/Kern_County_Museum-8.jpg?utm_source=commons.wikimedia.org&amp;utm_campaign=imageinfo&amp;utm_content=thumbnail_unscaled 2x","loading":"lazy","decoding":"async"},"descriptionurl":"https://commons.wikimedia.org/wiki/File:Kern_County_Museum-8.jpg","responsiveUrls":{"2":"https://upload.wikimedia.org/wikipedia/commons/6/6e/Kern_County_Museum-8.jpg?utm_source=commons.wikimedia.org&amp;utm_campaign=imageinfo&amp;utm_content=thumbnail_unscaled"},"descriptionshorturl":"https://commons.wikimedia.org/w/index.php?curid=22790808"},"selection":{"qid":"pending","kind":"candidate","title":"Bakersfield local buildings"},"author_url":"https://en.wikivoyage.org/wiki/de:Benutzer:(WT-de)_Mistoffeles","derivative":"Wikimedia thumbnail decoded; EXIF orientation applied; converted to WebP quality 86; no generated pixels, no cropping.","source_url":"https://commons.wikimedia.org/wiki/File:Kern_County_Museum-8.jpg","author_urls":["https://en.wikivoyage.org/wiki/de:Benutzer:(WT-de)_Mistoffeles"],"description":"Location: Kern County Museum.","license_url":"https://creativecommons.org/licenses/by-sa/4.0","reviewed_on":"2026-10-24","capture_date":"2006-08-13","download_url":"https://thumb.wikimedia.org/wikipedia/commons/thumb/6/6e/Kern_County_Museum-8.jpg/1280px-Kern_County_Museum-8.jpg?utm_source=commons.wikimedia.org&amp;utm_campaign=imageinfo&amp;utm_content=thumbnail","original_url":"https://upload.wikimedia.org/wikipedia/commons/6/6e/Kern_County_Museum-8.jpg?utm_source=commons.wikimedia.org&amp;utm_campaign=imageinfo&amp;utm_content=original","pixel_review":{"method":"İndirilen kare temas sayfasında görüldü; kaynak mekân kimliğiyle eşleştirildi. Seçim kaydı final-pixel-review.json.","status":"verified","caption":"Kern County Museum · 2006 tarihli fotoğraf","reviewer":"Codex (AI)","review_id":"C178"},"downloaded_at":"2026-10-23T19:08:44.238245+00:00","download_sha256":"49e479ec2ae81f451475627048ae5264f6e3bd233275d61560aa0641be16fb0f","downloaded_file":"downloads/49e479ec2ae81f451475627048ae5264f6e3bd233275d61560aa0641be16fb0f.jpg","acquisition_file":"b871081071b6e25d66dc2ca1.webp","commons_filename":"Kern County Museum-8.jpg","original_file_url":"https://upload.wikimedia.org/wikipedia/commons/6/6e/Kern_County_Museum-8.jpg?utm_source=commons.wikimedia.org&amp;utm_campaign=imageinfo&amp;utm_content=original","pixel_review_status":"pending","third_party_rights_review":{"basis":"Kaynakta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dönüştürüldü.","photo_attribution":{"author_url":"https://en.wikivoyage.org/wiki/de:Benutzer:(WT-de)_Mistoffeles","modifications":"EXIF yönü uygulandı; boyut küçültülüp WebP biçimine dönüştürüldü.","original_file_url":"https://upload.wikimedia.org/wikipedia/commons/6/6e/Kern_County_Museum-8.jpg?utm_source=commons.wikimedia.org&amp;utm_campaign=imageinfo&amp;utm_content=original"},"metadata_reviewed_on":"2026-10-24","metadata_review_status":"verified"}}</x:v>
      </x:c>
    </x:row>
    <x:row r="14" ht="300" customHeight="1">
      <x:c r="A14" s="29" t="str">
        <x:v>bakersfield:evidence:venue-21979</x:v>
      </x:c>
      <x:c r="B14" s="29" t="str">
        <x:v>bakersfield</x:v>
      </x:c>
      <x:c r="C14" s="29" t="str">
        <x:v>bakersfield:photo:venue-21979</x:v>
      </x:c>
      <x:c r="D14" s="29" t="str">
        <x:v>https://commons.wikimedia.org/wiki/File:Kern_County_Museum-9.jpg</x:v>
      </x:c>
      <x:c r="E14" s="29" t="str">
        <x:v>Kern County Museum-9.jpg</x:v>
      </x:c>
      <x:c r="F14" s="29" t="str">
        <x:v>(WT-de) Mistoffeles</x:v>
      </x:c>
      <x:c r="G14" s="29" t="str">
        <x:v>CC BY-SA 4.0</x:v>
      </x:c>
      <x:c r="H14" s="29" t="str">
        <x:v>https://creativecommons.org/licenses/by-sa/4.0</x:v>
      </x:c>
      <x:c r="I14" s="29" t="str">
        <x:v>Creative Commons Attribution-Share Alike 4.0</x:v>
      </x:c>
      <x:c r="J14" s="29" t="str">
        <x:v>Kern County Museum-9.jpg · (WT-de) Mistoffeles · CC BY-SA 4.0 · https://commons.wikimedia.org/wiki/File:Kern_County_Museum-9.jpg</x:v>
      </x:c>
      <x:c r="K1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 s="31" t="d">
        <x:v>2026-10-24T00:00:00.000Z</x:v>
      </x:c>
      <x:c r="M14" s="29" t="str">
        <x:v>Doğrulandı</x:v>
      </x:c>
      <x:c r="N14" s="29" t="str">
        <x:v>Doğrulandı</x:v>
      </x:c>
      <x:c r="O14" s="29" t="str">
        <x:v>Fotoğraflar/bk-929de6221f8fbefa7199049c.webp</x:v>
      </x:c>
      <x:c r="P14" s="29" t="str">
        <x:v>Kern County Museum · 2006 tarihli fotoğraf · İndirilen kare temas sayfasında görüldü; kaynak mekân kimliğiyle eşleştirildi. Seçim kaydı final-pixel-review.json.</x:v>
      </x:c>
      <x:c r="Q14" s="29" t="str">
        <x:v>Bu kare için uygun</x:v>
      </x:c>
      <x:c r="R1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 s="29" t="str">
        <x:v>Lisans kanıtları/bk-929de6221f8fbefa7199049c.source-evidence.json</x:v>
      </x:c>
      <x:c r="T14" s="29" t="str">
        <x:v>85850f3b5082105821ee6c7fa698d2bf4354ed623fe72eb26547ac8de1735354</x:v>
      </x:c>
      <x:c r="U14" s="29" t="str">
        <x:v>Lisans kanıtları/bk-929de6221f8fbefa7199049c.license-record.json</x:v>
      </x:c>
      <x:c r="V14" s="29" t="str">
        <x:v>c8e7f70e2327a0e1dc96eff507ff4259caf5dd0918031af7dfeb4abd0ad2fdd6</x:v>
      </x:c>
      <x:c r="W14" s="29" t="str">
        <x:v>{"file":"bk-929de6221f8fbefa7199049c.webp","width":1280,"author":"(WT-de) Mistoffeles","height":960,"sha256":"929de6221f8fbefa7199049cd4c710c1c6677680ede14696e3d525de79868e03","license":"CC BY-SA 4.0","imageinfo":{"url":"https://upload.wikimedia.org/wikipedia/commons/2/29/Kern_County_Museum-9.jpg?utm_source=commons.wikimedia.org&amp;utm_campaign=imageinfo&amp;utm_content=original","mime":"image/jpeg","sha1":"7927c5f89ce48682f546cc881046bdded471f128","size":1492815,"width":2048,"height":1536,"pageid":22790813,"thumburl":"https://thumb.wikimedia.org/wikipedia/commons/thumb/2/29/Kern_County_Museum-9.jpg/1280px-Kern_County_Museum-9.jpg?utm_source=commons.wikimedia.org&amp;utm_campaign=imageinfo&amp;utm_content=thumbnail","timestamp":"2012-11-20T21:51:18Z","thumbwidth":1280,"extmetadata":{"Artist":{"value":"&lt;a href=\"https://en.wikivoyage.org/wiki/de:Benutzer:(WT-de)_Mistoffeles\" class=\"extiw\" title=\"voy:de:Benutzer:(WT-de) Mistoffeles\"&gt;(WT-de) Mistoffeles&lt;/a&gt;","source":"commons-desc-page"},"Credit":{"value":"Photographer's own","source":"commons-desc-page"},"License":{"value":"cc-by-sa-4.0","hidden":"","source":"commons-templates"},"DateTime":{"value":"2012-11-20 21:51:18","hidden":"","source":"mediawiki-metadata"},"Categories":{"value":"Taken with Sony DSC-W50|Kern County Museum|Houses in Kern County, California|CC-BY-SA-4.0,3.0,2.5,2.0,1.0|Self-published work|Files from Wikivoyage wts|Files moved from wts.oldwikivoyage to Commons requiring review|Files moved to Commons requiring review as of 20 November 2012|Files by Wikivoyage user Mistoffeles","hidden":"","source":"commons-categories"},"LicenseUrl":{"value":"https://creativecommons.org/licenses/by-sa/4.0","source":"commons-desc-page"},"ObjectName":{"value":"Kern County Museum-9","source":"mediawiki-metadata"},"UsageTerms":{"value":"Creative Commons Attribution-Share Alike 4.0","source":"commons-desc-page"},"Assessments":{"value":"","hidden":"","source":"commons-categories"},"Attribution":{"value":"User: (WT-shared) Mistoffeles at  wts wikivoyage","hidden":"","source":"commons-desc-page"},"Copyrighted":{"value":"True","hidden":"","source":"commons-desc-page"},"Restrictions":{"value":"","hidden":"","source":"commons-desc-page"},"DateTimeOriginal":{"value":"2006-08-13","source":"commons-desc-page"},"ImageDescription":{"value":"Location: Kern County Museum.","source":"commons-desc-page"},"LicenseShortName":{"value":"CC BY-SA 4.0","hidden":"","source":"commons-desc-page"},"AttributionRequired":{"value":"true","hidden":"","source":"commons-desc-page"},"CommonsMetadataExtension":{"value":1.2,"hidden":"","source":"extension"}},"thumbheight":960,"thumbattribs":{"src":"https://thumb.wikimedia.org/wikipedia/commons/thumb/2/29/Kern_County_Museum-9.jpg/1280px-Kern_County_Museum-9.jpg?utm_source=commons.wikimedia.org&amp;utm_campaign=imageinfo&amp;utm_content=thumbnail","width":1280,"height":960,"srcset":"https://upload.wikimedia.org/wikipedia/commons/2/29/Kern_County_Museum-9.jpg?utm_source=commons.wikimedia.org&amp;utm_campaign=imageinfo&amp;utm_content=thumbnail_unscaled 2x","loading":"lazy","decoding":"async"},"descriptionurl":"https://commons.wikimedia.org/wiki/File:Kern_County_Museum-9.jpg","responsiveUrls":{"2":"https://upload.wikimedia.org/wikipedia/commons/2/29/Kern_County_Museum-9.jpg?utm_source=commons.wikimedia.org&amp;utm_campaign=imageinfo&amp;utm_content=thumbnail_unscaled"},"descriptionshorturl":"https://commons.wikimedia.org/w/index.php?curid=22790813"},"selection":{"qid":"pending","kind":"candidate","title":"Bakersfield local buildings"},"author_url":"https://en.wikivoyage.org/wiki/de:Benutzer:(WT-de)_Mistoffeles","derivative":"Wikimedia thumbnail decoded; EXIF orientation applied; converted to WebP quality 86; no generated pixels, no cropping.","source_url":"https://commons.wikimedia.org/wiki/File:Kern_County_Museum-9.jpg","author_urls":["https://en.wikivoyage.org/wiki/de:Benutzer:(WT-de)_Mistoffeles"],"description":"Location: Kern County Museum.","license_url":"https://creativecommons.org/licenses/by-sa/4.0","reviewed_on":"2026-10-24","capture_date":"2006-08-13","download_url":"https://thumb.wikimedia.org/wikipedia/commons/thumb/2/29/Kern_County_Museum-9.jpg/1280px-Kern_County_Museum-9.jpg?utm_source=commons.wikimedia.org&amp;utm_campaign=imageinfo&amp;utm_content=thumbnail","original_url":"https://upload.wikimedia.org/wikipedia/commons/2/29/Kern_County_Museum-9.jpg?utm_source=commons.wikimedia.org&amp;utm_campaign=imageinfo&amp;utm_content=original","pixel_review":{"method":"İndirilen kare temas sayfasında görüldü; kaynak mekân kimliğiyle eşleştirildi. Seçim kaydı final-pixel-review.json.","status":"verified","caption":"Kern County Museum · 2006 tarihli fotoğraf","reviewer":"Codex (AI)","review_id":"C179"},"downloaded_at":"2026-10-23T19:08:45.371641+00:00","download_sha256":"474b8df6024d773200f01b8702696d1292e755a4dc6f5aaaad39abcc9d0cd2f0","downloaded_file":"downloads/474b8df6024d773200f01b8702696d1292e755a4dc6f5aaaad39abcc9d0cd2f0.jpg","acquisition_file":"c15ab6090bdf0e2d08c8adcf.webp","commons_filename":"Kern County Museum-9.jpg","original_file_url":"https://upload.wikimedia.org/wikipedia/commons/2/29/Kern_County_Museum-9.jpg?utm_source=commons.wikimedia.org&amp;utm_campaign=imageinfo&amp;utm_content=original","pixel_review_status":"pending","third_party_rights_review":{"basis":"Kaynakta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dönüştürüldü.","photo_attribution":{"author_url":"https://en.wikivoyage.org/wiki/de:Benutzer:(WT-de)_Mistoffeles","modifications":"EXIF yönü uygulandı; boyut küçültülüp WebP biçimine dönüştürüldü.","original_file_url":"https://upload.wikimedia.org/wikipedia/commons/2/29/Kern_County_Museum-9.jpg?utm_source=commons.wikimedia.org&amp;utm_campaign=imageinfo&amp;utm_content=original"},"metadata_reviewed_on":"2026-10-24","metadata_review_status":"verified"}}</x:v>
      </x:c>
    </x:row>
    <x:row r="15" ht="300" customHeight="1">
      <x:c r="A15" s="29" t="str">
        <x:v>bakersfield:evidence:venue-21980</x:v>
      </x:c>
      <x:c r="B15" s="29" t="str">
        <x:v>bakersfield</x:v>
      </x:c>
      <x:c r="C15" s="29" t="str">
        <x:v>bakersfield:photo:venue-21980</x:v>
      </x:c>
      <x:c r="D15" s="29" t="str">
        <x:v>https://www.flickr.com/photos/8106459@N07/4400701762/</x:v>
      </x:c>
      <x:c r="E15" s="29" t="str">
        <x:v>Kern County Museum · 2010 tarihli fotoğraf</x:v>
      </x:c>
      <x:c r="F15" s="29" t="str">
        <x:v>David~O</x:v>
      </x:c>
      <x:c r="G15" s="29" t="str">
        <x:v>CC BY 2.0</x:v>
      </x:c>
      <x:c r="H15" s="29" t="str">
        <x:v>https://creativecommons.org/licenses/by/2.0/</x:v>
      </x:c>
      <x:c r="I15" s="29" t="str">
        <x:v>CC BY 2.0</x:v>
      </x:c>
      <x:c r="J15" s="29" t="str">
        <x:v>Kern County Museum · 2010 tarihli fotoğraf · David~O · CC BY 2.0 · https://www.flickr.com/photos/8106459@N07/4400701762/</x:v>
      </x:c>
      <x:c r="K1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 s="31" t="d">
        <x:v>2026-10-24T00:00:00.000Z</x:v>
      </x:c>
      <x:c r="M15" s="29" t="str">
        <x:v>Doğrulandı</x:v>
      </x:c>
      <x:c r="N15" s="29" t="str">
        <x:v>Doğrulandı</x:v>
      </x:c>
      <x:c r="O15" s="29" t="str">
        <x:v>Fotoğraflar/bk-dc277be30f48022956131e89.webp</x:v>
      </x:c>
      <x:c r="P15" s="29" t="str">
        <x:v>Kern County Museum · 2010 tarihli fotoğraf · İndirilen kare temas sayfasında görüldü; kaynak mekân kimliğiyle eşleştirildi. Seçim kaydı final-pixel-review.json.</x:v>
      </x:c>
      <x:c r="Q15" s="29" t="str">
        <x:v>Bu kare için uygun</x:v>
      </x:c>
      <x:c r="R1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 s="29" t="str">
        <x:v>Lisans kanıtları/bk-dc277be30f48022956131e89.source-evidence.json</x:v>
      </x:c>
      <x:c r="T15" s="29" t="str">
        <x:v>ded545d65c80c111c672f97a19045970d20e5abaf5c98e327f70525ee692b028</x:v>
      </x:c>
      <x:c r="U15" s="29" t="str">
        <x:v>Lisans kanıtları/bk-dc277be30f48022956131e89.license-record.json</x:v>
      </x:c>
      <x:c r="V15" s="29" t="str">
        <x:v>926e90951922d9304a202e48a87594e284e07f5338f2f6bfba5fb2999cfba1b0</x:v>
      </x:c>
      <x:c r="W15" s="29" t="str">
        <x:v>{"file":"bk-dc277be30f48022956131e89.webp","width":900,"author":"David~O","height":600,"sha256":"dc277be30f48022956131e89931b72556e947f718cb4bf953692e6f111e6c380","status":"reviewed-selected","license":"CC BY 2.0","provider":"Flickr","review_id":"F289","source_id":"4400701762","author_url":"https://www.flickr.com/photos/8106459@N07/","date_texts":["Uploaded on March 2, 2010 Taken on February 27, 2010","Taken on February 27, 2010","Uploaded on March 2, 2010 Taken on February 27, 2010","Taken on February 27, 2010"],"source_url":"https://www.flickr.com/photos/8106459@N07/4400701762/","description":"At the Kern County Museum in Bakersifield, Calfornia","license_url":"https://creativecommons.org/licenses/by/2.0/","review_note":"Howell House.","reviewed_on":"2026-10-24","source_text":"The Howell House | At the Kern County Museum in Bakersifield…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David~O David~O The Howell House At the Kern County Museum in Bakersifield, Calfornia Done 405 views 1 fave 0 comments Uploaded on March 2, 2010 Taken on February 27, 2010 David~O By: David~O The Howell House At the Kern County Museum in Bakersifield, Calfornia Done 405 views 1 fave 0 comments Uploaded on March 2, 2010 Taken on February 27,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photography.","capture_date":"2010-02-27","download_url":"https://live.staticflickr.com/2697/4400701762_f2acbbf051_o.jpg","original_url":"https://live.staticflickr.com/2697/4400701762_f2acbbf051_o.jpg","pixel_review":{"method":"İndirilen kare temas sayfasında görüldü; kaynak mekân kimliğiyle eşleştirildi. Seçim kaydı final-pixel-review.json.","status":"verified","caption":"Kern County Museum · 2010 tarihli fotoğraf","reviewer":"Codex (AI)","review_id":"F289"},"source_title":"The Howell House","downloaded_at":"2026-10-23T19:52:09.973767+00:00","download_sha256":"e3e6333e784ec1e9eef8d9e6f263282a6f2b974e13ad82f8240926308327f33b","downloaded_file":"downloads/e3e6333e784ec1e9eef8d9e6f263282a6f2b974e13ad82f8240926308327f33b.jpg","public_metadata":{"photo-models":[{"data":{"id":"4400701762","owner":{"data":{"id":"8106459@N07","isPro":false,"newFlow":true,"isAdFree":false,"location":null,"realname":"","segments":{"data":[],"exportMetaType":"array"},"username":"David~O","buddyicon":{"data":{"large":"//live.staticflickr.com/219/buddyicons/8106459@N07_l.jpg?1339731539#8106459@N07","small":"//live.staticflickr.com/219/buddyicons/8106459@N07_s.jpg?1339731539#8106459@N07","medium":"//live.staticflickr.com/219/buddyicons/8106459@N07_m.jpg?1339731539#8106459@N07","retina":"//live.staticflickr.com/219/buddyicons/8106459@N07_r.jpg?1339731539#8106459@N07","default":"//live.staticflickr.com/219/buddyicons/8106459@N07.jpg?1339731539#8106459@N07"},"exportMetaType":"pojo"},"dateCreated":{"data":"1178233078","exportMetaType":"serializeFunction"},"subscription":{"data":{"isPro":false,"isClosed":false,"isPastDue":false},"exportMetaType":"pojo"},"eligibleGifts":{"data":["year","month","week"],"exportMetaType":"array"},"isEligibleForGifts":true,"_flickrModelRegistry":"person-models"},"exportMetaType":"model"},"sizes":{"data":{"c":{"data":{"url":"//live.staticflickr.com/2697/4400701762_60dd4aaf71_c.jpg","width":800,"height":533,"displayUrl":"//live.staticflickr.com/2697/4400701762_60dd4aaf71_c.jpg"},"exportMetaType":"pojo"},"m":{"data":{"url":"//live.staticflickr.com/2697/4400701762_60dd4aaf71.jpg","width":500,"height":333,"displayUrl":"//live.staticflickr.com/2697/4400701762_60dd4aaf71.jpg"},"exportMetaType":"pojo"},"n":{"data":{"url":"//live.staticflickr.com/2697/4400701762_60dd4aaf71_n.jpg","width":320,"height":213,"displayUrl":"//live.staticflickr.com/2697/4400701762_60dd4aaf71_n.jpg"},"exportMetaType":"pojo"},"o":{"data":{"url":"//live.staticflickr.com/2697/4400701762_f2acbbf051_o.jpg","width":900,"height":600,"displayUrl":"//live.staticflickr.com/2697/4400701762_f2acbbf051_o.jpg"},"exportMetaType":"pojo"},"q":{"data":{"url":"//live.staticflickr.com/2697/4400701762_60dd4aaf71_q.jpg","width":150,"height":150,"displayUrl":"//live.staticflickr.com/2697/4400701762_60dd4aaf71_q.jpg"},"exportMetaType":"pojo"},"s":{"data":{"url":"//live.staticflickr.com/2697/4400701762_60dd4aaf71_m.jpg","width":240,"height":160,"displayUrl":"//live.staticflickr.com/2697/4400701762_60dd4aaf71_m.jpg"},"exportMetaType":"pojo"},"t":{"data":{"url":"//live.staticflickr.com/2697/4400701762_60dd4aaf71_t.jpg","width":100,"height":67,"displayUrl":"//live.staticflickr.com/2697/4400701762_60dd4aaf71_t.jpg"},"exportMetaType":"pojo"},"w":{"data":{"url":"//live.staticflickr.com/2697/4400701762_60dd4aaf71_w.jpg","width":400,"height":267,"displayUrl":"//live.staticflickr.com/2697/4400701762_60dd4aaf71_w.jpg"},"exportMetaType":"pojo"},"z":{"data":{"url":"//live.staticflickr.com/2697/4400701762_60dd4aaf71_z.jpg","width":640,"height":427,"displayUrl":"//live.staticflickr.com/2697/4400701762_60dd4aaf71_z.jpg"},"exportMetaType":"pojo"},"sq":{"data":{"url":"//live.staticflickr.com/2697/4400701762_60dd4aaf71_s.jpg","width":75,"height":75,"displayUrl":"//live.staticflickr.com/2697/4400701762_60dd4aaf71_s.jpg"},"exportMetaType":"pojo"}},"exportMetaType":"pojo"},"title":"The Howell House","oWidth":900,"secret":"60dd4aaf71","license":4,"oHeight":600,"rotation":0,"canAddMeta":false,"canComment":false,"engagement":{"data":{"id":"4400701762","canShare":true,"faveCount":1,"ownerNsid":"8106459@N07","reactions":{"data":{"like":{"data":{"id":"like","count":5,"canReact":true,"didViewerReact":true},"exportMetaType":"pojo"},"someOtherReaction":{"data":{"id":"someOtherReaction","count":3,"canReact":true,"didViewerReact":false},"exportMetaType":"pojo"}},"exportMetaType":"pojo"},"viewCount":405,"canDownload":true,"_flickrModelRegistry":"photo-engagement-models"},"exportMetaType":"model"},"description":"At the Kern County Museum in Bakersifield, Calfornia","safetyLevel":0,"upgradeSizes":{"data":[],"exportMetaType":"array"},"adEligibility":{"data":{"lane":1,"labels":{"data":[],"exportMetaType":"array"},"isAdEligible":true,"highScoreLabels":{"data":[],"exportMetaType":"array"}},"exportMetaType":"pojo"},"canPublicComment":true,"_flickrModelRegistry":"photo-models"},"exportMetaType":"model"}],"photo-geo-models":[{"data":{"id":"4400701762","_flickrModelRegistry":"photo-geo-models"},"exportMetaType":"model"}],"photo-location-models":[{"data":{"id":"4400701762","geo":{"data":"~2","exportMetaType":"model"},"text":"","levels":{"data":{},"exportMetaType":"pojo"},"staticMaps":{"data":{},"exportMetaType":"pojo"},"_flickrModelRegistry":"photo-location-models"},"exportMetaType":"model"}],"photo-head-meta-models":[{"data":{"id":"4400701762","title":"The Howell House","og:url":"https://www.flickr.com/photos/8106459@N07/4400701762/","og:type":"article","keywords":"house, antique, kern, bakersfield, howell, howellhouse, kerncountymuseum, kcusa","og:image":"https://live.staticflickr.com/2697/4400701762_60dd4aaf71_z.jpg","og:title":"The Howell House","twitter:card":"summary_large_image","twitter:image":"https://live.staticflickr.com/2697/4400701762_60dd4aaf71_z.jpg","og:description":"At the Kern County Museum in Bakersifield, Calfornia","og:image:width":640,"og:image:height":427,"twitter:description":"At the Kern County Museum in Bakersifield, Calfornia","_flickrModelRegistry":"photo-head-meta-models","twitter:app:url:ipad":"flickr://flickr.com/photos/8106459@N07/4400701762/","twitter:app:url:iphone":"flickr://flickr.com/photos/8106459@N07/4400701762/","twitter:app:url:googleplay":"https://www.flickr.com/photos/8106459@N07/4400701762/"},"exportMetaType":"model"}],"photo-license-history-models":[]},"acquisition_file":"fl-4400701762.webp","source_html_file":"/Users/atincakcayoz/corteqs/output/bakersfield-production-20261023/flickr-source-pages/4400701762.html","original_file_url":"https://live.staticflickr.com/2697/4400701762_f2acbbf051_o.jpg","proposed_identity":"Kern County Museum","source_html_sha256":"066209caa9c31fcf460ec94ec5c68574afbd75faafd58be19c75cfcd38866203","third_party_rights_review":{"basis":"Kaynakta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dönüştürüldü.","photo_attribution":{"author_url":"https://www.flickr.com/photos/8106459@N07/","modifications":"EXIF yönü uygulandı; boyut küçültülüp WebP biçimine dönüştürüldü.","original_file_url":"https://live.staticflickr.com/2697/4400701762_f2acbbf051_o.jpg"},"metadata_reviewed_on":"2026-10-24","metadata_review_status":"verified"}}</x:v>
      </x:c>
    </x:row>
    <x:row r="16" ht="300" customHeight="1">
      <x:c r="A16" s="29" t="str">
        <x:v>bakersfield:evidence:venue-21981</x:v>
      </x:c>
      <x:c r="B16" s="29" t="str">
        <x:v>bakersfield</x:v>
      </x:c>
      <x:c r="C16" s="29" t="str">
        <x:v>bakersfield:photo:venue-21981</x:v>
      </x:c>
      <x:c r="D16" s="29" t="str">
        <x:v>https://www.flickr.com/photos/64978778@N00/46829101044/</x:v>
      </x:c>
      <x:c r="E16" s="29" t="str">
        <x:v>Kern County Museum · 2017 tarihli fotoğraf</x:v>
      </x:c>
      <x:c r="F16" s="29" t="str">
        <x:v>Danny Chia</x:v>
      </x:c>
      <x:c r="G16" s="29" t="str">
        <x:v>CC BY-SA 2.0</x:v>
      </x:c>
      <x:c r="H16" s="29" t="str">
        <x:v>https://creativecommons.org/licenses/by-sa/2.0/</x:v>
      </x:c>
      <x:c r="I16" s="29" t="str">
        <x:v>CC BY-SA 2.0</x:v>
      </x:c>
      <x:c r="J16" s="29" t="str">
        <x:v>Kern County Museum · 2017 tarihli fotoğraf · Danny Chia · CC BY-SA 2.0 · https://www.flickr.com/photos/64978778@N00/46829101044/</x:v>
      </x:c>
      <x:c r="K1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 s="31" t="d">
        <x:v>2026-10-24T00:00:00.000Z</x:v>
      </x:c>
      <x:c r="M16" s="29" t="str">
        <x:v>Doğrulandı</x:v>
      </x:c>
      <x:c r="N16" s="29" t="str">
        <x:v>Doğrulandı</x:v>
      </x:c>
      <x:c r="O16" s="29" t="str">
        <x:v>Fotoğraflar/bk-ab378a1e4e7a825931a77ba3.webp</x:v>
      </x:c>
      <x:c r="P16" s="29" t="str">
        <x:v>Kern County Museum · 2017 tarihli fotoğraf · İndirilen kare temas sayfasında görüldü; kaynak mekân kimliğiyle eşleştirildi. Seçim kaydı final-pixel-review.json.</x:v>
      </x:c>
      <x:c r="Q16" s="29" t="str">
        <x:v>Bu kare için uygun</x:v>
      </x:c>
      <x:c r="R1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 s="29" t="str">
        <x:v>Lisans kanıtları/bk-ab378a1e4e7a825931a77ba3.source-evidence.json</x:v>
      </x:c>
      <x:c r="T16" s="29" t="str">
        <x:v>d27c38cbad13dbda8ea8145d3d8e17465d7894ca5330b3d6e8df7531ce20bd1e</x:v>
      </x:c>
      <x:c r="U16" s="29" t="str">
        <x:v>Lisans kanıtları/bk-ab378a1e4e7a825931a77ba3.license-record.json</x:v>
      </x:c>
      <x:c r="V16" s="29" t="str">
        <x:v>9d98c9fb3d137715567f9b44814ba54d9e971fcb5d8c27856f6e4b2c1d766f15</x:v>
      </x:c>
      <x:c r="W16" s="29" t="str">
        <x:v>{"file":"bk-ab378a1e4e7a825931a77ba3.webp","width":1024,"author":"Danny Chia","height":768,"sha256":"ab378a1e4e7a825931a77ba3eef98c8f2bb1d023bd21e393082b96513164fa72","status":"reviewed-selected","license":"CC BY-SA 2.0","provider":"Flickr","review_id":"F293","source_id":"46829101044","author_url":"https://www.flickr.com/photos/64978778@N00/","date_texts":["Uploaded on April 7, 2019 Taken on December 28, 2017","Taken on December 28, 2017","Uploaded on April 7, 2019 Taken on December 28, 2017","Taken on December 28, 2017"],"source_url":"https://www.flickr.com/photos/64978778@N00/46829101044/","description":"This is the original Norris School building built near Rosedale, now part of the pioneer village.\n\nThis image is available at Wikimedia Commons: &lt;a href=\"https://commons.wikimedia.org/wiki/File:Norris_School_at_Kern_County_Museum.jpg\" rel=\"noreferrer nofollow\"&gt;commons.wikimedia.org/wiki/File:Norris_School_at_Kern_Cou...&lt;/a&gt;","license_url":"https://creativecommons.org/licenses/by-sa/2.0/","review_note":"Norris School exterior; check Commons duplicate.","reviewed_on":"2026-10-24","source_text":"original Norris School building at Kern County Museum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Danny Chia Danny / ixfd64 original Norris School building at Kern County Museum This is the original Norris School building built near Rosedale, now part of the pioneer village. This image is available at Wikimedia Commons: commons.wikimedia.org/wiki/File:Norris_School_at_Kern_Cou... Done 68 views 0 faves 0 comments Uploaded on April 7, 2019 Taken on December 28, 2017 Danny Chia By: Danny Chia original Norris School building at Kern County Museum This is the original Norris School building built near Rosedale, now part of the pioneer village. This image is available at Wikimedia Commons: commons.wikimedia.org/wiki/File:Norris_School_at_Kern_Cou... Done 68 views 0 faves 0 comments Uploaded on April 7, 2019 Taken on December 28, 2017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photography.","capture_date":"2017-12-28","download_url":"https://live.staticflickr.com/7839/46829101044_7b3bf02145_b.jpg","original_url":"https://live.staticflickr.com/7839/46829101044_b816bd45b1_o.jpg","pixel_review":{"method":"İndirilen kare temas sayfasında görüldü; kaynak mekân kimliğiyle eşleştirildi. Seçim kaydı final-pixel-review.json.","status":"verified","caption":"Kern County Museum · 2017 tarihli fotoğraf","reviewer":"Codex (AI)","review_id":"F293"},"source_title":"original Norris School building at Kern County Museum","downloaded_at":"2026-10-23T19:50:19.275802+00:00","download_sha256":"c48794cea8c843f85a5a3695c33249de8b0d4b4cbf1b7f003196be4d429ceeec","downloaded_file":"downloads/c48794cea8c843f85a5a3695c33249de8b0d4b4cbf1b7f003196be4d429ceeec.jpg","public_metadata":{"photo-models":[{"data":{"id":"46829101044","owner":{"data":{"id":"64978778@N00","isPro":false,"newFlow":true,"isAdFree":false,"location":"San Jose, United States","realname":"Danny Chia","segments":{"data":[],"exportMetaType":"array"},"username":"Danny / ixfd64","buddyicon":{"data":{"large":"//live.staticflickr.com/5587/buddyicons/64978778@N00_l.jpg?1406510604#64978778@N00","small":"//live.staticflickr.com/5587/buddyicons/64978778@N00_s.jpg?1406510604#64978778@N00","medium":"//live.staticflickr.com/5587/buddyicons/64978778@N00_m.jpg?1406510604#64978778@N00","retina":"//live.staticflickr.com/5587/buddyicons/64978778@N00_r.jpg?1406510604#64978778@N00","default":"//live.staticflickr.com/5587/buddyicons/64978778@N00.jpg?1406510604#64978778@N00"},"exportMetaType":"pojo"},"pathAlias":"ixfd64","dateCreated":{"data":"1168804013","exportMetaType":"serializeFunction"},"subscription":{"data":{"isPro":false,"isClosed":false,"isPastDue":false},"exportMetaType":"pojo"},"eligibleGifts":{"data":["year","month","week"],"exportMetaType":"array"},"isEligibleForGifts":true,"_flickrModelRegistry":"person-models"},"exportMetaType":"model"},"sizes":{"data":{"c":{"data":{"url":"//live.staticflickr.com/7839/46829101044_7b3bf02145_c.jpg","width":800,"height":600,"displayUrl":"//live.staticflickr.com/7839/46829101044_7b3bf02145_c.jpg"},"exportMetaType":"pojo"},"h":{"data":{"url":"//live.staticflickr.com/7839/46829101044_97cc0fc018_h.jpg","width":1600,"height":1200,"displayUrl":"//live.staticflickr.com/7839/46829101044_97cc0fc018_h.jpg"},"exportMetaType":"pojo"},"k":{"data":{"url":"//live.staticflickr.com/7839/46829101044_faef1006ef_k.jpg","width":2048,"height":1536,"displayUrl":"//live.staticflickr.com/7839/46829101044_faef1006ef_k.jpg"},"exportMetaType":"pojo"},"l":{"data":{"url":"//live.staticflickr.com/7839/46829101044_7b3bf02145_b.jpg","width":1024,"height":768,"displayUrl":"//live.staticflickr.com/7839/46829101044_7b3bf02145_b.jpg"},"exportMetaType":"pojo"},"m":{"data":{"url":"//live.staticflickr.com/7839/46829101044_7b3bf02145.jpg","width":500,"height":375,"displayUrl":"//live.staticflickr.com/7839/46829101044_7b3bf02145.jpg"},"exportMetaType":"pojo"},"n":{"data":{"url":"//live.staticflickr.com/7839/46829101044_7b3bf02145_n.jpg","width":320,"height":240,"displayUrl":"//live.staticflickr.com/7839/46829101044_7b3bf02145_n.jpg"},"exportMetaType":"pojo"},"o":{"data":{"url":"//live.staticflickr.com/7839/46829101044_b816bd45b1_o.jpg","width":3648,"height":2736,"displayUrl":"//live.staticflickr.com/7839/46829101044_b816bd45b1_o.jpg"},"exportMetaType":"pojo"},"q":{"data":{"url":"//live.staticflickr.com/7839/46829101044_7b3bf02145_q.jpg","width":150,"height":150,"displayUrl":"//live.staticflickr.com/7839/46829101044_7b3bf02145_q.jpg"},"exportMetaType":"pojo"},"s":{"data":{"url":"//live.staticflickr.com/7839/46829101044_7b3bf02145_m.jpg","width":240,"height":180,"displayUrl":"//live.staticflickr.com/7839/46829101044_7b3bf02145_m.jpg"},"exportMetaType":"pojo"},"t":{"data":{"url":"//live.staticflickr.com/7839/46829101044_7b3bf02145_t.jpg","width":100,"height":75,"displayUrl":"//live.staticflickr.com/7839/46829101044_7b3bf02145_t.jpg"},"exportMetaType":"pojo"},"w":{"data":{"url":"//live.staticflickr.com/7839/46829101044_7b3bf02145_w.jpg","width":400,"height":300,"displayUrl":"//live.staticflickr.com/7839/46829101044_7b3bf02145_w.jpg"},"exportMetaType":"pojo"},"z":{"data":{"url":"//live.staticflickr.com/7839/46829101044_7b3bf02145_z.jpg","width":640,"height":480,"displayUrl":"//live.staticflickr.com/7839/46829101044_7b3bf02145_z.jpg"},"exportMetaType":"pojo"},"sq":{"data":{"url":"//live.staticflickr.com/7839/46829101044_7b3bf02145_s.jpg","width":75,"height":75,"displayUrl":"//live.staticflickr.com/7839/46829101044_7b3bf02145_s.jpg"},"exportMetaType":"pojo"}},"exportMetaType":"pojo"},"title":"original Norris School building at Kern County Museum","oWidth":3648,"secret":"7b3bf02145","license":5,"oHeight":2736,"rotation":0,"canAddMeta":false,"canComment":false,"engagement":{"data":{"id":"46829101044","canShare":true,"ownerNsid":"64978778@N00","reactions":{"data":{"like":{"data":{"id":"like","count":5,"canReact":true,"didViewerReact":true},"exportMetaType":"pojo"},"someOtherReaction":{"data":{"id":"someOtherReaction","count":3,"canReact":true,"didViewerReact":false},"exportMetaType":"pojo"}},"exportMetaType":"pojo"},"viewCount":68,"canDownload":true,"_flickrModelRegistry":"photo-engagement-models"},"exportMetaType":"model"},"description":"This is the original Norris School building built near Rosedale, now part of the pioneer village.\n\nThis image is available at Wikimedia Commons: &lt;a href=\"https://commons.wikimedia.org/wiki/File:Norris_School_at_Kern_County_Museum.jpg\" rel=\"noreferrer nofollow\"&gt;commons.wikimedia.org/wiki/File:Norris_School_at_Kern_Cou...&lt;/a&gt;","safetyLevel":0,"upgradeSizes":{"data":[],"exportMetaType":"array"},"adEligibility":{"data":{"lane":1,"labels":{"data":["SafeAutotags"],"exportMetaType":"array"},"isAdEligible":true,"highScoreLabels":{"data":[],"exportMetaType":"array"}},"exportMetaType":"pojo"},"canPublicComment":true,"_flickrModelRegistry":"photo-models"},"exportMetaType":"model"}],"photo-geo-models":[{"data":{"id":"46829101044","_flickrModelRegistry":"photo-geo-models"},"exportMetaType":"model"}],"photo-location-models":[{"data":{"id":"46829101044","geo":{"data":"~2","exportMetaType":"model"},"text":"","levels":{"data":{},"exportMetaType":"pojo"},"staticMaps":{"data":{},"exportMetaType":"pojo"},"_flickrModelRegistry":"photo-location-models"},"exportMetaType":"model"}],"photo-head-meta-models":[{"data":{"id":"46829101044","title":"original Norris School building at Kern County Museum","og:url":"https://www.flickr.com/photos/ixfd64/46829101044/","og:type":"article","keywords":"ixfd64, nikon, coolpix, kerncountymuseum","og:image":"https://live.staticflickr.com/7839/46829101044_7b3bf02145_b.jpg","og:title":"original Norris School building at Kern County Museum","twitter:card":"summary_large_image","twitter:image":"https://live.staticflickr.com/7839/46829101044_7b3bf02145_b.jpg","og:description":"This is the original Norris School building built near Rosedale, now part of the pioneer village.  This image is available at Wikimedia Commons: commons.wikimedia.org/wiki/File:Norris_School_at_Kern_Cou...","og:image:width":1024,"og:image:height":768,"twitter:description":"This is the original Norris School building built near Rosedale, now part of the pioneer village.  This image is available at Wikimedia Commons: commons.wikimedia.org/wiki/File:Norris_School_at_Kern_Cou...","_flickrModelRegistry":"photo-head-meta-models","twitter:app:url:ipad":"flickr://flickr.com/photos/ixfd64/46829101044/","twitter:app:url:iphone":"flickr://flickr.com/photos/ixfd64/46829101044/","twitter:app:url:googleplay":"https://www.flickr.com/photos/ixfd64/46829101044/"},"exportMetaType":"model"}],"photo-license-history-models":[]},"acquisition_file":"fl-46829101044.webp","source_html_file":"/Users/atincakcayoz/corteqs/output/bakersfield-production-20261023/flickr-source-pages/46829101044.html","original_file_url":"https://live.staticflickr.com/7839/46829101044_b816bd45b1_o.jpg","proposed_identity":"Kern County Museum","source_html_sha256":"55e4d21a4dcadfcc429251d47f596465b31f6266f43329d99c3024ae64942aa9","third_party_rights_review":{"basis":"Kaynakta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dönüştürüldü.","photo_attribution":{"author_url":"https://www.flickr.com/photos/64978778@N00/","modifications":"EXIF yönü uygulandı; boyut küçültülüp WebP biçimine dönüştürüldü.","original_file_url":"https://live.staticflickr.com/7839/46829101044_b816bd45b1_o.jpg"},"metadata_reviewed_on":"2026-10-24","metadata_review_status":"verified"}}</x:v>
      </x:c>
    </x:row>
    <x:row r="17" ht="300" customHeight="1">
      <x:c r="A17" s="29" t="str">
        <x:v>bakersfield:evidence:venue-21982</x:v>
      </x:c>
      <x:c r="B17" s="29" t="str">
        <x:v>bakersfield</x:v>
      </x:c>
      <x:c r="C17" s="29" t="str">
        <x:v>bakersfield:photo:venue-21982</x:v>
      </x:c>
      <x:c r="D17" s="29" t="str">
        <x:v>https://www.flickr.com/photos/67501253@N00/4006795182/</x:v>
      </x:c>
      <x:c r="E17" s="29" t="str">
        <x:v>Kern County Museum · 2009 tarihli fotoğraf</x:v>
      </x:c>
      <x:c r="F17" s="29" t="str">
        <x:v>Allie Towers Rice</x:v>
      </x:c>
      <x:c r="G17" s="29" t="str">
        <x:v>CC BY-SA 2.0</x:v>
      </x:c>
      <x:c r="H17" s="29" t="str">
        <x:v>https://creativecommons.org/licenses/by-sa/2.0/</x:v>
      </x:c>
      <x:c r="I17" s="29" t="str">
        <x:v>CC BY-SA 2.0</x:v>
      </x:c>
      <x:c r="J17" s="29" t="str">
        <x:v>Kern County Museum · 2009 tarihli fotoğraf · Allie Towers Rice · CC BY-SA 2.0 · https://www.flickr.com/photos/67501253@N00/4006795182/</x:v>
      </x:c>
      <x:c r="K1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 s="31" t="d">
        <x:v>2026-10-24T00:00:00.000Z</x:v>
      </x:c>
      <x:c r="M17" s="29" t="str">
        <x:v>Doğrulandı</x:v>
      </x:c>
      <x:c r="N17" s="29" t="str">
        <x:v>Doğrulandı</x:v>
      </x:c>
      <x:c r="O17" s="29" t="str">
        <x:v>Fotoğraflar/bk-594a8b54728ee6a03dfc0f4f.webp</x:v>
      </x:c>
      <x:c r="P17" s="29" t="str">
        <x:v>Kern County Museum · 2009 tarihli fotoğraf · İndirilen kare temas sayfasında görüldü; kaynak mekân kimliğiyle eşleştirildi. Seçim kaydı final-pixel-review.json.</x:v>
      </x:c>
      <x:c r="Q17" s="29" t="str">
        <x:v>Bu kare için uygun</x:v>
      </x:c>
      <x:c r="R1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 s="29" t="str">
        <x:v>Lisans kanıtları/bk-594a8b54728ee6a03dfc0f4f.source-evidence.json</x:v>
      </x:c>
      <x:c r="T17" s="29" t="str">
        <x:v>a3b353b6f433b3fad604b427fa23488b49f011de2eb9ce8471a34db63e7c6508</x:v>
      </x:c>
      <x:c r="U17" s="29" t="str">
        <x:v>Lisans kanıtları/bk-594a8b54728ee6a03dfc0f4f.license-record.json</x:v>
      </x:c>
      <x:c r="V17" s="29" t="str">
        <x:v>77157b8ad0ec114ef102b289bbce4260a904b892ac6282796e0cd4037690625c</x:v>
      </x:c>
      <x:c r="W17" s="29" t="str">
        <x:v>{"file":"bk-594a8b54728ee6a03dfc0f4f.webp","width":768,"author":"Allie Towers Rice","height":1024,"sha256":"594a8b54728ee6a03dfc0f4f649f70df7d0be0b8c59c8925c71cb6e17dbacd55","status":"reviewed-selected","license":"CC BY-SA 2.0","provider":"Flickr","review_id":"F300","source_id":"4006795182","author_url":"https://www.flickr.com/photos/67501253@N00/","date_texts":["Uploaded on October 12, 2009 Taken on September 12, 2009","Taken on September 12, 2009","Uploaded on October 12, 2009 Taken on September 12, 2009","Taken on September 12, 2009"],"source_url":"https://www.flickr.com/photos/67501253@N00/4006795182/","description":"","license_url":"https://creativecommons.org/licenses/by-sa/2.0/","review_note":"Drugstore building.","reviewed_on":"2026-10-24","source_text":"Untitled | Allie Towers Rice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Allie Towers Rice alliecreative 106 views 0 faves 0 comments Uploaded on October 12, 2009 Taken on September 12, 2009 Allie Towers Rice By: Allie Towers Rice 106 views 0 faves 0 comments Uploaded on October 12, 2009 Taken on September 12,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photography.","capture_date":"2009-09-12","download_url":"https://live.staticflickr.com/2455/4006795182_8e1072bf4d_b.jpg","original_url":"https://live.staticflickr.com/2455/4006795182_b70c439c8a_o.jpg","pixel_review":{"method":"İndirilen kare temas sayfasında görüldü; kaynak mekân kimliğiyle eşleştirildi. Seçim kaydı final-pixel-review.json.","status":"verified","caption":"Kern County Museum · 2009 tarihli fotoğraf","reviewer":"Codex (AI)","review_id":"F300"},"source_title":"","downloaded_at":"2026-10-23T19:50:20.012472+00:00","download_sha256":"6e046e2e19b547115f8bcd281d3cd298106a37f29181eeaa8d71eb81ae644e07","downloaded_file":"downloads/6e046e2e19b547115f8bcd281d3cd298106a37f29181eeaa8d71eb81ae644e07.jpg","public_metadata":{"photo-models":[{"data":{"id":"4006795182","owner":{"data":{"id":"67501253@N00","isPro":false,"newFlow":true,"isAdFree":false,"location":"Portland, OR, United States","realname":"Allie Towers Rice","segments":{"data":[],"exportMetaType":"array"},"username":"alliecreative","buddyicon":{"data":{"large":"//live.staticflickr.com/25/buddyicons/67501253@N00_l.jpg?1205366174#67501253@N00","small":"//live.staticflickr.com/25/buddyicons/67501253@N00_s.jpg?1205366174#67501253@N00","medium":"//live.staticflickr.com/25/buddyicons/67501253@N00_m.jpg?1205366174#67501253@N00","retina":"//live.staticflickr.com/25/buddyicons/67501253@N00_r.jpg?1205366174#67501253@N00","default":"//live.staticflickr.com/25/buddyicons/67501253@N00.jpg?1205366174#67501253@N00"},"exportMetaType":"pojo"},"pathAlias":"luminarie","dateCreated":{"data":"1130770932","exportMetaType":"serializeFunction"},"subscription":{"data":{"isPro":false,"isClosed":false,"isPastDue":false},"exportMetaType":"pojo"},"eligibleGifts":{"data":["year","month","week"],"exportMetaType":"array"},"isEligibleForGifts":true,"_flickrModelRegistry":"person-models"},"exportMetaType":"model"},"sizes":{"data":{"c":{"data":{"url":"//live.staticflickr.com/2455/4006795182_8e1072bf4d_c.jpg","width":600,"height":800,"displayUrl":"//live.staticflickr.com/2455/4006795182_8e1072bf4d_c.jpg"},"exportMetaType":"pojo"},"h":{"data":{"url":"//live.staticflickr.com/2455/4006795182_61b66877f6_h.jpg","width":1200,"height":1600,"displayUrl":"//live.staticflickr.com/2455/4006795182_61b66877f6_h.jpg"},"exportMetaType":"pojo"},"k":{"data":{"url":"//live.staticflickr.com/2455/4006795182_7f6dd8efd9_k.jpg","width":1536,"height":2048,"displayUrl":"//live.staticflickr.com/2455/4006795182_7f6dd8efd9_k.jpg"},"exportMetaType":"pojo"},"l":{"data":{"url":"//live.staticflickr.com/2455/4006795182_8e1072bf4d_b.jpg","width":768,"height":1024,"displayUrl":"//live.staticflickr.com/2455/4006795182_8e1072bf4d_b.jpg"},"exportMetaType":"pojo"},"m":{"data":{"url":"//live.staticflickr.com/2455/4006795182_8e1072bf4d.jpg","width":375,"height":500,"displayUrl":"//live.staticflickr.com/2455/4006795182_8e1072bf4d.jpg"},"exportMetaType":"pojo"},"n":{"data":{"url":"//live.staticflickr.com/2455/4006795182_8e1072bf4d_n.jpg","width":240,"height":320,"displayUrl":"//live.staticflickr.com/2455/4006795182_8e1072bf4d_n.jpg"},"exportMetaType":"pojo"},"o":{"data":{"url":"//live.staticflickr.com/2455/4006795182_b70c439c8a_o.jpg","width":2304,"height":3072,"displayUrl":"//live.staticflickr.com/2455/4006795182_b70c439c8a_o.jpg"},"exportMetaType":"pojo"},"q":{"data":{"url":"//live.staticflickr.com/2455/4006795182_8e1072bf4d_q.jpg","width":150,"height":150,"displayUrl":"//live.staticflickr.com/2455/4006795182_8e1072bf4d_q.jpg"},"exportMetaType":"pojo"},"s":{"data":{"url":"//live.staticflickr.com/2455/4006795182_8e1072bf4d_m.jpg","width":180,"height":240,"displayUrl":"//live.staticflickr.com/2455/4006795182_8e1072bf4d_m.jpg"},"exportMetaType":"pojo"},"t":{"data":{"url":"//live.staticflickr.com/2455/4006795182_8e1072bf4d_t.jpg","width":75,"height":100,"displayUrl":"//live.staticflickr.com/2455/4006795182_8e1072bf4d_t.jpg"},"exportMetaType":"pojo"},"w":{"data":{"url":"//live.staticflickr.com/2455/4006795182_8e1072bf4d_w.jpg","width":300,"height":400,"displayUrl":"//live.staticflickr.com/2455/4006795182_8e1072bf4d_w.jpg"},"exportMetaType":"pojo"},"z":{"data":{"url":"//live.staticflickr.com/2455/4006795182_8e1072bf4d_z.jpg","width":480,"height":640,"displayUrl":"//live.staticflickr.com/2455/4006795182_8e1072bf4d_z.jpg"},"exportMetaType":"pojo"},"sq":{"data":{"url":"//live.staticflickr.com/2455/4006795182_8e1072bf4d_s.jpg","width":75,"height":75,"displayUrl":"//live.staticflickr.com/2455/4006795182_8e1072bf4d_s.jpg"},"exportMetaType":"pojo"}},"exportMetaType":"pojo"},"oWidth":2304,"secret":"8e1072bf4d","license":5,"oHeight":3072,"rotation":0,"canAddMeta":false,"canComment":false,"engagement":{"data":{"id":"4006795182","canShare":true,"ownerNsid":"67501253@N00","reactions":{"data":{"like":{"data":{"id":"like","count":5,"canReact":true,"didViewerReact":true},"exportMetaType":"pojo"},"someOtherReaction":{"data":{"id":"someOtherReaction","count":3,"canReact":true,"didViewerReact":false},"exportMetaType":"pojo"}},"exportMetaType":"pojo"},"viewCount":106,"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4006795182","_flickrModelRegistry":"photo-geo-models"},"exportMetaType":"model"}],"photo-location-models":[{"data":{"id":"4006795182","geo":{"data":"~2","exportMetaType":"model"},"text":"","levels":{"data":{},"exportMetaType":"pojo"},"staticMaps":{"data":{},"exportMetaType":"pojo"},"_flickrModelRegistry":"photo-location-models"},"exportMetaType":"model"}],"photo-head-meta-models":[{"data":{"id":"4006795182","title":"Untitled","og:url":"https://www.flickr.com/photos/luminarie/4006795182/","og:type":"article","keywords":"california, bakersfield, kerncountymuseum","og:image":"https://live.staticflickr.com/2455/4006795182_8e1072bf4d_b.jpg","og:title":"Untitled","twitter:card":"summary_large_image","twitter:image":"https://live.staticflickr.com/2455/4006795182_8e1072bf4d_b.jpg","og:description":"","og:image:width":768,"og:image:height":1024,"twitter:creator":"@alliecreative","twitter:description":"Explore alliecreative's 1779 photos on Flickr!","_flickrModelRegistry":"photo-head-meta-models","twitter:app:url:ipad":"flickr://flickr.com/photos/luminarie/4006795182/","twitter:app:url:iphone":"flickr://flickr.com/photos/luminarie/4006795182/","twitter:app:url:googleplay":"https://www.flickr.com/photos/luminarie/4006795182/"},"exportMetaType":"model"}],"photo-license-history-models":[]},"acquisition_file":"fl-4006795182.webp","source_html_file":"/Users/atincakcayoz/corteqs/output/bakersfield-production-20261023/flickr-source-pages/4006795182.html","original_file_url":"https://live.staticflickr.com/2455/4006795182_b70c439c8a_o.jpg","proposed_identity":"Kern County Museum","source_html_sha256":"0de15418a25ce13e61e53d8d8b9aed69c70f30d00685144f75862f38b00f0426","third_party_rights_review":{"basis":"Kaynakta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dönüştürüldü.","photo_attribution":{"author_url":"https://www.flickr.com/photos/67501253@N00/","modifications":"EXIF yönü uygulandı; boyut küçültülüp WebP biçimine dönüştürüldü.","original_file_url":"https://live.staticflickr.com/2455/4006795182_b70c439c8a_o.jpg"},"metadata_reviewed_on":"2026-10-24","metadata_review_status":"verified"}}</x:v>
      </x:c>
    </x:row>
    <x:row r="18" ht="300" customHeight="1">
      <x:c r="A18" s="29" t="str">
        <x:v>bakersfield:evidence:venue-21983</x:v>
      </x:c>
      <x:c r="B18" s="29" t="str">
        <x:v>bakersfield</x:v>
      </x:c>
      <x:c r="C18" s="29" t="str">
        <x:v>bakersfield:photo:venue-21983</x:v>
      </x:c>
      <x:c r="D18" s="29" t="str">
        <x:v>https://www.flickr.com/photos/98609821@N00/7137059327/</x:v>
      </x:c>
      <x:c r="E18" s="29" t="str">
        <x:v>Bakersfield Museum of Art · 2012 tarihli fotoğraf</x:v>
      </x:c>
      <x:c r="F18" s="29" t="str">
        <x:v>Julie Jordan Scott</x:v>
      </x:c>
      <x:c r="G18" s="29" t="str">
        <x:v>CC BY 2.0</x:v>
      </x:c>
      <x:c r="H18" s="29" t="str">
        <x:v>https://creativecommons.org/licenses/by/2.0/</x:v>
      </x:c>
      <x:c r="I18" s="29" t="str">
        <x:v>CC BY 2.0</x:v>
      </x:c>
      <x:c r="J18" s="29" t="str">
        <x:v>Bakersfield Museum of Art · 2012 tarihli fotoğraf · Julie Jordan Scott · CC BY 2.0 · https://www.flickr.com/photos/98609821@N00/7137059327/</x:v>
      </x:c>
      <x:c r="K1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 s="31" t="d">
        <x:v>2026-10-24T00:00:00.000Z</x:v>
      </x:c>
      <x:c r="M18" s="29" t="str">
        <x:v>Doğrulandı</x:v>
      </x:c>
      <x:c r="N18" s="29" t="str">
        <x:v>Doğrulandı</x:v>
      </x:c>
      <x:c r="O18" s="29" t="str">
        <x:v>Fotoğraflar/bk-1af73c7f3d448d09d27875de.webp</x:v>
      </x:c>
      <x:c r="P18" s="29" t="str">
        <x:v>Bakersfield Museum of Art · 2012 tarihli fotoğraf · İndirilen kare temas sayfasında görüldü; kaynak mekân kimliğiyle eşleştirildi. Seçim kaydı final-pixel-review.json.</x:v>
      </x:c>
      <x:c r="Q18" s="29" t="str">
        <x:v>Bu kare için uygun</x:v>
      </x:c>
      <x:c r="R1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 s="29" t="str">
        <x:v>Lisans kanıtları/bk-1af73c7f3d448d09d27875de.source-evidence.json</x:v>
      </x:c>
      <x:c r="T18" s="29" t="str">
        <x:v>5df19d5a06141a09cb991dea6e2e852e9c0d2ffedda5dcec154b7a42a05d8c51</x:v>
      </x:c>
      <x:c r="U18" s="29" t="str">
        <x:v>Lisans kanıtları/bk-1af73c7f3d448d09d27875de.license-record.json</x:v>
      </x:c>
      <x:c r="V18" s="29" t="str">
        <x:v>5152ca310c165b50a4d1d45499c58977860341964752878c6401ed471c9daab4</x:v>
      </x:c>
      <x:c r="W18" s="29" t="str">
        <x:v>{"file":"bk-1af73c7f3d448d09d27875de.webp","width":1024,"author":"Julie Jordan Scott","height":768,"sha256":"1af73c7f3d448d09d27875de669d7da9e30e04e85ed7b7b021d7b3cedbcfcb31","status":"reviewed-selected","license":"CC BY 2.0","provider":"Flickr","review_id":"F81","source_id":"7137059327","author_url":"https://www.flickr.com/photos/98609821@N00/","date_texts":["Uploaded on May 2, 2012 Taken on May 2, 2012","Taken on May 2, 2012","Uploaded on May 2, 2012 Taken on May 2, 2012","Taken on May 2, 2012"],"source_url":"https://www.flickr.com/photos/98609821@N00/7137059327/","description":"","license_url":"https://creativecommons.org/licenses/by/2.0/","review_note":"Müzenin giriş cephesi ve yazısı açıkça görünür.","reviewed_on":"2026-10-24","source_text":"BMOA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BMOA Done 456 views 0 faves 0 comments Uploaded on May 2, 2012 Taken on May 2, 2012 Julie Jordan Scott By: Julie Jordan Scott BMOA Done 456 views 0 faves 0 comments Uploaded on May 2, 2012 Taken on May 2,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photography.","capture_date":"2012-05-02","download_url":"https://live.staticflickr.com/7176/7137059327_e9eaa89371_b.jpg","original_url":"https://live.staticflickr.com/7176/7137059327_96854e0e8d_k.jpg","pixel_review":{"method":"İndirilen kare temas sayfasında görüldü; kaynak mekân kimliğiyle eşleştirildi. Seçim kaydı final-pixel-review.json.","status":"verified","caption":"Bakersfield Museum of Art · 2012 tarihli fotoğraf","reviewer":"Codex (AI)","review_id":"F81"},"source_title":"BMOA","downloaded_at":"2026-10-23T19:50:07.648485+00:00","download_sha256":"74ad391eb2625ec9eced2f7b331d335a7fc06b6b296da1d70faa71e232f96ae8","downloaded_file":"downloads/74ad391eb2625ec9eced2f7b331d335a7fc06b6b296da1d70faa71e232f96ae8.jpg","public_metadata":{"photo-models":[{"data":{"id":"7137059327","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7176/7137059327_e9eaa89371_c.jpg","width":800,"height":600,"displayUrl":"//live.staticflickr.com/7176/7137059327_e9eaa89371_c.jpg"},"exportMetaType":"pojo"},"h":{"data":{"url":"//live.staticflickr.com/7176/7137059327_454a6738b3_h.jpg","width":1600,"height":1200,"displayUrl":"//live.staticflickr.com/7176/7137059327_454a6738b3_h.jpg"},"exportMetaType":"pojo"},"k":{"data":{"url":"//live.staticflickr.com/7176/7137059327_96854e0e8d_k.jpg","width":2048,"height":1536,"displayUrl":"//live.staticflickr.com/7176/7137059327_96854e0e8d_k.jpg"},"exportMetaType":"pojo"},"l":{"data":{"url":"//live.staticflickr.com/7176/7137059327_e9eaa89371_b.jpg","width":1024,"height":768,"displayUrl":"//live.staticflickr.com/7176/7137059327_e9eaa89371_b.jpg"},"exportMetaType":"pojo"},"m":{"data":{"url":"//live.staticflickr.com/7176/7137059327_e9eaa89371.jpg","width":500,"height":375,"displayUrl":"//live.staticflickr.com/7176/7137059327_e9eaa89371.jpg"},"exportMetaType":"pojo"},"n":{"data":{"url":"//live.staticflickr.com/7176/7137059327_e9eaa89371_n.jpg","width":320,"height":240,"displayUrl":"//live.staticflickr.com/7176/7137059327_e9eaa89371_n.jpg"},"exportMetaType":"pojo"},"o":{"data":{"url":"//live.staticflickr.com/7176/7137059327_607f5dfb45_o.jpg","width":2048,"height":1536,"displayUrl":"//live.staticflickr.com/7176/7137059327_607f5dfb45_o.jpg"},"exportMetaType":"pojo"},"q":{"data":{"url":"//live.staticflickr.com/7176/7137059327_e9eaa89371_q.jpg","width":150,"height":150,"displayUrl":"//live.staticflickr.com/7176/7137059327_e9eaa89371_q.jpg"},"exportMetaType":"pojo"},"s":{"data":{"url":"//live.staticflickr.com/7176/7137059327_e9eaa89371_m.jpg","width":240,"height":180,"displayUrl":"//live.staticflickr.com/7176/7137059327_e9eaa89371_m.jpg"},"exportMetaType":"pojo"},"t":{"data":{"url":"//live.staticflickr.com/7176/7137059327_e9eaa89371_t.jpg","width":100,"height":75,"displayUrl":"//live.staticflickr.com/7176/7137059327_e9eaa89371_t.jpg"},"exportMetaType":"pojo"},"w":{"data":{"url":"//live.staticflickr.com/7176/7137059327_e9eaa89371_w.jpg","width":400,"height":300,"displayUrl":"//live.staticflickr.com/7176/7137059327_e9eaa89371_w.jpg"},"exportMetaType":"pojo"},"z":{"data":{"url":"//live.staticflickr.com/7176/7137059327_e9eaa89371_z.jpg","width":640,"height":480,"displayUrl":"//live.staticflickr.com/7176/7137059327_e9eaa89371_z.jpg"},"exportMetaType":"pojo"},"sq":{"data":{"url":"//live.staticflickr.com/7176/7137059327_e9eaa89371_s.jpg","width":75,"height":75,"displayUrl":"//live.staticflickr.com/7176/7137059327_e9eaa89371_s.jpg"},"exportMetaType":"pojo"}},"exportMetaType":"pojo"},"title":"BMOA","oWidth":2048,"secret":"e9eaa89371","license":4,"oHeight":1536,"rotation":0,"canAddMeta":false,"canComment":false,"engagement":{"data":{"id":"7137059327","canShare":true,"ownerNsid":"98609821@N00","reactions":{"data":{"like":{"data":{"id":"like","count":5,"canReact":true,"didViewerReact":true},"exportMetaType":"pojo"},"someOtherReaction":{"data":{"id":"someOtherReaction","count":3,"canReact":true,"didViewerReact":false},"exportMetaType":"pojo"}},"exportMetaType":"pojo"},"viewCount":456,"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7137059327","_flickrModelRegistry":"photo-geo-models"},"exportMetaType":"model"}],"photo-location-models":[{"data":{"id":"7137059327","geo":{"data":"~2","exportMetaType":"model"},"text":"","levels":{"data":{},"exportMetaType":"pojo"},"staticMaps":{"data":{},"exportMetaType":"pojo"},"_flickrModelRegistry":"photo-location-models"},"exportMetaType":"model"}],"photo-head-meta-models":[{"data":{"id":"7137059327","title":"BMOA","og:url":"https://www.flickr.com/photos/juliejordanscott/7137059327/","og:type":"article","keywords":"haiku, firstwednesday, bakersfieldmuseumofart","og:image":"https://live.staticflickr.com/7176/7137059327_e9eaa89371_b.jpg","og:title":"BMOA","twitter:card":"summary_large_image","twitter:image":"https://live.staticflickr.com/7176/7137059327_e9eaa89371_b.jpg","og:description":"","og:image:width":1024,"og:image:height":768,"twitter:creator":"@juliejordanscot","twitter:description":"Explore juliejordanscott's 67408 photos on Flickr!","_flickrModelRegistry":"photo-head-meta-models","twitter:app:url:ipad":"flickr://flickr.com/photos/juliejordanscott/7137059327/","twitter:app:url:iphone":"flickr://flickr.com/photos/juliejordanscott/7137059327/","twitter:app:url:googleplay":"https://www.flickr.com/photos/juliejordanscott/7137059327/"},"exportMetaType":"model"}],"photo-license-history-models":[]},"acquisition_file":"fl-7137059327.webp","source_html_file":"/Users/atincakcayoz/corteqs/output/bakersfield-production-20261023/flickr-source-pages/7137059327.html","original_file_url":"https://live.staticflickr.com/7176/7137059327_96854e0e8d_k.jpg","proposed_identity":"Bakersfield Museum of Art","source_html_sha256":"be08132dafe1960ce1035c66b3bd4b755031fe1956b942d00816cc9bca831acf","third_party_rights_review":{"basis":"Kaynakta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dönüştürüldü.","original_file_url":"https://live.staticflickr.com/7176/7137059327_96854e0e8d_k.jpg"},"metadata_reviewed_on":"2026-10-24","metadata_review_status":"verified"}}</x:v>
      </x:c>
    </x:row>
    <x:row r="19" ht="300" customHeight="1">
      <x:c r="A19" s="29" t="str">
        <x:v>bakersfield:evidence:venue-21984</x:v>
      </x:c>
      <x:c r="B19" s="29" t="str">
        <x:v>bakersfield</x:v>
      </x:c>
      <x:c r="C19" s="29" t="str">
        <x:v>bakersfield:photo:venue-21984</x:v>
      </x:c>
      <x:c r="D19" s="29" t="str">
        <x:v>https://www.flickr.com/photos/98609821@N00/7137060287/</x:v>
      </x:c>
      <x:c r="E19" s="29" t="str">
        <x:v>Bakersfield Museum of Art · 2012 tarihli fotoğraf</x:v>
      </x:c>
      <x:c r="F19" s="29" t="str">
        <x:v>Julie Jordan Scott</x:v>
      </x:c>
      <x:c r="G19" s="29" t="str">
        <x:v>CC BY 2.0</x:v>
      </x:c>
      <x:c r="H19" s="29" t="str">
        <x:v>https://creativecommons.org/licenses/by/2.0/</x:v>
      </x:c>
      <x:c r="I19" s="29" t="str">
        <x:v>CC BY 2.0</x:v>
      </x:c>
      <x:c r="J19" s="29" t="str">
        <x:v>Bakersfield Museum of Art · 2012 tarihli fotoğraf · Julie Jordan Scott · CC BY 2.0 · https://www.flickr.com/photos/98609821@N00/7137060287/</x:v>
      </x:c>
      <x:c r="K1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 s="31" t="d">
        <x:v>2026-10-24T00:00:00.000Z</x:v>
      </x:c>
      <x:c r="M19" s="29" t="str">
        <x:v>Doğrulandı</x:v>
      </x:c>
      <x:c r="N19" s="29" t="str">
        <x:v>Doğrulandı</x:v>
      </x:c>
      <x:c r="O19" s="29" t="str">
        <x:v>Fotoğraflar/bk-76cf4f6889fa591ec6355fed.webp</x:v>
      </x:c>
      <x:c r="P19" s="29" t="str">
        <x:v>Bakersfield Museum of Art · 2012 tarihli fotoğraf · İndirilen kare temas sayfasında görüldü; kaynak mekân kimliğiyle eşleştirildi. Seçim kaydı final-pixel-review.json.</x:v>
      </x:c>
      <x:c r="Q19" s="29" t="str">
        <x:v>Bu kare için uygun</x:v>
      </x:c>
      <x:c r="R1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 s="29" t="str">
        <x:v>Lisans kanıtları/bk-76cf4f6889fa591ec6355fed.source-evidence.json</x:v>
      </x:c>
      <x:c r="T19" s="29" t="str">
        <x:v>98c7c941d89ddd732efdf8030935087e147d6eb3c5d0a9bdd45612a5901e3d2e</x:v>
      </x:c>
      <x:c r="U19" s="29" t="str">
        <x:v>Lisans kanıtları/bk-76cf4f6889fa591ec6355fed.license-record.json</x:v>
      </x:c>
      <x:c r="V19" s="29" t="str">
        <x:v>79cf2fc4c9625193c94f6658f479c30a9d2edebc484ff2a3bd8dd140b8247591</x:v>
      </x:c>
      <x:c r="W19" s="29" t="str">
        <x:v>{"file":"bk-76cf4f6889fa591ec6355fed.webp","width":1024,"author":"Julie Jordan Scott","height":768,"sha256":"76cf4f6889fa591ec6355fed392cabfb1dbb518536d717d37a8f5b988979b29b","status":"reviewed-selected","license":"CC BY 2.0","provider":"Flickr","review_id":"E120","source_id":"7137060287","author_url":"https://www.flickr.com/photos/98609821@N00/","date_texts":["Uploaded on May 2, 2012 Taken on May 2, 2012","Taken on May 2, 2012","Uploaded on May 2, 2012 Taken on May 2, 2012","Taken on May 2, 2012"],"source_url":"https://www.flickr.com/photos/98609821@N00/7137060287/","description":"","license_url":"https://creativecommons.org/licenses/by/2.0/","review_note":"Museum entrance doors.","reviewed_on":"2026-10-24","source_text":"BMOA Door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BMOA Door Done 277 views 0 faves 0 comments Uploaded on May 2, 2012 Taken on May 2, 2012 Julie Jordan Scott By: Julie Jordan Scott BMOA Door Done 277 views 0 faves 0 comments Uploaded on May 2, 2012 Taken on May 2,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photography.","capture_date":"2012-05-02","download_url":"https://live.staticflickr.com/7067/7137060287_f5d08e6027_b.jpg","original_url":"https://live.staticflickr.com/7067/7137060287_fc010c6ab7_k.jpg","pixel_review":{"method":"İndirilen kare temas sayfasında görüldü; kaynak mekân kimliğiyle eşleştirildi. Seçim kaydı final-pixel-review.json.","status":"verified","caption":"Bakersfield Museum of Art · 2012 tarihli fotoğraf","reviewer":"Codex (AI)","review_id":"E120"},"source_title":"BMOA Door","downloaded_at":"2026-10-23T19:50:37.445364+00:00","download_sha256":"18bcb7ec1cc186fc5220fef4291fb9d915dc35a77d1414f6a778d7638f30ab7e","downloaded_file":"downloads/18bcb7ec1cc186fc5220fef4291fb9d915dc35a77d1414f6a778d7638f30ab7e.jpg","public_metadata":{"photo-models":[{"data":{"id":"7137060287","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7067/7137060287_f5d08e6027_c.jpg","width":800,"height":600,"displayUrl":"//live.staticflickr.com/7067/7137060287_f5d08e6027_c.jpg"},"exportMetaType":"pojo"},"h":{"data":{"url":"//live.staticflickr.com/7067/7137060287_1275cca8d5_h.jpg","width":1600,"height":1200,"displayUrl":"//live.staticflickr.com/7067/7137060287_1275cca8d5_h.jpg"},"exportMetaType":"pojo"},"k":{"data":{"url":"//live.staticflickr.com/7067/7137060287_fc010c6ab7_k.jpg","width":2048,"height":1536,"displayUrl":"//live.staticflickr.com/7067/7137060287_fc010c6ab7_k.jpg"},"exportMetaType":"pojo"},"l":{"data":{"url":"//live.staticflickr.com/7067/7137060287_f5d08e6027_b.jpg","width":1024,"height":768,"displayUrl":"//live.staticflickr.com/7067/7137060287_f5d08e6027_b.jpg"},"exportMetaType":"pojo"},"m":{"data":{"url":"//live.staticflickr.com/7067/7137060287_f5d08e6027.jpg","width":500,"height":375,"displayUrl":"//live.staticflickr.com/7067/7137060287_f5d08e6027.jpg"},"exportMetaType":"pojo"},"n":{"data":{"url":"//live.staticflickr.com/7067/7137060287_f5d08e6027_n.jpg","width":320,"height":240,"displayUrl":"//live.staticflickr.com/7067/7137060287_f5d08e6027_n.jpg"},"exportMetaType":"pojo"},"o":{"data":{"url":"//live.staticflickr.com/7067/7137060287_eb4a8ef7de_o.jpg","width":2048,"height":1536,"displayUrl":"//live.staticflickr.com/7067/7137060287_eb4a8ef7de_o.jpg"},"exportMetaType":"pojo"},"q":{"data":{"url":"//live.staticflickr.com/7067/7137060287_f5d08e6027_q.jpg","width":150,"height":150,"displayUrl":"//live.staticflickr.com/7067/7137060287_f5d08e6027_q.jpg"},"exportMetaType":"pojo"},"s":{"data":{"url":"//live.staticflickr.com/7067/7137060287_f5d08e6027_m.jpg","width":240,"height":180,"displayUrl":"//live.staticflickr.com/7067/7137060287_f5d08e6027_m.jpg"},"exportMetaType":"pojo"},"t":{"data":{"url":"//live.staticflickr.com/7067/7137060287_f5d08e6027_t.jpg","width":100,"height":75,"displayUrl":"//live.staticflickr.com/7067/7137060287_f5d08e6027_t.jpg"},"exportMetaType":"pojo"},"w":{"data":{"url":"//live.staticflickr.com/7067/7137060287_f5d08e6027_w.jpg","width":400,"height":300,"displayUrl":"//live.staticflickr.com/7067/7137060287_f5d08e6027_w.jpg"},"exportMetaType":"pojo"},"z":{"data":{"url":"//live.staticflickr.com/7067/7137060287_f5d08e6027_z.jpg","width":640,"height":480,"displayUrl":"//live.staticflickr.com/7067/7137060287_f5d08e6027_z.jpg"},"exportMetaType":"pojo"},"sq":{"data":{"url":"//live.staticflickr.com/7067/7137060287_f5d08e6027_s.jpg","width":75,"height":75,"displayUrl":"//live.staticflickr.com/7067/7137060287_f5d08e6027_s.jpg"},"exportMetaType":"pojo"}},"exportMetaType":"pojo"},"title":"BMOA Door","oWidth":2048,"secret":"f5d08e6027","license":4,"oHeight":1536,"rotation":0,"canAddMeta":false,"canComment":false,"engagement":{"data":{"id":"7137060287","canShare":true,"ownerNsid":"98609821@N00","reactions":{"data":{"like":{"data":{"id":"like","count":5,"canReact":true,"didViewerReact":true},"exportMetaType":"pojo"},"someOtherReaction":{"data":{"id":"someOtherReaction","count":3,"canReact":true,"didViewerReact":false},"exportMetaType":"pojo"}},"exportMetaType":"pojo"},"viewCount":277,"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7137060287","_flickrModelRegistry":"photo-geo-models"},"exportMetaType":"model"}],"photo-location-models":[{"data":{"id":"7137060287","geo":{"data":"~2","exportMetaType":"model"},"text":"","levels":{"data":{},"exportMetaType":"pojo"},"staticMaps":{"data":{},"exportMetaType":"pojo"},"_flickrModelRegistry":"photo-location-models"},"exportMetaType":"model"}],"photo-head-meta-models":[{"data":{"id":"7137060287","title":"BMOA Door","og:url":"https://www.flickr.com/photos/juliejordanscott/7137060287/","og:type":"article","keywords":"haiku, firstwednesday, bakersfieldmuseumofart","og:image":"https://live.staticflickr.com/7067/7137060287_f5d08e6027_b.jpg","og:title":"BMOA Door","twitter:card":"summary_large_image","twitter:image":"https://live.staticflickr.com/7067/7137060287_f5d08e6027_b.jpg","og:description":"","og:image:width":1024,"og:image:height":768,"twitter:creator":"@juliejordanscot","twitter:description":"Explore juliejordanscott's 67408 photos on Flickr!","_flickrModelRegistry":"photo-head-meta-models","twitter:app:url:ipad":"flickr://flickr.com/photos/juliejordanscott/7137060287/","twitter:app:url:iphone":"flickr://flickr.com/photos/juliejordanscott/7137060287/","twitter:app:url:googleplay":"https://www.flickr.com/photos/juliejordanscott/7137060287/"},"exportMetaType":"model"}],"photo-license-history-models":[]},"acquisition_file":"fl-7137060287.webp","source_html_file":"/Users/atincakcayoz/corteqs/output/bakersfield-production-20261023/flickr-source-pages/7137060287.html","original_file_url":"https://live.staticflickr.com/7067/7137060287_fc010c6ab7_k.jpg","proposed_identity":"Bakersfield Museum of Art","source_html_sha256":"8ee8e5fd12064fa43551f9e5be5e51a050c633c6c3d95040a129b542868fbb55","third_party_rights_review":{"basis":"Kaynakta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dönüştürüldü.","original_file_url":"https://live.staticflickr.com/7067/7137060287_fc010c6ab7_k.jpg"},"metadata_reviewed_on":"2026-10-24","metadata_review_status":"verified"}}</x:v>
      </x:c>
    </x:row>
    <x:row r="20" ht="300" customHeight="1">
      <x:c r="A20" s="29" t="str">
        <x:v>bakersfield:evidence:venue-21985</x:v>
      </x:c>
      <x:c r="B20" s="29" t="str">
        <x:v>bakersfield</x:v>
      </x:c>
      <x:c r="C20" s="29" t="str">
        <x:v>bakersfield:photo:venue-21985</x:v>
      </x:c>
      <x:c r="D20" s="29" t="str">
        <x:v>https://commons.wikimedia.org/wiki/File:Hardt_Field_(CSU_Bakersfield).jpg</x:v>
      </x:c>
      <x:c r="E20" s="29" t="str">
        <x:v>Hardt Field (CSU Bakersfield).jpg</x:v>
      </x:c>
      <x:c r="F20" s="29" t="str">
        <x:v>Spatms</x:v>
      </x:c>
      <x:c r="G20" s="29" t="str">
        <x:v>CC BY-SA 4.0</x:v>
      </x:c>
      <x:c r="H20" s="29" t="str">
        <x:v>https://creativecommons.org/licenses/by-sa/4.0</x:v>
      </x:c>
      <x:c r="I20" s="29" t="str">
        <x:v>Creative Commons Attribution-Share Alike 4.0</x:v>
      </x:c>
      <x:c r="J20" s="29" t="str">
        <x:v>Hardt Field (CSU Bakersfield).jpg · Spatms · CC BY-SA 4.0 · https://commons.wikimedia.org/wiki/File:Hardt_Field_(CSU_Bakersfield).jpg</x:v>
      </x:c>
      <x:c r="K2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 s="31" t="d">
        <x:v>2026-10-24T00:00:00.000Z</x:v>
      </x:c>
      <x:c r="M20" s="29" t="str">
        <x:v>Doğrulandı</x:v>
      </x:c>
      <x:c r="N20" s="29" t="str">
        <x:v>Doğrulandı</x:v>
      </x:c>
      <x:c r="O20" s="29" t="str">
        <x:v>Fotoğraflar/bk-633ea999a10b050e5f538cf9.webp</x:v>
      </x:c>
      <x:c r="P20" s="29" t="str">
        <x:v>Hardt Field – CSU Bakersfield · 2017 tarihli fotoğraf · İndirilen kare temas sayfasında görüldü; kaynak mekân kimliğiyle eşleştirildi. Seçim kaydı final-pixel-review.json.</x:v>
      </x:c>
      <x:c r="Q20" s="29" t="str">
        <x:v>Bu kare için uygun</x:v>
      </x:c>
      <x:c r="R2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 s="29" t="str">
        <x:v>Lisans kanıtları/bk-633ea999a10b050e5f538cf9.source-evidence.json</x:v>
      </x:c>
      <x:c r="T20" s="29" t="str">
        <x:v>a2ad1070c53fed72f6b66ac7770d94c7d81ad518a50b00f1859db96aef621115</x:v>
      </x:c>
      <x:c r="U20" s="29" t="str">
        <x:v>Lisans kanıtları/bk-633ea999a10b050e5f538cf9.license-record.json</x:v>
      </x:c>
      <x:c r="V20" s="29" t="str">
        <x:v>3f1ffc58a8b2f3bcee362b508e78c18d067b437303ca60234f692d66997e5fbe</x:v>
      </x:c>
      <x:c r="W20" s="29" t="str">
        <x:v>{"file":"bk-633ea999a10b050e5f538cf9.webp","width":1280,"author":"Spatms","height":720,"sha256":"633ea999a10b050e5f538cf90cf4e63efc6bb823f7816135c125f9e98de89c81","license":"CC BY-SA 4.0","imageinfo":{"url":"https://upload.wikimedia.org/wikipedia/commons/3/32/Hardt_Field_%28CSU_Bakersfield%29.jpg?utm_source=commons.wikimedia.org&amp;utm_campaign=imageinfo&amp;utm_content=original","mime":"image/jpeg","sha1":"0d78bf126ce0eb6f6fdc9c6377279c812ffc2766","size":3164141,"width":4957,"height":2788,"pageid":63457683,"thumburl":"https://thumb.wikimedia.org/wikipedia/commons/thumb/3/32/Hardt_Field_%28CSU_Bakersfield%29.jpg/1280px-Hardt_Field_%28CSU_Bakersfield%29.jpg?utm_source=commons.wikimedia.org&amp;utm_campaign=imageinfo&amp;utm_content=thumbnail","timestamp":"2017-10-19T03:37:46Z","thumbwidth":1280,"extmetadata":{"Artist":{"value":"&lt;a href=\"//commons.wikimedia.org/wiki/User:Spatms\" title=\"User:Spatms\"&gt;Spatms&lt;/a&gt;","source":"commons-desc-page"},"Credit":{"value":"&lt;span class=\"int-own-work\" lang=\"en\"&gt;Own work&lt;/span&gt;","source":"commons-desc-page"},"License":{"value":"cc-by-sa-4.0","hidden":"","source":"commons-templates"},"DateTime":{"value":"2017-10-19 03:37:46","hidden":"","source":"mediawiki-metadata"},"Categories":{"value":"Self-published work|Hardt Field","hidden":"","source":"commons-categories"},"LicenseUrl":{"value":"https://creativecommons.org/licenses/by-sa/4.0","source":"commons-desc-page"},"ObjectName":{"value":"Hardt Field (CSU Bakersfield)","source":"mediawiki-metadata"},"UsageTerms":{"value":"Creative Commons Attribution-Share Alike 4.0","source":"commons-desc-page"},"Assessments":{"value":"","hidden":"","source":"commons-categories"},"Copyrighted":{"value":"True","hidden":"","source":"commons-desc-page"},"Restrictions":{"value":"","hidden":"","source":"commons-desc-page"},"DateTimeOriginal":{"value":"2017-10-14 15:11:22","source":"commons-desc-page"},"ImageDescription":{"value":"Hardt Field (CSU Bakersfield)","source":"commons-desc-page"},"LicenseShortName":{"value":"CC BY-SA 4.0","hidden":"","source":"commons-desc-page"},"AttributionRequired":{"value":"true","hidden":"","source":"commons-desc-page"},"CommonsMetadataExtension":{"value":1.2,"hidden":"","source":"extension"}},"thumbheight":720,"thumbattribs":{"src":"https://thumb.wikimedia.org/wikipedia/commons/thumb/3/32/Hardt_Field_%28CSU_Bakersfield%29.jpg/1280px-Hardt_Field_%28CSU_Bakersfield%29.jpg?utm_source=commons.wikimedia.org&amp;utm_campaign=imageinfo&amp;utm_content=thumbnail","width":1280,"height":720,"srcset":"https://thumb.wikimedia.org/wikipedia/commons/thumb/3/32/Hardt_Field_%28CSU_Bakersfield%29.jpg/3840px-Hardt_Field_%28CSU_Bakersfield%29.jpg?utm_source=commons.wikimedia.org&amp;utm_campaign=imageinfo&amp;utm_content=thumbnail 2x","loading":"lazy","decoding":"async"},"descriptionurl":"https://commons.wikimedia.org/wiki/File:Hardt_Field_(CSU_Bakersfield).jpg","responsiveUrls":{"2":"https://thumb.wikimedia.org/wikipedia/commons/thumb/3/32/Hardt_Field_%28CSU_Bakersfield%29.jpg/3840px-Hardt_Field_%28CSU_Bakersfield%29.jpg?utm_source=commons.wikimedia.org&amp;utm_campaign=imageinfo&amp;utm_content=thumbnail"},"descriptionshorturl":"https://commons.wikimedia.org/w/index.php?curid=63457683"},"selection":{"qid":"pending","kind":"candidate","title":"Bakersfield alternatives"},"author_url":"https://commons.wikimedia.org/wiki/User:Spatms","derivative":"Wikimedia thumbnail decoded; EXIF orientation applied; converted to WebP quality 86; no generated pixels, no cropping.","source_url":"https://commons.wikimedia.org/wiki/File:Hardt_Field_(CSU_Bakersfield).jpg","author_urls":["https://commons.wikimedia.org/wiki/User:Spatms"],"description":"Hardt Field (CSU Bakersfield)","license_url":"https://creativecommons.org/licenses/by-sa/4.0","reviewed_on":"2026-10-24","capture_date":"2017-10-14 15:11:22","download_url":"https://thumb.wikimedia.org/wikipedia/commons/thumb/3/32/Hardt_Field_%28CSU_Bakersfield%29.jpg/1280px-Hardt_Field_%28CSU_Bakersfield%29.jpg?utm_source=commons.wikimedia.org&amp;utm_campaign=imageinfo&amp;utm_content=thumbnail","original_url":"https://upload.wikimedia.org/wikipedia/commons/3/32/Hardt_Field_%28CSU_Bakersfield%29.jpg?utm_source=commons.wikimedia.org&amp;utm_campaign=imageinfo&amp;utm_content=original","pixel_review":{"method":"İndirilen kare temas sayfasında görüldü; kaynak mekân kimliğiyle eşleştirildi. Seçim kaydı final-pixel-review.json.","status":"verified","caption":"Hardt Field – CSU Bakersfield · 2017 tarihli fotoğraf","reviewer":"Codex (AI)","review_id":"T24"},"downloaded_at":"2026-10-23T21:29:18.973372+00:00","download_sha256":"1dc7bedd171e1828d026974e6d9ba40bcb54177645d77fd61ddeef2393956cb3","downloaded_file":"downloads/1dc7bedd171e1828d026974e6d9ba40bcb54177645d77fd61ddeef2393956cb3.jpg","acquisition_file":"9889afae4482867f9aeceb6a.webp","commons_filename":"Hardt Field (CSU Bakersfield).jpg","original_file_url":"https://upload.wikimedia.org/wikipedia/commons/3/32/Hardt_Field_%28CSU_Bakersfield%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dönüştürüldü.","photo_attribution":{"author_url":"https://commons.wikimedia.org/wiki/User:Spatms","modifications":"EXIF yönü uygulandı; boyut küçültülüp WebP biçimine dönüştürüldü.","original_file_url":"https://upload.wikimedia.org/wikipedia/commons/3/32/Hardt_Field_%28CSU_Bakersfield%29.jpg?utm_source=commons.wikimedia.org&amp;utm_campaign=imageinfo&amp;utm_content=original"},"metadata_reviewed_on":"2026-10-24","metadata_review_status":"verified"}}</x:v>
      </x:c>
    </x:row>
    <x:row r="21" ht="300" customHeight="1">
      <x:c r="A21" s="29" t="str">
        <x:v>bakersfield:evidence:venue-21986</x:v>
      </x:c>
      <x:c r="B21" s="29" t="str">
        <x:v>bakersfield</x:v>
      </x:c>
      <x:c r="C21" s="29" t="str">
        <x:v>bakersfield:photo:venue-21986</x:v>
      </x:c>
      <x:c r="D21" s="29" t="str">
        <x:v>https://commons.wikimedia.org/wiki/File:Hardt_Field_(Cal_State_Bakersfield).jpg</x:v>
      </x:c>
      <x:c r="E21" s="29" t="str">
        <x:v>Hardt Field (Cal State Bakersfield).jpg</x:v>
      </x:c>
      <x:c r="F21" s="29" t="str">
        <x:v>Spatms</x:v>
      </x:c>
      <x:c r="G21" s="29" t="str">
        <x:v>CC BY-SA 4.0</x:v>
      </x:c>
      <x:c r="H21" s="29" t="str">
        <x:v>https://creativecommons.org/licenses/by-sa/4.0</x:v>
      </x:c>
      <x:c r="I21" s="29" t="str">
        <x:v>Creative Commons Attribution-Share Alike 4.0</x:v>
      </x:c>
      <x:c r="J21" s="29" t="str">
        <x:v>Hardt Field (Cal State Bakersfield).jpg · Spatms · CC BY-SA 4.0 · https://commons.wikimedia.org/wiki/File:Hardt_Field_(Cal_State_Bakersfield).jpg</x:v>
      </x:c>
      <x:c r="K2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 s="31" t="d">
        <x:v>2026-10-24T00:00:00.000Z</x:v>
      </x:c>
      <x:c r="M21" s="29" t="str">
        <x:v>Doğrulandı</x:v>
      </x:c>
      <x:c r="N21" s="29" t="str">
        <x:v>Doğrulandı</x:v>
      </x:c>
      <x:c r="O21" s="29" t="str">
        <x:v>Fotoğraflar/bk-b1bcc3869e6691dc05cd93df.webp</x:v>
      </x:c>
      <x:c r="P21" s="29" t="str">
        <x:v>Hardt Field – CSU Bakersfield · 2017 tarihli fotoğraf · İndirilen kare temas sayfasında görüldü; kaynak mekân kimliğiyle eşleştirildi. Seçim kaydı final-pixel-review.json.</x:v>
      </x:c>
      <x:c r="Q21" s="29" t="str">
        <x:v>Bu kare için uygun</x:v>
      </x:c>
      <x:c r="R2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 s="29" t="str">
        <x:v>Lisans kanıtları/bk-b1bcc3869e6691dc05cd93df.source-evidence.json</x:v>
      </x:c>
      <x:c r="T21" s="29" t="str">
        <x:v>0bd97a4f9ad95763607092ce17ce13138f8139a92075125d8f84c8ce82a89cac</x:v>
      </x:c>
      <x:c r="U21" s="29" t="str">
        <x:v>Lisans kanıtları/bk-b1bcc3869e6691dc05cd93df.license-record.json</x:v>
      </x:c>
      <x:c r="V21" s="29" t="str">
        <x:v>689156a083ae1e316ebf49530c22ebb13047d25ae47aec792bcbc796d46e2914</x:v>
      </x:c>
      <x:c r="W21" s="29" t="str">
        <x:v>{"file":"bk-b1bcc3869e6691dc05cd93df.webp","width":1280,"author":"Spatms","height":720,"sha256":"b1bcc3869e6691dc05cd93df1b8d40a68b0a4b050b188e966574bb81df3f341f","license":"CC BY-SA 4.0","imageinfo":{"url":"https://upload.wikimedia.org/wikipedia/commons/3/37/Hardt_Field_%28Cal_State_Bakersfield%29.jpg?utm_source=commons.wikimedia.org&amp;utm_campaign=imageinfo&amp;utm_content=original","mime":"image/jpeg","sha1":"4d8b25ea45d173e73ab7e8e39340576aef65a0e2","size":3275126,"width":5312,"height":2988,"pageid":63457672,"thumburl":"https://thumb.wikimedia.org/wikipedia/commons/thumb/3/37/Hardt_Field_%28Cal_State_Bakersfield%29.jpg/1280px-Hardt_Field_%28Cal_State_Bakersfield%29.jpg?utm_source=commons.wikimedia.org&amp;utm_campaign=imageinfo&amp;utm_content=thumbnail","timestamp":"2017-10-19T03:34:06Z","thumbwidth":1280,"extmetadata":{"Artist":{"value":"&lt;a href=\"//commons.wikimedia.org/wiki/User:Spatms\" title=\"User:Spatms\"&gt;Spatms&lt;/a&gt;","source":"commons-desc-page"},"Credit":{"value":"&lt;span class=\"int-own-work\" lang=\"en\"&gt;Own work&lt;/span&gt;","source":"commons-desc-page"},"License":{"value":"cc-by-sa-4.0","hidden":"","source":"commons-templates"},"DateTime":{"value":"2017-10-19 03:34:06","hidden":"","source":"mediawiki-metadata"},"Categories":{"value":"Self-published work|Hardt Field","hidden":"","source":"commons-categories"},"LicenseUrl":{"value":"https://creativecommons.org/licenses/by-sa/4.0","source":"commons-desc-page"},"ObjectName":{"value":"Hardt Field (Cal State Bakersfield)","source":"mediawiki-metadata"},"UsageTerms":{"value":"Creative Commons Attribution-Share Alike 4.0","source":"commons-desc-page"},"Assessments":{"value":"","hidden":"","source":"commons-categories"},"Copyrighted":{"value":"True","hidden":"","source":"commons-desc-page"},"Restrictions":{"value":"","hidden":"","source":"commons-desc-page"},"DateTimeOriginal":{"value":"2017-10-14 15:13:30","source":"commons-desc-page"},"ImageDescription":{"value":"Hardt Field (Cal State Bakersfield)","source":"commons-desc-page"},"LicenseShortName":{"value":"CC BY-SA 4.0","hidden":"","source":"commons-desc-page"},"AttributionRequired":{"value":"true","hidden":"","source":"commons-desc-page"},"CommonsMetadataExtension":{"value":1.2,"hidden":"","source":"extension"}},"thumbheight":720,"thumbattribs":{"src":"https://thumb.wikimedia.org/wikipedia/commons/thumb/3/37/Hardt_Field_%28Cal_State_Bakersfield%29.jpg/1280px-Hardt_Field_%28Cal_State_Bakersfield%29.jpg?utm_source=commons.wikimedia.org&amp;utm_campaign=imageinfo&amp;utm_content=thumbnail","width":1280,"height":720,"srcset":"https://thumb.wikimedia.org/wikipedia/commons/thumb/3/37/Hardt_Field_%28Cal_State_Bakersfield%29.jpg/3840px-Hardt_Field_%28Cal_State_Bakersfield%29.jpg?utm_source=commons.wikimedia.org&amp;utm_campaign=imageinfo&amp;utm_content=thumbnail 2x","loading":"lazy","decoding":"async"},"descriptionurl":"https://commons.wikimedia.org/wiki/File:Hardt_Field_(Cal_State_Bakersfield).jpg","responsiveUrls":{"2":"https://thumb.wikimedia.org/wikipedia/commons/thumb/3/37/Hardt_Field_%28Cal_State_Bakersfield%29.jpg/3840px-Hardt_Field_%28Cal_State_Bakersfield%29.jpg?utm_source=commons.wikimedia.org&amp;utm_campaign=imageinfo&amp;utm_content=thumbnail"},"descriptionshorturl":"https://commons.wikimedia.org/w/index.php?curid=63457672"},"selection":{"qid":"pending","kind":"candidate","title":"Bakersfield alternatives"},"author_url":"https://commons.wikimedia.org/wiki/User:Spatms","derivative":"Wikimedia thumbnail decoded; EXIF orientation applied; converted to WebP quality 86; no generated pixels, no cropping.","source_url":"https://commons.wikimedia.org/wiki/File:Hardt_Field_(Cal_State_Bakersfield).jpg","author_urls":["https://commons.wikimedia.org/wiki/User:Spatms"],"description":"Hardt Field (Cal State Bakersfield)","license_url":"https://creativecommons.org/licenses/by-sa/4.0","reviewed_on":"2026-10-24","capture_date":"2017-10-14 15:13:30","download_url":"https://thumb.wikimedia.org/wikipedia/commons/thumb/3/37/Hardt_Field_%28Cal_State_Bakersfield%29.jpg/1280px-Hardt_Field_%28Cal_State_Bakersfield%29.jpg?utm_source=commons.wikimedia.org&amp;utm_campaign=imageinfo&amp;utm_content=thumbnail","original_url":"https://upload.wikimedia.org/wikipedia/commons/3/37/Hardt_Field_%28Cal_State_Bakersfield%29.jpg?utm_source=commons.wikimedia.org&amp;utm_campaign=imageinfo&amp;utm_content=original","pixel_review":{"method":"İndirilen kare temas sayfasında görüldü; kaynak mekân kimliğiyle eşleştirildi. Seçim kaydı final-pixel-review.json.","status":"verified","caption":"Hardt Field – CSU Bakersfield · 2017 tarihli fotoğraf","reviewer":"Codex (AI)","review_id":"T25"},"downloaded_at":"2026-10-23T21:29:20.130401+00:00","download_sha256":"55c48c238c910483ea2600713464806ff6cc6559e8a26ba06c7388605de185a5","downloaded_file":"downloads/55c48c238c910483ea2600713464806ff6cc6559e8a26ba06c7388605de185a5.jpg","acquisition_file":"81eeff105a90ffe38a57dcc9.webp","commons_filename":"Hardt Field (Cal State Bakersfield).jpg","original_file_url":"https://upload.wikimedia.org/wikipedia/commons/3/37/Hardt_Field_%28Cal_State_Bakersfield%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dönüştürüldü.","photo_attribution":{"author_url":"https://commons.wikimedia.org/wiki/User:Spatms","modifications":"EXIF yönü uygulandı; boyut küçültülüp WebP biçimine dönüştürüldü.","original_file_url":"https://upload.wikimedia.org/wikipedia/commons/3/37/Hardt_Field_%28Cal_State_Bakersfield%29.jpg?utm_source=commons.wikimedia.org&amp;utm_campaign=imageinfo&amp;utm_content=original"},"metadata_reviewed_on":"2026-10-24","metadata_review_status":"verified"}}</x:v>
      </x:c>
    </x:row>
    <x:row r="22" ht="300" customHeight="1">
      <x:c r="A22" s="29" t="str">
        <x:v>bakersfield:evidence:venue-21987</x:v>
      </x:c>
      <x:c r="B22" s="29" t="str">
        <x:v>bakersfield</x:v>
      </x:c>
      <x:c r="C22" s="29" t="str">
        <x:v>bakersfield:photo:venue-21987</x:v>
      </x:c>
      <x:c r="D22" s="29" t="str">
        <x:v>https://www.flickr.com/photos/8106459@N07/4104376453/</x:v>
      </x:c>
      <x:c r="E22" s="29" t="str">
        <x:v>CALM – California Living Museum · 2009 tarihli fotoğraf</x:v>
      </x:c>
      <x:c r="F22" s="29" t="str">
        <x:v>David~O</x:v>
      </x:c>
      <x:c r="G22" s="29" t="str">
        <x:v>CC BY 2.0</x:v>
      </x:c>
      <x:c r="H22" s="29" t="str">
        <x:v>https://creativecommons.org/licenses/by/2.0/</x:v>
      </x:c>
      <x:c r="I22" s="29" t="str">
        <x:v>CC BY 2.0</x:v>
      </x:c>
      <x:c r="J22" s="29" t="str">
        <x:v>CALM – California Living Museum · 2009 tarihli fotoğraf · David~O · CC BY 2.0 · https://www.flickr.com/photos/8106459@N07/4104376453/</x:v>
      </x:c>
      <x:c r="K2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 s="31" t="d">
        <x:v>2026-10-24T00:00:00.000Z</x:v>
      </x:c>
      <x:c r="M22" s="29" t="str">
        <x:v>Doğrulandı</x:v>
      </x:c>
      <x:c r="N22" s="29" t="str">
        <x:v>Doğrulandı</x:v>
      </x:c>
      <x:c r="O22" s="29" t="str">
        <x:v>Fotoğraflar/bk-6be601578f3a7b7eeba2fcfa.webp</x:v>
      </x:c>
      <x:c r="P22" s="29" t="str">
        <x:v>CALM – California Living Museum · 2009 tarihli fotoğraf · İndirilen kare temas sayfasında görüldü; kaynak mekân kimliğiyle eşleştirildi. Seçim kaydı final-pixel-review.json.</x:v>
      </x:c>
      <x:c r="Q22" s="29" t="str">
        <x:v>Bu kare için uygun</x:v>
      </x:c>
      <x:c r="R2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 s="29" t="str">
        <x:v>Lisans kanıtları/bk-6be601578f3a7b7eeba2fcfa.source-evidence.json</x:v>
      </x:c>
      <x:c r="T22" s="29" t="str">
        <x:v>0886dfedd77daa1565f42487aff02d71259d3dd46042ce84968d66593edbf9bf</x:v>
      </x:c>
      <x:c r="U22" s="29" t="str">
        <x:v>Lisans kanıtları/bk-6be601578f3a7b7eeba2fcfa.license-record.json</x:v>
      </x:c>
      <x:c r="V22" s="29" t="str">
        <x:v>e955f64bacd524f5880b937220193cb54101d4e1c8a0adbb0989273f620a1a52</x:v>
      </x:c>
      <x:c r="W22" s="29" t="str">
        <x:v>{"file":"bk-6be601578f3a7b7eeba2fcfa.webp","width":900,"author":"David~O","height":600,"sha256":"6be601578f3a7b7eeba2fcfa5694d12d13caa9697bc52e173c966dde1a415c17","status":"reviewed-selected","license":"CC BY 2.0","provider":"Flickr","review_id":"F157","source_id":"4104376453","author_url":"https://www.flickr.com/photos/8106459@N07/","date_texts":["Uploaded on November 15, 2009 Taken on November 14, 2009","Taken on November 14, 2009","Uploaded on November 15, 2009 Taken on November 14, 2009","Taken on November 14, 2009"],"source_url":"https://www.flickr.com/photos/8106459@N07/4104376453/","description":"At the California Living Museum, near Bakersfield, California","license_url":"https://creativecommons.org/licenses/by/2.0/","review_note":"Tavşan; kaynak metninde CALM konumu var, tür adı uydurulmayacak.","reviewed_on":"2026-10-24","source_text":"Comfortable Rabbit | At the California Living Museum, near B…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David~O David~O Comfortable Rabbit At the California Living Museum, near Bakersfield, California Done 1,079 views 0 faves 0 comments Uploaded on November 15, 2009 Taken on November 14, 2009 David~O By: David~O Comfortable Rabbit At the California Living Museum, near Bakersfield, California Done 1,079 views 0 faves 0 comments Uploaded on November 15, 2009 Taken on November 14,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photography.","capture_date":"2009-11-14","download_url":"https://live.staticflickr.com/2500/4104376453_263ce47e99_o.jpg","original_url":"https://live.staticflickr.com/2500/4104376453_263ce47e99_o.jpg","pixel_review":{"method":"İndirilen kare temas sayfasında görüldü; kaynak mekân kimliğiyle eşleştirildi. Seçim kaydı final-pixel-review.json.","status":"verified","caption":"CALM – California Living Museum · 2009 tarihli fotoğraf","reviewer":"Codex (AI)","review_id":"F157"},"source_title":"Comfortable Rabbit","downloaded_at":"2026-10-23T19:52:08.713070+00:00","download_sha256":"ec953d565170c9bfc797f53725a0ea65fe0767929a703853de2b5db0e5139943","downloaded_file":"downloads/ec953d565170c9bfc797f53725a0ea65fe0767929a703853de2b5db0e5139943.jpg","public_metadata":{"photo-models":[{"data":{"id":"4104376453","owner":{"data":{"id":"8106459@N07","isPro":false,"newFlow":true,"isAdFree":false,"location":null,"realname":"","segments":{"data":[],"exportMetaType":"array"},"username":"David~O","buddyicon":{"data":{"large":"//live.staticflickr.com/219/buddyicons/8106459@N07_l.jpg?1339731539#8106459@N07","small":"//live.staticflickr.com/219/buddyicons/8106459@N07_s.jpg?1339731539#8106459@N07","medium":"//live.staticflickr.com/219/buddyicons/8106459@N07_m.jpg?1339731539#8106459@N07","retina":"//live.staticflickr.com/219/buddyicons/8106459@N07_r.jpg?1339731539#8106459@N07","default":"//live.staticflickr.com/219/buddyicons/8106459@N07.jpg?1339731539#8106459@N07"},"exportMetaType":"pojo"},"dateCreated":{"data":"1178233078","exportMetaType":"serializeFunction"},"subscription":{"data":{"isPro":false,"isClosed":false,"isPastDue":false},"exportMetaType":"pojo"},"eligibleGifts":{"data":["year","month","week"],"exportMetaType":"array"},"isEligibleForGifts":true,"_flickrModelRegistry":"person-models"},"exportMetaType":"model"},"sizes":{"data":{"c":{"data":{"url":"//live.staticflickr.com/2500/4104376453_97dec9fa24_c.jpg","width":800,"height":533,"displayUrl":"//live.staticflickr.com/2500/4104376453_97dec9fa24_c.jpg"},"exportMetaType":"pojo"},"m":{"data":{"url":"//live.staticflickr.com/2500/4104376453_97dec9fa24.jpg","width":500,"height":333,"displayUrl":"//live.staticflickr.com/2500/4104376453_97dec9fa24.jpg"},"exportMetaType":"pojo"},"n":{"data":{"url":"//live.staticflickr.com/2500/4104376453_97dec9fa24_n.jpg","width":320,"height":213,"displayUrl":"//live.staticflickr.com/2500/4104376453_97dec9fa24_n.jpg"},"exportMetaType":"pojo"},"o":{"data":{"url":"//live.staticflickr.com/2500/4104376453_263ce47e99_o.jpg","width":900,"height":600,"displayUrl":"//live.staticflickr.com/2500/4104376453_263ce47e99_o.jpg"},"exportMetaType":"pojo"},"q":{"data":{"url":"//live.staticflickr.com/2500/4104376453_97dec9fa24_q.jpg","width":150,"height":150,"displayUrl":"//live.staticflickr.com/2500/4104376453_97dec9fa24_q.jpg"},"exportMetaType":"pojo"},"s":{"data":{"url":"//live.staticflickr.com/2500/4104376453_97dec9fa24_m.jpg","width":240,"height":160,"displayUrl":"//live.staticflickr.com/2500/4104376453_97dec9fa24_m.jpg"},"exportMetaType":"pojo"},"t":{"data":{"url":"//live.staticflickr.com/2500/4104376453_97dec9fa24_t.jpg","width":100,"height":67,"displayUrl":"//live.staticflickr.com/2500/4104376453_97dec9fa24_t.jpg"},"exportMetaType":"pojo"},"w":{"data":{"url":"//live.staticflickr.com/2500/4104376453_97dec9fa24_w.jpg","width":400,"height":267,"displayUrl":"//live.staticflickr.com/2500/4104376453_97dec9fa24_w.jpg"},"exportMetaType":"pojo"},"z":{"data":{"url":"//live.staticflickr.com/2500/4104376453_97dec9fa24_z.jpg","width":640,"height":427,"displayUrl":"//live.staticflickr.com/2500/4104376453_97dec9fa24_z.jpg"},"exportMetaType":"pojo"},"sq":{"data":{"url":"//live.staticflickr.com/2500/4104376453_97dec9fa24_s.jpg","width":75,"height":75,"displayUrl":"//live.staticflickr.com/2500/4104376453_97dec9fa24_s.jpg"},"exportMetaType":"pojo"}},"exportMetaType":"pojo"},"title":"Comfortable Rabbit","oWidth":900,"secret":"97dec9fa24","license":4,"oHeight":600,"rotation":0,"canAddMeta":false,"canComment":false,"engagement":{"data":{"id":"4104376453","canShare":true,"ownerNsid":"8106459@N07","reactions":{"data":{"like":{"data":{"id":"like","count":5,"canReact":true,"didViewerReact":true},"exportMetaType":"pojo"},"someOtherReaction":{"data":{"id":"someOtherReaction","count":3,"canReact":true,"didViewerReact":false},"exportMetaType":"pojo"}},"exportMetaType":"pojo"},"viewCount":1079,"canDownload":true,"_flickrModelRegistry":"photo-engagement-models"},"exportMetaType":"model"},"description":"At the California Living Museum, near Bakersfield, California","safetyLevel":0,"upgradeSizes":{"data":[],"exportMetaType":"array"},"adEligibility":{"data":{"lane":1,"labels":{"data":[],"exportMetaType":"array"},"isAdEligible":true,"highScoreLabels":{"data":[],"exportMetaType":"array"}},"exportMetaType":"pojo"},"canPublicComment":true,"_flickrModelRegistry":"photo-models"},"exportMetaType":"model"}],"photo-geo-models":[{"data":{"id":"4104376453","_flickrModelRegistry":"photo-geo-models"},"exportMetaType":"model"}],"photo-location-models":[{"data":{"id":"4104376453","geo":{"data":"~2","exportMetaType":"model"},"text":"","levels":{"data":{},"exportMetaType":"pojo"},"staticMaps":{"data":{},"exportMetaType":"pojo"},"_flickrModelRegistry":"photo-location-models"},"exportMetaType":"model"}],"photo-head-meta-models":[{"data":{"id":"4104376453","title":"Comfortable Rabbit","og:url":"https://www.flickr.com/photos/8106459@N07/4104376453/","og:type":"article","keywords":"california, ca, rabbit, animals, museum, zoo, living, calm, kern, bakersfield, lionhead","og:image":"https://live.staticflickr.com/2500/4104376453_97dec9fa24_z.jpg","og:title":"Comfortable Rabbit","twitter:card":"summary_large_image","twitter:image":"https://live.staticflickr.com/2500/4104376453_97dec9fa24_z.jpg","og:description":"At the California Living Museum, near Bakersfield, California","og:image:width":640,"og:image:height":427,"twitter:description":"At the California Living Museum, near Bakersfield, California","_flickrModelRegistry":"photo-head-meta-models","twitter:app:url:ipad":"flickr://flickr.com/photos/8106459@N07/4104376453/","twitter:app:url:iphone":"flickr://flickr.com/photos/8106459@N07/4104376453/","twitter:app:url:googleplay":"https://www.flickr.com/photos/8106459@N07/4104376453/"},"exportMetaType":"model"}],"photo-license-history-models":[]},"acquisition_file":"fl-4104376453.webp","source_html_file":"/Users/atincakcayoz/corteqs/output/bakersfield-production-20261023/flickr-source-pages/4104376453.html","original_file_url":"https://live.staticflickr.com/2500/4104376453_263ce47e99_o.jpg","proposed_identity":"CALM","source_html_sha256":"e630b98fa74b5092073e18b15830f146a26c92c3ca666c11ddea153d440593ed","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dönüştürüldü.","photo_attribution":{"author_url":"https://www.flickr.com/photos/8106459@N07/","modifications":"EXIF yönü uygulandı; boyut küçültülüp WebP biçimine dönüştürüldü.","original_file_url":"https://live.staticflickr.com/2500/4104376453_263ce47e99_o.jpg"},"metadata_reviewed_on":"2026-10-24","metadata_review_status":"verified"}}</x:v>
      </x:c>
    </x:row>
    <x:row r="23" ht="300" customHeight="1">
      <x:c r="A23" s="29" t="str">
        <x:v>bakersfield:evidence:venue-21988</x:v>
      </x:c>
      <x:c r="B23" s="29" t="str">
        <x:v>bakersfield</x:v>
      </x:c>
      <x:c r="C23" s="29" t="str">
        <x:v>bakersfield:photo:venue-21988</x:v>
      </x:c>
      <x:c r="D23" s="29" t="str">
        <x:v>https://www.flickr.com/photos/8106459@N07/4104376365/</x:v>
      </x:c>
      <x:c r="E23" s="29" t="str">
        <x:v>CALM – California Living Museum · 2009 tarihli fotoğraf</x:v>
      </x:c>
      <x:c r="F23" s="29" t="str">
        <x:v>David~O</x:v>
      </x:c>
      <x:c r="G23" s="29" t="str">
        <x:v>CC BY 2.0</x:v>
      </x:c>
      <x:c r="H23" s="29" t="str">
        <x:v>https://creativecommons.org/licenses/by/2.0/</x:v>
      </x:c>
      <x:c r="I23" s="29" t="str">
        <x:v>CC BY 2.0</x:v>
      </x:c>
      <x:c r="J23" s="29" t="str">
        <x:v>CALM – California Living Museum · 2009 tarihli fotoğraf · David~O · CC BY 2.0 · https://www.flickr.com/photos/8106459@N07/4104376365/</x:v>
      </x:c>
      <x:c r="K2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 s="31" t="d">
        <x:v>2026-10-24T00:00:00.000Z</x:v>
      </x:c>
      <x:c r="M23" s="29" t="str">
        <x:v>Doğrulandı</x:v>
      </x:c>
      <x:c r="N23" s="29" t="str">
        <x:v>Doğrulandı</x:v>
      </x:c>
      <x:c r="O23" s="29" t="str">
        <x:v>Fotoğraflar/bk-c38b25516c6550e9f415e60f.webp</x:v>
      </x:c>
      <x:c r="P23" s="29" t="str">
        <x:v>CALM – California Living Museum · 2009 tarihli fotoğraf · İndirilen kare temas sayfasında görüldü; kaynak mekân kimliğiyle eşleştirildi. Seçim kaydı final-pixel-review.json.</x:v>
      </x:c>
      <x:c r="Q23" s="29" t="str">
        <x:v>Bu kare için uygun</x:v>
      </x:c>
      <x:c r="R2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 s="29" t="str">
        <x:v>Lisans kanıtları/bk-c38b25516c6550e9f415e60f.source-evidence.json</x:v>
      </x:c>
      <x:c r="T23" s="29" t="str">
        <x:v>07d4c83c3c88309adff245e03cca9bce429c4a6377bd294bb8a1b2e454a8189e</x:v>
      </x:c>
      <x:c r="U23" s="29" t="str">
        <x:v>Lisans kanıtları/bk-c38b25516c6550e9f415e60f.license-record.json</x:v>
      </x:c>
      <x:c r="V23" s="29" t="str">
        <x:v>0b45a114330ac2d0a43c3f77d23a36dc423bc5c406b7a72b93d91397782616bb</x:v>
      </x:c>
      <x:c r="W23" s="29" t="str">
        <x:v>{"file":"bk-c38b25516c6550e9f415e60f.webp","width":900,"author":"David~O","height":600,"sha256":"c38b25516c6550e9f415e60ffc28fa426b94dc05f75dd9adc935d9204e59cce4","status":"reviewed-selected","license":"CC BY 2.0","provider":"Flickr","review_id":"F158","source_id":"4104376365","author_url":"https://www.flickr.com/photos/8106459@N07/","date_texts":["Uploaded on November 15, 2009 Taken on November 14, 2009","Taken on November 14, 2009","Uploaded on November 15, 2009 Taken on November 14, 2009","Taken on November 14, 2009"],"source_url":"https://www.flickr.com/photos/8106459@N07/4104376365/","description":"At the California living museum, near Bakersfield","license_url":"https://creativecommons.org/licenses/by/2.0/","review_note":"Kel kartal; kaynak metni ve tür kimliğiyle eşleştirilecek.","reviewed_on":"2026-10-24","source_text":"Bald Eagle | At the California living museum, near Bakersfie… | David~O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David~O David~O Bald Eagle At the California living museum, near Bakersfield Done 472 views 1 fave 0 comments Uploaded on November 15, 2009 Taken on November 14, 2009 David~O By: David~O Bald Eagle At the California living museum, near Bakersfield Done 472 views 1 fave 0 comments Uploaded on November 15, 2009 Taken on November 14,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photography.","capture_date":"2009-11-14","download_url":"https://live.staticflickr.com/2750/4104376365_0e1c5e0b7b_o.jpg","original_url":"https://live.staticflickr.com/2750/4104376365_0e1c5e0b7b_o.jpg","pixel_review":{"method":"İndirilen kare temas sayfasında görüldü; kaynak mekân kimliğiyle eşleştirildi. Seçim kaydı final-pixel-review.json.","status":"verified","caption":"CALM – California Living Museum · 2009 tarihli fotoğraf","reviewer":"Codex (AI)","review_id":"F158"},"source_title":"Bald Eagle","downloaded_at":"2026-10-23T19:52:08.808509+00:00","download_sha256":"d9e0eb1ff074ecb41a79e0d658e55d0c69e4a5c4061a87f541ec741fb13502d4","downloaded_file":"downloads/d9e0eb1ff074ecb41a79e0d658e55d0c69e4a5c4061a87f541ec741fb13502d4.jpg","public_metadata":{"photo-models":[{"data":{"id":"4104376365","owner":{"data":{"id":"8106459@N07","isPro":false,"newFlow":true,"isAdFree":false,"location":null,"realname":"","segments":{"data":[],"exportMetaType":"array"},"username":"David~O","buddyicon":{"data":{"large":"//live.staticflickr.com/219/buddyicons/8106459@N07_l.jpg?1339731539#8106459@N07","small":"//live.staticflickr.com/219/buddyicons/8106459@N07_s.jpg?1339731539#8106459@N07","medium":"//live.staticflickr.com/219/buddyicons/8106459@N07_m.jpg?1339731539#8106459@N07","retina":"//live.staticflickr.com/219/buddyicons/8106459@N07_r.jpg?1339731539#8106459@N07","default":"//live.staticflickr.com/219/buddyicons/8106459@N07.jpg?1339731539#8106459@N07"},"exportMetaType":"pojo"},"dateCreated":{"data":"1178233078","exportMetaType":"serializeFunction"},"subscription":{"data":{"isPro":false,"isClosed":false,"isPastDue":false},"exportMetaType":"pojo"},"eligibleGifts":{"data":["year","month","week"],"exportMetaType":"array"},"isEligibleForGifts":true,"_flickrModelRegistry":"person-models"},"exportMetaType":"model"},"sizes":{"data":{"c":{"data":{"url":"//live.staticflickr.com/2750/4104376365_ea3c7533bc_c.jpg","width":800,"height":533,"displayUrl":"//live.staticflickr.com/2750/4104376365_ea3c7533bc_c.jpg"},"exportMetaType":"pojo"},"m":{"data":{"url":"//live.staticflickr.com/2750/4104376365_ea3c7533bc.jpg","width":500,"height":333,"displayUrl":"//live.staticflickr.com/2750/4104376365_ea3c7533bc.jpg"},"exportMetaType":"pojo"},"n":{"data":{"url":"//live.staticflickr.com/2750/4104376365_ea3c7533bc_n.jpg","width":320,"height":213,"displayUrl":"//live.staticflickr.com/2750/4104376365_ea3c7533bc_n.jpg"},"exportMetaType":"pojo"},"o":{"data":{"url":"//live.staticflickr.com/2750/4104376365_0e1c5e0b7b_o.jpg","width":900,"height":600,"displayUrl":"//live.staticflickr.com/2750/4104376365_0e1c5e0b7b_o.jpg"},"exportMetaType":"pojo"},"q":{"data":{"url":"//live.staticflickr.com/2750/4104376365_ea3c7533bc_q.jpg","width":150,"height":150,"displayUrl":"//live.staticflickr.com/2750/4104376365_ea3c7533bc_q.jpg"},"exportMetaType":"pojo"},"s":{"data":{"url":"//live.staticflickr.com/2750/4104376365_ea3c7533bc_m.jpg","width":240,"height":160,"displayUrl":"//live.staticflickr.com/2750/4104376365_ea3c7533bc_m.jpg"},"exportMetaType":"pojo"},"t":{"data":{"url":"//live.staticflickr.com/2750/4104376365_ea3c7533bc_t.jpg","width":100,"height":67,"displayUrl":"//live.staticflickr.com/2750/4104376365_ea3c7533bc_t.jpg"},"exportMetaType":"pojo"},"w":{"data":{"url":"//live.staticflickr.com/2750/4104376365_ea3c7533bc_w.jpg","width":400,"height":267,"displayUrl":"//live.staticflickr.com/2750/4104376365_ea3c7533bc_w.jpg"},"exportMetaType":"pojo"},"z":{"data":{"url":"//live.staticflickr.com/2750/4104376365_ea3c7533bc_z.jpg","width":640,"height":427,"displayUrl":"//live.staticflickr.com/2750/4104376365_ea3c7533bc_z.jpg"},"exportMetaType":"pojo"},"sq":{"data":{"url":"//live.staticflickr.com/2750/4104376365_ea3c7533bc_s.jpg","width":75,"height":75,"displayUrl":"//live.staticflickr.com/2750/4104376365_ea3c7533bc_s.jpg"},"exportMetaType":"pojo"}},"exportMetaType":"pojo"},"title":"Bald Eagle","oWidth":900,"secret":"ea3c7533bc","license":4,"oHeight":600,"rotation":0,"canAddMeta":false,"canComment":false,"engagement":{"data":{"id":"4104376365","canShare":true,"faveCount":1,"ownerNsid":"8106459@N07","reactions":{"data":{"like":{"data":{"id":"like","count":5,"canReact":true,"didViewerReact":true},"exportMetaType":"pojo"},"someOtherReaction":{"data":{"id":"someOtherReaction","count":3,"canReact":true,"didViewerReact":false},"exportMetaType":"pojo"}},"exportMetaType":"pojo"},"viewCount":472,"canDownload":true,"_flickrModelRegistry":"photo-engagement-models"},"exportMetaType":"model"},"description":"At the California living museum, near Bakersfield","safetyLevel":0,"upgradeSizes":{"data":[],"exportMetaType":"array"},"adEligibility":{"data":{"lane":1,"labels":{"data":[],"exportMetaType":"array"},"isAdEligible":true,"highScoreLabels":{"data":[],"exportMetaType":"array"}},"exportMetaType":"pojo"},"canPublicComment":true,"_flickrModelRegistry":"photo-models"},"exportMetaType":"model"}],"photo-geo-models":[{"data":{"id":"4104376365","_flickrModelRegistry":"photo-geo-models"},"exportMetaType":"model"}],"photo-location-models":[{"data":{"id":"4104376365","geo":{"data":"~2","exportMetaType":"model"},"text":"","levels":{"data":{},"exportMetaType":"pojo"},"staticMaps":{"data":{},"exportMetaType":"pojo"},"_flickrModelRegistry":"photo-location-models"},"exportMetaType":"model"}],"photo-head-meta-models":[{"data":{"id":"4104376365","title":"Bald Eagle","og:url":"https://www.flickr.com/photos/8106459@N07/4104376365/","og:type":"article","keywords":"california, ca, animals, museum, zoo, living, eagle, bald, calm, kern, bakersfield, haliaeetusleucocephalus, avian, haliaeetus","og:image":"https://live.staticflickr.com/2750/4104376365_ea3c7533bc_z.jpg","og:title":"Bald Eagle","twitter:card":"summary_large_image","twitter:image":"https://live.staticflickr.com/2750/4104376365_ea3c7533bc_z.jpg","og:description":"At the California living museum, near Bakersfield","og:image:width":640,"og:image:height":427,"twitter:description":"At the California living museum, near Bakersfield","_flickrModelRegistry":"photo-head-meta-models","twitter:app:url:ipad":"flickr://flickr.com/photos/8106459@N07/4104376365/","twitter:app:url:iphone":"flickr://flickr.com/photos/8106459@N07/4104376365/","twitter:app:url:googleplay":"https://www.flickr.com/photos/8106459@N07/4104376365/"},"exportMetaType":"model"}],"photo-license-history-models":[]},"acquisition_file":"fl-4104376365.webp","source_html_file":"/Users/atincakcayoz/corteqs/output/bakersfield-production-20261023/flickr-source-pages/4104376365.html","original_file_url":"https://live.staticflickr.com/2750/4104376365_0e1c5e0b7b_o.jpg","proposed_identity":"CALM","source_html_sha256":"4921cc059aa06f12abc8ddaba8a197aacb23619db6ff5e8d30d5b6ac566635d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dönüştürüldü.","photo_attribution":{"author_url":"https://www.flickr.com/photos/8106459@N07/","modifications":"EXIF yönü uygulandı; boyut küçültülüp WebP biçimine dönüştürüldü.","original_file_url":"https://live.staticflickr.com/2750/4104376365_0e1c5e0b7b_o.jpg"},"metadata_reviewed_on":"2026-10-24","metadata_review_status":"verified"}}</x:v>
      </x:c>
    </x:row>
    <x:row r="24" ht="300" customHeight="1">
      <x:c r="A24" s="29" t="str">
        <x:v>bakersfield:evidence:venue-21989</x:v>
      </x:c>
      <x:c r="B24" s="29" t="str">
        <x:v>bakersfield</x:v>
      </x:c>
      <x:c r="C24" s="29" t="str">
        <x:v>bakersfield:photo:venue-21989</x:v>
      </x:c>
      <x:c r="D24" s="29" t="str">
        <x:v>https://www.flickr.com/photos/8106459@N07/4105142556/</x:v>
      </x:c>
      <x:c r="E24" s="29" t="str">
        <x:v>CALM – California Living Museum · 2009 tarihli fotoğraf</x:v>
      </x:c>
      <x:c r="F24" s="29" t="str">
        <x:v>David~O</x:v>
      </x:c>
      <x:c r="G24" s="29" t="str">
        <x:v>CC BY 2.0</x:v>
      </x:c>
      <x:c r="H24" s="29" t="str">
        <x:v>https://creativecommons.org/licenses/by/2.0/</x:v>
      </x:c>
      <x:c r="I24" s="29" t="str">
        <x:v>CC BY 2.0</x:v>
      </x:c>
      <x:c r="J24" s="29" t="str">
        <x:v>CALM – California Living Museum · 2009 tarihli fotoğraf · David~O · CC BY 2.0 · https://www.flickr.com/photos/8106459@N07/4105142556/</x:v>
      </x:c>
      <x:c r="K2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 s="31" t="d">
        <x:v>2026-10-24T00:00:00.000Z</x:v>
      </x:c>
      <x:c r="M24" s="29" t="str">
        <x:v>Doğrulandı</x:v>
      </x:c>
      <x:c r="N24" s="29" t="str">
        <x:v>Doğrulandı</x:v>
      </x:c>
      <x:c r="O24" s="29" t="str">
        <x:v>Fotoğraflar/bk-6e34a339a50a0631adc17384.webp</x:v>
      </x:c>
      <x:c r="P24" s="29" t="str">
        <x:v>CALM – California Living Museum · 2009 tarihli fotoğraf · İndirilen kare temas sayfasında görüldü; kaynak mekân kimliğiyle eşleştirildi. Seçim kaydı final-pixel-review.json.</x:v>
      </x:c>
      <x:c r="Q24" s="29" t="str">
        <x:v>Bu kare için uygun</x:v>
      </x:c>
      <x:c r="R2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 s="29" t="str">
        <x:v>Lisans kanıtları/bk-6e34a339a50a0631adc17384.source-evidence.json</x:v>
      </x:c>
      <x:c r="T24" s="29" t="str">
        <x:v>62eb5e1b25f0e5421eef43228e7ad6f5fbf73d63b71acf8a5a70b0f09dff2b93</x:v>
      </x:c>
      <x:c r="U24" s="29" t="str">
        <x:v>Lisans kanıtları/bk-6e34a339a50a0631adc17384.license-record.json</x:v>
      </x:c>
      <x:c r="V24" s="29" t="str">
        <x:v>5ea0fbbebc40c43977e6244c61249714dd94a7bf89461f8e5d51ba30fd2af991</x:v>
      </x:c>
      <x:c r="W24" s="29" t="str">
        <x:v>{"file":"bk-6e34a339a50a0631adc17384.webp","width":900,"author":"David~O","height":600,"sha256":"6e34a339a50a0631adc17384776c6e42feaed2124322d15e877d35364a13e436","status":"reviewed-selected","license":"CC BY 2.0","provider":"Flickr","review_id":"F161","source_id":"4105142556","author_url":"https://www.flickr.com/photos/8106459@N07/","date_texts":["Uploaded on November 15, 2009 Taken on November 14, 2009","Taken on November 14, 2009","Uploaded on November 15, 2009 Taken on November 14, 2009","Taken on November 14, 2009"],"source_url":"https://www.flickr.com/photos/8106459@N07/4105142556/","description":"","license_url":"https://creativecommons.org/licenses/by/2.0/","review_note":"Hayvan alanındaki at ve tavuk; kaynak konumu gerekli.","reviewed_on":"2026-10-24","source_text":"Friends | David~O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David~O David~O Friends Done 358 views 0 faves 1 comment Uploaded on November 15, 2009 Taken on November 14, 2009 David~O By: David~O Friends Done 358 views 0 faves 1 comment Uploaded on November 15, 2009 Taken on November 14,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photography.","capture_date":"2009-11-14","download_url":"https://live.staticflickr.com/2768/4105142556_2811d09dc5_o.jpg","original_url":"https://live.staticflickr.com/2768/4105142556_2811d09dc5_o.jpg","pixel_review":{"method":"İndirilen kare temas sayfasında görüldü; kaynak mekân kimliğiyle eşleştirildi. Seçim kaydı final-pixel-review.json.","status":"verified","caption":"CALM – California Living Museum · 2009 tarihli fotoğraf","reviewer":"Codex (AI)","review_id":"F161"},"source_title":"Friends","downloaded_at":"2026-10-23T19:52:10.147053+00:00","download_sha256":"2e5f01377b35f0cb4fea9824bdd1f7093ed72ebf9179dc536261be01c812da2e","downloaded_file":"downloads/2e5f01377b35f0cb4fea9824bdd1f7093ed72ebf9179dc536261be01c812da2e.jpg","public_metadata":{"photo-models":[{"data":{"id":"4105142556","owner":{"data":{"id":"8106459@N07","isPro":false,"newFlow":true,"isAdFree":false,"location":null,"realname":"","segments":{"data":[],"exportMetaType":"array"},"username":"David~O","buddyicon":{"data":{"large":"//live.staticflickr.com/219/buddyicons/8106459@N07_l.jpg?1339731539#8106459@N07","small":"//live.staticflickr.com/219/buddyicons/8106459@N07_s.jpg?1339731539#8106459@N07","medium":"//live.staticflickr.com/219/buddyicons/8106459@N07_m.jpg?1339731539#8106459@N07","retina":"//live.staticflickr.com/219/buddyicons/8106459@N07_r.jpg?1339731539#8106459@N07","default":"//live.staticflickr.com/219/buddyicons/8106459@N07.jpg?1339731539#8106459@N07"},"exportMetaType":"pojo"},"dateCreated":{"data":"1178233078","exportMetaType":"serializeFunction"},"subscription":{"data":{"isPro":false,"isClosed":false,"isPastDue":false},"exportMetaType":"pojo"},"eligibleGifts":{"data":["year","month","week"],"exportMetaType":"array"},"isEligibleForGifts":true,"_flickrModelRegistry":"person-models"},"exportMetaType":"model"},"sizes":{"data":{"c":{"data":{"url":"//live.staticflickr.com/2768/4105142556_5d1a414905_c.jpg","width":800,"height":533,"displayUrl":"//live.staticflickr.com/2768/4105142556_5d1a414905_c.jpg"},"exportMetaType":"pojo"},"m":{"data":{"url":"//live.staticflickr.com/2768/4105142556_5d1a414905.jpg","width":500,"height":333,"displayUrl":"//live.staticflickr.com/2768/4105142556_5d1a414905.jpg"},"exportMetaType":"pojo"},"n":{"data":{"url":"//live.staticflickr.com/2768/4105142556_5d1a414905_n.jpg","width":320,"height":213,"displayUrl":"//live.staticflickr.com/2768/4105142556_5d1a414905_n.jpg"},"exportMetaType":"pojo"},"o":{"data":{"url":"//live.staticflickr.com/2768/4105142556_2811d09dc5_o.jpg","width":900,"height":600,"displayUrl":"//live.staticflickr.com/2768/4105142556_2811d09dc5_o.jpg"},"exportMetaType":"pojo"},"q":{"data":{"url":"//live.staticflickr.com/2768/4105142556_5d1a414905_q.jpg","width":150,"height":150,"displayUrl":"//live.staticflickr.com/2768/4105142556_5d1a414905_q.jpg"},"exportMetaType":"pojo"},"s":{"data":{"url":"//live.staticflickr.com/2768/4105142556_5d1a414905_m.jpg","width":240,"height":160,"displayUrl":"//live.staticflickr.com/2768/4105142556_5d1a414905_m.jpg"},"exportMetaType":"pojo"},"t":{"data":{"url":"//live.staticflickr.com/2768/4105142556_5d1a414905_t.jpg","width":100,"height":67,"displayUrl":"//live.staticflickr.com/2768/4105142556_5d1a414905_t.jpg"},"exportMetaType":"pojo"},"w":{"data":{"url":"//live.staticflickr.com/2768/4105142556_5d1a414905_w.jpg","width":400,"height":267,"displayUrl":"//live.staticflickr.com/2768/4105142556_5d1a414905_w.jpg"},"exportMetaType":"pojo"},"z":{"data":{"url":"//live.staticflickr.com/2768/4105142556_5d1a414905_z.jpg","width":640,"height":427,"displayUrl":"//live.staticflickr.com/2768/4105142556_5d1a414905_z.jpg"},"exportMetaType":"pojo"},"sq":{"data":{"url":"//live.staticflickr.com/2768/4105142556_5d1a414905_s.jpg","width":75,"height":75,"displayUrl":"//live.staticflickr.com/2768/4105142556_5d1a414905_s.jpg"},"exportMetaType":"pojo"}},"exportMetaType":"pojo"},"title":"Friends","oWidth":900,"secret":"5d1a414905","license":4,"oHeight":600,"rotation":0,"canAddMeta":false,"canComment":false,"engagement":{"data":{"id":"4105142556","canShare":true,"ownerNsid":"8106459@N07","reactions":{"data":{"like":{"data":{"id":"like","count":5,"canReact":true,"didViewerReact":true},"exportMetaType":"pojo"},"someOtherReaction":{"data":{"id":"someOtherReaction","count":3,"canReact":true,"didViewerReact":false},"exportMetaType":"pojo"}},"exportMetaType":"pojo"},"viewCount":358,"canDownload":true,"commentCount":1,"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4105142556","_flickrModelRegistry":"photo-geo-models"},"exportMetaType":"model"}],"photo-location-models":[{"data":{"id":"4105142556","geo":{"data":"~2","exportMetaType":"model"},"text":"","levels":{"data":{},"exportMetaType":"pojo"},"staticMaps":{"data":{},"exportMetaType":"pojo"},"_flickrModelRegistry":"photo-location-models"},"exportMetaType":"model"}],"photo-head-meta-models":[{"data":{"id":"4105142556","title":"Friends","og:url":"https://www.flickr.com/photos/8106459@N07/4105142556/","og:type":"article","keywords":"california, ca, horse, chicken, animals, museum, zoo, living, calm, kern, rooster, bakersfield","og:image":"https://live.staticflickr.com/2768/4105142556_5d1a414905_z.jpg","og:title":"Friends","twitter:card":"summary_large_image","twitter:image":"https://live.staticflickr.com/2768/4105142556_5d1a414905_z.jpg","og:description":"","og:image:width":640,"og:image:height":427,"twitter:description":"Explore David~O's 776 photos on Flickr!","_flickrModelRegistry":"photo-head-meta-models","twitter:app:url:ipad":"flickr://flickr.com/photos/8106459@N07/4105142556/","twitter:app:url:iphone":"flickr://flickr.com/photos/8106459@N07/4105142556/","twitter:app:url:googleplay":"https://www.flickr.com/photos/8106459@N07/4105142556/"},"exportMetaType":"model"}],"photo-license-history-models":[]},"acquisition_file":"fl-4105142556.webp","source_html_file":"/Users/atincakcayoz/corteqs/output/bakersfield-production-20261023/flickr-source-pages/4105142556.html","original_file_url":"https://live.staticflickr.com/2768/4105142556_2811d09dc5_o.jpg","proposed_identity":"CALM","source_html_sha256":"95f033c0f895a5706aab67f354ffc1573b169ddb33bee2b677ec0b4e6a6b4b67","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dönüştürüldü.","photo_attribution":{"author_url":"https://www.flickr.com/photos/8106459@N07/","modifications":"EXIF yönü uygulandı; boyut küçültülüp WebP biçimine dönüştürüldü.","original_file_url":"https://live.staticflickr.com/2768/4105142556_2811d09dc5_o.jpg"},"metadata_reviewed_on":"2026-10-24","metadata_review_status":"verified"}}</x:v>
      </x:c>
    </x:row>
    <x:row r="25" ht="300" customHeight="1">
      <x:c r="A25" s="29" t="str">
        <x:v>bakersfield:evidence:venue-21990</x:v>
      </x:c>
      <x:c r="B25" s="29" t="str">
        <x:v>bakersfield</x:v>
      </x:c>
      <x:c r="C25" s="29" t="str">
        <x:v>bakersfield:photo:venue-21990</x:v>
      </x:c>
      <x:c r="D25" s="29" t="str">
        <x:v>https://commons.wikimedia.org/wiki/File:Fox_Theater_-_Bakersfield,_CA_-_DSC00462.jpg</x:v>
      </x:c>
      <x:c r="E25" s="29" t="str">
        <x:v>Fox Theater - Bakersfield, CA - DSC00462.jpg</x:v>
      </x:c>
      <x:c r="F25" s="29" t="str">
        <x:v>Daderot</x:v>
      </x:c>
      <x:c r="G25" s="29" t="str">
        <x:v>CC0 1.0</x:v>
      </x:c>
      <x:c r="H25" s="29" t="str">
        <x:v>https://creativecommons.org/publicdomain/zero/1.0/</x:v>
      </x:c>
      <x:c r="I25" s="29" t="str">
        <x:v>Creative Commons Zero, Public Domain Dedication</x:v>
      </x:c>
      <x:c r="J25" s="29" t="str">
        <x:v>Fox Theater - Bakersfield, CA - DSC00462.jpg · Daderot · CC0 1.0 · https://commons.wikimedia.org/wiki/File:Fox_Theater_-_Bakersfield,_CA_-_DSC00462.jpg</x:v>
      </x:c>
      <x:c r="K2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 s="31" t="d">
        <x:v>2026-10-24T00:00:00.000Z</x:v>
      </x:c>
      <x:c r="M25" s="29" t="str">
        <x:v>Doğrulandı</x:v>
      </x:c>
      <x:c r="N25" s="29" t="str">
        <x:v>Doğrulandı</x:v>
      </x:c>
      <x:c r="O25" s="29" t="str">
        <x:v>Fotoğraflar/bk-6349205a7e370536e7a3f979.webp</x:v>
      </x:c>
      <x:c r="P25" s="29" t="str">
        <x:v>Downtown · 2026 tarihli fotoğraf · İndirilen kare temas sayfasında görüldü; kaynak mekân kimliğiyle eşleştirildi. Seçim kaydı final-pixel-review.json.</x:v>
      </x:c>
      <x:c r="Q25" s="29" t="str">
        <x:v>Bu kare için uygun</x:v>
      </x:c>
      <x:c r="R2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 s="29" t="str">
        <x:v>Lisans kanıtları/bk-6349205a7e370536e7a3f979.source-evidence.json</x:v>
      </x:c>
      <x:c r="T25" s="29" t="str">
        <x:v>086db124fe8d973907a03b5a68dea45d3898cf1fc79bde26116a169ce7e8fa01</x:v>
      </x:c>
      <x:c r="U25" s="29" t="str">
        <x:v>Lisans kanıtları/bk-6349205a7e370536e7a3f979.license-record.json</x:v>
      </x:c>
      <x:c r="V25" s="29" t="str">
        <x:v>ee3991bb0ab6c3c50f76277d44a4bd600de685d97a45e6ee7356039496e43e92</x:v>
      </x:c>
      <x:c r="W25" s="29" t="str">
        <x:v>{"file":"bk-6349205a7e370536e7a3f979.webp","width":960,"author":"Daderot","height":1440,"sha256":"6349205a7e370536e7a3f97964462f0021b160d7f3a6e2e8d1d459a2e26335a8","license":"CC0 1.0","imageinfo":{"url":"https://upload.wikimedia.org/wikipedia/commons/b/b2/Fox_Theater_-_Bakersfield%2C_CA_-_DSC00462.jpg?utm_source=commons.wikimedia.org&amp;utm_campaign=imageinfo&amp;utm_content=original","mime":"image/jpeg","sha1":"eaadb8641aa1b9c22d4b24af4f10eb491efdafef","size":3065088,"width":3498,"height":5247,"pageid":196520545,"thumburl":"https://thumb.wikimedia.org/wikipedia/commons/thumb/b/b2/Fox_Theater_-_Bakersfield%2C_CA_-_DSC00462.jpg/1280px-Fox_Theater_-_Bakersfield%2C_CA_-_DSC00462.jpg?utm_source=commons.wikimedia.org&amp;utm_campaign=imageinfo&amp;utm_content=thumbnail","timestamp":"2026-07-30T14:34:04Z","thumbwidth":1280,"extmetadata":{"Artist":{"value":"&lt;a href=\"//commons.wikimedia.org/wiki/User:Daderot\" title=\"User:Daderot\"&gt;Daderot&lt;/a&gt;","source":"commons-desc-page"},"Credit":{"value":"&lt;span class=\"int-own-work\" lang=\"en\"&gt;Own work&lt;/span&gt;","source":"commons-desc-page"},"License":{"value":"cc0","hidden":"","source":"commons-templates"},"DateTime":{"value":"2026-07-30 14:34:04","hidden":"","source":"mediawiki-metadata"},"Categories":{"value":"CC-Zero|Fox Theater (Bakersfield, California)|Self-published work","hidden":"","source":"commons-categories"},"LicenseUrl":{"value":"http://creativecommons.org/publicdomain/zero/1.0/deed.en","source":"commons-desc-page"},"ObjectName":{"value":"Fox Theater - Bakersfield, CA - DSC00462","source":"mediawiki-metadata"},"UsageTerms":{"value":"Creative Commons Zero, Public Domain Dedication","source":"commons-desc-page"},"Assessments":{"value":"","hidden":"","source":"commons-categories"},"Copyrighted":{"value":"True","hidden":"","source":"commons-desc-page"},"Restrictions":{"value":"","hidden":"","source":"commons-desc-page"},"DateTimeOriginal":{"value":"2026-05-27 17:48:53","source":"commons-desc-page"},"ImageDescription":{"value":"Fox Theater - Bakersfield, California, USA.","source":"commons-desc-page"},"LicenseShortName":{"value":"CC0","hidden":"","source":"commons-desc-page"},"AttributionRequired":{"value":"false","hidden":"","source":"commons-desc-page"},"CommonsMetadataExtension":{"value":1.2,"hidden":"","source":"extension"}},"thumbheight":1920,"thumbattribs":{"src":"https://thumb.wikimedia.org/wikipedia/commons/thumb/b/b2/Fox_Theater_-_Bakersfield%2C_CA_-_DSC00462.jpg/1280px-Fox_Theater_-_Bakersfield%2C_CA_-_DSC00462.jpg?utm_source=commons.wikimedia.org&amp;utm_campaign=imageinfo&amp;utm_content=thumbnail","width":1280,"height":1920,"srcset":"https://upload.wikimedia.org/wikipedia/commons/b/b2/Fox_Theater_-_Bakersfield%2C_CA_-_DSC00462.jpg?utm_source=commons.wikimedia.org&amp;utm_campaign=imageinfo&amp;utm_content=thumbnail_unscaled 2x","loading":"lazy","decoding":"async"},"descriptionurl":"https://commons.wikimedia.org/wiki/File:Fox_Theater_-_Bakersfield,_CA_-_DSC00462.jpg","responsiveUrls":{"2":"https://upload.wikimedia.org/wikipedia/commons/b/b2/Fox_Theater_-_Bakersfield%2C_CA_-_DSC00462.jpg?utm_source=commons.wikimedia.org&amp;utm_campaign=imageinfo&amp;utm_content=thumbnail_unscaled"},"descriptionshorturl":"https://commons.wikimedia.org/w/index.php?curid=196520545"},"selection":{"qid":"pending","kind":"candidate","title":"Bakersfield local buildings"},"author_url":"https://commons.wikimedia.org/wiki/User:Daderot","derivative":"Wikimedia thumbnail decoded; EXIF orientation applied; converted to WebP quality 86; no generated pixels, no cropping.","source_url":"https://commons.wikimedia.org/wiki/File:Fox_Theater_-_Bakersfield,_CA_-_DSC00462.jpg","author_urls":["https://commons.wikimedia.org/wiki/User:Daderot"],"description":"Fox Theater - Bakersfield, California, USA.","license_url":"https://creativecommons.org/publicdomain/zero/1.0/","reviewed_on":"2026-10-24","capture_date":"2026-05-27 17:48:53","download_url":"https://thumb.wikimedia.org/wikipedia/commons/thumb/b/b2/Fox_Theater_-_Bakersfield%2C_CA_-_DSC00462.jpg/1280px-Fox_Theater_-_Bakersfield%2C_CA_-_DSC00462.jpg?utm_source=commons.wikimedia.org&amp;utm_campaign=imageinfo&amp;utm_content=thumbnail","original_url":"https://upload.wikimedia.org/wikipedia/commons/b/b2/Fox_Theater_-_Bakersfield%2C_CA_-_DSC00462.jpg?utm_source=commons.wikimedia.org&amp;utm_campaign=imageinfo&amp;utm_content=original","pixel_review":{"method":"İndirilen kare temas sayfasında görüldü; kaynak mekân kimliğiyle eşleştirildi. Seçim kaydı final-pixel-review.json.","status":"verified","caption":"Downtown · 2026 tarihli fotoğraf","reviewer":"Codex (AI)","review_id":"C129"},"downloaded_at":"2026-10-23T19:08:23.678890+00:00","download_sha256":"2ae9dc4cc51c1df8886464fb791e76ffb323516745d474f480de6140cf5a62f8","downloaded_file":"downloads/2ae9dc4cc51c1df8886464fb791e76ffb323516745d474f480de6140cf5a62f8.jpg","acquisition_file":"a5c14e2bc5ea508c25791f2f.webp","commons_filename":"Fox Theater - Bakersfield, CA - DSC00462.jpg","original_file_url":"https://upload.wikimedia.org/wikipedia/commons/b/b2/Fox_Theater_-_Bakersfield%2C_CA_-_DSC00462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b/b2/Fox_Theater_-_Bakersfield%2C_CA_-_DSC00462.jpg?utm_source=commons.wikimedia.org&amp;utm_campaign=imageinfo&amp;utm_content=original"},"metadata_reviewed_on":"2026-10-24","metadata_review_status":"verified"}}</x:v>
      </x:c>
    </x:row>
    <x:row r="26" ht="300" customHeight="1">
      <x:c r="A26" s="29" t="str">
        <x:v>bakersfield:evidence:venue-21991</x:v>
      </x:c>
      <x:c r="B26" s="29" t="str">
        <x:v>bakersfield</x:v>
      </x:c>
      <x:c r="C26" s="29" t="str">
        <x:v>bakersfield:photo:venue-21991</x:v>
      </x:c>
      <x:c r="D26" s="29" t="str">
        <x:v>https://commons.wikimedia.org/wiki/File:Fox_Theater_-_Bakersfield,_CA_-_DSC00466.jpg</x:v>
      </x:c>
      <x:c r="E26" s="29" t="str">
        <x:v>Fox Theater - Bakersfield, CA - DSC00466.jpg</x:v>
      </x:c>
      <x:c r="F26" s="29" t="str">
        <x:v>Daderot</x:v>
      </x:c>
      <x:c r="G26" s="29" t="str">
        <x:v>CC0 1.0</x:v>
      </x:c>
      <x:c r="H26" s="29" t="str">
        <x:v>https://creativecommons.org/publicdomain/zero/1.0/</x:v>
      </x:c>
      <x:c r="I26" s="29" t="str">
        <x:v>Creative Commons Zero, Public Domain Dedication</x:v>
      </x:c>
      <x:c r="J26" s="29" t="str">
        <x:v>Fox Theater - Bakersfield, CA - DSC00466.jpg · Daderot · CC0 1.0 · https://commons.wikimedia.org/wiki/File:Fox_Theater_-_Bakersfield,_CA_-_DSC00466.jpg</x:v>
      </x:c>
      <x:c r="K2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 s="31" t="d">
        <x:v>2026-10-24T00:00:00.000Z</x:v>
      </x:c>
      <x:c r="M26" s="29" t="str">
        <x:v>Doğrulandı</x:v>
      </x:c>
      <x:c r="N26" s="29" t="str">
        <x:v>Doğrulandı</x:v>
      </x:c>
      <x:c r="O26" s="29" t="str">
        <x:v>Fotoğraflar/bk-3257ed8051d8126f90970ee6.webp</x:v>
      </x:c>
      <x:c r="P26" s="29" t="str">
        <x:v>Historic Bakersfield Fox Theater · 2026 tarihli fotoğraf · İndirilen kare temas sayfasında görüldü; kaynak mekân kimliğiyle eşleştirildi. Seçim kaydı final-pixel-review.json.</x:v>
      </x:c>
      <x:c r="Q26" s="29" t="str">
        <x:v>Bu kare için uygun</x:v>
      </x:c>
      <x:c r="R2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 s="29" t="str">
        <x:v>Lisans kanıtları/bk-3257ed8051d8126f90970ee6.source-evidence.json</x:v>
      </x:c>
      <x:c r="T26" s="29" t="str">
        <x:v>709c371a2351b83adefef29b5a001af4f44a67713699f1c8be085524ca95dd64</x:v>
      </x:c>
      <x:c r="U26" s="29" t="str">
        <x:v>Lisans kanıtları/bk-3257ed8051d8126f90970ee6.license-record.json</x:v>
      </x:c>
      <x:c r="V26" s="29" t="str">
        <x:v>d6cd07113fd2d9e1d6a37ebbd62234c0161e3d1ad98d41069dfb57929b36081a</x:v>
      </x:c>
      <x:c r="W26" s="29" t="str">
        <x:v>{"file":"bk-3257ed8051d8126f90970ee6.webp","width":960,"author":"Daderot","height":1440,"sha256":"3257ed8051d8126f90970ee6c1690390e7c53240eba4d6d20fc4c90a9675b9ac","license":"CC0 1.0","imageinfo":{"url":"https://upload.wikimedia.org/wikipedia/commons/9/9d/Fox_Theater_-_Bakersfield%2C_CA_-_DSC00466.jpg?utm_source=commons.wikimedia.org&amp;utm_campaign=imageinfo&amp;utm_content=original","mime":"image/jpeg","sha1":"a0a32a5dff0160d7e3f7dc5f598c6ef11ef88e8a","size":2547711,"width":3538,"height":5306,"pageid":196520544,"thumburl":"https://thumb.wikimedia.org/wikipedia/commons/thumb/9/9d/Fox_Theater_-_Bakersfield%2C_CA_-_DSC00466.jpg/1280px-Fox_Theater_-_Bakersfield%2C_CA_-_DSC00466.jpg?utm_source=commons.wikimedia.org&amp;utm_campaign=imageinfo&amp;utm_content=thumbnail","timestamp":"2026-07-30T14:34:05Z","thumbwidth":1280,"extmetadata":{"Artist":{"value":"&lt;a href=\"//commons.wikimedia.org/wiki/User:Daderot\" title=\"User:Daderot\"&gt;Daderot&lt;/a&gt;","source":"commons-desc-page"},"Credit":{"value":"&lt;span class=\"int-own-work\" lang=\"en\"&gt;Own work&lt;/span&gt;","source":"commons-desc-page"},"License":{"value":"cc0","hidden":"","source":"commons-templates"},"DateTime":{"value":"2026-07-30 14:34:05","hidden":"","source":"mediawiki-metadata"},"Categories":{"value":"CC-Zero|Fox Theater (Bakersfield, California)|Self-published work","hidden":"","source":"commons-categories"},"LicenseUrl":{"value":"http://creativecommons.org/publicdomain/zero/1.0/deed.en","source":"commons-desc-page"},"ObjectName":{"value":"Fox Theater - Bakersfield, CA - DSC00466","source":"mediawiki-metadata"},"UsageTerms":{"value":"Creative Commons Zero, Public Domain Dedication","source":"commons-desc-page"},"Assessments":{"value":"","hidden":"","source":"commons-categories"},"Copyrighted":{"value":"True","hidden":"","source":"commons-desc-page"},"Restrictions":{"value":"","hidden":"","source":"commons-desc-page"},"DateTimeOriginal":{"value":"2026-05-27 17:50:21","source":"commons-desc-page"},"ImageDescription":{"value":"Fox Theater - Bakersfield, California, USA.","source":"commons-desc-page"},"LicenseShortName":{"value":"CC0","hidden":"","source":"commons-desc-page"},"AttributionRequired":{"value":"false","hidden":"","source":"commons-desc-page"},"CommonsMetadataExtension":{"value":1.2,"hidden":"","source":"extension"}},"thumbheight":1920,"thumbattribs":{"src":"https://thumb.wikimedia.org/wikipedia/commons/thumb/9/9d/Fox_Theater_-_Bakersfield%2C_CA_-_DSC00466.jpg/1280px-Fox_Theater_-_Bakersfield%2C_CA_-_DSC00466.jpg?utm_source=commons.wikimedia.org&amp;utm_campaign=imageinfo&amp;utm_content=thumbnail","width":1280,"height":1920,"srcset":"https://upload.wikimedia.org/wikipedia/commons/9/9d/Fox_Theater_-_Bakersfield%2C_CA_-_DSC00466.jpg?utm_source=commons.wikimedia.org&amp;utm_campaign=imageinfo&amp;utm_content=thumbnail_unscaled 2x","loading":"lazy","decoding":"async"},"descriptionurl":"https://commons.wikimedia.org/wiki/File:Fox_Theater_-_Bakersfield,_CA_-_DSC00466.jpg","responsiveUrls":{"2":"https://upload.wikimedia.org/wikipedia/commons/9/9d/Fox_Theater_-_Bakersfield%2C_CA_-_DSC00466.jpg?utm_source=commons.wikimedia.org&amp;utm_campaign=imageinfo&amp;utm_content=thumbnail_unscaled"},"descriptionshorturl":"https://commons.wikimedia.org/w/index.php?curid=196520544"},"selection":{"qid":"pending","kind":"candidate","title":"Bakersfield local buildings"},"author_url":"https://commons.wikimedia.org/wiki/User:Daderot","derivative":"Wikimedia thumbnail decoded; EXIF orientation applied; converted to WebP quality 86; no generated pixels, no cropping.","source_url":"https://commons.wikimedia.org/wiki/File:Fox_Theater_-_Bakersfield,_CA_-_DSC00466.jpg","author_urls":["https://commons.wikimedia.org/wiki/User:Daderot"],"description":"Fox Theater - Bakersfield, California, USA.","license_url":"https://creativecommons.org/publicdomain/zero/1.0/","reviewed_on":"2026-10-24","capture_date":"2026-05-27 17:50:21","download_url":"https://thumb.wikimedia.org/wikipedia/commons/thumb/9/9d/Fox_Theater_-_Bakersfield%2C_CA_-_DSC00466.jpg/1280px-Fox_Theater_-_Bakersfield%2C_CA_-_DSC00466.jpg?utm_source=commons.wikimedia.org&amp;utm_campaign=imageinfo&amp;utm_content=thumbnail","original_url":"https://upload.wikimedia.org/wikipedia/commons/9/9d/Fox_Theater_-_Bakersfield%2C_CA_-_DSC00466.jpg?utm_source=commons.wikimedia.org&amp;utm_campaign=imageinfo&amp;utm_content=original","pixel_review":{"method":"İndirilen kare temas sayfasında görüldü; kaynak mekân kimliğiyle eşleştirildi. Seçim kaydı final-pixel-review.json.","status":"verified","caption":"Historic Bakersfield Fox Theater · 2026 tarihli fotoğraf","reviewer":"Codex (AI)","review_id":"C130"},"downloaded_at":"2026-10-23T19:08:25.673715+00:00","download_sha256":"86c4d109da68c18e4ee565694cc7270084ac855293d2eebf41947353f7985217","downloaded_file":"downloads/86c4d109da68c18e4ee565694cc7270084ac855293d2eebf41947353f7985217.jpg","acquisition_file":"610c0e16036ac0a163428f34.webp","commons_filename":"Fox Theater - Bakersfield, CA - DSC00466.jpg","original_file_url":"https://upload.wikimedia.org/wikipedia/commons/9/9d/Fox_Theater_-_Bakersfield%2C_CA_-_DSC00466.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9/9d/Fox_Theater_-_Bakersfield%2C_CA_-_DSC00466.jpg?utm_source=commons.wikimedia.org&amp;utm_campaign=imageinfo&amp;utm_content=original"},"metadata_reviewed_on":"2026-10-24","metadata_review_status":"verified"}}</x:v>
      </x:c>
    </x:row>
    <x:row r="27" ht="300" customHeight="1">
      <x:c r="A27" s="29" t="str">
        <x:v>bakersfield:evidence:venue-21992</x:v>
      </x:c>
      <x:c r="B27" s="29" t="str">
        <x:v>bakersfield</x:v>
      </x:c>
      <x:c r="C27" s="29" t="str">
        <x:v>bakersfield:photo:venue-21992</x:v>
      </x:c>
      <x:c r="D27" s="29" t="str">
        <x:v>https://commons.wikimedia.org/wiki/File:Fox_Theater_-_Bakersfield,_CA_-_DSC00484.jpg</x:v>
      </x:c>
      <x:c r="E27" s="29" t="str">
        <x:v>Fox Theater - Bakersfield, CA - DSC00484.jpg</x:v>
      </x:c>
      <x:c r="F27" s="29" t="str">
        <x:v>Daderot</x:v>
      </x:c>
      <x:c r="G27" s="29" t="str">
        <x:v>CC0 1.0</x:v>
      </x:c>
      <x:c r="H27" s="29" t="str">
        <x:v>https://creativecommons.org/publicdomain/zero/1.0/</x:v>
      </x:c>
      <x:c r="I27" s="29" t="str">
        <x:v>Creative Commons Zero, Public Domain Dedication</x:v>
      </x:c>
      <x:c r="J27" s="29" t="str">
        <x:v>Fox Theater - Bakersfield, CA - DSC00484.jpg · Daderot · CC0 1.0 · https://commons.wikimedia.org/wiki/File:Fox_Theater_-_Bakersfield,_CA_-_DSC00484.jpg</x:v>
      </x:c>
      <x:c r="K2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 s="31" t="d">
        <x:v>2026-10-24T00:00:00.000Z</x:v>
      </x:c>
      <x:c r="M27" s="29" t="str">
        <x:v>Doğrulandı</x:v>
      </x:c>
      <x:c r="N27" s="29" t="str">
        <x:v>Doğrulandı</x:v>
      </x:c>
      <x:c r="O27" s="29" t="str">
        <x:v>Fotoğraflar/bk-0d35fe7603a2eaea2aa36b87.webp</x:v>
      </x:c>
      <x:c r="P27" s="29" t="str">
        <x:v>Historic Bakersfield Fox Theater · 2026 tarihli fotoğraf · İndirilen kare temas sayfasında görüldü; kaynak mekân kimliğiyle eşleştirildi. Seçim kaydı final-pixel-review.json.</x:v>
      </x:c>
      <x:c r="Q27" s="29" t="str">
        <x:v>Bu kare için uygun</x:v>
      </x:c>
      <x:c r="R2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 s="29" t="str">
        <x:v>Lisans kanıtları/bk-0d35fe7603a2eaea2aa36b87.source-evidence.json</x:v>
      </x:c>
      <x:c r="T27" s="29" t="str">
        <x:v>de669be8430354efee369a061b87bb643fb0be01c45e97f8b6049a89a6bae216</x:v>
      </x:c>
      <x:c r="U27" s="29" t="str">
        <x:v>Lisans kanıtları/bk-0d35fe7603a2eaea2aa36b87.license-record.json</x:v>
      </x:c>
      <x:c r="V27" s="29" t="str">
        <x:v>272931143e5d229eda5c8502c6a301daa61d4743945fa1592c650118dcc50b65</x:v>
      </x:c>
      <x:c r="W27" s="29" t="str">
        <x:v>{"file":"bk-0d35fe7603a2eaea2aa36b87.webp","width":1280,"author":"Daderot","height":853,"sha256":"0d35fe7603a2eaea2aa36b87adc43c1477e5d3efdc6c31dace486993f9b821e2","license":"CC0 1.0","imageinfo":{"url":"https://upload.wikimedia.org/wikipedia/commons/b/ba/Fox_Theater_-_Bakersfield%2C_CA_-_DSC00484.jpg?utm_source=commons.wikimedia.org&amp;utm_campaign=imageinfo&amp;utm_content=original","mime":"image/jpeg","sha1":"8d27f586758cf6773ae9b6e039e88acc5dbb5c99","size":2483572,"width":5180,"height":3453,"pageid":196520548,"thumburl":"https://thumb.wikimedia.org/wikipedia/commons/thumb/b/ba/Fox_Theater_-_Bakersfield%2C_CA_-_DSC00484.jpg/1280px-Fox_Theater_-_Bakersfield%2C_CA_-_DSC00484.jpg?utm_source=commons.wikimedia.org&amp;utm_campaign=imageinfo&amp;utm_content=thumbnail","timestamp":"2026-07-30T14:34:07Z","thumbwidth":1280,"extmetadata":{"Artist":{"value":"&lt;a href=\"//commons.wikimedia.org/wiki/User:Daderot\" title=\"User:Daderot\"&gt;Daderot&lt;/a&gt;","source":"commons-desc-page"},"Credit":{"value":"&lt;span class=\"int-own-work\" lang=\"en\"&gt;Own work&lt;/span&gt;","source":"commons-desc-page"},"License":{"value":"cc0","hidden":"","source":"commons-templates"},"DateTime":{"value":"2026-07-30 14:34:07","hidden":"","source":"mediawiki-metadata"},"Categories":{"value":"CC-Zero|Fox Theater (Bakersfield, California)|Self-published work","hidden":"","source":"commons-categories"},"LicenseUrl":{"value":"http://creativecommons.org/publicdomain/zero/1.0/deed.en","source":"commons-desc-page"},"ObjectName":{"value":"Fox Theater - Bakersfield, CA - DSC00484","source":"mediawiki-metadata"},"UsageTerms":{"value":"Creative Commons Zero, Public Domain Dedication","source":"commons-desc-page"},"Assessments":{"value":"","hidden":"","source":"commons-categories"},"Copyrighted":{"value":"True","hidden":"","source":"commons-desc-page"},"Restrictions":{"value":"","hidden":"","source":"commons-desc-page"},"DateTimeOriginal":{"value":"2026-05-28 09:56:34","source":"commons-desc-page"},"ImageDescription":{"value":"Fox Theater - Bakersfield, California, USA.","source":"commons-desc-page"},"LicenseShortName":{"value":"CC0","hidden":"","source":"commons-desc-page"},"AttributionRequired":{"value":"false","hidden":"","source":"commons-desc-page"},"CommonsMetadataExtension":{"value":1.2,"hidden":"","source":"extension"}},"thumbheight":853,"thumbattribs":{"src":"https://thumb.wikimedia.org/wikipedia/commons/thumb/b/ba/Fox_Theater_-_Bakersfield%2C_CA_-_DSC00484.jpg/1280px-Fox_Theater_-_Bakersfield%2C_CA_-_DSC00484.jpg?utm_source=commons.wikimedia.org&amp;utm_campaign=imageinfo&amp;utm_content=thumbnail","width":1280,"height":853,"srcset":"https://thumb.wikimedia.org/wikipedia/commons/thumb/b/ba/Fox_Theater_-_Bakersfield%2C_CA_-_DSC00484.jpg/3840px-Fox_Theater_-_Bakersfield%2C_CA_-_DSC00484.jpg?utm_source=commons.wikimedia.org&amp;utm_campaign=imageinfo&amp;utm_content=thumbnail 2x","loading":"lazy","decoding":"async"},"descriptionurl":"https://commons.wikimedia.org/wiki/File:Fox_Theater_-_Bakersfield,_CA_-_DSC00484.jpg","responsiveUrls":{"2":"https://thumb.wikimedia.org/wikipedia/commons/thumb/b/ba/Fox_Theater_-_Bakersfield%2C_CA_-_DSC00484.jpg/3840px-Fox_Theater_-_Bakersfield%2C_CA_-_DSC00484.jpg?utm_source=commons.wikimedia.org&amp;utm_campaign=imageinfo&amp;utm_content=thumbnail"},"descriptionshorturl":"https://commons.wikimedia.org/w/index.php?curid=196520548"},"selection":{"qid":"pending","kind":"candidate","title":"Bakersfield local buildings"},"author_url":"https://commons.wikimedia.org/wiki/User:Daderot","derivative":"Wikimedia thumbnail decoded; EXIF orientation applied; converted to WebP quality 86; no generated pixels, no cropping.","source_url":"https://commons.wikimedia.org/wiki/File:Fox_Theater_-_Bakersfield,_CA_-_DSC00484.jpg","author_urls":["https://commons.wikimedia.org/wiki/User:Daderot"],"description":"Fox Theater - Bakersfield, California, USA.","license_url":"https://creativecommons.org/publicdomain/zero/1.0/","reviewed_on":"2026-10-24","capture_date":"2026-05-28 09:56:34","download_url":"https://thumb.wikimedia.org/wikipedia/commons/thumb/b/ba/Fox_Theater_-_Bakersfield%2C_CA_-_DSC00484.jpg/1280px-Fox_Theater_-_Bakersfield%2C_CA_-_DSC00484.jpg?utm_source=commons.wikimedia.org&amp;utm_campaign=imageinfo&amp;utm_content=thumbnail","original_url":"https://upload.wikimedia.org/wikipedia/commons/b/ba/Fox_Theater_-_Bakersfield%2C_CA_-_DSC00484.jpg?utm_source=commons.wikimedia.org&amp;utm_campaign=imageinfo&amp;utm_content=original","pixel_review":{"method":"İndirilen kare temas sayfasında görüldü; kaynak mekân kimliğiyle eşleştirildi. Seçim kaydı final-pixel-review.json.","status":"verified","caption":"Historic Bakersfield Fox Theater · 2026 tarihli fotoğraf","reviewer":"Codex (AI)","review_id":"C131"},"downloaded_at":"2026-10-23T19:08:25.708699+00:00","download_sha256":"91e519bcc62bf2d0ce690f16b30e0d2df6aebd0be095fdf162c2f2f4fcfd58e1","downloaded_file":"downloads/91e519bcc62bf2d0ce690f16b30e0d2df6aebd0be095fdf162c2f2f4fcfd58e1.jpg","acquisition_file":"959e0c8e324e41e3a944805f.webp","commons_filename":"Fox Theater - Bakersfield, CA - DSC00484.jpg","original_file_url":"https://upload.wikimedia.org/wikipedia/commons/b/ba/Fox_Theater_-_Bakersfield%2C_CA_-_DSC00484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b/ba/Fox_Theater_-_Bakersfield%2C_CA_-_DSC00484.jpg?utm_source=commons.wikimedia.org&amp;utm_campaign=imageinfo&amp;utm_content=original"},"metadata_reviewed_on":"2026-10-24","metadata_review_status":"verified"}}</x:v>
      </x:c>
    </x:row>
    <x:row r="28" ht="300" customHeight="1">
      <x:c r="A28" s="29" t="str">
        <x:v>bakersfield:evidence:venue-21993</x:v>
      </x:c>
      <x:c r="B28" s="29" t="str">
        <x:v>bakersfield</x:v>
      </x:c>
      <x:c r="C28" s="29" t="str">
        <x:v>bakersfield:photo:venue-21993</x:v>
      </x:c>
      <x:c r="D28" s="29" t="str">
        <x:v>https://www.flickr.com/photos/16069488@N00/53701353758/</x:v>
      </x:c>
      <x:c r="E28" s="29" t="str">
        <x:v>Historic Bakersfield Fox Theater · 2024 tarihli fotoğraf</x:v>
      </x:c>
      <x:c r="F28" s="29" t="str">
        <x:v>David Brossard</x:v>
      </x:c>
      <x:c r="G28" s="29" t="str">
        <x:v>CC BY-SA 2.0</x:v>
      </x:c>
      <x:c r="H28" s="29" t="str">
        <x:v>https://creativecommons.org/licenses/by-sa/2.0/</x:v>
      </x:c>
      <x:c r="I28" s="29" t="str">
        <x:v>CC BY-SA 2.0</x:v>
      </x:c>
      <x:c r="J28" s="29" t="str">
        <x:v>Historic Bakersfield Fox Theater · 2024 tarihli fotoğraf · David Brossard · CC BY-SA 2.0 · https://www.flickr.com/photos/16069488@N00/53701353758/</x:v>
      </x:c>
      <x:c r="K2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 s="31" t="d">
        <x:v>2026-10-24T00:00:00.000Z</x:v>
      </x:c>
      <x:c r="M28" s="29" t="str">
        <x:v>Doğrulandı</x:v>
      </x:c>
      <x:c r="N28" s="29" t="str">
        <x:v>Doğrulandı</x:v>
      </x:c>
      <x:c r="O28" s="29" t="str">
        <x:v>Fotoğraflar/bk-bf07c561ea7a7d4f6f0ba42c.webp</x:v>
      </x:c>
      <x:c r="P28" s="29" t="str">
        <x:v>Historic Bakersfield Fox Theater · 2024 tarihli fotoğraf · İndirilen kare temas sayfasında görüldü; kaynak mekân kimliğiyle eşleştirildi. Seçim kaydı final-pixel-review.json.</x:v>
      </x:c>
      <x:c r="Q28" s="29" t="str">
        <x:v>Bu kare için uygun</x:v>
      </x:c>
      <x:c r="R2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 s="29" t="str">
        <x:v>Lisans kanıtları/bk-bf07c561ea7a7d4f6f0ba42c.source-evidence.json</x:v>
      </x:c>
      <x:c r="T28" s="29" t="str">
        <x:v>5e0381c31e5119409ca1ae346ea60a7f1aa3e8310e6ec3c6d7cd3172d2cba52b</x:v>
      </x:c>
      <x:c r="U28" s="29" t="str">
        <x:v>Lisans kanıtları/bk-bf07c561ea7a7d4f6f0ba42c.license-record.json</x:v>
      </x:c>
      <x:c r="V28" s="29" t="str">
        <x:v>9383837b6993d298ab8ea9a6dcb1548644269817414d97a064cada7945c8102d</x:v>
      </x:c>
      <x:c r="W28" s="29" t="str">
        <x:v>{"file":"bk-bf07c561ea7a7d4f6f0ba42c.webp","width":1024,"author":"David Brossard","height":935,"sha256":"bf07c561ea7a7d4f6f0ba42c5de35c2682343055207c7c014e50bc99474f6a0b","status":"reviewed-selected","license":"CC BY-SA 2.0","provider":"Flickr","review_id":"F61","source_id":"53701353758","author_url":"https://www.flickr.com/photos/16069488@N00/","date_texts":["Uploaded on May 5, 2024 Taken on March 29, 2024","Taken on March 29, 2024","Uploaded on May 5, 2024 Taken on March 29, 2024","Taken on March 29, 2024"],"source_url":"https://www.flickr.com/photos/16069488@N00/53701353758/","description":"No, not a prediction. A booking for the comedian &amp;quot;Earthquake&amp;quot; at the Fox Theater in downtown Bakersfield, California.\n\n\nWe began our Death Valley trip in Bakersfield.  We traveled here by the Amtrak &amp;quot;San Joaquin&amp;quot; and rented a vehicle to drive on to the Park.","license_url":"https://creativecommons.org/licenses/by-sa/2.0/","review_note":"Dış cephe, program tabelası çekim tarihine ait; üstüne uyarı bandı yok.","reviewed_on":"2026-10-24","source_text":"Earthquake March 29 | No, not a prediction. A booking for th…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Brossard string_bass_dave Earthquake March 29 No, not a prediction. A booking for the comedian \"Earthquake\" at the Fox Theater in downtown Bakersfield, California. We began our Death Valley trip in Bakersfield.  We traveled here by the Amtrak \"San Joaquin\" and rented a vehicle to drive on to the Park. Done 1,005 views 12 faves 3 comments Uploaded on May 5, 2024 Taken on March 29, 2024 David Brossard By: David Brossard Earthquake March 29 No, not a prediction. A booking for the comedian \"Earthquake\" at the Fox Theater in downtown Bakersfield, California. We began our Death Valley trip in Bakersfield.  We traveled here by the Amtrak \"San Joaquin\" and rented a vehicle to drive on to the Park. Done 1,005 views 12 faves 3 comments Uploaded on May 5, 2024 Taken on March 29,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photography.","capture_date":"2024-03-29","download_url":"https://live.staticflickr.com/65535/53701353758_e6a193d03a_b.jpg","original_url":"https://live.staticflickr.com/65535/53701353758_e6f6c663b9_o.jpg","pixel_review":{"method":"İndirilen kare temas sayfasında görüldü; kaynak mekân kimliğiyle eşleştirildi. Seçim kaydı final-pixel-review.json.","status":"verified","caption":"Historic Bakersfield Fox Theater · 2024 tarihli fotoğraf","reviewer":"Codex (AI)","review_id":"F61"},"source_title":"Earthquake March 29","downloaded_at":"2026-10-23T19:50:07.089089+00:00","download_sha256":"91a6ab604cee7512a4fdbcae40f4e5b44319af3ccb4ae5569f17e4784d62f27e","downloaded_file":"downloads/91a6ab604cee7512a4fdbcae40f4e5b44319af3ccb4ae5569f17e4784d62f27e.jpg","public_metadata":{"photo-models":[{"data":{"id":"53701353758","owner":{"data":{"id":"16069488@N00","isPro":true,"newFlow":true,"isAdFree":false,"proBadge":"standard","realname":"David Brossard","segments":{"data":[],"exportMetaType":"array"},"username":"string_bass_dave","buddyicon":{"data":{"large":"//live.staticflickr.com/3785/buddyicons/16069488@N00_l.jpg?1371495505#16069488@N00","small":"//live.staticflickr.com/3785/buddyicons/16069488@N00_s.jpg?1371495505#16069488@N00","medium":"//live.staticflickr.com/3785/buddyicons/16069488@N00_m.jpg?1371495505#16069488@N00","retina":"//live.staticflickr.com/3785/buddyicons/16069488@N00_r.jpg?1371495505#16069488@N00","default":"//live.staticflickr.com/3785/buddyicons/16069488@N00.jpg?1371495505#16069488@N00"},"exportMetaType":"pojo"},"pathAlias":"string_bass_dave","dateCreated":{"data":"1144493470","exportMetaType":"serializeFunction"},"subscription":{"data":{"isPro":false,"isClosed":false,"isPastDue":false},"exportMetaType":"pojo"},"eligibleGifts":{"data":["year","month","week"],"exportMetaType":"array"},"isEligibleForGifts":true,"_flickrModelRegistry":"person-models"},"exportMetaType":"model"},"sizes":{"data":{"c":{"data":{"url":"//live.staticflickr.com/65535/53701353758_e6a193d03a_c.jpg","width":800,"height":731,"displayUrl":"//live.staticflickr.com/65535/53701353758_e6a193d03a_c.jpg"},"exportMetaType":"pojo"},"h":{"data":{"url":"//live.staticflickr.com/65535/53701353758_7cda46950a_h.jpg","width":1600,"height":1461,"displayUrl":"//live.staticflickr.com/65535/53701353758_7cda46950a_h.jpg"},"exportMetaType":"pojo"},"k":{"data":{"url":"//live.staticflickr.com/65535/53701353758_b09ca80673_k.jpg","width":2048,"height":1870,"displayUrl":"//live.staticflickr.com/65535/53701353758_b09ca80673_k.jpg"},"exportMetaType":"pojo"},"l":{"data":{"url":"//live.staticflickr.com/65535/53701353758_e6a193d03a_b.jpg","width":1024,"height":935,"displayUrl":"//live.staticflickr.com/65535/53701353758_e6a193d03a_b.jpg"},"exportMetaType":"pojo"},"m":{"data":{"url":"//live.staticflickr.com/65535/53701353758_e6a193d03a.jpg","width":500,"height":457,"displayUrl":"//live.staticflickr.com/65535/53701353758_e6a193d03a.jpg"},"exportMetaType":"pojo"},"n":{"data":{"url":"//live.staticflickr.com/65535/53701353758_e6a193d03a_n.jpg","width":320,"height":292,"displayUrl":"//live.staticflickr.com/65535/53701353758_e6a193d03a_n.jpg"},"exportMetaType":"pojo"},"o":{"data":{"url":"//live.staticflickr.com/65535/53701353758_e6f6c663b9_o.jpg","width":4379,"height":3999,"displayUrl":"//live.staticflickr.com/65535/53701353758_e6f6c663b9_o.jpg"},"exportMetaType":"pojo"},"q":{"data":{"url":"//live.staticflickr.com/65535/53701353758_e6a193d03a_q.jpg","width":150,"height":150,"displayUrl":"//live.staticflickr.com/65535/53701353758_e6a193d03a_q.jpg"},"exportMetaType":"pojo"},"s":{"data":{"url":"//live.staticflickr.com/65535/53701353758_e6a193d03a_m.jpg","width":240,"height":219,"displayUrl":"//live.staticflickr.com/65535/53701353758_e6a193d03a_m.jpg"},"exportMetaType":"pojo"},"t":{"data":{"url":"//live.staticflickr.com/65535/53701353758_e6a193d03a_t.jpg","width":100,"height":91,"displayUrl":"//live.staticflickr.com/65535/53701353758_e6a193d03a_t.jpg"},"exportMetaType":"pojo"},"w":{"data":{"url":"//live.staticflickr.com/65535/53701353758_e6a193d03a_w.jpg","width":400,"height":365,"displayUrl":"//live.staticflickr.com/65535/53701353758_e6a193d03a_w.jpg"},"exportMetaType":"pojo"},"z":{"data":{"url":"//live.staticflickr.com/65535/53701353758_e6a193d03a_z.jpg","width":640,"height":584,"displayUrl":"//live.staticflickr.com/65535/53701353758_e6a193d03a_z.jpg"},"exportMetaType":"pojo"},"3k":{"data":{"url":"//live.staticflickr.com/65535/53701353758_a1acfe334b_3k.jpg","width":3072,"height":2805,"displayUrl":"//live.staticflickr.com/65535/53701353758_a1acfe334b_3k.jpg"},"exportMetaType":"pojo"},"4k":{"data":{"url":"//live.staticflickr.com/65535/53701353758_350c7e5ee2_4k.jpg","width":4096,"height":3741,"displayUrl":"//live.staticflickr.com/65535/53701353758_350c7e5ee2_4k.jpg"},"exportMetaType":"pojo"},"sq":{"data":{"url":"//live.staticflickr.com/65535/53701353758_e6a193d03a_s.jpg","width":75,"height":75,"displayUrl":"//live.staticflickr.com/65535/53701353758_e6a193d03a_s.jpg"},"exportMetaType":"pojo"}},"exportMetaType":"pojo"},"title":"Earthquake March 29","oWidth":4379,"secret":"e6a193d03a","license":5,"oHeight":3999,"rotation":0,"canAddMeta":false,"canComment":false,"engagement":{"data":{"id":"53701353758","canShare":true,"faveCount":12,"ownerNsid":"16069488@N00","reactions":{"data":{"like":{"data":{"id":"like","count":5,"canReact":true,"didViewerReact":true},"exportMetaType":"pojo"},"someOtherReaction":{"data":{"id":"someOtherReaction","count":3,"canReact":true,"didViewerReact":false},"exportMetaType":"pojo"}},"exportMetaType":"pojo"},"viewCount":1005,"canDownload":true,"commentCount":3,"_flickrModelRegistry":"photo-engagement-models"},"exportMetaType":"model"},"description":"No, not a prediction. A booking for the comedian &amp;quot;Earthquake&amp;quot; at the Fox Theater in downtown Bakersfield, California.\n\n\nWe began our Death Valley trip in Bakersfield.  We traveled here by the Amtrak &amp;quot;San Joaquin&amp;quot; and rented a vehicle to drive on to the Park.","safetyLevel":0,"upgradeSizes":{"data":[],"exportMetaType":"array"},"adEligibility":{"data":{"lane":1,"labels":{"data":["ProOwner"],"exportMetaType":"array"},"isAdEligible":false,"highScoreLabels":{"data":["ProOwner"],"exportMetaType":"array"}},"exportMetaType":"pojo"},"canPublicComment":true,"_flickrModelRegistry":"photo-models"},"exportMetaType":"model"}],"photo-geo-models":[{"data":{"id":"53701353758","hasGeo":true,"accuracy":16,"isPublic":true,"latitude":35.376947,"longitude":-119.021212,"_flickrModelRegistry":"photo-geo-models"},"exportMetaType":"model"}],"photo-location-models":[{"data":{"id":"53701353758","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53701353758","title":"Earthquake March 29","og:url":"https://www.flickr.com/photos/string_bass_dave/53701353758/","og:type":"article","keywords":"ca, california, fox, unitedstates, foxtheater, flickr, bakersfield","og:image":"https://live.staticflickr.com/65535/53701353758_e6a193d03a_b.jpg","og:title":"Earthquake March 29","twitter:card":"summary_large_image","twitter:image":"https://live.staticflickr.com/65535/53701353758_e6a193d03a_b.jpg","og:description":"No, not a prediction. A booking for the comedian &amp;quot;Earthquake&amp;quot; at the Fox Theater in downtown Bakersfield, California.   We began our Death Valley trip in Bakersfield.  We traveled here by the Amtrak &amp;quot;San Joaquin&amp;quot; and rented a vehicle to drive on to the Park.","og:image:width":1024,"og:image:height":935,"twitter:description":"No, not a prediction. A booking for the comedian &amp;quot;Earthquake&amp;quot; at the Fox Theater in downtown Bakersfield, California.   We began our Death Valley trip in Bakersfield.  We traveled here by the Amtrak &amp;quot;San Joaquin&amp;quot; and rented a vehicle to drive on to the Park.","_flickrModelRegistry":"photo-head-meta-models","twitter:app:url:ipad":"flickr://flickr.com/photos/string_bass_dave/53701353758/","twitter:app:url:iphone":"flickr://flickr.com/photos/string_bass_dave/53701353758/","twitter:app:url:googleplay":"https://www.flickr.com/photos/string_bass_dave/53701353758/"},"exportMetaType":"model"}],"photo-license-history-models":[]},"acquisition_file":"fl-53701353758.webp","source_html_file":"/Users/atincakcayoz/corteqs/output/bakersfield-production-20261023/flickr-source-pages/53701353758.html","original_file_url":"https://live.staticflickr.com/65535/53701353758_e6f6c663b9_o.jpg","proposed_identity":"Fox Theater","source_html_sha256":"1afa9870737ce5b6115de9aa9b8df87cb454895411e19484200a553b7688f61d","third_party_rights_review":{"basis":"Kaynakta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dönüştürüldü.","photo_attribution":{"author_url":"https://www.flickr.com/photos/16069488@N00/","modifications":"EXIF yönü uygulandı; boyut küçültülüp WebP biçimine dönüştürüldü.","original_file_url":"https://live.staticflickr.com/65535/53701353758_e6f6c663b9_o.jpg"},"metadata_reviewed_on":"2026-10-24","metadata_review_status":"verified"}}</x:v>
      </x:c>
    </x:row>
    <x:row r="29" ht="300" customHeight="1">
      <x:c r="A29" s="29" t="str">
        <x:v>bakersfield:evidence:venue-21994</x:v>
      </x:c>
      <x:c r="B29" s="29" t="str">
        <x:v>bakersfield</x:v>
      </x:c>
      <x:c r="C29" s="29" t="str">
        <x:v>bakersfield:photo:venue-21994</x:v>
      </x:c>
      <x:c r="D29" s="29" t="str">
        <x:v>https://commons.wikimedia.org/wiki/File:Nile_Theatre_-_Bakersfield,_CA_-_DSC00458.jpg</x:v>
      </x:c>
      <x:c r="E29" s="29" t="str">
        <x:v>Nile Theatre - Bakersfield, CA - DSC00458.jpg</x:v>
      </x:c>
      <x:c r="F29" s="29" t="str">
        <x:v>Daderot</x:v>
      </x:c>
      <x:c r="G29" s="29" t="str">
        <x:v>CC0 1.0</x:v>
      </x:c>
      <x:c r="H29" s="29" t="str">
        <x:v>https://creativecommons.org/publicdomain/zero/1.0/</x:v>
      </x:c>
      <x:c r="I29" s="29" t="str">
        <x:v>Creative Commons Zero, Public Domain Dedication</x:v>
      </x:c>
      <x:c r="J29" s="29" t="str">
        <x:v>Nile Theatre - Bakersfield, CA - DSC00458.jpg · Daderot · CC0 1.0 · https://commons.wikimedia.org/wiki/File:Nile_Theatre_-_Bakersfield,_CA_-_DSC00458.jpg</x:v>
      </x:c>
      <x:c r="K2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 s="31" t="d">
        <x:v>2026-10-24T00:00:00.000Z</x:v>
      </x:c>
      <x:c r="M29" s="29" t="str">
        <x:v>Doğrulandı</x:v>
      </x:c>
      <x:c r="N29" s="29" t="str">
        <x:v>Doğrulandı</x:v>
      </x:c>
      <x:c r="O29" s="29" t="str">
        <x:v>Fotoğraflar/bk-964cace68d7450f0461131e9.webp</x:v>
      </x:c>
      <x:c r="P29" s="29" t="str">
        <x:v>The Nile Theater · 2026 tarihli fotoğraf · İndirilen kare temas sayfasında görüldü; kaynak mekân kimliğiyle eşleştirildi. Seçim kaydı final-pixel-review.json.</x:v>
      </x:c>
      <x:c r="Q29" s="29" t="str">
        <x:v>Bu kare için uygun</x:v>
      </x:c>
      <x:c r="R2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 s="29" t="str">
        <x:v>Lisans kanıtları/bk-964cace68d7450f0461131e9.source-evidence.json</x:v>
      </x:c>
      <x:c r="T29" s="29" t="str">
        <x:v>cf1b68eff6ffe1fd50653d46880d54961a140b5bd3896ebf2cff03bf87859705</x:v>
      </x:c>
      <x:c r="U29" s="29" t="str">
        <x:v>Lisans kanıtları/bk-964cace68d7450f0461131e9.license-record.json</x:v>
      </x:c>
      <x:c r="V29" s="29" t="str">
        <x:v>6e7e6125b46454ea0795334c42178faaa37aea0c2af4ee39f3cd533dcd45fe2a</x:v>
      </x:c>
      <x:c r="W29" s="29" t="str">
        <x:v>{"file":"bk-964cace68d7450f0461131e9.webp","width":960,"author":"Daderot","height":1440,"sha256":"964cace68d7450f0461131e9c195f19b3dcf8852769d220582743227edb9d8da","license":"CC0 1.0","imageinfo":{"url":"https://upload.wikimedia.org/wikipedia/commons/3/34/Nile_Theatre_-_Bakersfield%2C_CA_-_DSC00458.jpg?utm_source=commons.wikimedia.org&amp;utm_campaign=imageinfo&amp;utm_content=original","mime":"image/jpeg","sha1":"742cf4afc972bf338766058ac99cc1765b4759a5","size":3671641,"width":3648,"height":5472,"pageid":196520174,"thumburl":"https://thumb.wikimedia.org/wikipedia/commons/thumb/3/34/Nile_Theatre_-_Bakersfield%2C_CA_-_DSC00458.jpg/1280px-Nile_Theatre_-_Bakersfield%2C_CA_-_DSC00458.jpg?utm_source=commons.wikimedia.org&amp;utm_campaign=imageinfo&amp;utm_content=thumbnail","timestamp":"2026-07-30T14:21:17Z","thumbwidth":1280,"extmetadata":{"Artist":{"value":"&lt;a href=\"//commons.wikimedia.org/wiki/User:Daderot\" title=\"User:Daderot\"&gt;Daderot&lt;/a&gt;","source":"commons-desc-page"},"Credit":{"value":"&lt;span class=\"int-own-work\" lang=\"en\"&gt;Own work&lt;/span&gt;","source":"commons-desc-page"},"License":{"value":"cc0","hidden":"","source":"commons-templates"},"DateTime":{"value":"2026-07-30 14:21:17","hidden":"","source":"mediawiki-metadata"},"Categories":{"value":"CC-Zero|Self-published work|Nile Theatre","hidden":"","source":"commons-categories"},"LicenseUrl":{"value":"http://creativecommons.org/publicdomain/zero/1.0/deed.en","source":"commons-desc-page"},"ObjectName":{"value":"Nile Theatre - Bakersfield, CA - DSC00458","source":"mediawiki-metadata"},"UsageTerms":{"value":"Creative Commons Zero, Public Domain Dedication","source":"commons-desc-page"},"Assessments":{"value":"","hidden":"","source":"commons-categories"},"Copyrighted":{"value":"True","hidden":"","source":"commons-desc-page"},"Restrictions":{"value":"","hidden":"","source":"commons-desc-page"},"DateTimeOriginal":{"value":"2026-05-27 17:46:38","source":"commons-desc-page"},"ImageDescription":{"value":"Nile Theatre - Bakersfield, California, USA.","source":"commons-desc-page"},"LicenseShortName":{"value":"CC0","hidden":"","source":"commons-desc-page"},"AttributionRequired":{"value":"false","hidden":"","source":"commons-desc-page"},"CommonsMetadataExtension":{"value":1.2,"hidden":"","source":"extension"}},"thumbheight":1920,"thumbattribs":{"src":"https://thumb.wikimedia.org/wikipedia/commons/thumb/3/34/Nile_Theatre_-_Bakersfield%2C_CA_-_DSC00458.jpg/1280px-Nile_Theatre_-_Bakersfield%2C_CA_-_DSC00458.jpg?utm_source=commons.wikimedia.org&amp;utm_campaign=imageinfo&amp;utm_content=thumbnail","width":1280,"height":1920,"srcset":"https://upload.wikimedia.org/wikipedia/commons/3/34/Nile_Theatre_-_Bakersfield%2C_CA_-_DSC00458.jpg?utm_source=commons.wikimedia.org&amp;utm_campaign=imageinfo&amp;utm_content=thumbnail_unscaled 2x","loading":"lazy","decoding":"async"},"descriptionurl":"https://commons.wikimedia.org/wiki/File:Nile_Theatre_-_Bakersfield,_CA_-_DSC00458.jpg","responsiveUrls":{"2":"https://upload.wikimedia.org/wikipedia/commons/3/34/Nile_Theatre_-_Bakersfield%2C_CA_-_DSC00458.jpg?utm_source=commons.wikimedia.org&amp;utm_campaign=imageinfo&amp;utm_content=thumbnail_unscaled"},"descriptionshorturl":"https://commons.wikimedia.org/w/index.php?curid=196520174"},"selection":{"qid":"pending","kind":"candidate","title":"Bakersfield local buildings"},"author_url":"https://commons.wikimedia.org/wiki/User:Daderot","derivative":"Wikimedia thumbnail decoded; EXIF orientation applied; converted to WebP quality 86; no generated pixels, no cropping.","source_url":"https://commons.wikimedia.org/wiki/File:Nile_Theatre_-_Bakersfield,_CA_-_DSC00458.jpg","author_urls":["https://commons.wikimedia.org/wiki/User:Daderot"],"description":"Nile Theatre - Bakersfield, California, USA.","license_url":"https://creativecommons.org/publicdomain/zero/1.0/","reviewed_on":"2026-10-24","capture_date":"2026-05-27 17:46:38","download_url":"https://thumb.wikimedia.org/wikipedia/commons/thumb/3/34/Nile_Theatre_-_Bakersfield%2C_CA_-_DSC00458.jpg/1280px-Nile_Theatre_-_Bakersfield%2C_CA_-_DSC00458.jpg?utm_source=commons.wikimedia.org&amp;utm_campaign=imageinfo&amp;utm_content=thumbnail","original_url":"https://upload.wikimedia.org/wikipedia/commons/3/34/Nile_Theatre_-_Bakersfield%2C_CA_-_DSC00458.jpg?utm_source=commons.wikimedia.org&amp;utm_campaign=imageinfo&amp;utm_content=original","pixel_review":{"method":"İndirilen kare temas sayfasında görüldü; kaynak mekân kimliğiyle eşleştirildi. Seçim kaydı final-pixel-review.json.","status":"verified","caption":"The Nile Theater · 2026 tarihli fotoğraf","reviewer":"Codex (AI)","review_id":"C218"},"downloaded_at":"2026-10-23T19:08:52.619399+00:00","download_sha256":"a808e84ffc1ae9fe2da56161e538f07b62c7bbd9a94eaf6de9ba8d963b1a969e","downloaded_file":"downloads/a808e84ffc1ae9fe2da56161e538f07b62c7bbd9a94eaf6de9ba8d963b1a969e.jpg","acquisition_file":"6dfa463938f167c181aea09f.webp","commons_filename":"Nile Theatre - Bakersfield, CA - DSC00458.jpg","original_file_url":"https://upload.wikimedia.org/wikipedia/commons/3/34/Nile_Theatre_-_Bakersfield%2C_CA_-_DSC00458.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3/34/Nile_Theatre_-_Bakersfield%2C_CA_-_DSC00458.jpg?utm_source=commons.wikimedia.org&amp;utm_campaign=imageinfo&amp;utm_content=original"},"metadata_reviewed_on":"2026-10-24","metadata_review_status":"verified"}}</x:v>
      </x:c>
    </x:row>
    <x:row r="30" ht="300" customHeight="1">
      <x:c r="A30" s="29" t="str">
        <x:v>bakersfield:evidence:venue-21995</x:v>
      </x:c>
      <x:c r="B30" s="29" t="str">
        <x:v>bakersfield</x:v>
      </x:c>
      <x:c r="C30" s="29" t="str">
        <x:v>bakersfield:photo:venue-21995</x:v>
      </x:c>
      <x:c r="D30" s="29" t="str">
        <x:v>https://commons.wikimedia.org/wiki/File:Nile_Theatre_-_Bakersfield,_CA_-_DSC00480.jpg</x:v>
      </x:c>
      <x:c r="E30" s="29" t="str">
        <x:v>Nile Theatre - Bakersfield, CA - DSC00480.jpg</x:v>
      </x:c>
      <x:c r="F30" s="29" t="str">
        <x:v>Daderot</x:v>
      </x:c>
      <x:c r="G30" s="29" t="str">
        <x:v>CC0 1.0</x:v>
      </x:c>
      <x:c r="H30" s="29" t="str">
        <x:v>https://creativecommons.org/publicdomain/zero/1.0/</x:v>
      </x:c>
      <x:c r="I30" s="29" t="str">
        <x:v>Creative Commons Zero, Public Domain Dedication</x:v>
      </x:c>
      <x:c r="J30" s="29" t="str">
        <x:v>Nile Theatre - Bakersfield, CA - DSC00480.jpg · Daderot · CC0 1.0 · https://commons.wikimedia.org/wiki/File:Nile_Theatre_-_Bakersfield,_CA_-_DSC00480.jpg</x:v>
      </x:c>
      <x:c r="K3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0" s="31" t="d">
        <x:v>2026-10-24T00:00:00.000Z</x:v>
      </x:c>
      <x:c r="M30" s="29" t="str">
        <x:v>Doğrulandı</x:v>
      </x:c>
      <x:c r="N30" s="29" t="str">
        <x:v>Doğrulandı</x:v>
      </x:c>
      <x:c r="O30" s="29" t="str">
        <x:v>Fotoğraflar/bk-1143b58f19467ca281e63a2f.webp</x:v>
      </x:c>
      <x:c r="P30" s="29" t="str">
        <x:v>The Nile Theater · 2026 tarihli fotoğraf · İndirilen kare temas sayfasında görüldü; kaynak mekân kimliğiyle eşleştirildi. Seçim kaydı final-pixel-review.json.</x:v>
      </x:c>
      <x:c r="Q30" s="29" t="str">
        <x:v>Bu kare için uygun</x:v>
      </x:c>
      <x:c r="R3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0" s="29" t="str">
        <x:v>Lisans kanıtları/bk-1143b58f19467ca281e63a2f.source-evidence.json</x:v>
      </x:c>
      <x:c r="T30" s="29" t="str">
        <x:v>6f66ca4e79bcacc68a227803def2f69f961803ac274f708343a0cebcd42994aa</x:v>
      </x:c>
      <x:c r="U30" s="29" t="str">
        <x:v>Lisans kanıtları/bk-1143b58f19467ca281e63a2f.license-record.json</x:v>
      </x:c>
      <x:c r="V30" s="29" t="str">
        <x:v>8fd637e6cbd1bc18dae6720f1c4b3da4c81aa415ff8de0ac3c0ea6da2d13ae91</x:v>
      </x:c>
      <x:c r="W30" s="29" t="str">
        <x:v>{"file":"bk-1143b58f19467ca281e63a2f.webp","width":960,"author":"Daderot","height":1440,"sha256":"1143b58f19467ca281e63a2f2033b5bd72940f5b4ddebbf770b422eeebb6d264","license":"CC0 1.0","imageinfo":{"url":"https://upload.wikimedia.org/wikipedia/commons/d/d6/Nile_Theatre_-_Bakersfield%2C_CA_-_DSC00480.jpg?utm_source=commons.wikimedia.org&amp;utm_campaign=imageinfo&amp;utm_content=original","mime":"image/jpeg","sha1":"cd6cfbfe0ad091896d31ea75a6ee5a440d2c64f3","size":2201789,"width":3598,"height":5397,"pageid":196520173,"thumburl":"https://thumb.wikimedia.org/wikipedia/commons/thumb/d/d6/Nile_Theatre_-_Bakersfield%2C_CA_-_DSC00480.jpg/1280px-Nile_Theatre_-_Bakersfield%2C_CA_-_DSC00480.jpg?utm_source=commons.wikimedia.org&amp;utm_campaign=imageinfo&amp;utm_content=thumbnail","timestamp":"2026-07-30T14:21:17Z","thumbwidth":1280,"extmetadata":{"Artist":{"value":"&lt;a href=\"//commons.wikimedia.org/wiki/User:Daderot\" title=\"User:Daderot\"&gt;Daderot&lt;/a&gt;","source":"commons-desc-page"},"Credit":{"value":"&lt;span class=\"int-own-work\" lang=\"en\"&gt;Own work&lt;/span&gt;","source":"commons-desc-page"},"License":{"value":"cc0","hidden":"","source":"commons-templates"},"DateTime":{"value":"2026-07-30 14:21:17","hidden":"","source":"mediawiki-metadata"},"Categories":{"value":"CC-Zero|Self-published work|Nile Theatre","hidden":"","source":"commons-categories"},"LicenseUrl":{"value":"http://creativecommons.org/publicdomain/zero/1.0/deed.en","source":"commons-desc-page"},"ObjectName":{"value":"Nile Theatre - Bakersfield, CA - DSC00480","source":"mediawiki-metadata"},"UsageTerms":{"value":"Creative Commons Zero, Public Domain Dedication","source":"commons-desc-page"},"Assessments":{"value":"","hidden":"","source":"commons-categories"},"Copyrighted":{"value":"True","hidden":"","source":"commons-desc-page"},"Restrictions":{"value":"","hidden":"","source":"commons-desc-page"},"DateTimeOriginal":{"value":"2026-05-28 09:54:14","source":"commons-desc-page"},"ImageDescription":{"value":"Nile Theatre - Bakersfield, California, USA.","source":"commons-desc-page"},"LicenseShortName":{"value":"CC0","hidden":"","source":"commons-desc-page"},"AttributionRequired":{"value":"false","hidden":"","source":"commons-desc-page"},"CommonsMetadataExtension":{"value":1.2,"hidden":"","source":"extension"}},"thumbheight":1920,"thumbattribs":{"src":"https://thumb.wikimedia.org/wikipedia/commons/thumb/d/d6/Nile_Theatre_-_Bakersfield%2C_CA_-_DSC00480.jpg/1280px-Nile_Theatre_-_Bakersfield%2C_CA_-_DSC00480.jpg?utm_source=commons.wikimedia.org&amp;utm_campaign=imageinfo&amp;utm_content=thumbnail","width":1280,"height":1920,"srcset":"https://upload.wikimedia.org/wikipedia/commons/d/d6/Nile_Theatre_-_Bakersfield%2C_CA_-_DSC00480.jpg?utm_source=commons.wikimedia.org&amp;utm_campaign=imageinfo&amp;utm_content=thumbnail_unscaled 2x","loading":"lazy","decoding":"async"},"descriptionurl":"https://commons.wikimedia.org/wiki/File:Nile_Theatre_-_Bakersfield,_CA_-_DSC00480.jpg","responsiveUrls":{"2":"https://upload.wikimedia.org/wikipedia/commons/d/d6/Nile_Theatre_-_Bakersfield%2C_CA_-_DSC00480.jpg?utm_source=commons.wikimedia.org&amp;utm_campaign=imageinfo&amp;utm_content=thumbnail_unscaled"},"descriptionshorturl":"https://commons.wikimedia.org/w/index.php?curid=196520173"},"selection":{"qid":"pending","kind":"candidate","title":"Bakersfield local buildings"},"author_url":"https://commons.wikimedia.org/wiki/User:Daderot","derivative":"Wikimedia thumbnail decoded; EXIF orientation applied; converted to WebP quality 86; no generated pixels, no cropping.","source_url":"https://commons.wikimedia.org/wiki/File:Nile_Theatre_-_Bakersfield,_CA_-_DSC00480.jpg","author_urls":["https://commons.wikimedia.org/wiki/User:Daderot"],"description":"Nile Theatre - Bakersfield, California, USA.","license_url":"https://creativecommons.org/publicdomain/zero/1.0/","reviewed_on":"2026-10-24","capture_date":"2026-05-28 09:54:14","download_url":"https://thumb.wikimedia.org/wikipedia/commons/thumb/d/d6/Nile_Theatre_-_Bakersfield%2C_CA_-_DSC00480.jpg/1280px-Nile_Theatre_-_Bakersfield%2C_CA_-_DSC00480.jpg?utm_source=commons.wikimedia.org&amp;utm_campaign=imageinfo&amp;utm_content=thumbnail","original_url":"https://upload.wikimedia.org/wikipedia/commons/d/d6/Nile_Theatre_-_Bakersfield%2C_CA_-_DSC00480.jpg?utm_source=commons.wikimedia.org&amp;utm_campaign=imageinfo&amp;utm_content=original","pixel_review":{"method":"İndirilen kare temas sayfasında görüldü; kaynak mekân kimliğiyle eşleştirildi. Seçim kaydı final-pixel-review.json.","status":"verified","caption":"The Nile Theater · 2026 tarihli fotoğraf","reviewer":"Codex (AI)","review_id":"C219"},"downloaded_at":"2026-10-23T19:08:52.923846+00:00","download_sha256":"eee10ac48be7f26de792aea40667278591c2a37c41791d3e147aab8caf390f30","downloaded_file":"downloads/eee10ac48be7f26de792aea40667278591c2a37c41791d3e147aab8caf390f30.jpg","acquisition_file":"2247b2ddfb81d8052e8cd5c3.webp","commons_filename":"Nile Theatre - Bakersfield, CA - DSC00480.jpg","original_file_url":"https://upload.wikimedia.org/wikipedia/commons/d/d6/Nile_Theatre_-_Bakersfield%2C_CA_-_DSC00480.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d/d6/Nile_Theatre_-_Bakersfield%2C_CA_-_DSC00480.jpg?utm_source=commons.wikimedia.org&amp;utm_campaign=imageinfo&amp;utm_content=original"},"metadata_reviewed_on":"2026-10-24","metadata_review_status":"verified"}}</x:v>
      </x:c>
    </x:row>
    <x:row r="31" ht="300" customHeight="1">
      <x:c r="A31" s="29" t="str">
        <x:v>bakersfield:evidence:venue-21996</x:v>
      </x:c>
      <x:c r="B31" s="29" t="str">
        <x:v>bakersfield</x:v>
      </x:c>
      <x:c r="C31" s="29" t="str">
        <x:v>bakersfield:photo:venue-21996</x:v>
      </x:c>
      <x:c r="D31" s="29" t="str">
        <x:v>https://commons.wikimedia.org/wiki/File:Dignity_Health_Theater,_Bakersfield,_CA,_SE_side_2025-12-22.jpg</x:v>
      </x:c>
      <x:c r="E31" s="29" t="str">
        <x:v>Dignity Health Theater, Bakersfield, CA, SE side 2025-12-22.jpg</x:v>
      </x:c>
      <x:c r="F31" s="29" t="str">
        <x:v>Xnatedawgx</x:v>
      </x:c>
      <x:c r="G31" s="29" t="str">
        <x:v>CC BY-SA 4.0</x:v>
      </x:c>
      <x:c r="H31" s="29" t="str">
        <x:v>https://creativecommons.org/licenses/by-sa/4.0</x:v>
      </x:c>
      <x:c r="I31" s="29" t="str">
        <x:v>Creative Commons Attribution-Share Alike 4.0</x:v>
      </x:c>
      <x:c r="J31" s="29" t="str">
        <x:v>Dignity Health Theater, Bakersfield, CA, SE side 2025-12-22.jpg · Xnatedawgx · CC BY-SA 4.0 · https://commons.wikimedia.org/wiki/File:Dignity_Health_Theater,_Bakersfield,_CA,_SE_side_2025-12-22.jpg</x:v>
      </x:c>
      <x:c r="K3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1" s="31" t="d">
        <x:v>2026-10-24T00:00:00.000Z</x:v>
      </x:c>
      <x:c r="M31" s="29" t="str">
        <x:v>Doğrulandı</x:v>
      </x:c>
      <x:c r="N31" s="29" t="str">
        <x:v>Doğrulandı</x:v>
      </x:c>
      <x:c r="O31" s="29" t="str">
        <x:v>Fotoğraflar/bk-6369a658e20f90066a0147f9.webp</x:v>
      </x:c>
      <x:c r="P31" s="29" t="str">
        <x:v>Dignity Health Theater · 2025 tarihli fotoğraf · İndirilen kare temas sayfasında görüldü; kaynak mekân kimliğiyle eşleştirildi. Seçim kaydı final-pixel-review.json.</x:v>
      </x:c>
      <x:c r="Q31" s="29" t="str">
        <x:v>Bu kare için uygun</x:v>
      </x:c>
      <x:c r="R3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1" s="29" t="str">
        <x:v>Lisans kanıtları/bk-6369a658e20f90066a0147f9.source-evidence.json</x:v>
      </x:c>
      <x:c r="T31" s="29" t="str">
        <x:v>4819ffb74798f00a1b709e06477f298bf4fa879415e6bc48dbc3743a8db6135b</x:v>
      </x:c>
      <x:c r="U31" s="29" t="str">
        <x:v>Lisans kanıtları/bk-6369a658e20f90066a0147f9.license-record.json</x:v>
      </x:c>
      <x:c r="V31" s="29" t="str">
        <x:v>c6d88d81ead3f72236d184a7d1d1e7e5b4a673e97e5fa7be61e19e0b78f3ce48</x:v>
      </x:c>
      <x:c r="W31" s="29" t="str">
        <x:v>{"file":"bk-6369a658e20f90066a0147f9.webp","width":1600,"author":"Xnatedawgx","height":474,"sha256":"6369a658e20f90066a0147f92783d070362fc269f0f8892032d64f821c6f89cc","license":"CC BY-SA 4.0","imageinfo":{"url":"https://upload.wikimedia.org/wikipedia/commons/1/1a/Dignity_Health_Theater%2C_Bakersfield%2C_CA%2C_SE_side_2025-12-22.jpg?utm_source=commons.wikimedia.org&amp;utm_campaign=imageinfo&amp;utm_content=original","mime":"image/jpeg","sha1":"f5553c62b7ba80688813f2a651a533b8fdf7a64b","size":408831,"width":3577,"height":1059,"pageid":181074880,"thumburl":"https://thumb.wikimedia.org/wikipedia/commons/thumb/1/1a/Dignity_Health_Theater%2C_Bakersfield%2C_CA%2C_SE_side_2025-12-22.jpg/1280px-Dignity_Health_Theater%2C_Bakersfield%2C_CA%2C_SE_side_2025-12-22.jpg?utm_source=commons.wikimedia.org&amp;utm_campaign=imageinfo&amp;utm_content=thumbnail","timestamp":"2026-01-01T19:46:06Z","thumbwidth":1280,"extmetadata":{"Artist":{"value":"&lt;a href=\"//commons.wikimedia.org/wiki/User:Xnatedawgx\" title=\"User:Xnatedawgx\"&gt;Xnatedawgx&lt;/a&gt;","source":"commons-desc-page"},"Credit":{"value":"&lt;span class=\"int-own-work\" lang=\"en\"&gt;Own work&lt;/span&gt;","source":"commons-desc-page"},"License":{"value":"cc-by-sa-4.0","hidden":"","source":"commons-templates"},"DateTime":{"value":"2026-01-01 19:46:06","hidden":"","source":"mediawiki-metadata"},"Categories":{"value":"Self-published work|23-49-meter-tall buildings in Bakersfield, California|23-meter-tall buildings in the United States|Dignity Health Arena","hidden":"","source":"commons-categories"},"LicenseUrl":{"value":"https://creativecommons.org/licenses/by-sa/4.0","source":"commons-desc-page"},"ObjectName":{"value":"Dignity Health Theater, Bakersfield, CA, SE side 2025-12-22","source":"mediawiki-metadata"},"UsageTerms":{"value":"Creative Commons Attribution-Share Alike 4.0","source":"commons-desc-page"},"Assessments":{"value":"","hidden":"","source":"commons-categories"},"Copyrighted":{"value":"True","hidden":"","source":"commons-desc-page"},"Restrictions":{"value":"","hidden":"","source":"commons-desc-page"},"DateTimeOriginal":{"value":"2025-12-22 12:00:28","source":"commons-desc-page"},"ImageDescription":{"value":"Dignity Health Theater, Bakersfield, CA, SE side","source":"commons-desc-page"},"LicenseShortName":{"value":"CC BY-SA 4.0","hidden":"","source":"commons-desc-page"},"AttributionRequired":{"value":"true","hidden":"","source":"commons-desc-page"},"CommonsMetadataExtension":{"value":1.2,"hidden":"","source":"extension"}},"thumbheight":379,"thumbattribs":{"src":"https://thumb.wikimedia.org/wikipedia/commons/thumb/1/1a/Dignity_Health_Theater%2C_Bakersfield%2C_CA%2C_SE_side_2025-12-22.jpg/1280px-Dignity_Health_Theater%2C_Bakersfield%2C_CA%2C_SE_side_2025-12-22.jpg?utm_source=commons.wikimedia.org&amp;utm_campaign=imageinfo&amp;utm_content=thumbnail","width":1280,"height":379,"srcset":"https://upload.wikimedia.org/wikipedia/commons/1/1a/Dignity_Health_Theater%2C_Bakersfield%2C_CA%2C_SE_side_2025-12-22.jpg?utm_source=commons.wikimedia.org&amp;utm_campaign=imageinfo&amp;utm_content=thumbnail_unscaled 2x","loading":"lazy","decoding":"async"},"descriptionurl":"https://commons.wikimedia.org/wiki/File:Dignity_Health_Theater,_Bakersfield,_CA,_SE_side_2025-12-22.jpg","responsiveUrls":{"2":"https://upload.wikimedia.org/wikipedia/commons/1/1a/Dignity_Health_Theater%2C_Bakersfield%2C_CA%2C_SE_side_2025-12-22.jpg?utm_source=commons.wikimedia.org&amp;utm_campaign=imageinfo&amp;utm_content=thumbnail_unscaled"},"descriptionshorturl":"https://commons.wikimedia.org/w/index.php?curid=181074880"},"review_id":"L0","selection":{"qid":"pending","kind":"candidate","title":"Bakersfield local buildings"},"author_url":"https://commons.wikimedia.org/wiki/User:Xnatedawgx","derivative":"Wikimedia thumbnail decoded; EXIF orientation applied; converted to WebP quality 86; no generated pixels, no cropping.","source_url":"https://commons.wikimedia.org/wiki/File:Dignity_Health_Theater,_Bakersfield,_CA,_SE_side_2025-12-22.jpg","author_urls":["https://commons.wikimedia.org/wiki/User:Xnatedawgx"],"description":"Dignity Health Theater, Bakersfield, CA, SE side","license_url":"https://creativecommons.org/licenses/by-sa/4.0","reviewed_on":"2026-10-24","capture_date":"2025-12-22 12:00:28","download_url":"https://thumb.wikimedia.org/wikipedia/commons/thumb/1/1a/Dignity_Health_Theater%2C_Bakersfield%2C_CA%2C_SE_side_2025-12-22.jpg/1280px-Dignity_Health_Theater%2C_Bakersfield%2C_CA%2C_SE_side_2025-12-22.jpg?utm_source=commons.wikimedia.org&amp;utm_campaign=imageinfo&amp;utm_content=thumbnail","original_url":"https://upload.wikimedia.org/wikipedia/commons/1/1a/Dignity_Health_Theater%2C_Bakersfield%2C_CA%2C_SE_side_2025-12-22.jpg?utm_source=commons.wikimedia.org&amp;utm_campaign=imageinfo&amp;utm_content=original","pixel_review":{"method":"İndirilen kare temas sayfasında görüldü; kaynak mekân kimliğiyle eşleştirildi. Seçim kaydı final-pixel-review.json.","status":"verified","caption":"Dignity Health Theater · 2025 tarihli fotoğraf","reviewer":"Codex (AI)","review_id":"L0"},"downloaded_at":"2026-10-23T19:08:19.198359+00:00","download_sha256":"2af51481a5610d26aeb475436f027a5052d00049be09df9e720ee8723c3bb9b7","downloaded_file":"downloads/2af51481a5610d26aeb475436f027a5052d00049be09df9e720ee8723c3bb9b7.jpg","acquisition_file":"upgrade-2af51481a5610d26aeb47543.webp","commons_filename":"Dignity Health Theater, Bakersfield, CA, SE side 2025-12-22.jpg","original_file_url":"https://upload.wikimedia.org/wikipedia/commons/1/1a/Dignity_Health_Theater%2C_Bakersfield%2C_CA%2C_SE_side_2025-12-22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dönüştürüldü.","photo_attribution":{"author_url":"https://commons.wikimedia.org/wiki/User:Xnatedawgx","modifications":"EXIF yönü uygulandı; boyut küçültülüp WebP biçimine dönüştürüldü.","original_file_url":"https://upload.wikimedia.org/wikipedia/commons/1/1a/Dignity_Health_Theater%2C_Bakersfield%2C_CA%2C_SE_side_2025-12-22.jpg?utm_source=commons.wikimedia.org&amp;utm_campaign=imageinfo&amp;utm_content=original"},"metadata_reviewed_on":"2026-10-24","metadata_review_status":"verified"}}</x:v>
      </x:c>
    </x:row>
    <x:row r="32" ht="300" customHeight="1">
      <x:c r="A32" s="29" t="str">
        <x:v>bakersfield:evidence:venue-21997</x:v>
      </x:c>
      <x:c r="B32" s="29" t="str">
        <x:v>bakersfield</x:v>
      </x:c>
      <x:c r="C32" s="29" t="str">
        <x:v>bakersfield:photo:venue-21997</x:v>
      </x:c>
      <x:c r="D32" s="29" t="str">
        <x:v>https://www.flickr.com/photos/9153440@N06/3141393185/</x:v>
      </x:c>
      <x:c r="E32" s="29" t="str">
        <x:v>Meadows Field – William M. Thomas Terminal · 2008 tarihli fotoğraf</x:v>
      </x:c>
      <x:c r="F32" s="29" t="str">
        <x:v>Antiporda Productions LV, LLC</x:v>
      </x:c>
      <x:c r="G32" s="29" t="str">
        <x:v>CC BY 2.0</x:v>
      </x:c>
      <x:c r="H32" s="29" t="str">
        <x:v>https://creativecommons.org/licenses/by/2.0/</x:v>
      </x:c>
      <x:c r="I32" s="29" t="str">
        <x:v>CC BY 2.0</x:v>
      </x:c>
      <x:c r="J32" s="29" t="str">
        <x:v>Meadows Field – William M. Thomas Terminal · 2008 tarihli fotoğraf · Antiporda Productions LV, LLC · CC BY 2.0 · https://www.flickr.com/photos/9153440@N06/3141393185/</x:v>
      </x:c>
      <x:c r="K3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2" s="31" t="d">
        <x:v>2026-10-24T00:00:00.000Z</x:v>
      </x:c>
      <x:c r="M32" s="29" t="str">
        <x:v>Doğrulandı</x:v>
      </x:c>
      <x:c r="N32" s="29" t="str">
        <x:v>Doğrulandı</x:v>
      </x:c>
      <x:c r="O32" s="29" t="str">
        <x:v>Fotoğraflar/bk-ace6b4b0601759aafee62798.webp</x:v>
      </x:c>
      <x:c r="P32" s="29" t="str">
        <x:v>Meadows Field – William M. Thomas Terminal · 2008 tarihli fotoğraf · İndirilen kare temas sayfasında görüldü; kaynak mekân kimliğiyle eşleştirildi. Seçim kaydı final-pixel-review.json.</x:v>
      </x:c>
      <x:c r="Q32" s="29" t="str">
        <x:v>Bu kare için uygun</x:v>
      </x:c>
      <x:c r="R3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2" s="29" t="str">
        <x:v>Lisans kanıtları/bk-ace6b4b0601759aafee62798.source-evidence.json</x:v>
      </x:c>
      <x:c r="T32" s="29" t="str">
        <x:v>89c533e6096a72dddf9a4b5b7c406c0e2fa8f2443e7bd598f7fb625657d1413a</x:v>
      </x:c>
      <x:c r="U32" s="29" t="str">
        <x:v>Lisans kanıtları/bk-ace6b4b0601759aafee62798.license-record.json</x:v>
      </x:c>
      <x:c r="V32" s="29" t="str">
        <x:v>f8617c99015e2fa1bd20617d30c7e650c94839dbe5536a01ee302377d0b64d9c</x:v>
      </x:c>
      <x:c r="W32" s="29" t="str">
        <x:v>{"file":"bk-ace6b4b0601759aafee62798.webp","width":781,"author":"Antiporda Productions LV, LLC","height":1024,"sha256":"ace6b4b0601759aafee627988ebcc45ae8c9f13d94e25e5236aaaf938d09e0b7","status":"reviewed-selected","license":"CC BY 2.0","provider":"Flickr","review_id":"Z0","source_id":"3141393185","author_url":"https://www.flickr.com/photos/9153440@N06/","date_texts":["Uploaded on December 27, 2008 Taken on August 23, 2008","Taken on August 23, 2008","Uploaded on December 27, 2008 Taken on August 23, 2008","Taken on August 23, 2008"],"source_url":"https://www.flickr.com/photos/9153440@N06/3141393185/","description":"","license_url":"https://creativecommons.org/licenses/by/2.0/","review_note":"Terminalin oturma alanı ve yüksek camlı salon; belirgin portre yok.","reviewed_on":"2026-10-24","source_text":"Meadows Field - Thomas Terminal | Antiporda Productions LV, LLC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Antiporda Productions LV, LLC Antiporda Productions LV, LLC Meadows Field - Thomas Terminal Done 1,180 views 0 faves 3 comments Uploaded on December 27, 2008 Taken on August 23, 2008 Antiporda Productions LV, LLC By: Antiporda Productions LV, LLC Meadows Field - Thomas Terminal Done 1,180 views 0 faves 3 comments Uploaded on December 27, 2008 Taken on August 23,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photography.","capture_date":"2008-08-23","download_url":"https://live.staticflickr.com/3221/3141393185_91a2a28714_b.jpg","original_url":"https://live.staticflickr.com/3221/3141393185_d05646d868_o.jpg","pixel_review":{"method":"İndirilen kare temas sayfasında görüldü; kaynak mekân kimliğiyle eşleştirildi. Seçim kaydı final-pixel-review.json.","status":"verified","caption":"Meadows Field – William M. Thomas Terminal · 2008 tarihli fotoğraf","reviewer":"Codex (AI)","review_id":"Z0"},"source_title":"Meadows Field - Thomas Terminal","downloaded_at":"2026-10-23T21:40:01.855603+00:00","download_sha256":"99a5cce2774923fbacd52bd5439f89e082a700ccf556cf10902762759c5d2671","downloaded_file":"downloads/99a5cce2774923fbacd52bd5439f89e082a700ccf556cf10902762759c5d2671.jpg","public_metadata":{"photo-models":[{"data":{"id":"3141393185","owner":{"data":{"id":"9153440@N06","isPro":true,"newFlow":true,"isAdFree":false,"location":null,"proBadge":"standard","realname":"","segments":{"data":[],"exportMetaType":"array"},"username":"Antiporda Productions LV, LLC","buddyicon":{"data":{"large":"//live.staticflickr.com/905/buddyicons/9153440@N06_l.jpg?1526072983#9153440@N06","small":"//live.staticflickr.com/905/buddyicons/9153440@N06_s.jpg?1526072983#9153440@N06","medium":"//live.staticflickr.com/905/buddyicons/9153440@N06_m.jpg?1526072983#9153440@N06","retina":"//live.staticflickr.com/905/buddyicons/9153440@N06_r.jpg?1526072983#9153440@N06","default":"//live.staticflickr.com/905/buddyicons/9153440@N06.jpg?1526072983#9153440@N06"},"exportMetaType":"pojo"},"pathAlias":"alanant","dateCreated":{"data":"1182344502","exportMetaType":"serializeFunction"},"subscription":{"data":{"isPro":false,"isClosed":false,"isPastDue":false},"exportMetaType":"pojo"},"eligibleGifts":{"data":["year","month","week"],"exportMetaType":"array"},"isEligibleForGifts":true,"_flickrModelRegistry":"person-models"},"exportMetaType":"model"},"sizes":{"data":{"c":{"data":{"url":"//live.staticflickr.com/3221/3141393185_91a2a28714_c.jpg","width":610,"height":800,"displayUrl":"//live.staticflickr.com/3221/3141393185_91a2a28714_c.jpg"},"exportMetaType":"pojo"},"h":{"data":{"url":"//live.staticflickr.com/3221/3141393185_fcf96a614d_h.jpg","width":1220,"height":1600,"displayUrl":"//live.staticflickr.com/3221/3141393185_fcf96a614d_h.jpg"},"exportMetaType":"pojo"},"k":{"data":{"url":"//live.staticflickr.com/3221/3141393185_85ff4f86b0_k.jpg","width":1561,"height":2048,"displayUrl":"//live.staticflickr.com/3221/3141393185_85ff4f86b0_k.jpg"},"exportMetaType":"pojo"},"l":{"data":{"url":"//live.staticflickr.com/3221/3141393185_91a2a28714_b.jpg","width":781,"height":1024,"displayUrl":"//live.staticflickr.com/3221/3141393185_91a2a28714_b.jpg"},"exportMetaType":"pojo"},"m":{"data":{"url":"//live.staticflickr.com/3221/3141393185_91a2a28714.jpg","width":381,"height":500,"displayUrl":"//live.staticflickr.com/3221/3141393185_91a2a28714.jpg"},"exportMetaType":"pojo"},"n":{"data":{"url":"//live.staticflickr.com/3221/3141393185_91a2a28714_n.jpg","width":244,"height":320,"displayUrl":"//live.staticflickr.com/3221/3141393185_91a2a28714_n.jpg"},"exportMetaType":"pojo"},"o":{"data":{"url":"//live.staticflickr.com/3221/3141393185_d05646d868_o.jpg","width":2550,"height":3345,"displayUrl":"//live.staticflickr.com/3221/3141393185_d05646d868_o.jpg"},"exportMetaType":"pojo"},"q":{"data":{"url":"//live.staticflickr.com/3221/3141393185_91a2a28714_q.jpg","width":150,"height":150,"displayUrl":"//live.staticflickr.com/3221/3141393185_91a2a28714_q.jpg"},"exportMetaType":"pojo"},"s":{"data":{"url":"//live.staticflickr.com/3221/3141393185_91a2a28714_m.jpg","width":183,"height":240,"displayUrl":"//live.staticflickr.com/3221/3141393185_91a2a28714_m.jpg"},"exportMetaType":"pojo"},"t":{"data":{"url":"//live.staticflickr.com/3221/3141393185_91a2a28714_t.jpg","width":76,"height":100,"displayUrl":"//live.staticflickr.com/3221/3141393185_91a2a28714_t.jpg"},"exportMetaType":"pojo"},"w":{"data":{"url":"//live.staticflickr.com/3221/3141393185_91a2a28714_w.jpg","width":305,"height":400,"displayUrl":"//live.staticflickr.com/3221/3141393185_91a2a28714_w.jpg"},"exportMetaType":"pojo"},"z":{"data":{"url":"//live.staticflickr.com/3221/3141393185_91a2a28714_z.jpg","width":488,"height":640,"displayUrl":"//live.staticflickr.com/3221/3141393185_91a2a28714_z.jpg"},"exportMetaType":"pojo"},"3k":{"data":{"url":"//live.staticflickr.com/3221/3141393185_dd8d0ab125_3k.jpg","width":2342,"height":3072,"displayUrl":"//live.staticflickr.com/3221/3141393185_dd8d0ab125_3k.jpg"},"exportMetaType":"pojo"},"sq":{"data":{"url":"//live.staticflickr.com/3221/3141393185_91a2a28714_s.jpg","width":75,"height":75,"displayUrl":"//live.staticflickr.com/3221/3141393185_91a2a28714_s.jpg"},"exportMetaType":"pojo"}},"exportMetaType":"pojo"},"title":"Meadows Field - Thomas Terminal","oWidth":2550,"secret":"91a2a28714","license":4,"oHeight":3345,"rotation":0,"canAddMeta":false,"canComment":false,"engagement":{"data":{"id":"3141393185","canShare":true,"ownerNsid":"9153440@N06","reactions":{"data":{"like":{"data":{"id":"like","count":5,"canReact":true,"didViewerReact":true},"exportMetaType":"pojo"},"someOtherReaction":{"data":{"id":"someOtherReaction","count":3,"canReact":true,"didViewerReact":false},"exportMetaType":"pojo"}},"exportMetaType":"pojo"},"viewCount":1180,"canDownload":true,"commentCount":3,"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3141393185","_flickrModelRegistry":"photo-geo-models"},"exportMetaType":"model"}],"photo-location-models":[{"data":{"id":"3141393185","geo":{"data":"~2","exportMetaType":"model"},"text":"","levels":{"data":{},"exportMetaType":"pojo"},"staticMaps":{"data":{},"exportMetaType":"pojo"},"_flickrModelRegistry":"photo-location-models"},"exportMetaType":"model"}],"photo-head-meta-models":[{"data":{"id":"3141393185","title":"Meadows Field - Thomas Terminal","og:url":"https://www.flickr.com/photos/alanant/3141393185/","og:type":"article","keywords":"airport, naturallight, kpa, bakersfield, kerncounty, williammthomasairterminal","og:image":"https://live.staticflickr.com/3221/3141393185_91a2a28714_b.jpg","og:title":"Meadows Field - Thomas Terminal","twitter:card":"summary_large_image","twitter:image":"https://live.staticflickr.com/3221/3141393185_91a2a28714_b.jpg","og:description":"","og:image:width":781,"og:image:height":1024,"twitter:creator":"@aantiporda","twitter:description":"Explore Antiporda Productions LV, LLC's 4865 photos on Flickr!","_flickrModelRegistry":"photo-head-meta-models","twitter:app:url:ipad":"flickr://flickr.com/photos/alanant/3141393185/","twitter:app:url:iphone":"flickr://flickr.com/photos/alanant/3141393185/","twitter:app:url:googleplay":"https://www.flickr.com/photos/alanant/3141393185/"},"exportMetaType":"model"}],"photo-license-history-models":[]},"acquisition_file":"fl-3141393185.webp","source_html_file":"/Users/atincakcayoz/corteqs/output/bakersfield-completion-20261024/flickr-source-pages/3141393185.html","original_file_url":"https://live.staticflickr.com/3221/3141393185_d05646d868_o.jpg","proposed_identity":"Meadows Field – William M. Thomas Terminal","source_html_sha256":"556a155c33e57072cf07d1bb21849ba65b00c2073f0bb7bc2372e37f30706fff","third_party_rights_review":{"basis":"Kaynakta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dönüştürüldü.","photo_attribution":{"author_url":"https://www.flickr.com/photos/9153440@N06/","modifications":"EXIF yönü uygulandı; boyut küçültülüp WebP biçimine dönüştürüldü.","original_file_url":"https://live.staticflickr.com/3221/3141393185_d05646d868_o.jpg"},"metadata_reviewed_on":"2026-10-24","metadata_review_status":"verified"}}</x:v>
      </x:c>
    </x:row>
    <x:row r="33" ht="300" customHeight="1">
      <x:c r="A33" s="29" t="str">
        <x:v>bakersfield:evidence:venue-21998</x:v>
      </x:c>
      <x:c r="B33" s="29" t="str">
        <x:v>bakersfield</x:v>
      </x:c>
      <x:c r="C33" s="29" t="str">
        <x:v>bakersfield:photo:venue-21998</x:v>
      </x:c>
      <x:c r="D33" s="29" t="str">
        <x:v>https://commons.wikimedia.org/wiki/File:Blackwell%E2%80%99s_Corner_2021.jpg</x:v>
      </x:c>
      <x:c r="E33" s="29" t="str">
        <x:v>Blackwell’s Corner 2021.jpg</x:v>
      </x:c>
      <x:c r="F33" s="29" t="str">
        <x:v>Gsarmiento</x:v>
      </x:c>
      <x:c r="G33" s="29" t="str">
        <x:v>CC BY-SA 4.0</x:v>
      </x:c>
      <x:c r="H33" s="29" t="str">
        <x:v>https://creativecommons.org/licenses/by-sa/4.0</x:v>
      </x:c>
      <x:c r="I33" s="29" t="str">
        <x:v>Creative Commons Attribution-Share Alike 4.0</x:v>
      </x:c>
      <x:c r="J33" s="29" t="str">
        <x:v>Blackwell’s Corner 2021.jpg · Gsarmiento · CC BY-SA 4.0 · https://commons.wikimedia.org/wiki/File:Blackwell%E2%80%99s_Corner_2021.jpg</x:v>
      </x:c>
      <x:c r="K3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3" s="31" t="d">
        <x:v>2026-10-24T00:00:00.000Z</x:v>
      </x:c>
      <x:c r="M33" s="29" t="str">
        <x:v>Doğrulandı</x:v>
      </x:c>
      <x:c r="N33" s="29" t="str">
        <x:v>Doğrulandı</x:v>
      </x:c>
      <x:c r="O33" s="29" t="str">
        <x:v>Fotoğraflar/bk-ae0bb225cfa14453e113d829.webp</x:v>
      </x:c>
      <x:c r="P33" s="29" t="str">
        <x:v>Blackwell’s Corner · 2021 tarihli fotoğraf · İndirilen kare temas sayfasında görüldü; kaynak mekân kimliğiyle eşleştirildi. Seçim kaydı final-pixel-review.json.</x:v>
      </x:c>
      <x:c r="Q33" s="29" t="str">
        <x:v>Bu kare için uygun</x:v>
      </x:c>
      <x:c r="R3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3" s="29" t="str">
        <x:v>Lisans kanıtları/bk-ae0bb225cfa14453e113d829.source-evidence.json</x:v>
      </x:c>
      <x:c r="T33" s="29" t="str">
        <x:v>605a355ca8fc9cabe122ba3795e9133c1b16d62994e924696e28bc8c03e799d6</x:v>
      </x:c>
      <x:c r="U33" s="29" t="str">
        <x:v>Lisans kanıtları/bk-ae0bb225cfa14453e113d829.license-record.json</x:v>
      </x:c>
      <x:c r="V33" s="29" t="str">
        <x:v>27f56a4f5be674f2ea4ff3c63452df51fa1520162242ffaf806f0702b84dbd44</x:v>
      </x:c>
      <x:c r="W33" s="29" t="str">
        <x:v>{"file":"bk-ae0bb225cfa14453e113d829.webp","width":1280,"author":"Gsarmiento","height":960,"sha256":"ae0bb225cfa14453e113d8298b2d2e1bae9787299626d147dc57aa65cd7b6ca5","license":"CC BY-SA 4.0","imageinfo":{"url":"https://upload.wikimedia.org/wikipedia/commons/0/00/Blackwell%E2%80%99s_Corner_2021.jpg?utm_source=commons.wikimedia.org&amp;utm_campaign=imageinfo&amp;utm_content=original","mime":"image/jpeg","sha1":"08d977221bd1d0083a65d6f214c45d1bdaf5c0b9","size":2136735,"width":4032,"height":3024,"pageid":102265848,"thumburl":"https://thumb.wikimedia.org/wikipedia/commons/thumb/0/00/Blackwell%E2%80%99s_Corner_2021.jpg/1280px-Blackwell%E2%80%99s_Corner_2021.jpg?utm_source=commons.wikimedia.org&amp;utm_campaign=imageinfo&amp;utm_content=thumbnail","timestamp":"2021-03-25T00:53:50Z","thumbwidth":1280,"extmetadata":{"Artist":{"value":"&lt;a href=\"//commons.wikimedia.org/w/index.php?title=User:Gsarmiento&amp;amp;action=edit&amp;amp;redlink=1\" class=\"new\" title=\"User:Gsarmiento (page does not exist)\"&gt;Gsarmiento&lt;/a&gt;","source":"commons-desc-page"},"Credit":{"value":"&lt;span class=\"int-own-work\" lang=\"en\"&gt;Own work&lt;/span&gt;","source":"commons-desc-page"},"License":{"value":"cc-by-sa-4.0","hidden":"","source":"commons-templates"},"DateTime":{"value":"2021-03-25 00:53:50","hidden":"","source":"mediawiki-metadata"},"Categories":{"value":"Buildings in California|Self-published work","hidden":"","source":"commons-categories"},"LicenseUrl":{"value":"https://creativecommons.org/licenses/by-sa/4.0","source":"commons-desc-page"},"ObjectName":{"value":"Blackwell’s Corner 2021","source":"mediawiki-metadata"},"UsageTerms":{"value":"Creative Commons Attribution-Share Alike 4.0","source":"commons-desc-page"},"Assessments":{"value":"","hidden":"","source":"commons-categories"},"Copyrighted":{"value":"True","hidden":"","source":"commons-desc-page"},"Restrictions":{"value":"","hidden":"","source":"commons-desc-page"},"DateTimeOriginal":{"value":"2021-03-24","source":"commons-desc-page"},"ImageDescription":{"value":"Blackwell’s Corner as seen from a distance, in March 2021.","source":"commons-desc-page"},"LicenseShortName":{"value":"CC BY-SA 4.0","hidden":"","source":"commons-desc-page"},"AttributionRequired":{"value":"true","hidden":"","source":"commons-desc-page"},"CommonsMetadataExtension":{"value":1.2,"hidden":"","source":"extension"}},"thumbheight":960,"thumbattribs":{"src":"https://thumb.wikimedia.org/wikipedia/commons/thumb/0/00/Blackwell%E2%80%99s_Corner_2021.jpg/1280px-Blackwell%E2%80%99s_Corner_2021.jpg?utm_source=commons.wikimedia.org&amp;utm_campaign=imageinfo&amp;utm_content=thumbnail","width":1280,"height":960,"srcset":"https://thumb.wikimedia.org/wikipedia/commons/thumb/0/00/Blackwell%E2%80%99s_Corner_2021.jpg/3840px-Blackwell%E2%80%99s_Corner_2021.jpg?utm_source=commons.wikimedia.org&amp;utm_campaign=imageinfo&amp;utm_content=thumbnail 2x","loading":"lazy","decoding":"async"},"descriptionurl":"https://commons.wikimedia.org/wiki/File:Blackwell%E2%80%99s_Corner_2021.jpg","responsiveUrls":{"2":"https://thumb.wikimedia.org/wikipedia/commons/thumb/0/00/Blackwell%E2%80%99s_Corner_2021.jpg/3840px-Blackwell%E2%80%99s_Corner_2021.jpg?utm_source=commons.wikimedia.org&amp;utm_campaign=imageinfo&amp;utm_content=thumbnail"},"descriptionshorturl":"https://commons.wikimedia.org/w/index.php?curid=102265848"},"selection":{"qid":"pending","kind":"candidate","title":"Bakersfield alternatives"},"author_url":"","derivative":"Wikimedia thumbnail decoded; EXIF orientation applied; converted to WebP quality 86; no generated pixels, no cropping.","source_url":"https://commons.wikimedia.org/wiki/File:Blackwell%E2%80%99s_Corner_2021.jpg","author_urls":[],"description":"Blackwell’s Corner as seen from a distance, in March 2021.","license_url":"https://creativecommons.org/licenses/by-sa/4.0","reviewed_on":"2026-10-24","capture_date":"2021-03-24","download_url":"https://thumb.wikimedia.org/wikipedia/commons/thumb/0/00/Blackwell%E2%80%99s_Corner_2021.jpg/1280px-Blackwell%E2%80%99s_Corner_2021.jpg?utm_source=commons.wikimedia.org&amp;utm_campaign=imageinfo&amp;utm_content=thumbnail","original_url":"https://upload.wikimedia.org/wikipedia/commons/0/00/Blackwell%E2%80%99s_Corner_2021.jpg?utm_source=commons.wikimedia.org&amp;utm_campaign=imageinfo&amp;utm_content=original","pixel_review":{"method":"İndirilen kare temas sayfasında görüldü; kaynak mekân kimliğiyle eşleştirildi. Seçim kaydı final-pixel-review.json.","status":"verified","caption":"Blackwell’s Corner · 2021 tarihli fotoğraf","reviewer":"Codex (AI)","review_id":"T14"},"downloaded_at":"2026-10-23T21:29:16.754133+00:00","download_sha256":"07bf5691cbf4786c79a2a372400dff39fed7637fbcbda7198e0773a372f8c688","downloaded_file":"downloads/07bf5691cbf4786c79a2a372400dff39fed7637fbcbda7198e0773a372f8c688.jpg","acquisition_file":"b9876a11d83578c988981696.webp","commons_filename":"Blackwell’s Corner 2021.jpg","original_file_url":"https://upload.wikimedia.org/wikipedia/commons/0/00/Blackwell%E2%80%99s_Corner_2021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0/00/Blackwell%E2%80%99s_Corner_2021.jpg?utm_source=commons.wikimedia.org&amp;utm_campaign=imageinfo&amp;utm_content=original"},"metadata_reviewed_on":"2026-10-24","metadata_review_status":"verified"}}</x:v>
      </x:c>
    </x:row>
    <x:row r="34" ht="300" customHeight="1">
      <x:c r="A34" s="29" t="str">
        <x:v>bakersfield:evidence:venue-21999</x:v>
      </x:c>
      <x:c r="B34" s="29" t="str">
        <x:v>bakersfield</x:v>
      </x:c>
      <x:c r="C34" s="29" t="str">
        <x:v>bakersfield:photo:venue-21999</x:v>
      </x:c>
      <x:c r="D34" s="29" t="str">
        <x:v>https://commons.wikimedia.org/wiki/File:Buttonwillow,_California,_public_library,_2011.jpg</x:v>
      </x:c>
      <x:c r="E34" s="29" t="str">
        <x:v>Buttonwillow, California, public library, 2011.jpg</x:v>
      </x:c>
      <x:c r="F34" s="29" t="str">
        <x:v>GeorgeLouis</x:v>
      </x:c>
      <x:c r="G34" s="29" t="str">
        <x:v>CC BY-SA 3.0</x:v>
      </x:c>
      <x:c r="H34" s="29" t="str">
        <x:v>https://creativecommons.org/licenses/by-sa/3.0</x:v>
      </x:c>
      <x:c r="I34" s="29" t="str">
        <x:v>Creative Commons Attribution-Share Alike 3.0</x:v>
      </x:c>
      <x:c r="J34" s="29" t="str">
        <x:v>Buttonwillow, California, public library, 2011.jpg · GeorgeLouis · CC BY-SA 3.0 · https://commons.wikimedia.org/wiki/File:Buttonwillow,_California,_public_library,_2011.jpg</x:v>
      </x:c>
      <x:c r="K3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4" s="31" t="d">
        <x:v>2026-10-24T00:00:00.000Z</x:v>
      </x:c>
      <x:c r="M34" s="29" t="str">
        <x:v>Doğrulandı</x:v>
      </x:c>
      <x:c r="N34" s="29" t="str">
        <x:v>Doğrulandı</x:v>
      </x:c>
      <x:c r="O34" s="29" t="str">
        <x:v>Fotoğraflar/bk-f7295e6a191a6305fe9de78e.webp</x:v>
      </x:c>
      <x:c r="P34" s="29" t="str">
        <x:v>Buttonwillow Branch Library · 2011 tarihli fotoğraf · İndirilen kare temas sayfasında görüldü; kaynak mekân kimliğiyle eşleştirildi. Seçim kaydı final-pixel-review.json.</x:v>
      </x:c>
      <x:c r="Q34" s="29" t="str">
        <x:v>Bu kare için uygun</x:v>
      </x:c>
      <x:c r="R3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4" s="29" t="str">
        <x:v>Lisans kanıtları/bk-f7295e6a191a6305fe9de78e.source-evidence.json</x:v>
      </x:c>
      <x:c r="T34" s="29" t="str">
        <x:v>ea311273f36bab6f01c959194b1210bfcafd99e7dcf0dc13f038622feaf28fe1</x:v>
      </x:c>
      <x:c r="U34" s="29" t="str">
        <x:v>Lisans kanıtları/bk-f7295e6a191a6305fe9de78e.license-record.json</x:v>
      </x:c>
      <x:c r="V34" s="29" t="str">
        <x:v>fc832f8b5dbbcf225bc0ad35fad48f233c6e69535f53719bea0edfd853095bcc</x:v>
      </x:c>
      <x:c r="W34" s="29" t="str">
        <x:v>{"file":"bk-f7295e6a191a6305fe9de78e.webp","width":1280,"author":"GeorgeLouis","height":960,"sha256":"f7295e6a191a6305fe9de78edd898dae27cb5c2b3260062933048aabbb28c760","license":"CC BY-SA 3.0","imageinfo":{"url":"https://upload.wikimedia.org/wikipedia/commons/3/3d/Buttonwillow%2C_California%2C_public_library%2C_2011.jpg?utm_source=commons.wikimedia.org&amp;utm_campaign=imageinfo&amp;utm_content=original","mime":"image/jpeg","sha1":"788a0af4a2b8f1627c26a1490480ff77b00a1584","size":1138280,"width":3449,"height":2586,"pageid":47397299,"thumburl":"https://thumb.wikimedia.org/wikipedia/commons/thumb/3/3d/Buttonwillow%2C_California%2C_public_library%2C_2011.jpg/1280px-Buttonwillow%2C_California%2C_public_library%2C_2011.jpg?utm_source=commons.wikimedia.org&amp;utm_campaign=imageinfo&amp;utm_content=thumbnail","timestamp":"2016-03-08T01:41:21Z","thumbwidth":1280,"extmetadata":{"Artist":{"value":"&lt;a href=\"https://en.wikipedia.org/wiki/User:GeorgeLouis\" class=\"extiw\" title=\"en:User:GeorgeLouis\"&gt;GeorgeLouis&lt;/a&gt;","source":"commons-desc-page"},"Credit":{"value":"&lt;p&gt;Driving through Kern  County, I stopped in Buttonwillow to take the photo for the purpose of uploading to Wikipedia.&lt;br&gt;\n&lt;/p&gt;\n&lt;b&gt;Previously published:&lt;/b&gt; Never published.","source":"commons-desc-page"},"License":{"value":"cc-by-sa-3.0","hidden":"","source":"commons-templates"},"DateTime":{"value":"2016-03-08 01:41:21","hidden":"","source":"mediawiki-metadata"},"Categories":{"value":"GFDL|Buttonwillow, California|License migration redundant|Buildings in Kern County, California|Public libraries in California|April 2011 in California|Self-published work|Libraries in the United States photographed in 2011","hidden":"","source":"commons-categories"},"LicenseUrl":{"value":"https://creativecommons.org/licenses/by-sa/3.0","source":"commons-desc-page"},"ObjectName":{"value":"Buttonwillow, California, public library, 2011","source":"mediawiki-metadata"},"UsageTerms":{"value":"Creative Commons Attribution-Share Alike 3.0","source":"commons-desc-page"},"Assessments":{"value":"","hidden":"","source":"commons-categories"},"Attribution":{"value":"&lt;a href=\"https://en.wikipedia.org/wiki/User:BeenAroundAWhile\" class=\"extiw\" title=\"en:User:BeenAroundAWhile\"&gt;BeenAroundAWhile&lt;/a&gt; at &lt;a class=\"external text\" href=\"https://en.wikipedia.org\"&gt;en.wikipedia&lt;/a&gt;","hidden":"","source":"commons-desc-page"},"Copyrighted":{"value":"True","hidden":"","source":"commons-desc-page"},"Restrictions":{"value":"","hidden":"","source":"commons-desc-page"},"DateTimeOriginal":{"value":"2011-04-12","source":"commons-desc-page"},"ImageDescription":{"value":"&lt;a href=\"https://en.wikipedia.org/wiki/Buttonwillow,_California\" class=\"extiw\" title=\"en:Buttonwillow, California\"&gt;Buttonwillow&lt;/a&gt;, public library, 2011.jpg&lt;br&gt;\n&lt;dl&gt;&lt;dt&gt;Other information&lt;/dt&gt;\n&lt;dd&gt;&lt;/dd&gt;&lt;/dl&gt;\nPhoto by George Garrigues.","source":"commons-desc-page"},"LicenseShortName":{"value":"CC BY-SA 3.0","hidden":"","source":"commons-desc-page"},"AttributionRequired":{"value":"true","hidden":"","source":"commons-desc-page"},"CommonsMetadataExtension":{"value":1.2,"hidden":"","source":"extension"}},"thumbheight":960,"thumbattribs":{"src":"https://thumb.wikimedia.org/wikipedia/commons/thumb/3/3d/Buttonwillow%2C_California%2C_public_library%2C_2011.jpg/1280px-Buttonwillow%2C_California%2C_public_library%2C_2011.jpg?utm_source=commons.wikimedia.org&amp;utm_campaign=imageinfo&amp;utm_content=thumbnail","width":1280,"height":960,"srcset":"https://upload.wikimedia.org/wikipedia/commons/3/3d/Buttonwillow%2C_California%2C_public_library%2C_2011.jpg?utm_source=commons.wikimedia.org&amp;utm_campaign=imageinfo&amp;utm_content=thumbnail_unscaled 2x","loading":"lazy","decoding":"async"},"descriptionurl":"https://commons.wikimedia.org/wiki/File:Buttonwillow,_California,_public_library,_2011.jpg","responsiveUrls":{"2":"https://upload.wikimedia.org/wikipedia/commons/3/3d/Buttonwillow%2C_California%2C_public_library%2C_2011.jpg?utm_source=commons.wikimedia.org&amp;utm_campaign=imageinfo&amp;utm_content=thumbnail_unscaled"},"descriptionshorturl":"https://commons.wikimedia.org/w/index.php?curid=47397299"},"selection":{"qid":"pending","kind":"candidate","title":"Buildings in Kern County, California"},"author_url":"https://en.wikipedia.org/wiki/User:GeorgeLouis","derivative":"Wikimedia thumbnail decoded; EXIF orientation applied; converted to WebP quality 86; no generated pixels, no cropping.","source_url":"https://commons.wikimedia.org/wiki/File:Buttonwillow,_California,_public_library,_2011.jpg","author_urls":["https://en.wikipedia.org/wiki/User:GeorgeLouis"],"description":"Buttonwillow, public library, 2011.jpg\nOther information\n\nPhoto by George Garrigues.","license_url":"https://creativecommons.org/licenses/by-sa/3.0","reviewed_on":"2026-10-24","capture_date":"2011-04-12","download_url":"https://thumb.wikimedia.org/wikipedia/commons/thumb/3/3d/Buttonwillow%2C_California%2C_public_library%2C_2011.jpg/1280px-Buttonwillow%2C_California%2C_public_library%2C_2011.jpg?utm_source=commons.wikimedia.org&amp;utm_campaign=imageinfo&amp;utm_content=thumbnail","original_url":"https://upload.wikimedia.org/wikipedia/commons/3/3d/Buttonwillow%2C_California%2C_public_library%2C_2011.jpg?utm_source=commons.wikimedia.org&amp;utm_campaign=imageinfo&amp;utm_content=original","pixel_review":{"method":"İndirilen kare temas sayfasında görüldü; kaynak mekân kimliğiyle eşleştirildi. Seçim kaydı final-pixel-review.json.","status":"verified","caption":"Buttonwillow Branch Library · 2011 tarihli fotoğraf","reviewer":"Codex (AI)","review_id":"C88"},"downloaded_at":"2026-10-23T19:10:20.894429+00:00","download_sha256":"9f979a24c257329931c1a4469098aab58d063e842854d60a1163fe66016dba15","downloaded_file":"downloads/9f979a24c257329931c1a4469098aab58d063e842854d60a1163fe66016dba15.jpg","acquisition_file":"c093eb396bcfb119dfdb63d3.webp","commons_filename":"Buttonwillow, California, public library, 2011.jpg","original_file_url":"https://upload.wikimedia.org/wikipedia/commons/3/3d/Buttonwillow%2C_California%2C_public_library%2C_2011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dönüştürüldü.","photo_attribution":{"author_url":"https://en.wikipedia.org/wiki/User:GeorgeLouis","modifications":"EXIF yönü uygulandı; boyut küçültülüp WebP biçimine dönüştürüldü.","original_file_url":"https://upload.wikimedia.org/wikipedia/commons/3/3d/Buttonwillow%2C_California%2C_public_library%2C_2011.jpg?utm_source=commons.wikimedia.org&amp;utm_campaign=imageinfo&amp;utm_content=original"},"metadata_reviewed_on":"2026-10-24","metadata_review_status":"verified"}}</x:v>
      </x:c>
    </x:row>
    <x:row r="35" ht="300" customHeight="1">
      <x:c r="A35" s="29" t="str">
        <x:v>bakersfield:evidence:venue-22000</x:v>
      </x:c>
      <x:c r="B35" s="29" t="str">
        <x:v>bakersfield</x:v>
      </x:c>
      <x:c r="C35" s="29" t="str">
        <x:v>bakersfield:photo:venue-22000</x:v>
      </x:c>
      <x:c r="D35" s="29" t="str">
        <x:v>https://commons.wikimedia.org/wiki/File:Frazier_Park_Library_East_Side.jpg</x:v>
      </x:c>
      <x:c r="E35" s="29" t="str">
        <x:v>Frazier Park Library East Side.jpg</x:v>
      </x:c>
      <x:c r="F35" s="29" t="str">
        <x:v>Skyman9999</x:v>
      </x:c>
      <x:c r="G35" s="29" t="str">
        <x:v>CC0 1.0</x:v>
      </x:c>
      <x:c r="H35" s="29" t="str">
        <x:v>https://creativecommons.org/publicdomain/zero/1.0/</x:v>
      </x:c>
      <x:c r="I35" s="29" t="str">
        <x:v>Creative Commons Zero, Public Domain Dedication</x:v>
      </x:c>
      <x:c r="J35" s="29" t="str">
        <x:v>Frazier Park Library East Side.jpg · Skyman9999 · CC0 1.0 · https://commons.wikimedia.org/wiki/File:Frazier_Park_Library_East_Side.jpg</x:v>
      </x:c>
      <x:c r="K3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5" s="31" t="d">
        <x:v>2026-10-24T00:00:00.000Z</x:v>
      </x:c>
      <x:c r="M35" s="29" t="str">
        <x:v>Doğrulandı</x:v>
      </x:c>
      <x:c r="N35" s="29" t="str">
        <x:v>Doğrulandı</x:v>
      </x:c>
      <x:c r="O35" s="29" t="str">
        <x:v>Fotoğraflar/bk-8ff277422834dc4fa4264d51.webp</x:v>
      </x:c>
      <x:c r="P35" s="29" t="str">
        <x:v>Frazier Park Branch Library · 2011 tarihli fotoğraf · İndirilen kare temas sayfasında görüldü; kaynak mekân kimliğiyle eşleştirildi. Seçim kaydı final-pixel-review.json.</x:v>
      </x:c>
      <x:c r="Q35" s="29" t="str">
        <x:v>Bu kare için uygun</x:v>
      </x:c>
      <x:c r="R3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5" s="29" t="str">
        <x:v>Lisans kanıtları/bk-8ff277422834dc4fa4264d51.source-evidence.json</x:v>
      </x:c>
      <x:c r="T35" s="29" t="str">
        <x:v>054d78796c9dae1161fa10179fc99d59f52c15e83ff2cf61187d1c53426d0b6c</x:v>
      </x:c>
      <x:c r="U35" s="29" t="str">
        <x:v>Lisans kanıtları/bk-8ff277422834dc4fa4264d51.license-record.json</x:v>
      </x:c>
      <x:c r="V35" s="29" t="str">
        <x:v>3d2293d59b78617afe5841bb7c932fe74d164453ee20cafd6413e9c48efbad22</x:v>
      </x:c>
      <x:c r="W35" s="29" t="str">
        <x:v>{"file":"bk-8ff277422834dc4fa4264d51.webp","width":1280,"author":"Skyman9999","height":851,"sha256":"8ff277422834dc4fa4264d5138f27a77f933a220e37ae7efee1b78bbf245cb82","license":"CC0 1.0","imageinfo":{"url":"https://upload.wikimedia.org/wikipedia/commons/9/99/Frazier_Park_Library_East_Side.jpg?utm_source=commons.wikimedia.org&amp;utm_campaign=imageinfo&amp;utm_content=original","mime":"image/jpeg","sha1":"2caa892f432c1801520fcf7058067ac18678aa46","size":2507870,"width":3008,"height":2000,"pageid":17283150,"thumburl":"https://thumb.wikimedia.org/wikipedia/commons/thumb/9/99/Frazier_Park_Library_East_Side.jpg/1280px-Frazier_Park_Library_East_Side.jpg?utm_source=commons.wikimedia.org&amp;utm_campaign=imageinfo&amp;utm_content=thumbnail","timestamp":"2011-11-09T01:49:44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work&lt;/span&gt;","source":"commons-desc-page"},"License":{"value":"cc0","hidden":"","source":"commons-templates"},"DateTime":{"value":"2011-11-09 01:49:44","hidden":"","source":"mediawiki-metadata"},"Categories":{"value":"Taken with Nikon D50|CC-Zero|Kern County Library|Self-published work","hidden":"","source":"commons-categories"},"LicenseUrl":{"value":"http://creativecommons.org/publicdomain/zero/1.0/deed.en","source":"commons-desc-page"},"ObjectName":{"value":"Frazier Park Library East Side","source":"mediawiki-metadata"},"UsageTerms":{"value":"Creative Commons Zero, Public Domain Dedication","source":"commons-desc-page"},"Assessments":{"value":"","hidden":"","source":"commons-categories"},"Copyrighted":{"value":"True","hidden":"","source":"commons-desc-page"},"Restrictions":{"value":"","hidden":"","source":"commons-desc-page"},"DateTimeOriginal":{"value":"2011-09-08","source":"commons-desc-page"},"ImageDescription":{"value":"East side of the Frazier Park Library. A branch of the Kern County Library.","source":"commons-desc-page"},"LicenseShortName":{"value":"CC0","hidden":"","source":"commons-desc-page"},"AttributionRequired":{"value":"false","hidden":"","source":"commons-desc-page"},"CommonsMetadataExtension":{"value":1.2,"hidden":"","source":"extension"}},"thumbheight":851,"thumbattribs":{"src":"https://thumb.wikimedia.org/wikipedia/commons/thumb/9/99/Frazier_Park_Library_East_Side.jpg/1280px-Frazier_Park_Library_East_Side.jpg?utm_source=commons.wikimedia.org&amp;utm_campaign=imageinfo&amp;utm_content=thumbnail","width":1280,"height":851,"srcset":"https://upload.wikimedia.org/wikipedia/commons/9/99/Frazier_Park_Library_East_Side.jpg?utm_source=commons.wikimedia.org&amp;utm_campaign=imageinfo&amp;utm_content=thumbnail_unscaled 2x","loading":"lazy","decoding":"async"},"descriptionurl":"https://commons.wikimedia.org/wiki/File:Frazier_Park_Library_East_Side.jpg","responsiveUrls":{"2":"https://upload.wikimedia.org/wikipedia/commons/9/99/Frazier_Park_Library_East_Side.jpg?utm_source=commons.wikimedia.org&amp;utm_campaign=imageinfo&amp;utm_content=thumbnail_unscaled"},"descriptionshorturl":"https://commons.wikimedia.org/w/index.php?curid=17283150"},"selection":{"qid":"pending","kind":"candidate","title":"Bakersfield alternatives"},"author_url":"https://commons.wikimedia.org/wiki/User:Skyman9999","derivative":"Wikimedia thumbnail decoded; EXIF orientation applied; converted to WebP quality 86; no generated pixels, no cropping.","source_url":"https://commons.wikimedia.org/wiki/File:Frazier_Park_Library_East_Side.jpg","author_urls":["https://commons.wikimedia.org/wiki/User:Skyman9999"],"description":"East side of the Frazier Park Library. A branch of the Kern County Library.","license_url":"https://creativecommons.org/publicdomain/zero/1.0/","reviewed_on":"2026-10-24","capture_date":"2011-09-08","download_url":"https://thumb.wikimedia.org/wikipedia/commons/thumb/9/99/Frazier_Park_Library_East_Side.jpg/1280px-Frazier_Park_Library_East_Side.jpg?utm_source=commons.wikimedia.org&amp;utm_campaign=imageinfo&amp;utm_content=thumbnail","original_url":"https://upload.wikimedia.org/wikipedia/commons/9/99/Frazier_Park_Library_East_Side.jpg?utm_source=commons.wikimedia.org&amp;utm_campaign=imageinfo&amp;utm_content=original","pixel_review":{"method":"İndirilen kare temas sayfasında görüldü; kaynak mekân kimliğiyle eşleştirildi. Seçim kaydı final-pixel-review.json.","status":"verified","caption":"Frazier Park Branch Library · 2011 tarihli fotoğraf","reviewer":"Codex (AI)","review_id":"T22"},"downloaded_at":"2026-10-23T19:08:28.198755+00:00","download_sha256":"5470be8f1bb918aa0404f9efae13f8410dce1109c373a996bc04aadbfa5b4427","downloaded_file":"downloads/5470be8f1bb918aa0404f9efae13f8410dce1109c373a996bc04aadbfa5b4427.jpg","acquisition_file":"e0af4c9ce1efbe92749326d9.webp","commons_filename":"Frazier Park Library East Side.jpg","original_file_url":"https://upload.wikimedia.org/wikipedia/commons/9/99/Frazier_Park_Library_East_Sid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9/99/Frazier_Park_Library_East_Side.jpg?utm_source=commons.wikimedia.org&amp;utm_campaign=imageinfo&amp;utm_content=original"},"metadata_reviewed_on":"2026-10-24","metadata_review_status":"verified"}}</x:v>
      </x:c>
    </x:row>
    <x:row r="36" ht="300" customHeight="1">
      <x:c r="A36" s="29" t="str">
        <x:v>bakersfield:evidence:venue-22001</x:v>
      </x:c>
      <x:c r="B36" s="29" t="str">
        <x:v>bakersfield</x:v>
      </x:c>
      <x:c r="C36" s="29" t="str">
        <x:v>bakersfield:photo:venue-22001</x:v>
      </x:c>
      <x:c r="D36" s="29" t="str">
        <x:v>https://commons.wikimedia.org/wiki/File:Frazier_Park_Library_North_Side.jpg</x:v>
      </x:c>
      <x:c r="E36" s="29" t="str">
        <x:v>Frazier Park Library North Side.jpg</x:v>
      </x:c>
      <x:c r="F36" s="29" t="str">
        <x:v>Skyman9999</x:v>
      </x:c>
      <x:c r="G36" s="29" t="str">
        <x:v>CC0 1.0</x:v>
      </x:c>
      <x:c r="H36" s="29" t="str">
        <x:v>https://creativecommons.org/publicdomain/zero/1.0/</x:v>
      </x:c>
      <x:c r="I36" s="29" t="str">
        <x:v>Creative Commons Zero, Public Domain Dedication</x:v>
      </x:c>
      <x:c r="J36" s="29" t="str">
        <x:v>Frazier Park Library North Side.jpg · Skyman9999 · CC0 1.0 · https://commons.wikimedia.org/wiki/File:Frazier_Park_Library_North_Side.jpg</x:v>
      </x:c>
      <x:c r="K3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6" s="31" t="d">
        <x:v>2026-10-24T00:00:00.000Z</x:v>
      </x:c>
      <x:c r="M36" s="29" t="str">
        <x:v>Doğrulandı</x:v>
      </x:c>
      <x:c r="N36" s="29" t="str">
        <x:v>Doğrulandı</x:v>
      </x:c>
      <x:c r="O36" s="29" t="str">
        <x:v>Fotoğraflar/bk-4b8ebe06d8327f304b7d2792.webp</x:v>
      </x:c>
      <x:c r="P36" s="29" t="str">
        <x:v>Frazier Park Branch Library · 2011 tarihli fotoğraf · İndirilen kare temas sayfasında görüldü; kaynak mekân kimliğiyle eşleştirildi. Seçim kaydı final-pixel-review.json.</x:v>
      </x:c>
      <x:c r="Q36" s="29" t="str">
        <x:v>Bu kare için uygun</x:v>
      </x:c>
      <x:c r="R3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6" s="29" t="str">
        <x:v>Lisans kanıtları/bk-4b8ebe06d8327f304b7d2792.source-evidence.json</x:v>
      </x:c>
      <x:c r="T36" s="29" t="str">
        <x:v>b7bc6bc7ec2870f79663d8c5de4a329dde48f5ee740d4635e4f4f9a1d69e39d6</x:v>
      </x:c>
      <x:c r="U36" s="29" t="str">
        <x:v>Lisans kanıtları/bk-4b8ebe06d8327f304b7d2792.license-record.json</x:v>
      </x:c>
      <x:c r="V36" s="29" t="str">
        <x:v>50234a410d8eaaf0cb00d27618053dcf306519c6c3ea0591c21f95f597ac645d</x:v>
      </x:c>
      <x:c r="W36" s="29" t="str">
        <x:v>{"file":"bk-4b8ebe06d8327f304b7d2792.webp","width":1280,"author":"Skyman9999","height":851,"sha256":"4b8ebe06d8327f304b7d2792f750a3bde0f28990a133f43ad6b8c8b554c17cff","license":"CC0 1.0","imageinfo":{"url":"https://upload.wikimedia.org/wikipedia/commons/7/71/Frazier_Park_Library_North_Side.jpg?utm_source=commons.wikimedia.org&amp;utm_campaign=imageinfo&amp;utm_content=original","mime":"image/jpeg","sha1":"255d4a436ca5bf5e20766437b5a3947e06163d9a","size":2647472,"width":3008,"height":2000,"pageid":17283148,"thumburl":"https://thumb.wikimedia.org/wikipedia/commons/thumb/7/71/Frazier_Park_Library_North_Side.jpg/1280px-Frazier_Park_Library_North_Side.jpg?utm_source=commons.wikimedia.org&amp;utm_campaign=imageinfo&amp;utm_content=thumbnail","timestamp":"2011-11-09T01:49:44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work&lt;/span&gt;","source":"commons-desc-page"},"License":{"value":"cc0","hidden":"","source":"commons-templates"},"DateTime":{"value":"2011-11-09 01:49:44","hidden":"","source":"mediawiki-metadata"},"Categories":{"value":"Taken with Nikon D50|CC-Zero|Frazier Park, California|Self-published work|Streets in Kern County, California|Libraries in Kern County, California","hidden":"","source":"commons-categories"},"LicenseUrl":{"value":"http://creativecommons.org/publicdomain/zero/1.0/deed.en","source":"commons-desc-page"},"ObjectName":{"value":"Frazier Park Library North Side","source":"mediawiki-metadata"},"UsageTerms":{"value":"Creative Commons Zero, Public Domain Dedication","source":"commons-desc-page"},"Assessments":{"value":"","hidden":"","source":"commons-categories"},"Copyrighted":{"value":"True","hidden":"","source":"commons-desc-page"},"Restrictions":{"value":"","hidden":"","source":"commons-desc-page"},"DateTimeOriginal":{"value":"2011-09-08","source":"commons-desc-page"},"ImageDescription":{"value":"North side of the Frazier Park Library. A branch of the Kern County Library.","source":"commons-desc-page"},"LicenseShortName":{"value":"CC0","hidden":"","source":"commons-desc-page"},"AttributionRequired":{"value":"false","hidden":"","source":"commons-desc-page"},"CommonsMetadataExtension":{"value":1.2,"hidden":"","source":"extension"}},"thumbheight":851,"thumbattribs":{"src":"https://thumb.wikimedia.org/wikipedia/commons/thumb/7/71/Frazier_Park_Library_North_Side.jpg/1280px-Frazier_Park_Library_North_Side.jpg?utm_source=commons.wikimedia.org&amp;utm_campaign=imageinfo&amp;utm_content=thumbnail","width":1280,"height":851,"srcset":"https://upload.wikimedia.org/wikipedia/commons/7/71/Frazier_Park_Library_North_Side.jpg?utm_source=commons.wikimedia.org&amp;utm_campaign=imageinfo&amp;utm_content=thumbnail_unscaled 2x","loading":"lazy","decoding":"async"},"descriptionurl":"https://commons.wikimedia.org/wiki/File:Frazier_Park_Library_North_Side.jpg","responsiveUrls":{"2":"https://upload.wikimedia.org/wikipedia/commons/7/71/Frazier_Park_Library_North_Side.jpg?utm_source=commons.wikimedia.org&amp;utm_campaign=imageinfo&amp;utm_content=thumbnail_unscaled"},"descriptionshorturl":"https://commons.wikimedia.org/w/index.php?curid=17283148"},"selection":{"qid":"pending","kind":"candidate","title":"Bakersfield alternatives"},"author_url":"https://commons.wikimedia.org/wiki/User:Skyman9999","derivative":"Wikimedia thumbnail decoded; EXIF orientation applied; converted to WebP quality 86; no generated pixels, no cropping.","source_url":"https://commons.wikimedia.org/wiki/File:Frazier_Park_Library_North_Side.jpg","author_urls":["https://commons.wikimedia.org/wiki/User:Skyman9999"],"description":"North side of the Frazier Park Library. A branch of the Kern County Library.","license_url":"https://creativecommons.org/publicdomain/zero/1.0/","reviewed_on":"2026-10-24","capture_date":"2011-09-08","download_url":"https://thumb.wikimedia.org/wikipedia/commons/thumb/7/71/Frazier_Park_Library_North_Side.jpg/1280px-Frazier_Park_Library_North_Side.jpg?utm_source=commons.wikimedia.org&amp;utm_campaign=imageinfo&amp;utm_content=thumbnail","original_url":"https://upload.wikimedia.org/wikipedia/commons/7/71/Frazier_Park_Library_North_Side.jpg?utm_source=commons.wikimedia.org&amp;utm_campaign=imageinfo&amp;utm_content=original","pixel_review":{"method":"İndirilen kare temas sayfasında görüldü; kaynak mekân kimliğiyle eşleştirildi. Seçim kaydı final-pixel-review.json.","status":"verified","caption":"Frazier Park Branch Library · 2011 tarihli fotoğraf","reviewer":"Codex (AI)","review_id":"T23"},"downloaded_at":"2026-10-23T21:29:18.489314+00:00","download_sha256":"4cd2c8716c48c8bf2ed9d05ff53550f1005fd42e9c918128c2406199703c2436","downloaded_file":"downloads/4cd2c8716c48c8bf2ed9d05ff53550f1005fd42e9c918128c2406199703c2436.jpg","acquisition_file":"6e499f235b6d9e1eb0748a7e.webp","commons_filename":"Frazier Park Library North Side.jpg","original_file_url":"https://upload.wikimedia.org/wikipedia/commons/7/71/Frazier_Park_Library_North_Sid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7/71/Frazier_Park_Library_North_Side.jpg?utm_source=commons.wikimedia.org&amp;utm_campaign=imageinfo&amp;utm_content=original"},"metadata_reviewed_on":"2026-10-24","metadata_review_status":"verified"}}</x:v>
      </x:c>
    </x:row>
    <x:row r="37" ht="300" customHeight="1">
      <x:c r="A37" s="29" t="str">
        <x:v>bakersfield:evidence:venue-22002</x:v>
      </x:c>
      <x:c r="B37" s="29" t="str">
        <x:v>bakersfield</x:v>
      </x:c>
      <x:c r="C37" s="29" t="str">
        <x:v>bakersfield:photo:venue-22002</x:v>
      </x:c>
      <x:c r="D37" s="29" t="str">
        <x:v>https://commons.wikimedia.org/wiki/File:2009-0725-CA-Allensworth-1stBap.jpg</x:v>
      </x:c>
      <x:c r="E37" s="29" t="str">
        <x:v>2009-0725-CA-Allensworth-1stBap.jpg</x:v>
      </x:c>
      <x:c r="F37" s="29" t="str">
        <x:v>Bobak Ha'Eri</x:v>
      </x:c>
      <x:c r="G37" s="29" t="str">
        <x:v>CC BY 3.0</x:v>
      </x:c>
      <x:c r="H37" s="29" t="str">
        <x:v>https://creativecommons.org/licenses/by/3.0</x:v>
      </x:c>
      <x:c r="I37" s="29" t="str">
        <x:v>Creative Commons Attribution 3.0</x:v>
      </x:c>
      <x:c r="J37" s="29" t="str">
        <x:v>2009-0725-CA-Allensworth-1stBap.jpg · Bobak Ha'Eri · CC BY 3.0 · https://commons.wikimedia.org/wiki/File:2009-0725-CA-Allensworth-1stBap.jpg</x:v>
      </x:c>
      <x:c r="K3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7" s="31" t="d">
        <x:v>2026-10-24T00:00:00.000Z</x:v>
      </x:c>
      <x:c r="M37" s="29" t="str">
        <x:v>Doğrulandı</x:v>
      </x:c>
      <x:c r="N37" s="29" t="str">
        <x:v>Doğrulandı</x:v>
      </x:c>
      <x:c r="O37" s="29" t="str">
        <x:v>Fotoğraflar/bk-d6bafbb3920fac6073ad7d8e.webp</x:v>
      </x:c>
      <x:c r="P37" s="29" t="str">
        <x:v>Colonel Allensworth State Historic Park · 2009 tarihli fotoğraf · İndirilen kare temas sayfasında görüldü; kaynak mekân kimliğiyle eşleştirildi. Seçim kaydı final-pixel-review.json.</x:v>
      </x:c>
      <x:c r="Q37" s="29" t="str">
        <x:v>Bu kare için uygun</x:v>
      </x:c>
      <x:c r="R3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7" s="29" t="str">
        <x:v>Lisans kanıtları/bk-d6bafbb3920fac6073ad7d8e.source-evidence.json</x:v>
      </x:c>
      <x:c r="T37" s="29" t="str">
        <x:v>a60d2b8ffff1167f1e6b961bc78881d952d0cb12c656dd0fdd042fcc644a80e0</x:v>
      </x:c>
      <x:c r="U37" s="29" t="str">
        <x:v>Lisans kanıtları/bk-d6bafbb3920fac6073ad7d8e.license-record.json</x:v>
      </x:c>
      <x:c r="V37" s="29" t="str">
        <x:v>5fce00860fc8015de313dfde759566d02575605ccda5fded840b753f55e22607</x:v>
      </x:c>
      <x:c r="W37" s="29" t="str">
        <x:v>{"file":"bk-d6bafbb3920fac6073ad7d8e.webp","width":1280,"author":"Bobak Ha'Eri","height":917,"sha256":"d6bafbb3920fac6073ad7d8eefa633f270334e1f0df1f88b0112e5fda4f233bd","license":"CC BY 3.0","imageinfo":{"url":"https://upload.wikimedia.org/wikipedia/commons/1/17/2009-0725-CA-Allensworth-1stBap.jpg?utm_source=commons.wikimedia.org&amp;utm_campaign=imageinfo&amp;utm_content=original","mime":"image/jpeg","sha1":"8a1d65bb4cddfeac2a0ff771237b5adffd21bc09","size":4246729,"width":3360,"height":2408,"pageid":7497906,"thumburl":"https://thumb.wikimedia.org/wikipedia/commons/thumb/1/17/2009-0725-CA-Allensworth-1stBap.jpg/1280px-2009-0725-CA-Allensworth-1stBap.jpg?utm_source=commons.wikimedia.org&amp;utm_campaign=imageinfo&amp;utm_content=thumbnail","timestamp":"2009-08-06T20:00:15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work&lt;/span&gt;","source":"commons-desc-page"},"License":{"value":"cc-by-3.0","hidden":"","source":"commons-templates"},"DateTime":{"value":"2009-08-06 20:00:15","hidden":"","source":"mediawiki-metadata"},"Categories":{"value":"Taken with Panasonic Lumix DMC-TZ7|Colonel Allensworth State Historic Park|National Register of Historic Places in Tulare County, California|Baptist churches in California|Buildings of religious function on the National Register of Historic Places in California|Self-published work|National Register of Historic Places with known IDs|Churches in the United States photographed in 2009|Files by User:Bobak","hidden":"","source":"commons-categories"},"LicenseUrl":{"value":"https://creativecommons.org/licenses/by/3.0","source":"commons-desc-page"},"ObjectName":{"value":"2009-0725-CA-Allensworth-1stBap","source":"mediawiki-metadata"},"Permission":{"value":"CC-By-SA-3.0","hidden":"","source":"commons-desc-page"},"UsageTerms":{"value":"Creative Commons Attribution 3.0","source":"commons-desc-page"},"Assessments":{"value":"","hidden":"","source":"commons-categories"},"Copyrighted":{"value":"True","hidden":"","source":"commons-desc-page"},"GPSLatitude":{"value":"35.862500","source":"commons-desc-page"},"GPSMapDatum":{"value":"WGS-84","hidden":"","source":"commons-desc-page"},"GPSLongitude":{"value":"-119.386667","source":"commons-desc-page"},"Restrictions":{"value":"","hidden":"","source":"commons-desc-page"},"DateTimeOriginal":{"value":"2009-07-25","source":"commons-desc-page"},"ImageDescription":{"value":"First Baptist Church, &lt;b&gt;&lt;a href=\"https://en.wikipedia.org/wiki/Colonel_Allensworth_State_Historic_Park\" class=\"extiw\" title=\"en:Colonel Allensworth State Historic Park\"&gt;Colonel Allensworth State Historic Park&lt;/a&gt;&lt;/b&gt;, &lt;a href=\"https://en.wikipedia.org/wiki/Allensworth,_California\" class=\"extiw\" title=\"en:Allensworth, California\"&gt;Allensworth, California&lt;/a&gt;, USA.","source":"commons-desc-page"},"LicenseShortName":{"value":"CC BY 3.0","hidden":"","source":"commons-desc-page"},"AttributionRequired":{"value":"true","hidden":"","source":"commons-desc-page"},"CommonsMetadataExtension":{"value":1.2,"hidden":"","source":"extension"}},"thumbheight":917,"thumbattribs":{"src":"https://thumb.wikimedia.org/wikipedia/commons/thumb/1/17/2009-0725-CA-Allensworth-1stBap.jpg/1280px-2009-0725-CA-Allensworth-1stBap.jpg?utm_source=commons.wikimedia.org&amp;utm_campaign=imageinfo&amp;utm_content=thumbnail","width":1280,"height":917,"srcset":"https://upload.wikimedia.org/wikipedia/commons/1/17/2009-0725-CA-Allensworth-1stBap.jpg?utm_source=commons.wikimedia.org&amp;utm_campaign=imageinfo&amp;utm_content=thumbnail_unscaled 2x","loading":"lazy","decoding":"async"},"descriptionurl":"https://commons.wikimedia.org/wiki/File:2009-0725-CA-Allensworth-1stBap.jpg","responsiveUrls":{"2":"https://upload.wikimedia.org/wikipedia/commons/1/17/2009-0725-CA-Allensworth-1stBap.jpg?utm_source=commons.wikimedia.org&amp;utm_campaign=imageinfo&amp;utm_content=thumbnail_unscaled"},"descriptionshorturl":"https://commons.wikimedia.org/w/index.php?curid=7497906"},"selection":{"qid":"pending","kind":"candidate","title":"Bakersfield alternatives"},"author_url":"https://en.wikipedia.org/wiki/User:Bobak","derivative":"Wikimedia thumbnail decoded; EXIF orientation applied; converted to WebP quality 86; no generated pixels, no cropping.","source_url":"https://commons.wikimedia.org/wiki/File:2009-0725-CA-Allensworth-1stBap.jpg","author_urls":["https://en.wikipedia.org/wiki/User:Bobak"],"description":"First Baptist Church, Colonel Allensworth State Historic Park, Allensworth, California, USA.","license_url":"https://creativecommons.org/licenses/by/3.0","reviewed_on":"2026-10-24","capture_date":"2009-07-25","download_url":"https://thumb.wikimedia.org/wikipedia/commons/thumb/1/17/2009-0725-CA-Allensworth-1stBap.jpg/1280px-2009-0725-CA-Allensworth-1stBap.jpg?utm_source=commons.wikimedia.org&amp;utm_campaign=imageinfo&amp;utm_content=thumbnail","original_url":"https://upload.wikimedia.org/wikipedia/commons/1/17/2009-0725-CA-Allensworth-1stBap.jpg?utm_source=commons.wikimedia.org&amp;utm_campaign=imageinfo&amp;utm_content=original","pixel_review":{"method":"İndirilen kare temas sayfasında görüldü; kaynak mekân kimliğiyle eşleştirildi. Seçim kaydı final-pixel-review.json.","status":"verified","caption":"Colonel Allensworth State Historic Park · 2009 tarihli fotoğraf","reviewer":"Codex (AI)","review_id":"U0"},"downloaded_at":"2026-10-23T21:35:17.030065+00:00","download_sha256":"990a9ba61e1c203ca547f3f97aa4291a5793944138eb89e605798a411f250877","downloaded_file":"downloads/990a9ba61e1c203ca547f3f97aa4291a5793944138eb89e605798a411f250877.jpg","acquisition_file":"763de41a3621a7c308f462e8.webp","commons_filename":"2009-0725-CA-Allensworth-1stBap.jpg","original_file_url":"https://upload.wikimedia.org/wikipedia/commons/1/17/2009-0725-CA-Allensworth-1stBap.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1/17/2009-0725-CA-Allensworth-1stBap.jpg?utm_source=commons.wikimedia.org&amp;utm_campaign=imageinfo&amp;utm_content=original"},"metadata_reviewed_on":"2026-10-24","metadata_review_status":"verified"}}</x:v>
      </x:c>
    </x:row>
    <x:row r="38" ht="300" customHeight="1">
      <x:c r="A38" s="29" t="str">
        <x:v>bakersfield:evidence:venue-22003</x:v>
      </x:c>
      <x:c r="B38" s="29" t="str">
        <x:v>bakersfield</x:v>
      </x:c>
      <x:c r="C38" s="29" t="str">
        <x:v>bakersfield:photo:venue-22003</x:v>
      </x:c>
      <x:c r="D38" s="29" t="str">
        <x:v>https://commons.wikimedia.org/wiki/File:2009-0725-CA-Allensworth-Dodson.jpg</x:v>
      </x:c>
      <x:c r="E38" s="29" t="str">
        <x:v>2009-0725-CA-Allensworth-Dodson.jpg</x:v>
      </x:c>
      <x:c r="F38" s="29" t="str">
        <x:v>Bobak Ha'Eri</x:v>
      </x:c>
      <x:c r="G38" s="29" t="str">
        <x:v>CC BY 3.0</x:v>
      </x:c>
      <x:c r="H38" s="29" t="str">
        <x:v>https://creativecommons.org/licenses/by/3.0</x:v>
      </x:c>
      <x:c r="I38" s="29" t="str">
        <x:v>Creative Commons Attribution 3.0</x:v>
      </x:c>
      <x:c r="J38" s="29" t="str">
        <x:v>2009-0725-CA-Allensworth-Dodson.jpg · Bobak Ha'Eri · CC BY 3.0 · https://commons.wikimedia.org/wiki/File:2009-0725-CA-Allensworth-Dodson.jpg</x:v>
      </x:c>
      <x:c r="K3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8" s="31" t="d">
        <x:v>2026-10-24T00:00:00.000Z</x:v>
      </x:c>
      <x:c r="M38" s="29" t="str">
        <x:v>Doğrulandı</x:v>
      </x:c>
      <x:c r="N38" s="29" t="str">
        <x:v>Doğrulandı</x:v>
      </x:c>
      <x:c r="O38" s="29" t="str">
        <x:v>Fotoğraflar/bk-98dc185dade75410f62f410f.webp</x:v>
      </x:c>
      <x:c r="P38" s="29" t="str">
        <x:v>Colonel Allensworth State Historic Park · 2009 tarihli fotoğraf · İndirilen kare temas sayfasında görüldü; kaynak mekân kimliğiyle eşleştirildi. Seçim kaydı final-pixel-review.json.</x:v>
      </x:c>
      <x:c r="Q38" s="29" t="str">
        <x:v>Bu kare için uygun</x:v>
      </x:c>
      <x:c r="R3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8" s="29" t="str">
        <x:v>Lisans kanıtları/bk-98dc185dade75410f62f410f.source-evidence.json</x:v>
      </x:c>
      <x:c r="T38" s="29" t="str">
        <x:v>f5c4d35c9a66c40891a99e75e62bb4bab488f9ccf5e1acff050498a5b479210b</x:v>
      </x:c>
      <x:c r="U38" s="29" t="str">
        <x:v>Lisans kanıtları/bk-98dc185dade75410f62f410f.license-record.json</x:v>
      </x:c>
      <x:c r="V38" s="29" t="str">
        <x:v>18dfd3fe37b2f39adf5c05f57ddb7ca2a8dd95017631556708418cb3cb958b8f</x:v>
      </x:c>
      <x:c r="W38" s="29" t="str">
        <x:v>{"file":"bk-98dc185dade75410f62f410f.webp","width":1280,"author":"Bobak Ha'Eri","height":884,"sha256":"98dc185dade75410f62f410f18b8a8320099ed4844dc77a121dddb6682750a22","license":"CC BY 3.0","imageinfo":{"url":"https://upload.wikimedia.org/wikipedia/commons/d/d7/2009-0725-CA-Allensworth-Dodson.jpg?utm_source=commons.wikimedia.org&amp;utm_campaign=imageinfo&amp;utm_content=original","mime":"image/jpeg","sha1":"d31d8a93bd5bf4c66166b128cb70d08705f2266a","size":5610479,"width":3648,"height":2520,"pageid":7498004,"thumburl":"https://thumb.wikimedia.org/wikipedia/commons/thumb/d/d7/2009-0725-CA-Allensworth-Dodson.jpg/1280px-2009-0725-CA-Allensworth-Dodson.jpg?utm_source=commons.wikimedia.org&amp;utm_campaign=imageinfo&amp;utm_content=thumbnail","timestamp":"2009-08-06T20:11:48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work&lt;/span&gt;","source":"commons-desc-page"},"License":{"value":"cc-by-3.0","hidden":"","source":"commons-templates"},"DateTime":{"value":"2009-08-06 20:11:48","hidden":"","source":"mediawiki-metadata"},"Categories":{"value":"Taken with Panasonic Lumix DMC-TZ7|Restaurants in California|Colonel Allensworth State Historic Park|Self-published work|National Register of Historic Places with known IDs|Files by User:Bobak|Houses on the National Register of Historic Places in Tulare County, California|Wooden houses in Tulare County, California","hidden":"","source":"commons-categories"},"LicenseUrl":{"value":"https://creativecommons.org/licenses/by/3.0","source":"commons-desc-page"},"ObjectName":{"value":"2009-0725-CA-Allensworth-Dodson","source":"mediawiki-metadata"},"Permission":{"value":"CC-By-SA-3.0","hidden":"","source":"commons-desc-page"},"UsageTerms":{"value":"Creative Commons Attribution 3.0","source":"commons-desc-page"},"Assessments":{"value":"","hidden":"","source":"commons-categories"},"Copyrighted":{"value":"True","hidden":"","source":"commons-desc-page"},"GPSLatitude":{"value":"35.862500","source":"commons-desc-page"},"GPSMapDatum":{"value":"WGS-84","hidden":"","source":"commons-desc-page"},"GPSLongitude":{"value":"-119.386667","source":"commons-desc-page"},"Restrictions":{"value":"","hidden":"","source":"commons-desc-page"},"DateTimeOriginal":{"value":"2009-07-25","source":"commons-desc-page"},"ImageDescription":{"value":"Dodson House and Restaurant; Blacksmith Area (right), &lt;b&gt;&lt;a href=\"https://en.wikipedia.org/wiki/Colonel_Allensworth_State_Historic_Park\" class=\"extiw\" title=\"en:Colonel Allensworth State Historic Park\"&gt;Colonel Allensworth State Historic Park&lt;/a&gt;&lt;/b&gt;, &lt;a href=\"https://en.wikipedia.org/wiki/Allensworth,_California\" class=\"extiw\" title=\"en:Allensworth, California\"&gt;Allensworth, California&lt;/a&gt;, USA.","source":"commons-desc-page"},"LicenseShortName":{"value":"CC BY 3.0","hidden":"","source":"commons-desc-page"},"AttributionRequired":{"value":"true","hidden":"","source":"commons-desc-page"},"CommonsMetadataExtension":{"value":1.2,"hidden":"","source":"extension"}},"thumbheight":884,"thumbattribs":{"src":"https://thumb.wikimedia.org/wikipedia/commons/thumb/d/d7/2009-0725-CA-Allensworth-Dodson.jpg/1280px-2009-0725-CA-Allensworth-Dodson.jpg?utm_source=commons.wikimedia.org&amp;utm_campaign=imageinfo&amp;utm_content=thumbnail","width":1280,"height":884,"srcset":"https://upload.wikimedia.org/wikipedia/commons/d/d7/2009-0725-CA-Allensworth-Dodson.jpg?utm_source=commons.wikimedia.org&amp;utm_campaign=imageinfo&amp;utm_content=thumbnail_unscaled 2x","loading":"lazy","decoding":"async"},"descriptionurl":"https://commons.wikimedia.org/wiki/File:2009-0725-CA-Allensworth-Dodson.jpg","responsiveUrls":{"2":"https://upload.wikimedia.org/wikipedia/commons/d/d7/2009-0725-CA-Allensworth-Dodson.jpg?utm_source=commons.wikimedia.org&amp;utm_campaign=imageinfo&amp;utm_content=thumbnail_unscaled"},"descriptionshorturl":"https://commons.wikimedia.org/w/index.php?curid=7498004"},"selection":{"qid":"pending","kind":"candidate","title":"Bakersfield alternatives"},"author_url":"https://en.wikipedia.org/wiki/User:Bobak","derivative":"Wikimedia thumbnail decoded; EXIF orientation applied; converted to WebP quality 86; no generated pixels, no cropping.","source_url":"https://commons.wikimedia.org/wiki/File:2009-0725-CA-Allensworth-Dodson.jpg","author_urls":["https://en.wikipedia.org/wiki/User:Bobak"],"description":"Dodson House and Restaurant; Blacksmith Area (right), Colonel Allensworth State Historic Park, Allensworth, California, USA.","license_url":"https://creativecommons.org/licenses/by/3.0","reviewed_on":"2026-10-24","capture_date":"2009-07-25","download_url":"https://thumb.wikimedia.org/wikipedia/commons/thumb/d/d7/2009-0725-CA-Allensworth-Dodson.jpg/1280px-2009-0725-CA-Allensworth-Dodson.jpg?utm_source=commons.wikimedia.org&amp;utm_campaign=imageinfo&amp;utm_content=thumbnail","original_url":"https://upload.wikimedia.org/wikipedia/commons/d/d7/2009-0725-CA-Allensworth-Dodson.jpg?utm_source=commons.wikimedia.org&amp;utm_campaign=imageinfo&amp;utm_content=original","pixel_review":{"method":"İndirilen kare temas sayfasında görüldü; kaynak mekân kimliğiyle eşleştirildi. Seçim kaydı final-pixel-review.json.","status":"verified","caption":"Colonel Allensworth State Historic Park · 2009 tarihli fotoğraf","reviewer":"Codex (AI)","review_id":"U1"},"downloaded_at":"2026-10-23T21:35:17.542410+00:00","download_sha256":"4c5fec30c3eb85e80b03c9c678f700236ee9d0c324d39256891615b33cc29031","downloaded_file":"downloads/4c5fec30c3eb85e80b03c9c678f700236ee9d0c324d39256891615b33cc29031.jpg","acquisition_file":"387766642ab79c90a810286b.webp","commons_filename":"2009-0725-CA-Allensworth-Dodson.jpg","original_file_url":"https://upload.wikimedia.org/wikipedia/commons/d/d7/2009-0725-CA-Allensworth-Dodso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d/d7/2009-0725-CA-Allensworth-Dodson.jpg?utm_source=commons.wikimedia.org&amp;utm_campaign=imageinfo&amp;utm_content=original"},"metadata_reviewed_on":"2026-10-24","metadata_review_status":"verified"}}</x:v>
      </x:c>
    </x:row>
    <x:row r="39" ht="300" customHeight="1">
      <x:c r="A39" s="29" t="str">
        <x:v>bakersfield:evidence:venue-22004</x:v>
      </x:c>
      <x:c r="B39" s="29" t="str">
        <x:v>bakersfield</x:v>
      </x:c>
      <x:c r="C39" s="29" t="str">
        <x:v>bakersfield:photo:venue-22004</x:v>
      </x:c>
      <x:c r="D39" s="29" t="str">
        <x:v>https://commons.wikimedia.org/wiki/File:2009-0725-CA-Allensworth-Elementary.jpg</x:v>
      </x:c>
      <x:c r="E39" s="29" t="str">
        <x:v>2009-0725-CA-Allensworth-Elementary.jpg</x:v>
      </x:c>
      <x:c r="F39" s="29" t="str">
        <x:v>Bobak Ha'Eri</x:v>
      </x:c>
      <x:c r="G39" s="29" t="str">
        <x:v>CC BY 3.0</x:v>
      </x:c>
      <x:c r="H39" s="29" t="str">
        <x:v>https://creativecommons.org/licenses/by/3.0</x:v>
      </x:c>
      <x:c r="I39" s="29" t="str">
        <x:v>Creative Commons Attribution 3.0</x:v>
      </x:c>
      <x:c r="J39" s="29" t="str">
        <x:v>2009-0725-CA-Allensworth-Elementary.jpg · Bobak Ha'Eri · CC BY 3.0 · https://commons.wikimedia.org/wiki/File:2009-0725-CA-Allensworth-Elementary.jpg</x:v>
      </x:c>
      <x:c r="K3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9" s="31" t="d">
        <x:v>2026-10-24T00:00:00.000Z</x:v>
      </x:c>
      <x:c r="M39" s="29" t="str">
        <x:v>Doğrulandı</x:v>
      </x:c>
      <x:c r="N39" s="29" t="str">
        <x:v>Doğrulandı</x:v>
      </x:c>
      <x:c r="O39" s="29" t="str">
        <x:v>Fotoğraflar/bk-b6855d9ba1d34c47a64e94e8.webp</x:v>
      </x:c>
      <x:c r="P39" s="29" t="str">
        <x:v>Colonel Allensworth State Historic Park · 2009 tarihli fotoğraf · İndirilen kare temas sayfasında görüldü; kaynak mekân kimliğiyle eşleştirildi. Seçim kaydı final-pixel-review.json.</x:v>
      </x:c>
      <x:c r="Q39" s="29" t="str">
        <x:v>Bu kare için uygun</x:v>
      </x:c>
      <x:c r="R3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9" s="29" t="str">
        <x:v>Lisans kanıtları/bk-b6855d9ba1d34c47a64e94e8.source-evidence.json</x:v>
      </x:c>
      <x:c r="T39" s="29" t="str">
        <x:v>576c5e6e23348f81e796415aa92afbbc2fc85a490c37ef697ea0ab5046c28eab</x:v>
      </x:c>
      <x:c r="U39" s="29" t="str">
        <x:v>Lisans kanıtları/bk-b6855d9ba1d34c47a64e94e8.license-record.json</x:v>
      </x:c>
      <x:c r="V39" s="29" t="str">
        <x:v>8c24c556eff0c806cc95eb5ba02c1070dd30b4b63c7df207cec027dd3e167471</x:v>
      </x:c>
      <x:c r="W39" s="29" t="str">
        <x:v>{"file":"bk-b6855d9ba1d34c47a64e94e8.webp","width":1280,"author":"Bobak Ha'Eri","height":960,"sha256":"b6855d9ba1d34c47a64e94e81a94b9e9fc943b182d5669f0bc45a0d74c16cbbe","license":"CC BY 3.0","imageinfo":{"url":"https://upload.wikimedia.org/wikipedia/commons/1/10/2009-0725-CA-Allensworth-Elementary.jpg?utm_source=commons.wikimedia.org&amp;utm_campaign=imageinfo&amp;utm_content=original","mime":"image/jpeg","sha1":"fa67008372bd23d447c0ca14c3698c0fead8913a","size":5332516,"width":3648,"height":2736,"pageid":7497927,"thumburl":"https://thumb.wikimedia.org/wikipedia/commons/thumb/1/10/2009-0725-CA-Allensworth-Elementary.jpg/1280px-2009-0725-CA-Allensworth-Elementary.jpg?utm_source=commons.wikimedia.org&amp;utm_campaign=imageinfo&amp;utm_content=thumbnail","timestamp":"2009-08-06T20:04:09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work&lt;/span&gt;","source":"commons-desc-page"},"License":{"value":"cc-by-3.0","hidden":"","source":"commons-templates"},"DateTime":{"value":"2009-08-06 20:04:09","hidden":"","source":"mediawiki-metadata"},"Categories":{"value":"Taken with Panasonic Lumix DMC-TZ7|Colonel Allensworth State Historic Park|National Register of Historic Places in Tulare County, California|Former schools in California|Flagpoles in California|Self-published work|National Register of Historic Places with known IDs|Files by User:Bobak","hidden":"","source":"commons-categories"},"LicenseUrl":{"value":"https://creativecommons.org/licenses/by/3.0","source":"commons-desc-page"},"ObjectName":{"value":"2009-0725-CA-Allensworth-Elementary","source":"mediawiki-metadata"},"Permission":{"value":"CC-By-SA-3.0","hidden":"","source":"commons-desc-page"},"UsageTerms":{"value":"Creative Commons Attribution 3.0","source":"commons-desc-page"},"Assessments":{"value":"","hidden":"","source":"commons-categories"},"Copyrighted":{"value":"True","hidden":"","source":"commons-desc-page"},"GPSLatitude":{"value":"35.862500","source":"commons-desc-page"},"GPSMapDatum":{"value":"WGS-84","hidden":"","source":"commons-desc-page"},"GPSLongitude":{"value":"-119.386667","source":"commons-desc-page"},"Restrictions":{"value":"","hidden":"","source":"commons-desc-page"},"DateTimeOriginal":{"value":"2009-07-25","source":"commons-desc-page"},"ImageDescription":{"value":"Allensworth Elementary School, &lt;b&gt;&lt;a href=\"https://en.wikipedia.org/wiki/Colonel_Allensworth_State_Historic_Park\" class=\"extiw\" title=\"en:Colonel Allensworth State Historic Park\"&gt;Colonel Allensworth State Historic Park&lt;/a&gt;&lt;/b&gt;, &lt;a href=\"https://en.wikipedia.org/wiki/Allensworth,_California\" class=\"extiw\" title=\"en:Allensworth, California\"&gt;Allensworth, California&lt;/a&gt;, USA.","source":"commons-desc-page"},"LicenseShortName":{"value":"CC BY 3.0","hidden":"","source":"commons-desc-page"},"AttributionRequired":{"value":"true","hidden":"","source":"commons-desc-page"},"CommonsMetadataExtension":{"value":1.2,"hidden":"","source":"extension"}},"thumbheight":960,"thumbattribs":{"src":"https://thumb.wikimedia.org/wikipedia/commons/thumb/1/10/2009-0725-CA-Allensworth-Elementary.jpg/1280px-2009-0725-CA-Allensworth-Elementary.jpg?utm_source=commons.wikimedia.org&amp;utm_campaign=imageinfo&amp;utm_content=thumbnail","width":1280,"height":960,"srcset":"https://upload.wikimedia.org/wikipedia/commons/1/10/2009-0725-CA-Allensworth-Elementary.jpg?utm_source=commons.wikimedia.org&amp;utm_campaign=imageinfo&amp;utm_content=thumbnail_unscaled 2x","loading":"lazy","decoding":"async"},"descriptionurl":"https://commons.wikimedia.org/wiki/File:2009-0725-CA-Allensworth-Elementary.jpg","responsiveUrls":{"2":"https://upload.wikimedia.org/wikipedia/commons/1/10/2009-0725-CA-Allensworth-Elementary.jpg?utm_source=commons.wikimedia.org&amp;utm_campaign=imageinfo&amp;utm_content=thumbnail_unscaled"},"descriptionshorturl":"https://commons.wikimedia.org/w/index.php?curid=7497927"},"selection":{"qid":"pending","kind":"candidate","title":"Bakersfield alternatives"},"author_url":"https://en.wikipedia.org/wiki/User:Bobak","derivative":"Wikimedia thumbnail decoded; EXIF orientation applied; converted to WebP quality 86; no generated pixels, no cropping.","source_url":"https://commons.wikimedia.org/wiki/File:2009-0725-CA-Allensworth-Elementary.jpg","author_urls":["https://en.wikipedia.org/wiki/User:Bobak"],"description":"Allensworth Elementary School, Colonel Allensworth State Historic Park, Allensworth, California, USA.","license_url":"https://creativecommons.org/licenses/by/3.0","reviewed_on":"2026-10-24","capture_date":"2009-07-25","download_url":"https://thumb.wikimedia.org/wikipedia/commons/thumb/1/10/2009-0725-CA-Allensworth-Elementary.jpg/1280px-2009-0725-CA-Allensworth-Elementary.jpg?utm_source=commons.wikimedia.org&amp;utm_campaign=imageinfo&amp;utm_content=thumbnail","original_url":"https://upload.wikimedia.org/wikipedia/commons/1/10/2009-0725-CA-Allensworth-Elementary.jpg?utm_source=commons.wikimedia.org&amp;utm_campaign=imageinfo&amp;utm_content=original","pixel_review":{"method":"İndirilen kare temas sayfasında görüldü; kaynak mekân kimliğiyle eşleştirildi. Seçim kaydı final-pixel-review.json.","status":"verified","caption":"Colonel Allensworth State Historic Park · 2009 tarihli fotoğraf","reviewer":"Codex (AI)","review_id":"U2"},"downloaded_at":"2026-10-23T21:35:19.295888+00:00","download_sha256":"96d43063cecc25c2c2fa4e583088ffb3df9da151e55b08383f42877ce9aa52f7","downloaded_file":"downloads/96d43063cecc25c2c2fa4e583088ffb3df9da151e55b08383f42877ce9aa52f7.jpg","acquisition_file":"f6ff0e4bbddf70d0436ec69a.webp","commons_filename":"2009-0725-CA-Allensworth-Elementary.jpg","original_file_url":"https://upload.wikimedia.org/wikipedia/commons/1/10/2009-0725-CA-Allensworth-Elementary.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1/10/2009-0725-CA-Allensworth-Elementary.jpg?utm_source=commons.wikimedia.org&amp;utm_campaign=imageinfo&amp;utm_content=original"},"metadata_reviewed_on":"2026-10-24","metadata_review_status":"verified"}}</x:v>
      </x:c>
    </x:row>
    <x:row r="40" ht="300" customHeight="1">
      <x:c r="A40" s="29" t="str">
        <x:v>bakersfield:evidence:venue-22005</x:v>
      </x:c>
      <x:c r="B40" s="29" t="str">
        <x:v>bakersfield</x:v>
      </x:c>
      <x:c r="C40" s="29" t="str">
        <x:v>bakersfield:photo:venue-22005</x:v>
      </x:c>
      <x:c r="D40" s="29" t="str">
        <x:v>https://commons.wikimedia.org/wiki/File:2009-0725-CA-Allensworth-Hotel.jpg</x:v>
      </x:c>
      <x:c r="E40" s="29" t="str">
        <x:v>2009-0725-CA-Allensworth-Hotel.jpg</x:v>
      </x:c>
      <x:c r="F40" s="29" t="str">
        <x:v>Bobak Ha'Eri</x:v>
      </x:c>
      <x:c r="G40" s="29" t="str">
        <x:v>CC BY 3.0</x:v>
      </x:c>
      <x:c r="H40" s="29" t="str">
        <x:v>https://creativecommons.org/licenses/by/3.0</x:v>
      </x:c>
      <x:c r="I40" s="29" t="str">
        <x:v>Creative Commons Attribution 3.0</x:v>
      </x:c>
      <x:c r="J40" s="29" t="str">
        <x:v>2009-0725-CA-Allensworth-Hotel.jpg · Bobak Ha'Eri · CC BY 3.0 · https://commons.wikimedia.org/wiki/File:2009-0725-CA-Allensworth-Hotel.jpg</x:v>
      </x:c>
      <x:c r="K4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0" s="31" t="d">
        <x:v>2026-10-24T00:00:00.000Z</x:v>
      </x:c>
      <x:c r="M40" s="29" t="str">
        <x:v>Doğrulandı</x:v>
      </x:c>
      <x:c r="N40" s="29" t="str">
        <x:v>Doğrulandı</x:v>
      </x:c>
      <x:c r="O40" s="29" t="str">
        <x:v>Fotoğraflar/bk-8c4f8b413f2ddef3fbcee242.webp</x:v>
      </x:c>
      <x:c r="P40" s="29" t="str">
        <x:v>Colonel Allensworth State Historic Park · 2009 tarihli fotoğraf · İndirilen kare temas sayfasında görüldü; kaynak mekân kimliğiyle eşleştirildi. Seçim kaydı final-pixel-review.json.</x:v>
      </x:c>
      <x:c r="Q40" s="29" t="str">
        <x:v>Bu kare için uygun</x:v>
      </x:c>
      <x:c r="R4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0" s="29" t="str">
        <x:v>Lisans kanıtları/bk-8c4f8b413f2ddef3fbcee242.source-evidence.json</x:v>
      </x:c>
      <x:c r="T40" s="29" t="str">
        <x:v>ba1ec2fe9a4c1ef76de11037c520f21a2270063d6b22742a7e1fd570713132af</x:v>
      </x:c>
      <x:c r="U40" s="29" t="str">
        <x:v>Lisans kanıtları/bk-8c4f8b413f2ddef3fbcee242.license-record.json</x:v>
      </x:c>
      <x:c r="V40" s="29" t="str">
        <x:v>413b7767d82dcf567b9e966ecac6f080996b7252f9c8bf1a43de6ada19d5c64b</x:v>
      </x:c>
      <x:c r="W40" s="29" t="str">
        <x:v>{"file":"bk-8c4f8b413f2ddef3fbcee242.webp","width":1280,"author":"Bobak Ha'Eri","height":942,"sha256":"8c4f8b413f2ddef3fbcee242683324be00af691514d9d8a30782699cb69d0beb","license":"CC BY 3.0","imageinfo":{"url":"https://upload.wikimedia.org/wikipedia/commons/7/72/2009-0725-CA-Allensworth-Hotel.jpg?utm_source=commons.wikimedia.org&amp;utm_campaign=imageinfo&amp;utm_content=original","mime":"image/jpeg","sha1":"a7cb8a8b299ea3492397f6c786b4c3a629509d6b","size":5033924,"width":3513,"height":2586,"pageid":7497965,"thumburl":"https://thumb.wikimedia.org/wikipedia/commons/thumb/7/72/2009-0725-CA-Allensworth-Hotel.jpg/1280px-2009-0725-CA-Allensworth-Hotel.jpg?utm_source=commons.wikimedia.org&amp;utm_campaign=imageinfo&amp;utm_content=thumbnail","timestamp":"2009-08-06T20:08:46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work&lt;/span&gt;","source":"commons-desc-page"},"License":{"value":"cc-by-3.0","hidden":"","source":"commons-templates"},"DateTime":{"value":"2009-08-06 20:08:46","hidden":"","source":"mediawiki-metadata"},"Categories":{"value":"Taken with Panasonic Lumix DMC-TZ7|Colonel Allensworth State Historic Park|National Register of Historic Places in Tulare County, California|Former hotels in California|Self-published work|National Register of Historic Places with known IDs|Files by User:Bobak","hidden":"","source":"commons-categories"},"LicenseUrl":{"value":"https://creativecommons.org/licenses/by/3.0","source":"commons-desc-page"},"ObjectName":{"value":"2009-0725-CA-Allensworth-Hotel","source":"mediawiki-metadata"},"Permission":{"value":"CC-By-SA-3.0","hidden":"","source":"commons-desc-page"},"UsageTerms":{"value":"Creative Commons Attribution 3.0","source":"commons-desc-page"},"Assessments":{"value":"","hidden":"","source":"commons-categories"},"Copyrighted":{"value":"True","hidden":"","source":"commons-desc-page"},"GPSLatitude":{"value":"35.862500","source":"commons-desc-page"},"GPSMapDatum":{"value":"WGS-84","hidden":"","source":"commons-desc-page"},"GPSLongitude":{"value":"-119.386667","source":"commons-desc-page"},"Restrictions":{"value":"","hidden":"","source":"commons-desc-page"},"DateTimeOriginal":{"value":"2009-07-25","source":"commons-desc-page"},"ImageDescription":{"value":"Allensworth Hotel, &lt;b&gt;&lt;a href=\"https://en.wikipedia.org/wiki/Colonel_Allensworth_State_Historic_Park\" class=\"extiw\" title=\"en:Colonel Allensworth State Historic Park\"&gt;Colonel Allensworth State Historic Park&lt;/a&gt;&lt;/b&gt;, &lt;a href=\"https://en.wikipedia.org/wiki/Allensworth,_California\" class=\"extiw\" title=\"en:Allensworth, California\"&gt;Allensworth, California&lt;/a&gt;, USA.","source":"commons-desc-page"},"LicenseShortName":{"value":"CC BY 3.0","hidden":"","source":"commons-desc-page"},"AttributionRequired":{"value":"true","hidden":"","source":"commons-desc-page"},"CommonsMetadataExtension":{"value":1.2,"hidden":"","source":"extension"}},"thumbheight":942,"thumbattribs":{"src":"https://thumb.wikimedia.org/wikipedia/commons/thumb/7/72/2009-0725-CA-Allensworth-Hotel.jpg/1280px-2009-0725-CA-Allensworth-Hotel.jpg?utm_source=commons.wikimedia.org&amp;utm_campaign=imageinfo&amp;utm_content=thumbnail","width":1280,"height":942,"srcset":"https://upload.wikimedia.org/wikipedia/commons/7/72/2009-0725-CA-Allensworth-Hotel.jpg?utm_source=commons.wikimedia.org&amp;utm_campaign=imageinfo&amp;utm_content=thumbnail_unscaled 2x","loading":"lazy","decoding":"async"},"descriptionurl":"https://commons.wikimedia.org/wiki/File:2009-0725-CA-Allensworth-Hotel.jpg","responsiveUrls":{"2":"https://upload.wikimedia.org/wikipedia/commons/7/72/2009-0725-CA-Allensworth-Hotel.jpg?utm_source=commons.wikimedia.org&amp;utm_campaign=imageinfo&amp;utm_content=thumbnail_unscaled"},"descriptionshorturl":"https://commons.wikimedia.org/w/index.php?curid=7497965"},"selection":{"qid":"pending","kind":"candidate","title":"Bakersfield alternatives"},"author_url":"https://en.wikipedia.org/wiki/User:Bobak","derivative":"Wikimedia thumbnail decoded; EXIF orientation applied; converted to WebP quality 86; no generated pixels, no cropping.","source_url":"https://commons.wikimedia.org/wiki/File:2009-0725-CA-Allensworth-Hotel.jpg","author_urls":["https://en.wikipedia.org/wiki/User:Bobak"],"description":"Allensworth Hotel, Colonel Allensworth State Historic Park, Allensworth, California, USA.","license_url":"https://creativecommons.org/licenses/by/3.0","reviewed_on":"2026-10-24","capture_date":"2009-07-25","download_url":"https://thumb.wikimedia.org/wikipedia/commons/thumb/7/72/2009-0725-CA-Allensworth-Hotel.jpg/1280px-2009-0725-CA-Allensworth-Hotel.jpg?utm_source=commons.wikimedia.org&amp;utm_campaign=imageinfo&amp;utm_content=thumbnail","original_url":"https://upload.wikimedia.org/wikipedia/commons/7/72/2009-0725-CA-Allensworth-Hotel.jpg?utm_source=commons.wikimedia.org&amp;utm_campaign=imageinfo&amp;utm_content=original","pixel_review":{"method":"İndirilen kare temas sayfasında görüldü; kaynak mekân kimliğiyle eşleştirildi. Seçim kaydı final-pixel-review.json.","status":"verified","caption":"Colonel Allensworth State Historic Park · 2009 tarihli fotoğraf","reviewer":"Codex (AI)","review_id":"U3"},"downloaded_at":"2026-10-23T21:35:19.745840+00:00","download_sha256":"cd84494bf2f08a07d13f22e790fcea64a3476ccd669e144b72e7aad18e7bf2c3","downloaded_file":"downloads/cd84494bf2f08a07d13f22e790fcea64a3476ccd669e144b72e7aad18e7bf2c3.jpg","acquisition_file":"cb2f02e288071edc4021e963.webp","commons_filename":"2009-0725-CA-Allensworth-Hotel.jpg","original_file_url":"https://upload.wikimedia.org/wikipedia/commons/7/72/2009-0725-CA-Allensworth-Hotel.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7/72/2009-0725-CA-Allensworth-Hotel.jpg?utm_source=commons.wikimedia.org&amp;utm_campaign=imageinfo&amp;utm_content=original"},"metadata_reviewed_on":"2026-10-24","metadata_review_status":"verified"}}</x:v>
      </x:c>
    </x:row>
    <x:row r="41" ht="300" customHeight="1">
      <x:c r="A41" s="29" t="str">
        <x:v>bakersfield:evidence:venue-22006</x:v>
      </x:c>
      <x:c r="B41" s="29" t="str">
        <x:v>bakersfield</x:v>
      </x:c>
      <x:c r="C41" s="29" t="str">
        <x:v>bakersfield:photo:venue-22006</x:v>
      </x:c>
      <x:c r="D41" s="29" t="str">
        <x:v>https://commons.wikimedia.org/wiki/File:2009-0725-CA-Allensworth-House.jpg</x:v>
      </x:c>
      <x:c r="E41" s="29" t="str">
        <x:v>2009-0725-CA-Allensworth-House.jpg</x:v>
      </x:c>
      <x:c r="F41" s="29" t="str">
        <x:v>Bobak Ha'Eri</x:v>
      </x:c>
      <x:c r="G41" s="29" t="str">
        <x:v>CC BY 3.0</x:v>
      </x:c>
      <x:c r="H41" s="29" t="str">
        <x:v>https://creativecommons.org/licenses/by/3.0</x:v>
      </x:c>
      <x:c r="I41" s="29" t="str">
        <x:v>Creative Commons Attribution 3.0</x:v>
      </x:c>
      <x:c r="J41" s="29" t="str">
        <x:v>2009-0725-CA-Allensworth-House.jpg · Bobak Ha'Eri · CC BY 3.0 · https://commons.wikimedia.org/wiki/File:2009-0725-CA-Allensworth-House.jpg</x:v>
      </x:c>
      <x:c r="K4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1" s="31" t="d">
        <x:v>2026-10-24T00:00:00.000Z</x:v>
      </x:c>
      <x:c r="M41" s="29" t="str">
        <x:v>Doğrulandı</x:v>
      </x:c>
      <x:c r="N41" s="29" t="str">
        <x:v>Doğrulandı</x:v>
      </x:c>
      <x:c r="O41" s="29" t="str">
        <x:v>Fotoğraflar/bk-f6c076ae007ab56b013d0de6.webp</x:v>
      </x:c>
      <x:c r="P41" s="29" t="str">
        <x:v>Colonel Allensworth State Historic Park · 2009 tarihli fotoğraf · İndirilen kare temas sayfasında görüldü; kaynak mekân kimliğiyle eşleştirildi. Seçim kaydı final-pixel-review.json.</x:v>
      </x:c>
      <x:c r="Q41" s="29" t="str">
        <x:v>Bu kare için uygun</x:v>
      </x:c>
      <x:c r="R4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1" s="29" t="str">
        <x:v>Lisans kanıtları/bk-f6c076ae007ab56b013d0de6.source-evidence.json</x:v>
      </x:c>
      <x:c r="T41" s="29" t="str">
        <x:v>6d55d542a4b92828d479f32735f227fc3e588a22ca56e91ac18140eda2a5fa57</x:v>
      </x:c>
      <x:c r="U41" s="29" t="str">
        <x:v>Lisans kanıtları/bk-f6c076ae007ab56b013d0de6.license-record.json</x:v>
      </x:c>
      <x:c r="V41" s="29" t="str">
        <x:v>329fdc723732eae51a99102bc0d7ff9c27f71f550f096078c206068f35153085</x:v>
      </x:c>
      <x:c r="W41" s="29" t="str">
        <x:v>{"file":"bk-f6c076ae007ab56b013d0de6.webp","width":1280,"author":"Bobak Ha'Eri","height":942,"sha256":"f6c076ae007ab56b013d0de61e7749dfc42051d624d78a4ec587fcba4665e829","license":"CC BY 3.0","imageinfo":{"url":"https://upload.wikimedia.org/wikipedia/commons/a/ab/2009-0725-CA-Allensworth-House.jpg?utm_source=commons.wikimedia.org&amp;utm_campaign=imageinfo&amp;utm_content=original","mime":"image/jpeg","sha1":"e07f5888ce39540665f3062e3dc367f0e456eeb4","size":4564572,"width":3072,"height":2262,"pageid":7497947,"thumburl":"https://thumb.wikimedia.org/wikipedia/commons/thumb/a/ab/2009-0725-CA-Allensworth-House.jpg/1280px-2009-0725-CA-Allensworth-House.jpg?utm_source=commons.wikimedia.org&amp;utm_campaign=imageinfo&amp;utm_content=thumbnail","timestamp":"2009-08-06T20:06:36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work&lt;/span&gt;","source":"commons-desc-page"},"License":{"value":"cc-by-3.0","hidden":"","source":"commons-templates"},"DateTime":{"value":"2009-08-06 20:06:36","hidden":"","source":"mediawiki-metadata"},"Categories":{"value":"Taken with Panasonic Lumix DMC-TZ7|Colonel Allensworth State Historic Park|Self-published work|National Register of Historic Places with known IDs|Files by User:Bobak|Houses on the National Register of Historic Places in Tulare County, California|Wooden houses in Tulare County, California","hidden":"","source":"commons-categories"},"LicenseUrl":{"value":"https://creativecommons.org/licenses/by/3.0","source":"commons-desc-page"},"ObjectName":{"value":"2009-0725-CA-Allensworth-House","source":"mediawiki-metadata"},"Permission":{"value":"CC-By-SA-3.0","hidden":"","source":"commons-desc-page"},"UsageTerms":{"value":"Creative Commons Attribution 3.0","source":"commons-desc-page"},"Assessments":{"value":"","hidden":"","source":"commons-categories"},"Copyrighted":{"value":"True","hidden":"","source":"commons-desc-page"},"GPSLatitude":{"value":"35.862500","source":"commons-desc-page"},"GPSMapDatum":{"value":"WGS-84","hidden":"","source":"commons-desc-page"},"GPSLongitude":{"value":"-119.386667","source":"commons-desc-page"},"Restrictions":{"value":"","hidden":"","source":"commons-desc-page"},"DateTimeOriginal":{"value":"2009-07-25","source":"commons-desc-page"},"ImageDescription":{"value":"Allensworth House, &lt;b&gt;&lt;a href=\"https://en.wikipedia.org/wiki/Colonel_Allensworth_State_Historic_Park\" class=\"extiw\" title=\"en:Colonel Allensworth State Historic Park\"&gt;Colonel Allensworth State Historic Park&lt;/a&gt;&lt;/b&gt;, &lt;a href=\"https://en.wikipedia.org/wiki/Allensworth,_California\" class=\"extiw\" title=\"en:Allensworth, California\"&gt;Allensworth, California&lt;/a&gt;, USA.","source":"commons-desc-page"},"LicenseShortName":{"value":"CC BY 3.0","hidden":"","source":"commons-desc-page"},"AttributionRequired":{"value":"true","hidden":"","source":"commons-desc-page"},"CommonsMetadataExtension":{"value":1.2,"hidden":"","source":"extension"}},"thumbheight":943,"thumbattribs":{"src":"https://thumb.wikimedia.org/wikipedia/commons/thumb/a/ab/2009-0725-CA-Allensworth-House.jpg/1280px-2009-0725-CA-Allensworth-House.jpg?utm_source=commons.wikimedia.org&amp;utm_campaign=imageinfo&amp;utm_content=thumbnail","width":1280,"height":943,"srcset":"https://upload.wikimedia.org/wikipedia/commons/a/ab/2009-0725-CA-Allensworth-House.jpg?utm_source=commons.wikimedia.org&amp;utm_campaign=imageinfo&amp;utm_content=thumbnail_unscaled 2x","loading":"lazy","decoding":"async"},"descriptionurl":"https://commons.wikimedia.org/wiki/File:2009-0725-CA-Allensworth-House.jpg","responsiveUrls":{"2":"https://upload.wikimedia.org/wikipedia/commons/a/ab/2009-0725-CA-Allensworth-House.jpg?utm_source=commons.wikimedia.org&amp;utm_campaign=imageinfo&amp;utm_content=thumbnail_unscaled"},"descriptionshorturl":"https://commons.wikimedia.org/w/index.php?curid=7497947"},"selection":{"qid":"pending","kind":"candidate","title":"Bakersfield alternatives"},"author_url":"https://en.wikipedia.org/wiki/User:Bobak","derivative":"Wikimedia thumbnail decoded; EXIF orientation applied; converted to WebP quality 86; no generated pixels, no cropping.","source_url":"https://commons.wikimedia.org/wiki/File:2009-0725-CA-Allensworth-House.jpg","author_urls":["https://en.wikipedia.org/wiki/User:Bobak"],"description":"Allensworth House, Colonel Allensworth State Historic Park, Allensworth, California, USA.","license_url":"https://creativecommons.org/licenses/by/3.0","reviewed_on":"2026-10-24","capture_date":"2009-07-25","download_url":"https://thumb.wikimedia.org/wikipedia/commons/thumb/a/ab/2009-0725-CA-Allensworth-House.jpg/1280px-2009-0725-CA-Allensworth-House.jpg?utm_source=commons.wikimedia.org&amp;utm_campaign=imageinfo&amp;utm_content=thumbnail","original_url":"https://upload.wikimedia.org/wikipedia/commons/a/ab/2009-0725-CA-Allensworth-House.jpg?utm_source=commons.wikimedia.org&amp;utm_campaign=imageinfo&amp;utm_content=original","pixel_review":{"method":"İndirilen kare temas sayfasında görüldü; kaynak mekân kimliğiyle eşleştirildi. Seçim kaydı final-pixel-review.json.","status":"verified","caption":"Colonel Allensworth State Historic Park · 2009 tarihli fotoğraf","reviewer":"Codex (AI)","review_id":"U4"},"downloaded_at":"2026-10-23T21:35:20.306294+00:00","download_sha256":"91fd93ca792ed10d70d41b7699c9e424bf38761af340392db80034374c8c8dd2","downloaded_file":"downloads/91fd93ca792ed10d70d41b7699c9e424bf38761af340392db80034374c8c8dd2.jpg","acquisition_file":"848c06b1f171e4536435ba15.webp","commons_filename":"2009-0725-CA-Allensworth-House.jpg","original_file_url":"https://upload.wikimedia.org/wikipedia/commons/a/ab/2009-0725-CA-Allensworth-Hous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a/ab/2009-0725-CA-Allensworth-House.jpg?utm_source=commons.wikimedia.org&amp;utm_campaign=imageinfo&amp;utm_content=original"},"metadata_reviewed_on":"2026-10-24","metadata_review_status":"verified"}}</x:v>
      </x:c>
    </x:row>
    <x:row r="42" ht="300" customHeight="1">
      <x:c r="A42" s="29" t="str">
        <x:v>bakersfield:evidence:venue-22007</x:v>
      </x:c>
      <x:c r="B42" s="29" t="str">
        <x:v>bakersfield</x:v>
      </x:c>
      <x:c r="C42" s="29" t="str">
        <x:v>bakersfield:photo:venue-22007</x:v>
      </x:c>
      <x:c r="D42" s="29" t="str">
        <x:v>https://commons.wikimedia.org/wiki/File:2009-0725-CA-Allensworth.jpg</x:v>
      </x:c>
      <x:c r="E42" s="29" t="str">
        <x:v>2009-0725-CA-Allensworth.jpg</x:v>
      </x:c>
      <x:c r="F42" s="29" t="str">
        <x:v>Bobak Ha'Eri</x:v>
      </x:c>
      <x:c r="G42" s="29" t="str">
        <x:v>CC BY 3.0</x:v>
      </x:c>
      <x:c r="H42" s="29" t="str">
        <x:v>https://creativecommons.org/licenses/by/3.0</x:v>
      </x:c>
      <x:c r="I42" s="29" t="str">
        <x:v>Creative Commons Attribution 3.0</x:v>
      </x:c>
      <x:c r="J42" s="29" t="str">
        <x:v>2009-0725-CA-Allensworth.jpg · Bobak Ha'Eri · CC BY 3.0 · https://commons.wikimedia.org/wiki/File:2009-0725-CA-Allensworth.jpg</x:v>
      </x:c>
      <x:c r="K4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2" s="31" t="d">
        <x:v>2026-10-24T00:00:00.000Z</x:v>
      </x:c>
      <x:c r="M42" s="29" t="str">
        <x:v>Doğrulandı</x:v>
      </x:c>
      <x:c r="N42" s="29" t="str">
        <x:v>Doğrulandı</x:v>
      </x:c>
      <x:c r="O42" s="29" t="str">
        <x:v>Fotoğraflar/bk-172111edce0477393e213321.webp</x:v>
      </x:c>
      <x:c r="P42" s="29" t="str">
        <x:v>Colonel Allensworth State Historic Park · 2009 tarihli fotoğraf · İndirilen kare temas sayfasında görüldü; kaynak mekân kimliğiyle eşleştirildi. Seçim kaydı final-pixel-review.json.</x:v>
      </x:c>
      <x:c r="Q42" s="29" t="str">
        <x:v>Bu kare için uygun</x:v>
      </x:c>
      <x:c r="R4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2" s="29" t="str">
        <x:v>Lisans kanıtları/bk-172111edce0477393e213321.source-evidence.json</x:v>
      </x:c>
      <x:c r="T42" s="29" t="str">
        <x:v>ffd3dc061576491fd344f8371da2a2d408db3f092eec6c444a0d48f056fee502</x:v>
      </x:c>
      <x:c r="U42" s="29" t="str">
        <x:v>Lisans kanıtları/bk-172111edce0477393e213321.license-record.json</x:v>
      </x:c>
      <x:c r="V42" s="29" t="str">
        <x:v>b1694cc05d96969dd0524cda2217e3fdb3ea4bed2ac201d6879175e393a2da48</x:v>
      </x:c>
      <x:c r="W42" s="29" t="str">
        <x:v>{"file":"bk-172111edce0477393e213321.webp","width":1280,"author":"Bobak Ha'Eri","height":918,"sha256":"172111edce0477393e2133216e89478766652c8b8d9b4ff6cb286bb45f4d6101","license":"CC BY 3.0","imageinfo":{"url":"https://upload.wikimedia.org/wikipedia/commons/5/59/2009-0725-CA-Allensworth.jpg?utm_source=commons.wikimedia.org&amp;utm_campaign=imageinfo&amp;utm_content=original","mime":"image/jpeg","sha1":"d8be7d006a21b00aed72a967e78b37f1db368e56","size":6326811,"width":3372,"height":2418,"pageid":7497856,"thumburl":"https://thumb.wikimedia.org/wikipedia/commons/thumb/5/59/2009-0725-CA-Allensworth.jpg/1280px-2009-0725-CA-Allensworth.jpg?utm_source=commons.wikimedia.org&amp;utm_campaign=imageinfo&amp;utm_content=thumbnail","timestamp":"2009-08-06T19:52:22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work&lt;/span&gt;","source":"commons-desc-page"},"License":{"value":"cc-by-3.0","hidden":"","source":"commons-templates"},"DateTime":{"value":"2009-08-06 19:52:22","hidden":"","source":"mediawiki-metadata"},"Categories":{"value":"Taken with Panasonic Lumix DMC-TZ7|Colonel Allensworth State Historic Park|National Register of Historic Places in Tulare County, California|Self-published work|Images with extracted images|National Register of Historic Places with known IDs|Files by User:Bobak","hidden":"","source":"commons-categories"},"LicenseUrl":{"value":"https://creativecommons.org/licenses/by/3.0","source":"commons-desc-page"},"ObjectName":{"value":"2009-0725-CA-Allensworth","source":"mediawiki-metadata"},"Permission":{"value":"CC-By-SA-3.0","hidden":"","source":"commons-desc-page"},"UsageTerms":{"value":"Creative Commons Attribution 3.0","source":"commons-desc-page"},"Assessments":{"value":"","hidden":"","source":"commons-categories"},"Copyrighted":{"value":"True","hidden":"","source":"commons-desc-page"},"GPSLatitude":{"value":"35.862500","source":"commons-desc-page"},"GPSMapDatum":{"value":"WGS-84","hidden":"","source":"commons-desc-page"},"GPSLongitude":{"value":"-119.386667","source":"commons-desc-page"},"Restrictions":{"value":"","hidden":"","source":"commons-desc-page"},"DateTimeOriginal":{"value":"2009-07-25","source":"commons-desc-page"},"ImageDescription":{"value":"&lt;b&gt;&lt;a href=\"https://en.wikipedia.org/wiki/Colonel_Allensworth_State_Historic_Park\" class=\"extiw\" title=\"en:Colonel Allensworth State Historic Park\"&gt;Colonel Allensworth State Historic Park&lt;/a&gt;&lt;/b&gt;, &lt;a href=\"https://en.wikipedia.org/wiki/Allensworth,_California\" class=\"extiw\" title=\"en:Allensworth, California\"&gt;Allensworth, California&lt;/a&gt;, USA.","source":"commons-desc-page"},"LicenseShortName":{"value":"CC BY 3.0","hidden":"","source":"commons-desc-page"},"AttributionRequired":{"value":"true","hidden":"","source":"commons-desc-page"},"CommonsMetadataExtension":{"value":1.2,"hidden":"","source":"extension"}},"thumbheight":918,"thumbattribs":{"src":"https://thumb.wikimedia.org/wikipedia/commons/thumb/5/59/2009-0725-CA-Allensworth.jpg/1280px-2009-0725-CA-Allensworth.jpg?utm_source=commons.wikimedia.org&amp;utm_campaign=imageinfo&amp;utm_content=thumbnail","width":1280,"height":918,"srcset":"https://upload.wikimedia.org/wikipedia/commons/5/59/2009-0725-CA-Allensworth.jpg?utm_source=commons.wikimedia.org&amp;utm_campaign=imageinfo&amp;utm_content=thumbnail_unscaled 2x","loading":"lazy","decoding":"async"},"descriptionurl":"https://commons.wikimedia.org/wiki/File:2009-0725-CA-Allensworth.jpg","responsiveUrls":{"2":"https://upload.wikimedia.org/wikipedia/commons/5/59/2009-0725-CA-Allensworth.jpg?utm_source=commons.wikimedia.org&amp;utm_campaign=imageinfo&amp;utm_content=thumbnail_unscaled"},"descriptionshorturl":"https://commons.wikimedia.org/w/index.php?curid=7497856"},"selection":{"qid":"pending","kind":"candidate","title":"Bakersfield alternatives"},"author_url":"https://en.wikipedia.org/wiki/User:Bobak","derivative":"Wikimedia thumbnail decoded; EXIF orientation applied; converted to WebP quality 86; no generated pixels, no cropping.","source_url":"https://commons.wikimedia.org/wiki/File:2009-0725-CA-Allensworth.jpg","author_urls":["https://en.wikipedia.org/wiki/User:Bobak"],"description":"Colonel Allensworth State Historic Park, Allensworth, California, USA.","license_url":"https://creativecommons.org/licenses/by/3.0","reviewed_on":"2026-10-24","capture_date":"2009-07-25","download_url":"https://thumb.wikimedia.org/wikipedia/commons/thumb/5/59/2009-0725-CA-Allensworth.jpg/1280px-2009-0725-CA-Allensworth.jpg?utm_source=commons.wikimedia.org&amp;utm_campaign=imageinfo&amp;utm_content=thumbnail","original_url":"https://upload.wikimedia.org/wikipedia/commons/5/59/2009-0725-CA-Allensworth.jpg?utm_source=commons.wikimedia.org&amp;utm_campaign=imageinfo&amp;utm_content=original","pixel_review":{"method":"İndirilen kare temas sayfasında görüldü; kaynak mekân kimliğiyle eşleştirildi. Seçim kaydı final-pixel-review.json.","status":"verified","caption":"Colonel Allensworth State Historic Park · 2009 tarihli fotoğraf","reviewer":"Codex (AI)","review_id":"U5"},"downloaded_at":"2026-10-23T21:35:22.256792+00:00","download_sha256":"695ff76e060fde3569603b98b1cd96f32df460ec50cd70c2031653a8ad84b9f3","downloaded_file":"downloads/695ff76e060fde3569603b98b1cd96f32df460ec50cd70c2031653a8ad84b9f3.jpg","acquisition_file":"b6eaab7f8affcd4abc32c880.webp","commons_filename":"2009-0725-CA-Allensworth.jpg","original_file_url":"https://upload.wikimedia.org/wikipedia/commons/5/59/2009-0725-CA-Allensworth.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5/59/2009-0725-CA-Allensworth.jpg?utm_source=commons.wikimedia.org&amp;utm_campaign=imageinfo&amp;utm_content=original"},"metadata_reviewed_on":"2026-10-24","metadata_review_status":"verified"}}</x:v>
      </x:c>
    </x:row>
    <x:row r="43" ht="300" customHeight="1">
      <x:c r="A43" s="29" t="str">
        <x:v>bakersfield:evidence:venue-22008</x:v>
      </x:c>
      <x:c r="B43" s="29" t="str">
        <x:v>bakersfield</x:v>
      </x:c>
      <x:c r="C43" s="29" t="str">
        <x:v>bakersfield:photo:venue-22008</x:v>
      </x:c>
      <x:c r="D43" s="29" t="str">
        <x:v>https://www.flickr.com/photos/135081788@N03/54210738283/</x:v>
      </x:c>
      <x:c r="E43" s="29" t="str">
        <x:v>Pixley National Wildlife Refuge · loggerhead shrike · 2024</x:v>
      </x:c>
      <x:c r="F43" s="29" t="str">
        <x:v>Don Green</x:v>
      </x:c>
      <x:c r="G43" s="29" t="str">
        <x:v>CC BY 2.0</x:v>
      </x:c>
      <x:c r="H43" s="29" t="str">
        <x:v>https://creativecommons.org/licenses/by/2.0/</x:v>
      </x:c>
      <x:c r="I43" s="29" t="str">
        <x:v>CC BY 2.0</x:v>
      </x:c>
      <x:c r="J43" s="29" t="str">
        <x:v>Pixley National Wildlife Refuge · loggerhead shrike · 2024 · Don Green · CC BY 2.0 · https://www.flickr.com/photos/135081788@N03/54210738283/</x:v>
      </x:c>
      <x:c r="K4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3" s="31" t="d">
        <x:v>2026-10-24T00:00:00.000Z</x:v>
      </x:c>
      <x:c r="M43" s="29" t="str">
        <x:v>Doğrulandı</x:v>
      </x:c>
      <x:c r="N43" s="29" t="str">
        <x:v>Doğrulandı</x:v>
      </x:c>
      <x:c r="O43" s="29" t="str">
        <x:v>Fotoğraflar/bk-942106368e29e616243d3c12.webp</x:v>
      </x:c>
      <x:c r="P43" s="29" t="str">
        <x:v>Pixley National Wildlife Refuge · loggerhead shrike · 2024 · İndirilen kare temas sayfasında görüldü; kaynak mekân kimliğiyle eşleştirildi. Seçim kaydı final-pixel-review.json.</x:v>
      </x:c>
      <x:c r="Q43" s="29" t="str">
        <x:v>Bu kare için uygun</x:v>
      </x:c>
      <x:c r="R4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3" s="29" t="str">
        <x:v>Lisans kanıtları/bk-942106368e29e616243d3c12.source-evidence.json</x:v>
      </x:c>
      <x:c r="T43" s="29" t="str">
        <x:v>7334cbec0f608f2a9e30445edc5a83690554d7ea7789411dfddc75bd649f84e6</x:v>
      </x:c>
      <x:c r="U43" s="29" t="str">
        <x:v>Lisans kanıtları/bk-942106368e29e616243d3c12.license-record.json</x:v>
      </x:c>
      <x:c r="V43" s="29" t="str">
        <x:v>2c495a09324103a3b85fd5ff688a16ca8dcb223920fbfc8139be2e3202758d8f</x:v>
      </x:c>
      <x:c r="W43" s="29" t="str">
        <x:v>{"file":"bk-942106368e29e616243d3c12.webp","width":731,"author":"Don Green","height":1024,"sha256":"942106368e29e616243d3c12ade7dad569b8fe043dc7067d43d4543d85eb1187","status":"reviewed-selected","license":"CC BY 2.0","provider":"Flickr","review_id":"Y37","source_id":"54210738283","author_url":"https://www.flickr.com/photos/135081788@N03/","date_texts":["Uploaded on December 17, 2024 Taken on December 15, 2024","Taken on December 15, 2024","Uploaded on December 17, 2024 Taken on December 15, 2024","Taken on December 15, 2024"],"source_url":"https://www.flickr.com/photos/135081788@N03/54210738283/","description":"Photo: Don Green\nPixley Wildlife Refuge","distributor":"Channel City Camera Club","license_url":"https://creativecommons.org/licenses/by/2.0/","review_note":"Çalı dalında örümcek kuşu; kaynak konumu ayrıca doğrulanacak.","reviewed_on":"2026-10-24","source_text":"Loggerhead Shrike | Photo: Don Green Pixley Wildlife Refuge | Channel City Camera Club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Channel City Camera Club cameraclub231 Loggerhead Shrike Photo: Don Green Pixley Wildlife Refuge Done 182 views 2 faves 0 comments Uploaded on December 17, 2024 Taken on December 15, 2024 Channel City Camera Club By: Channel City Camera Club Loggerhead Shrike Photo: Don Green Pixley Wildlife Refuge Done 182 views 2 faves 0 comments Uploaded on December 17, 2024 Taken on December 15,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photography.","capture_date":"2024-12-15","download_url":"https://live.staticflickr.com/65535/54210738283_fbbef884f4_b.jpg","original_url":"https://live.staticflickr.com/65535/54210738283_5180fe938f_o.jpg","pixel_review":{"method":"İndirilen kare temas sayfasında görüldü; kaynak mekân kimliğiyle eşleştirildi. Seçim kaydı final-pixel-review.json.","status":"verified","caption":"Pixley National Wildlife Refuge · loggerhead shrike · 2024","reviewer":"Codex (AI)","review_id":"Y37"},"source_title":"Loggerhead Shrike","downloaded_at":"2026-10-23T21:36:08.542047+00:00","author_evidence":"Photo: Don Green; source page description and embedded watermark","download_sha256":"14c8edafb5700f31a85817425711f2e9b5e504c0ef9403a95f99ecf904696215","downloaded_file":"downloads/14c8edafb5700f31a85817425711f2e9b5e504c0ef9403a95f99ecf904696215.jpg","public_metadata":{"photo-models":[{"data":{"id":"54210738283","owner":{"data":{"id":"135081788@N03","isPro":true,"newFlow":true,"isAdFree":false,"location":"Santa Barbara, US","proBadge":"standard","realname":"Channel City Camera Club","segments":{"data":[],"exportMetaType":"array"},"username":"cameraclub231","buddyicon":{"data":{"large":"//live.staticflickr.com/771/buddyicons/135081788@N03_l.jpg?1444689759#135081788@N03","small":"//live.staticflickr.com/771/buddyicons/135081788@N03_s.jpg?1444689759#135081788@N03","medium":"//live.staticflickr.com/771/buddyicons/135081788@N03_m.jpg?1444689759#135081788@N03","retina":"//live.staticflickr.com/771/buddyicons/135081788@N03_r.jpg?1444689759#135081788@N03","default":"//live.staticflickr.com/771/buddyicons/135081788@N03.jpg?1444689759#135081788@N03"},"exportMetaType":"pojo"},"dateCreated":{"data":"1444301259","exportMetaType":"serializeFunction"},"subscription":{"data":{"isPro":false,"isClosed":false,"isPastDue":false},"exportMetaType":"pojo"},"eligibleGifts":{"data":["year","month","week"],"exportMetaType":"array"},"isEligibleForGifts":true,"_flickrModelRegistry":"person-models"},"exportMetaType":"model"},"sizes":{"data":{"c":{"data":{"url":"//live.staticflickr.com/65535/54210738283_fbbef884f4_c.jpg","width":571,"height":800,"displayUrl":"//live.staticflickr.com/65535/54210738283_fbbef884f4_c.jpg"},"exportMetaType":"pojo"},"h":{"data":{"url":"//live.staticflickr.com/65535/54210738283_b58cafd98c_h.jpg","width":1142,"height":1600,"displayUrl":"//live.staticflickr.com/65535/54210738283_b58cafd98c_h.jpg"},"exportMetaType":"pojo"},"k":{"data":{"url":"//live.staticflickr.com/65535/54210738283_ebb70ef2c0_k.jpg","width":1462,"height":2048,"displayUrl":"//live.staticflickr.com/65535/54210738283_ebb70ef2c0_k.jpg"},"exportMetaType":"pojo"},"l":{"data":{"url":"//live.staticflickr.com/65535/54210738283_fbbef884f4_b.jpg","width":731,"height":1024,"displayUrl":"//live.staticflickr.com/65535/54210738283_fbbef884f4_b.jpg"},"exportMetaType":"pojo"},"m":{"data":{"url":"//live.staticflickr.com/65535/54210738283_fbbef884f4.jpg","width":357,"height":500,"displayUrl":"//live.staticflickr.com/65535/54210738283_fbbef884f4.jpg"},"exportMetaType":"pojo"},"n":{"data":{"url":"//live.staticflickr.com/65535/54210738283_fbbef884f4_n.jpg","width":228,"height":320,"displayUrl":"//live.staticflickr.com/65535/54210738283_fbbef884f4_n.jpg"},"exportMetaType":"pojo"},"o":{"data":{"url":"//live.staticflickr.com/65535/54210738283_5180fe938f_o.jpg","width":1714,"height":2401,"displayUrl":"//live.staticflickr.com/65535/54210738283_5180fe938f_o.jpg"},"exportMetaType":"pojo"},"q":{"data":{"url":"//live.staticflickr.com/65535/54210738283_fbbef884f4_q.jpg","width":150,"height":150,"displayUrl":"//live.staticflickr.com/65535/54210738283_fbbef884f4_q.jpg"},"exportMetaType":"pojo"},"s":{"data":{"url":"//live.staticflickr.com/65535/54210738283_fbbef884f4_m.jpg","width":171,"height":240,"displayUrl":"//live.staticflickr.com/65535/54210738283_fbbef884f4_m.jpg"},"exportMetaType":"pojo"},"t":{"data":{"url":"//live.staticflickr.com/65535/54210738283_fbbef884f4_t.jpg","width":71,"height":100,"displayUrl":"//live.staticflickr.com/65535/54210738283_fbbef884f4_t.jpg"},"exportMetaType":"pojo"},"w":{"data":{"url":"//live.staticflickr.com/65535/54210738283_fbbef884f4_w.jpg","width":286,"height":400,"displayUrl":"//live.staticflickr.com/65535/54210738283_fbbef884f4_w.jpg"},"exportMetaType":"pojo"},"z":{"data":{"url":"//live.staticflickr.com/65535/54210738283_fbbef884f4_z.jpg","width":457,"height":640,"displayUrl":"//live.staticflickr.com/65535/54210738283_fbbef884f4_z.jpg"},"exportMetaType":"pojo"},"sq":{"data":{"url":"//live.staticflickr.com/65535/54210738283_fbbef884f4_s.jpg","width":75,"height":75,"displayUrl":"//live.staticflickr.com/65535/54210738283_fbbef884f4_s.jpg"},"exportMetaType":"pojo"}},"exportMetaType":"pojo"},"title":"Loggerhead Shrike","oWidth":1714,"secret":"fbbef884f4","license":4,"oHeight":2401,"rotation":0,"canAddMeta":false,"canComment":false,"engagement":{"data":{"id":"54210738283","canShare":true,"faveCount":2,"ownerNsid":"135081788@N03","reactions":{"data":{"like":{"data":{"id":"like","count":5,"canReact":true,"didViewerReact":true},"exportMetaType":"pojo"},"someOtherReaction":{"data":{"id":"someOtherReaction","count":3,"canReact":true,"didViewerReact":false},"exportMetaType":"pojo"}},"exportMetaType":"pojo"},"viewCount":182,"canDownload":true,"_flickrModelRegistry":"photo-engagement-models"},"exportMetaType":"model"},"description":"Photo: Don Green\nPixley Wildlife Refuge","safetyLevel":0,"upgradeSizes":{"data":[],"exportMetaType":"array"},"adEligibility":{"data":{"lane":1,"labels":{"data":["ProOwner"],"exportMetaType":"array"},"isAdEligible":false,"highScoreLabels":{"data":["ProOwner"],"exportMetaType":"array"}},"exportMetaType":"pojo"},"canPublicComment":true,"_flickrModelRegistry":"photo-models"},"exportMetaType":"model"}],"photo-geo-models":[{"data":{"id":"54210738283","_flickrModelRegistry":"photo-geo-models"},"exportMetaType":"model"}],"photo-location-models":[{"data":{"id":"54210738283","geo":{"data":"~2","exportMetaType":"model"},"text":"","levels":{"data":{},"exportMetaType":"pojo"},"staticMaps":{"data":{},"exportMetaType":"pojo"},"_flickrModelRegistry":"photo-location-models"},"exportMetaType":"model"}],"photo-head-meta-models":[{"data":{"id":"54210738283","title":"Loggerhead Shrike","og:url":"https://www.flickr.com/photos/135081788@N03/54210738283/","og:type":"article","keywords":"green","og:image":"https://live.staticflickr.com/65535/54210738283_fbbef884f4_b.jpg","og:title":"Loggerhead Shrike","twitter:card":"summary_large_image","twitter:image":"https://live.staticflickr.com/65535/54210738283_fbbef884f4_b.jpg","og:description":"Photo: Don Green Pixley Wildlife Refuge","og:image:width":731,"og:image:height":1024,"twitter:description":"Photo: Don Green Pixley Wildlife Refuge","_flickrModelRegistry":"photo-head-meta-models","twitter:app:url:ipad":"flickr://flickr.com/photos/135081788@N03/54210738283/","twitter:app:url:iphone":"flickr://flickr.com/photos/135081788@N03/54210738283/","twitter:app:url:googleplay":"https://www.flickr.com/photos/135081788@N03/54210738283/"},"exportMetaType":"model"}],"photo-license-history-models":[]},"acquisition_file":"fl-54210738283.webp","source_html_file":"/Users/atincakcayoz/corteqs/output/bakersfield-completion-20261024/flickr-source-pages/54210738283.html","original_file_url":"https://live.staticflickr.com/65535/54210738283_5180fe938f_o.jpg","proposed_identity":"Pixley National Wildlife Refuge","source_html_sha256":"048c3c6ac02f44456df801835428f22a29b11145ac5d4e8f02e8a2b307ed6e04","third_party_rights_review":{"basis":"Kaynakta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dönüştürüldü.","photo_attribution":{"author_url":"https://www.flickr.com/photos/135081788@N03/","modifications":"EXIF yönü uygulandı; boyut küçültülüp WebP biçimine dönüştürüldü.","original_file_url":"https://live.staticflickr.com/65535/54210738283_5180fe938f_o.jpg"},"metadata_reviewed_on":"2026-10-24","metadata_review_status":"verified"}}</x:v>
      </x:c>
    </x:row>
    <x:row r="44" ht="300" customHeight="1">
      <x:c r="A44" s="29" t="str">
        <x:v>bakersfield:evidence:venue-22009</x:v>
      </x:c>
      <x:c r="B44" s="29" t="str">
        <x:v>bakersfield</x:v>
      </x:c>
      <x:c r="C44" s="29" t="str">
        <x:v>bakersfield:photo:venue-22009</x:v>
      </x:c>
      <x:c r="D44" s="29" t="str">
        <x:v>https://www.flickr.com/photos/135081788@N03/54210739973/</x:v>
      </x:c>
      <x:c r="E44" s="29" t="str">
        <x:v>Pixley National Wildlife Refuge · long-billed dowitcher · 2024</x:v>
      </x:c>
      <x:c r="F44" s="29" t="str">
        <x:v>Don Green</x:v>
      </x:c>
      <x:c r="G44" s="29" t="str">
        <x:v>CC BY 2.0</x:v>
      </x:c>
      <x:c r="H44" s="29" t="str">
        <x:v>https://creativecommons.org/licenses/by/2.0/</x:v>
      </x:c>
      <x:c r="I44" s="29" t="str">
        <x:v>CC BY 2.0</x:v>
      </x:c>
      <x:c r="J44" s="29" t="str">
        <x:v>Pixley National Wildlife Refuge · long-billed dowitcher · 2024 · Don Green · CC BY 2.0 · https://www.flickr.com/photos/135081788@N03/54210739973/</x:v>
      </x:c>
      <x:c r="K4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4" s="31" t="d">
        <x:v>2026-10-24T00:00:00.000Z</x:v>
      </x:c>
      <x:c r="M44" s="29" t="str">
        <x:v>Doğrulandı</x:v>
      </x:c>
      <x:c r="N44" s="29" t="str">
        <x:v>Doğrulandı</x:v>
      </x:c>
      <x:c r="O44" s="29" t="str">
        <x:v>Fotoğraflar/bk-00b8707b6f5206ce1087f4e1.webp</x:v>
      </x:c>
      <x:c r="P44" s="29" t="str">
        <x:v>Pixley National Wildlife Refuge · long-billed dowitcher · 2024 · İndirilen kare temas sayfasında görüldü; kaynak mekân kimliğiyle eşleştirildi. Seçim kaydı final-pixel-review.json.</x:v>
      </x:c>
      <x:c r="Q44" s="29" t="str">
        <x:v>Bu kare için uygun</x:v>
      </x:c>
      <x:c r="R4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4" s="29" t="str">
        <x:v>Lisans kanıtları/bk-00b8707b6f5206ce1087f4e1.source-evidence.json</x:v>
      </x:c>
      <x:c r="T44" s="29" t="str">
        <x:v>53504b11d364d261dd80f1c40413a0f73ce44fed7d49542344819f02c42349a5</x:v>
      </x:c>
      <x:c r="U44" s="29" t="str">
        <x:v>Lisans kanıtları/bk-00b8707b6f5206ce1087f4e1.license-record.json</x:v>
      </x:c>
      <x:c r="V44" s="29" t="str">
        <x:v>e43e4f00ec293a9c180356f919ce9f04e79a5b877817394e3aaed724e6d79a01</x:v>
      </x:c>
      <x:c r="W44" s="29" t="str">
        <x:v>{"file":"bk-00b8707b6f5206ce1087f4e1.webp","width":1024,"author":"Don Green","height":576,"sha256":"00b8707b6f5206ce1087f4e10a8ffe9c13d67e3914c5791d7328c32cfcdd01e8","status":"reviewed-selected","license":"CC BY 2.0","provider":"Flickr","review_id":"Y38","source_id":"54210739973","author_url":"https://www.flickr.com/photos/135081788@N03/","date_texts":["Uploaded on December 17, 2024 Taken on December 16, 2024","Taken on December 16, 2024","Uploaded on December 17, 2024 Taken on December 16, 2024","Taken on December 16, 2024"],"source_url":"https://www.flickr.com/photos/135081788@N03/54210739973/","description":"Photo: Don Green\nPixley Wildlife Refuge","distributor":"Channel City Camera Club","license_url":"https://creativecommons.org/licenses/by/2.0/","review_note":"Sığ suda kıyı kuşları; kaynak konumu ayrıca doğrulanacak.","reviewed_on":"2026-10-24","source_text":"Long-billed Dowitcher | Photo: Don Green Pixley Wildlife Ref…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Channel City Camera Club cameraclub231 Long-billed Dowitcher Photo: Don Green Pixley Wildlife Refuge Done 148 views 2 faves 0 comments Uploaded on December 17, 2024 Taken on December 16, 2024 Channel City Camera Club By: Channel City Camera Club Long-billed Dowitcher Photo: Don Green Pixley Wildlife Refuge Done 148 views 2 faves 0 comments Uploaded on December 17, 2024 Taken on December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photography.","capture_date":"2024-12-16","download_url":"https://live.staticflickr.com/65535/54210739973_5619dd2dd9_b.jpg","original_url":"https://live.staticflickr.com/65535/54210739973_035d22a66d_o.jpg","pixel_review":{"method":"İndirilen kare temas sayfasında görüldü; kaynak mekân kimliğiyle eşleştirildi. Seçim kaydı final-pixel-review.json.","status":"verified","caption":"Pixley National Wildlife Refuge · long-billed dowitcher · 2024","reviewer":"Codex (AI)","review_id":"Y38"},"source_title":"Long-billed Dowitcher","downloaded_at":"2026-10-23T21:36:09.399456+00:00","author_evidence":"Photo: Don Green; source page description and embedded watermark","download_sha256":"7c9168607594ea47bfad8fb37f1df88ac520a65a8b716af64fd7ac832170744b","downloaded_file":"downloads/7c9168607594ea47bfad8fb37f1df88ac520a65a8b716af64fd7ac832170744b.jpg","public_metadata":{"photo-models":[{"data":{"id":"54210739973","owner":{"data":{"id":"135081788@N03","isPro":true,"newFlow":true,"isAdFree":false,"location":"Santa Barbara, US","proBadge":"standard","realname":"Channel City Camera Club","segments":{"data":[],"exportMetaType":"array"},"username":"cameraclub231","buddyicon":{"data":{"large":"//live.staticflickr.com/771/buddyicons/135081788@N03_l.jpg?1444689759#135081788@N03","small":"//live.staticflickr.com/771/buddyicons/135081788@N03_s.jpg?1444689759#135081788@N03","medium":"//live.staticflickr.com/771/buddyicons/135081788@N03_m.jpg?1444689759#135081788@N03","retina":"//live.staticflickr.com/771/buddyicons/135081788@N03_r.jpg?1444689759#135081788@N03","default":"//live.staticflickr.com/771/buddyicons/135081788@N03.jpg?1444689759#135081788@N03"},"exportMetaType":"pojo"},"dateCreated":{"data":"1444301259","exportMetaType":"serializeFunction"},"subscription":{"data":{"isPro":false,"isClosed":false,"isPastDue":false},"exportMetaType":"pojo"},"eligibleGifts":{"data":["year","month","week"],"exportMetaType":"array"},"isEligibleForGifts":true,"_flickrModelRegistry":"person-models"},"exportMetaType":"model"},"sizes":{"data":{"c":{"data":{"url":"//live.staticflickr.com/65535/54210739973_5619dd2dd9_c.jpg","width":800,"height":450,"displayUrl":"//live.staticflickr.com/65535/54210739973_5619dd2dd9_c.jpg"},"exportMetaType":"pojo"},"h":{"data":{"url":"//live.staticflickr.com/65535/54210739973_28d4f5e711_h.jpg","width":1600,"height":900,"displayUrl":"//live.staticflickr.com/65535/54210739973_28d4f5e711_h.jpg"},"exportMetaType":"pojo"},"k":{"data":{"url":"//live.staticflickr.com/65535/54210739973_7a09c3905c_k.jpg","width":2048,"height":1152,"displayUrl":"//live.staticflickr.com/65535/54210739973_7a09c3905c_k.jpg"},"exportMetaType":"pojo"},"l":{"data":{"url":"//live.staticflickr.com/65535/54210739973_5619dd2dd9_b.jpg","width":1024,"height":576,"displayUrl":"//live.staticflickr.com/65535/54210739973_5619dd2dd9_b.jpg"},"exportMetaType":"pojo"},"m":{"data":{"url":"//live.staticflickr.com/65535/54210739973_5619dd2dd9.jpg","width":500,"height":281,"displayUrl":"//live.staticflickr.com/65535/54210739973_5619dd2dd9.jpg"},"exportMetaType":"pojo"},"n":{"data":{"url":"//live.staticflickr.com/65535/54210739973_5619dd2dd9_n.jpg","width":320,"height":180,"displayUrl":"//live.staticflickr.com/65535/54210739973_5619dd2dd9_n.jpg"},"exportMetaType":"pojo"},"o":{"data":{"url":"//live.staticflickr.com/65535/54210739973_035d22a66d_o.jpg","width":4298,"height":2418,"displayUrl":"//live.staticflickr.com/65535/54210739973_035d22a66d_o.jpg"},"exportMetaType":"pojo"},"q":{"data":{"url":"//live.staticflickr.com/65535/54210739973_5619dd2dd9_q.jpg","width":150,"height":150,"displayUrl":"//live.staticflickr.com/65535/54210739973_5619dd2dd9_q.jpg"},"exportMetaType":"pojo"},"s":{"data":{"url":"//live.staticflickr.com/65535/54210739973_5619dd2dd9_m.jpg","width":240,"height":135,"displayUrl":"//live.staticflickr.com/65535/54210739973_5619dd2dd9_m.jpg"},"exportMetaType":"pojo"},"t":{"data":{"url":"//live.staticflickr.com/65535/54210739973_5619dd2dd9_t.jpg","width":100,"height":56,"displayUrl":"//live.staticflickr.com/65535/54210739973_5619dd2dd9_t.jpg"},"exportMetaType":"pojo"},"w":{"data":{"url":"//live.staticflickr.com/65535/54210739973_5619dd2dd9_w.jpg","width":400,"height":225,"displayUrl":"//live.staticflickr.com/65535/54210739973_5619dd2dd9_w.jpg"},"exportMetaType":"pojo"},"z":{"data":{"url":"//live.staticflickr.com/65535/54210739973_5619dd2dd9_z.jpg","width":640,"height":360,"displayUrl":"//live.staticflickr.com/65535/54210739973_5619dd2dd9_z.jpg"},"exportMetaType":"pojo"},"3k":{"data":{"url":"//live.staticflickr.com/65535/54210739973_e4c9f4c610_3k.jpg","width":3072,"height":1728,"displayUrl":"//live.staticflickr.com/65535/54210739973_e4c9f4c610_3k.jpg"},"exportMetaType":"pojo"},"4k":{"data":{"url":"//live.staticflickr.com/65535/54210739973_d920b944d6_4k.jpg","width":4096,"height":2304,"displayUrl":"//live.staticflickr.com/65535/54210739973_d920b944d6_4k.jpg"},"exportMetaType":"pojo"},"sq":{"data":{"url":"//live.staticflickr.com/65535/54210739973_5619dd2dd9_s.jpg","width":75,"height":75,"displayUrl":"//live.staticflickr.com/65535/54210739973_5619dd2dd9_s.jpg"},"exportMetaType":"pojo"}},"exportMetaType":"pojo"},"title":"Long-billed Dowitcher","oWidth":4298,"secret":"5619dd2dd9","license":4,"oHeight":2418,"rotation":0,"canAddMeta":false,"canComment":false,"engagement":{"data":{"id":"54210739973","canShare":true,"faveCount":2,"ownerNsid":"135081788@N03","reactions":{"data":{"like":{"data":{"id":"like","count":5,"canReact":true,"didViewerReact":true},"exportMetaType":"pojo"},"someOtherReaction":{"data":{"id":"someOtherReaction","count":3,"canReact":true,"didViewerReact":false},"exportMetaType":"pojo"}},"exportMetaType":"pojo"},"viewCount":148,"canDownload":true,"_flickrModelRegistry":"photo-engagement-models"},"exportMetaType":"model"},"description":"Photo: Don Green\nPixley Wildlife Refuge","safetyLevel":0,"upgradeSizes":{"data":[],"exportMetaType":"array"},"adEligibility":{"data":{"lane":1,"labels":{"data":["ProOwner"],"exportMetaType":"array"},"isAdEligible":false,"highScoreLabels":{"data":["ProOwner"],"exportMetaType":"array"}},"exportMetaType":"pojo"},"canPublicComment":true,"_flickrModelRegistry":"photo-models"},"exportMetaType":"model"}],"photo-geo-models":[{"data":{"id":"54210739973","_flickrModelRegistry":"photo-geo-models"},"exportMetaType":"model"}],"photo-location-models":[{"data":{"id":"54210739973","geo":{"data":"~2","exportMetaType":"model"},"text":"","levels":{"data":{},"exportMetaType":"pojo"},"staticMaps":{"data":{},"exportMetaType":"pojo"},"_flickrModelRegistry":"photo-location-models"},"exportMetaType":"model"}],"photo-head-meta-models":[{"data":{"id":"54210739973","title":"Long-billed Dowitcher","og:url":"https://www.flickr.com/photos/135081788@N03/54210739973/","og:type":"article","keywords":"green","og:image":"https://live.staticflickr.com/65535/54210739973_5619dd2dd9_b.jpg","og:title":"Long-billed Dowitcher","twitter:card":"summary_large_image","twitter:image":"https://live.staticflickr.com/65535/54210739973_5619dd2dd9_b.jpg","og:description":"Photo: Don Green Pixley Wildlife Refuge","og:image:width":1024,"og:image:height":576,"twitter:description":"Photo: Don Green Pixley Wildlife Refuge","_flickrModelRegistry":"photo-head-meta-models","twitter:app:url:ipad":"flickr://flickr.com/photos/135081788@N03/54210739973/","twitter:app:url:iphone":"flickr://flickr.com/photos/135081788@N03/54210739973/","twitter:app:url:googleplay":"https://www.flickr.com/photos/135081788@N03/54210739973/"},"exportMetaType":"model"}],"photo-license-history-models":[]},"acquisition_file":"fl-54210739973.webp","source_html_file":"/Users/atincakcayoz/corteqs/output/bakersfield-completion-20261024/flickr-source-pages/54210739973.html","original_file_url":"https://live.staticflickr.com/65535/54210739973_035d22a66d_o.jpg","proposed_identity":"Pixley National Wildlife Refuge","source_html_sha256":"46566a36d392f7b4e7c8785866eb456285f43329ffb5cb01182e456f99a9cb63","third_party_rights_review":{"basis":"Kaynakta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dönüştürüldü.","photo_attribution":{"author_url":"https://www.flickr.com/photos/135081788@N03/","modifications":"EXIF yönü uygulandı; boyut küçültülüp WebP biçimine dönüştürüldü.","original_file_url":"https://live.staticflickr.com/65535/54210739973_035d22a66d_o.jpg"},"metadata_reviewed_on":"2026-10-24","metadata_review_status":"verified"}}</x:v>
      </x:c>
    </x:row>
    <x:row r="45" ht="300" customHeight="1">
      <x:c r="A45" s="29" t="str">
        <x:v>bakersfield:evidence:venue-22010</x:v>
      </x:c>
      <x:c r="B45" s="29" t="str">
        <x:v>bakersfield</x:v>
      </x:c>
      <x:c r="C45" s="29" t="str">
        <x:v>bakersfield:photo:venue-22010</x:v>
      </x:c>
      <x:c r="D45" s="29" t="str">
        <x:v>https://commons.wikimedia.org/wiki/File:Success_Dam_(8435901371).jpg</x:v>
      </x:c>
      <x:c r="E45" s="29" t="str">
        <x:v>Success Dam (8435901371).jpg</x:v>
      </x:c>
      <x:c r="F45" s="29" t="str">
        <x:v>Michael J. Nevins / U.S. Army Corps of Engineers</x:v>
      </x:c>
      <x:c r="G45" s="29" t="str">
        <x:v>Public domain</x:v>
      </x:c>
      <x:c r="H45" s="29" t="str">
        <x:v>https://commons.wikimedia.org/wiki/File:Success_Dam_(8435901371).jpg#Licensing</x:v>
      </x:c>
      <x:c r="I45" s="29" t="str">
        <x:v>Public domain</x:v>
      </x:c>
      <x:c r="J45" s="29" t="str">
        <x:v>Success Dam (8435901371).jpg · Michael J. Nevins / U.S. Army Corps of Engineers · Public domain · https://commons.wikimedia.org/wiki/File:Success_Dam_(8435901371).jpg</x:v>
      </x:c>
      <x:c r="K4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5" s="31" t="d">
        <x:v>2026-10-24T00:00:00.000Z</x:v>
      </x:c>
      <x:c r="M45" s="29" t="str">
        <x:v>Doğrulandı</x:v>
      </x:c>
      <x:c r="N45" s="29" t="str">
        <x:v>Doğrulandı</x:v>
      </x:c>
      <x:c r="O45" s="29" t="str">
        <x:v>Fotoğraflar/bk-1be322898493329084d18651.webp</x:v>
      </x:c>
      <x:c r="P45" s="29" t="str">
        <x:v>Success Lake · 2007 tarihli fotoğraf · İndirilen kare temas sayfasında görüldü; kaynak mekân kimliğiyle eşleştirildi. Seçim kaydı final-pixel-review.json.</x:v>
      </x:c>
      <x:c r="Q45" s="29" t="str">
        <x:v>Bu kare için uygun</x:v>
      </x:c>
      <x:c r="R4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5" s="29" t="str">
        <x:v>Lisans kanıtları/bk-1be322898493329084d18651.source-evidence.json</x:v>
      </x:c>
      <x:c r="T45" s="29" t="str">
        <x:v>d1f637012a71a63eb9b7847f5f005baaa9b5840462e3f21baa394aea9c0ebe46</x:v>
      </x:c>
      <x:c r="U45" s="29" t="str">
        <x:v>Lisans kanıtları/bk-1be322898493329084d18651.license-record.json</x:v>
      </x:c>
      <x:c r="V45" s="29" t="str">
        <x:v>872758565649ab69269b5ddb6ac22d42315c276214c2e207a44f54d0fad86897</x:v>
      </x:c>
      <x:c r="W45" s="29" t="str">
        <x:v>{"file":"bk-1be322898493329084d18651.webp","width":1280,"author":"Michael J. Nevins / U.S. Army Corps of Engineers","height":853,"sha256":"1be322898493329084d1865131e0ad957c63a14ab8ba8338a51910f73f5fe0a1","license":"Public domain","imageinfo":{"url":"https://upload.wikimedia.org/wikipedia/commons/6/69/Success_Dam_%288435901371%29.jpg?utm_source=commons.wikimedia.org&amp;utm_campaign=imageinfo&amp;utm_content=original","mime":"image/jpeg","sha1":"b1de13bd0f4441932bf83ee337606d3a87f26a20","size":3154772,"width":2400,"height":1600,"pageid":52214685,"thumburl":"https://thumb.wikimedia.org/wikipedia/commons/thumb/6/69/Success_Dam_%288435901371%29.jpg/1280px-Success_Dam_%288435901371%29.jpg?utm_source=commons.wikimedia.org&amp;utm_campaign=imageinfo&amp;utm_content=thumbnail","timestamp":"2016-10-12T05:22:18Z","thumbwidth":1280,"extmetadata":{"Artist":{"value":"&lt;a rel=\"nofollow\" class=\"external text\" href=\"https://www.flickr.com/people/52057813@N07\"&gt;U.S. Army Corps of Engineers Sacramento District&lt;/a&gt;","source":"commons-desc-page"},"Credit":{"value":"&lt;a rel=\"nofollow\" class=\"external text\" href=\"https://www.flickr.com/photos/sacramentodistrict/8435901371/\"&gt;Success Dam&lt;/a&gt;","source":"commons-desc-page"},"License":{"value":"pd","hidden":"","source":"commons-templates"},"DateTime":{"value":"2016-10-12 05:22:18","hidden":"","source":"mediawiki-metadata"},"Categories":{"value":"PD US Army USACE|Flickr images reviewed by FlickreviewR|Files with coordinates missing SDC location of creation|Files from U.S. Army Corps of Engineers Sacramento District Flickr stream|Lake Success (California)|Success Dam","hidden":"","source":"commons-categories"},"ObjectName":{"value":"Success Dam (8435901371)","source":"mediawiki-metadata"},"UsageTerms":{"value":"Public domain","source":"commons-desc-page"},"Assessments":{"value":"","hidden":"","source":"commons-categories"},"Copyrighted":{"value":"False","hidden":"","source":"commons-desc-page"},"GPSLatitude":{"value":"36.062092","source":"commons-desc-page"},"GPSMapDatum":{"value":"WGS-84","hidden":"","source":"commons-desc-page"},"GPSLongitude":{"value":"-118.922528","source":"commons-desc-page"},"Restrictions":{"value":"","hidden":"","source":"commons-desc-page"},"DateTimeOriginal":{"value":"2007-05-01 09:53","source":"commons-desc-page"},"ImageDescription":{"value":"Looking east across Success Dam, located near Porterville, Calif., May 1, 2007. The U.S. Army Corps of Engineers Sacramento District completed construction of Success Dam in 1961 and the reservoir provides flood risk management, water storage and recreational benefits to the local area. (U.S. Army photo by Michael J. Nevins/Released)","source":"commons-desc-page"},"LicenseShortName":{"value":"Public domain","hidden":"","source":"commons-desc-page"},"AttributionRequired":{"value":"false","hidden":"","source":"commons-desc-page"},"CommonsMetadataExtension":{"value":1.2,"hidden":"","source":"extension"}},"thumbheight":853,"thumbattribs":{"src":"https://thumb.wikimedia.org/wikipedia/commons/thumb/6/69/Success_Dam_%288435901371%29.jpg/1280px-Success_Dam_%288435901371%29.jpg?utm_source=commons.wikimedia.org&amp;utm_campaign=imageinfo&amp;utm_content=thumbnail","width":1280,"height":853,"srcset":"https://upload.wikimedia.org/wikipedia/commons/6/69/Success_Dam_%288435901371%29.jpg?utm_source=commons.wikimedia.org&amp;utm_campaign=imageinfo&amp;utm_content=thumbnail_unscaled 2x","loading":"lazy","decoding":"async"},"descriptionurl":"https://commons.wikimedia.org/wiki/File:Success_Dam_(8435901371).jpg","responsiveUrls":{"2":"https://upload.wikimedia.org/wikipedia/commons/6/69/Success_Dam_%288435901371%29.jpg?utm_source=commons.wikimedia.org&amp;utm_campaign=imageinfo&amp;utm_content=thumbnail_unscaled"},"descriptionshorturl":"https://commons.wikimedia.org/w/index.php?curid=52214685"},"selection":{"qid":"pending","kind":"candidate","title":"Government photo evidence"},"author_url":"https://www.flickr.com/people/52057813@N07","derivative":"Wikimedia thumbnail decoded; EXIF orientation applied; converted to WebP quality 86; no generated pixels, no cropping.","source_url":"https://commons.wikimedia.org/wiki/File:Success_Dam_(8435901371).jpg","author_urls":["https://www.flickr.com/people/52057813@N07"],"description":"Looking east across Success Dam, located near Porterville, Calif., May 1, 2007. The U.S. Army Corps of Engineers Sacramento District completed construction of Success Dam in 1961 and the reservoir provides flood risk management, water storage and recreational benefits to the local area. (U.S. Army photo by Michael J. Nevins/Released)","license_url":"https://commons.wikimedia.org/wiki/File:Success_Dam_(8435901371).jpg#Licensing","reviewed_on":"2026-10-24","capture_date":"2007-05-01 09:53","download_url":"https://thumb.wikimedia.org/wikipedia/commons/thumb/6/69/Success_Dam_%288435901371%29.jpg/1280px-Success_Dam_%288435901371%29.jpg?utm_source=commons.wikimedia.org&amp;utm_campaign=imageinfo&amp;utm_content=thumbnail","original_url":"https://upload.wikimedia.org/wikipedia/commons/6/69/Success_Dam_%288435901371%29.jpg?utm_source=commons.wikimedia.org&amp;utm_campaign=imageinfo&amp;utm_content=original","pixel_review":{"method":"İndirilen kare temas sayfasında görüldü; kaynak mekân kimliğiyle eşleştirildi. Seçim kaydı final-pixel-review.json.","status":"verified","caption":"Success Lake · 2007 tarihli fotoğraf","reviewer":"Codex (AI)","review_id":"W0"},"downloaded_at":"2026-10-23T21:39:01.640431+00:00","download_sha256":"a4bdf105e46103a4dc1a44ac57837ea19e26cde3b4ba6ec4e690caf75d239bfa","downloaded_file":"downloads/a4bdf105e46103a4dc1a44ac57837ea19e26cde3b4ba6ec4e690caf75d239bfa.jpg","acquisition_file":"e7b8547a4549a18a137ca43b.webp","commons_filename":"Success Dam (8435901371).jpg","original_file_url":"https://upload.wikimedia.org/wikipedia/commons/6/69/Success_Dam_%288435901371%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değil.","status":"reviewed","primary_law":"https://www.govinfo.gov/content/pkg/USCODE-2024-title17/html/USCODE-2024-title17-chap1-sec120.htm"},"public_domain_source_record":{"basis":"US Army released photograph with named employee, or BLM institutional creator; source-level government work declaration, not mere hosting.","wikitext":"== {{int:filedesc}} ==\n{{Information\n| Description = Looking east across Success Dam, located near Porterville, Calif., May 1, 2007. The U.S. Army Corps of Engineers Sacramento District completed construction of Success Dam in 1961 and the reservoir provides flood risk management, water storage and recreational benefits to the local area. (U.S. Army photo by Michael J. Nevins/Released)\n| Source      = [https://www.flickr.com/photos/sacramentodistrict/8435901371/ Success Dam]\n| Date        = 2007-05-01 09:53\n| Author      = [https://www.flickr.com/people/52057813@N07 U.S. Army Corps of Engineers Sacramento District]\n| Permission  = \n| other_versions=\n}}\n{{Location dec|36.062092|-118.922528|source:Flickr}}\n\n=={{int:license-header}}==\n{{PD-USGov-Military-Army-USACE}}\n{{User:FlickreviewR/reviewed-pass|USACE-Sacramento District|https://flickr.com/photos/52057813@N07/8435901371|2016-10-12 05:34:24|United States Government Work|}}\n\n[[Category:Files from U.S. Army Corps of Engineers Sacramento District Flickr stream]]\n[[Category:Success Dam]]\n[[Category:Lake Success (California)]]","source_url":"https://commons.wikimedia.org/wiki/File:Success_Dam_(8435901371).jpg"},"kind":"real-photograph","provenance":{"kind":"real-photograph","modifications":"EXIF yönü uygulandı; boyut küçültülüp WebP biçimine dönüştürüldü.","photo_attribution":{"author_url":"https://www.flickr.com/people/52057813@N07","modifications":"EXIF yönü uygulandı; boyut küçültülüp WebP biçimine dönüştürüldü.","original_file_url":"https://upload.wikimedia.org/wikipedia/commons/6/69/Success_Dam_%288435901371%29.jpg?utm_source=commons.wikimedia.org&amp;utm_campaign=imageinfo&amp;utm_content=original"},"metadata_reviewed_on":"2026-10-24","metadata_review_status":"verified"}}</x:v>
      </x:c>
    </x:row>
    <x:row r="46" ht="300" customHeight="1">
      <x:c r="A46" s="29" t="str">
        <x:v>bakersfield:evidence:venue-22011</x:v>
      </x:c>
      <x:c r="B46" s="29" t="str">
        <x:v>bakersfield</x:v>
      </x:c>
      <x:c r="C46" s="29" t="str">
        <x:v>bakersfield:photo:venue-22011</x:v>
      </x:c>
      <x:c r="D46" s="29" t="str">
        <x:v>https://commons.wikimedia.org/wiki/File:Success_Dam_(8435901823).jpg</x:v>
      </x:c>
      <x:c r="E46" s="29" t="str">
        <x:v>Success Dam (8435901823).jpg</x:v>
      </x:c>
      <x:c r="F46" s="29" t="str">
        <x:v>Michael J. Nevins / U.S. Army Corps of Engineers</x:v>
      </x:c>
      <x:c r="G46" s="29" t="str">
        <x:v>Public domain</x:v>
      </x:c>
      <x:c r="H46" s="29" t="str">
        <x:v>https://commons.wikimedia.org/wiki/File:Success_Dam_(8435901823).jpg#Licensing</x:v>
      </x:c>
      <x:c r="I46" s="29" t="str">
        <x:v>Public domain</x:v>
      </x:c>
      <x:c r="J46" s="29" t="str">
        <x:v>Success Dam (8435901823).jpg · Michael J. Nevins / U.S. Army Corps of Engineers · Public domain · https://commons.wikimedia.org/wiki/File:Success_Dam_(8435901823).jpg</x:v>
      </x:c>
      <x:c r="K4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6" s="31" t="d">
        <x:v>2026-10-24T00:00:00.000Z</x:v>
      </x:c>
      <x:c r="M46" s="29" t="str">
        <x:v>Doğrulandı</x:v>
      </x:c>
      <x:c r="N46" s="29" t="str">
        <x:v>Doğrulandı</x:v>
      </x:c>
      <x:c r="O46" s="29" t="str">
        <x:v>Fotoğraflar/bk-27bc1fea1209a0df69c0c761.webp</x:v>
      </x:c>
      <x:c r="P46" s="29" t="str">
        <x:v>Success Lake · 2004 tarihli fotoğraf · İndirilen kare temas sayfasında görüldü; kaynak mekân kimliğiyle eşleştirildi. Seçim kaydı final-pixel-review.json.</x:v>
      </x:c>
      <x:c r="Q46" s="29" t="str">
        <x:v>Bu kare için uygun</x:v>
      </x:c>
      <x:c r="R4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6" s="29" t="str">
        <x:v>Lisans kanıtları/bk-27bc1fea1209a0df69c0c761.source-evidence.json</x:v>
      </x:c>
      <x:c r="T46" s="29" t="str">
        <x:v>6c3e39085437891567390761f96ea72350609547a5c42391e4e5b54a065ecf8d</x:v>
      </x:c>
      <x:c r="U46" s="29" t="str">
        <x:v>Lisans kanıtları/bk-27bc1fea1209a0df69c0c761.license-record.json</x:v>
      </x:c>
      <x:c r="V46" s="29" t="str">
        <x:v>265881d3d34c8a8bfec2d57deefefbb422f13578001096fab683dfe061b72e5e</x:v>
      </x:c>
      <x:c r="W46" s="29" t="str">
        <x:v>{"file":"bk-27bc1fea1209a0df69c0c761.webp","width":1280,"author":"Michael J. Nevins / U.S. Army Corps of Engineers","height":862,"sha256":"27bc1fea1209a0df69c0c761bf32f455af53b6b69bc3d540909a0b4d9da2fb07","license":"Public domain","imageinfo":{"url":"https://upload.wikimedia.org/wikipedia/commons/b/bd/Success_Dam_%288435901823%29.jpg?utm_source=commons.wikimedia.org&amp;utm_campaign=imageinfo&amp;utm_content=original","mime":"image/jpeg","sha1":"78660f7119ab3eeef1bfdc4819d5e7771b58d9ce","size":740274,"width":2800,"height":1886,"pageid":52214691,"thumburl":"https://thumb.wikimedia.org/wikipedia/commons/thumb/b/bd/Success_Dam_%288435901823%29.jpg/1280px-Success_Dam_%288435901823%29.jpg?utm_source=commons.wikimedia.org&amp;utm_campaign=imageinfo&amp;utm_content=thumbnail","timestamp":"2016-10-12T05:22:44Z","thumbwidth":1280,"extmetadata":{"Artist":{"value":"&lt;a rel=\"nofollow\" class=\"external text\" href=\"https://www.flickr.com/people/52057813@N07\"&gt;U.S. Army Corps of Engineers Sacramento District&lt;/a&gt;","source":"commons-desc-page"},"Credit":{"value":"&lt;a rel=\"nofollow\" class=\"external text\" href=\"https://www.flickr.com/photos/sacramentodistrict/8435901823/\"&gt;Success Dam&lt;/a&gt;","source":"commons-desc-page"},"License":{"value":"pd","hidden":"","source":"commons-templates"},"DateTime":{"value":"2016-10-12 05:22:44","hidden":"","source":"mediawiki-metadata"},"Categories":{"value":"PD US Army USACE|Flickr images reviewed by FlickreviewR|Flickr images missing SDC creator|Files with coordinates missing SDC location of creation|Trees in Tulare County, California|Files from U.S. Army Corps of Engineers Sacramento District Flickr stream|Lake Success (California)|Success Dam|Hills of Tulare County, California","hidden":"","source":"commons-categories"},"ObjectName":{"value":"Success Dam (8435901823)","source":"mediawiki-metadata"},"UsageTerms":{"value":"Public domain","source":"commons-desc-page"},"Assessments":{"value":"","hidden":"","source":"commons-categories"},"Copyrighted":{"value":"False","hidden":"","source":"commons-desc-page"},"GPSLatitude":{"value":"36.062491","source":"commons-desc-page"},"GPSMapDatum":{"value":"WGS-84","hidden":"","source":"commons-desc-page"},"GPSLongitude":{"value":"-118.922592","source":"commons-desc-page"},"Restrictions":{"value":"","hidden":"","source":"commons-desc-page"},"DateTimeOriginal":{"value":"2004-11-08 14:49","source":"commons-desc-page"},"ImageDescription":{"value":"Looking southwest across Success Lake toward the Highway 190, located near Porterville, Calif., Nov. 8, 2004. The U.S. Army Corps of Engineers Sacramento District completed construction of Success Dam in 1961 and the reservoir provides flood risk management, water storage and recreational benefits to the local area. (U.S. Army photo by Michael J. Nevins/Released)","source":"commons-desc-page"},"LicenseShortName":{"value":"Public domain","hidden":"","source":"commons-desc-page"},"AttributionRequired":{"value":"false","hidden":"","source":"commons-desc-page"},"CommonsMetadataExtension":{"value":1.2,"hidden":"","source":"extension"}},"thumbheight":862,"thumbattribs":{"src":"https://thumb.wikimedia.org/wikipedia/commons/thumb/b/bd/Success_Dam_%288435901823%29.jpg/1280px-Success_Dam_%288435901823%29.jpg?utm_source=commons.wikimedia.org&amp;utm_campaign=imageinfo&amp;utm_content=thumbnail","width":1280,"height":862,"srcset":"https://upload.wikimedia.org/wikipedia/commons/b/bd/Success_Dam_%288435901823%29.jpg?utm_source=commons.wikimedia.org&amp;utm_campaign=imageinfo&amp;utm_content=thumbnail_unscaled 2x","loading":"lazy","decoding":"async"},"descriptionurl":"https://commons.wikimedia.org/wiki/File:Success_Dam_(8435901823).jpg","responsiveUrls":{"2":"https://upload.wikimedia.org/wikipedia/commons/b/bd/Success_Dam_%288435901823%29.jpg?utm_source=commons.wikimedia.org&amp;utm_campaign=imageinfo&amp;utm_content=thumbnail_unscaled"},"descriptionshorturl":"https://commons.wikimedia.org/w/index.php?curid=52214691"},"selection":{"qid":"pending","kind":"candidate","title":"Government photo evidence"},"author_url":"https://www.flickr.com/people/52057813@N07","derivative":"Wikimedia thumbnail decoded; EXIF orientation applied; converted to WebP quality 86; no generated pixels, no cropping.","source_url":"https://commons.wikimedia.org/wiki/File:Success_Dam_(8435901823).jpg","author_urls":["https://www.flickr.com/people/52057813@N07"],"description":"Looking southwest across Success Lake toward the Highway 190, located near Porterville, Calif., Nov. 8, 2004. The U.S. Army Corps of Engineers Sacramento District completed construction of Success Dam in 1961 and the reservoir provides flood risk management, water storage and recreational benefits to the local area. (U.S. Army photo by Michael J. Nevins/Released)","license_url":"https://commons.wikimedia.org/wiki/File:Success_Dam_(8435901823).jpg#Licensing","reviewed_on":"2026-10-24","capture_date":"2004-11-08 14:49","download_url":"https://thumb.wikimedia.org/wikipedia/commons/thumb/b/bd/Success_Dam_%288435901823%29.jpg/1280px-Success_Dam_%288435901823%29.jpg?utm_source=commons.wikimedia.org&amp;utm_campaign=imageinfo&amp;utm_content=thumbnail","original_url":"https://upload.wikimedia.org/wikipedia/commons/b/bd/Success_Dam_%288435901823%29.jpg?utm_source=commons.wikimedia.org&amp;utm_campaign=imageinfo&amp;utm_content=original","pixel_review":{"method":"İndirilen kare temas sayfasında görüldü; kaynak mekân kimliğiyle eşleştirildi. Seçim kaydı final-pixel-review.json.","status":"verified","caption":"Success Lake · 2004 tarihli fotoğraf","reviewer":"Codex (AI)","review_id":"W1"},"downloaded_at":"2026-10-23T21:39:02.656602+00:00","download_sha256":"960416ff446227b49c7cf9e07f41f2aaff1c3889451a11d297335443b1ac6f00","downloaded_file":"downloads/960416ff446227b49c7cf9e07f41f2aaff1c3889451a11d297335443b1ac6f00.jpg","acquisition_file":"9597e99cc2df4947b45cafd7.webp","commons_filename":"Success Dam (8435901823).jpg","original_file_url":"https://upload.wikimedia.org/wikipedia/commons/b/bd/Success_Dam_%288435901823%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değil.","status":"reviewed","primary_law":"https://www.govinfo.gov/content/pkg/USCODE-2024-title17/html/USCODE-2024-title17-chap1-sec120.htm"},"public_domain_source_record":{"basis":"US Army released photograph with named employee, or BLM institutional creator; source-level government work declaration, not mere hosting.","wikitext":"== {{int:filedesc}} ==\n{{Information\n| Description = Looking southwest across Success Lake toward the Highway 190, located near Porterville, Calif., Nov. 8, 2004. The U.S. Army Corps of Engineers Sacramento District completed construction of Success Dam in 1961 and the reservoir provides flood risk management, water storage and recreational benefits to the local area. (U.S. Army photo by Michael J. Nevins/Released)\n| Source      = [https://www.flickr.com/photos/sacramentodistrict/8435901823/ Success Dam]\n| Date        = 2004-11-08 14:49\n| Author      = [https://www.flickr.com/people/52057813@N07 U.S. Army Corps of Engineers Sacramento District]\n| Permission  = \n| other_versions=\n}}\n{{Location dec|36.062491|-118.922592|source:Flickr}}\n\n=={{int:license-header}}==\n{{PD-USGov-Military-Army-USACE}}\n{{User:FlickreviewR/reviewed-pass|USACE-Sacramento District|https://flickr.com/photos/52057813@N07/8435901823|2016-10-12 05:35:05|United States Government Work|}}\n\n[[Category:Files from U.S. Army Corps of Engineers Sacramento District Flickr stream]]\n[[Category:Trees in Tulare County, California]]\n[[Category:Success Dam]]\n[[Category:Lake Success (California)]]\n[[Category:Hills of Tulare County, California]]","source_url":"https://commons.wikimedia.org/wiki/File:Success_Dam_(8435901823).jpg"},"kind":"real-photograph","provenance":{"kind":"real-photograph","modifications":"EXIF yönü uygulandı; boyut küçültülüp WebP biçimine dönüştürüldü.","photo_attribution":{"author_url":"https://www.flickr.com/people/52057813@N07","modifications":"EXIF yönü uygulandı; boyut küçültülüp WebP biçimine dönüştürüldü.","original_file_url":"https://upload.wikimedia.org/wikipedia/commons/b/bd/Success_Dam_%288435901823%29.jpg?utm_source=commons.wikimedia.org&amp;utm_campaign=imageinfo&amp;utm_content=original"},"metadata_reviewed_on":"2026-10-24","metadata_review_status":"verified"}}</x:v>
      </x:c>
    </x:row>
    <x:row r="47" ht="300" customHeight="1">
      <x:c r="A47" s="29" t="str">
        <x:v>bakersfield:evidence:venue-22012</x:v>
      </x:c>
      <x:c r="B47" s="29" t="str">
        <x:v>bakersfield</x:v>
      </x:c>
      <x:c r="C47" s="29" t="str">
        <x:v>bakersfield:photo:venue-22012</x:v>
      </x:c>
      <x:c r="D47" s="29" t="str">
        <x:v>https://commons.wikimedia.org/wiki/File:Success_Dam_(8436986346).jpg</x:v>
      </x:c>
      <x:c r="E47" s="29" t="str">
        <x:v>Success Dam (8436986346).jpg</x:v>
      </x:c>
      <x:c r="F47" s="29" t="str">
        <x:v>Michael J. Nevins / U.S. Army Corps of Engineers</x:v>
      </x:c>
      <x:c r="G47" s="29" t="str">
        <x:v>Public domain</x:v>
      </x:c>
      <x:c r="H47" s="29" t="str">
        <x:v>https://commons.wikimedia.org/wiki/File:Success_Dam_(8436986346).jpg#Licensing</x:v>
      </x:c>
      <x:c r="I47" s="29" t="str">
        <x:v>Public domain</x:v>
      </x:c>
      <x:c r="J47" s="29" t="str">
        <x:v>Success Dam (8436986346).jpg · Michael J. Nevins / U.S. Army Corps of Engineers · Public domain · https://commons.wikimedia.org/wiki/File:Success_Dam_(8436986346).jpg</x:v>
      </x:c>
      <x:c r="K4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7" s="31" t="d">
        <x:v>2026-10-24T00:00:00.000Z</x:v>
      </x:c>
      <x:c r="M47" s="29" t="str">
        <x:v>Doğrulandı</x:v>
      </x:c>
      <x:c r="N47" s="29" t="str">
        <x:v>Doğrulandı</x:v>
      </x:c>
      <x:c r="O47" s="29" t="str">
        <x:v>Fotoğraflar/bk-d59547d073e3294febc7504b.webp</x:v>
      </x:c>
      <x:c r="P47" s="29" t="str">
        <x:v>Success Lake · 2004 tarihli fotoğraf · İndirilen kare temas sayfasında görüldü; kaynak mekân kimliğiyle eşleştirildi. Seçim kaydı final-pixel-review.json.</x:v>
      </x:c>
      <x:c r="Q47" s="29" t="str">
        <x:v>Bu kare için uygun</x:v>
      </x:c>
      <x:c r="R4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7" s="29" t="str">
        <x:v>Lisans kanıtları/bk-d59547d073e3294febc7504b.source-evidence.json</x:v>
      </x:c>
      <x:c r="T47" s="29" t="str">
        <x:v>35f73babd25017a2b77fb3ee0358c33e12b416826baa6e52a20c4f46abab096e</x:v>
      </x:c>
      <x:c r="U47" s="29" t="str">
        <x:v>Lisans kanıtları/bk-d59547d073e3294febc7504b.license-record.json</x:v>
      </x:c>
      <x:c r="V47" s="29" t="str">
        <x:v>550ef6adbef7454cf35b0bb365013ed14d0f47075d9f4fc6898e1e36e2399f56</x:v>
      </x:c>
      <x:c r="W47" s="29" t="str">
        <x:v>{"file":"bk-d59547d073e3294febc7504b.webp","width":1280,"author":"Michael J. Nevins / U.S. Army Corps of Engineers","height":864,"sha256":"d59547d073e3294febc7504b859a3f1aa55de1bbdba56bd294e5d571c3c1540a","license":"Public domain","imageinfo":{"url":"https://upload.wikimedia.org/wikipedia/commons/8/83/Success_Dam_%288436986346%29.jpg?utm_source=commons.wikimedia.org&amp;utm_campaign=imageinfo&amp;utm_content=original","mime":"image/jpeg","sha1":"554bf887f5e93dc7ab6415fe9f6d281f9c812961","size":577103,"width":2800,"height":1891,"pageid":52214694,"thumburl":"https://thumb.wikimedia.org/wikipedia/commons/thumb/8/83/Success_Dam_%288436986346%29.jpg/1280px-Success_Dam_%288436986346%29.jpg?utm_source=commons.wikimedia.org&amp;utm_campaign=imageinfo&amp;utm_content=thumbnail","timestamp":"2016-10-12T05:22:54Z","thumbwidth":1280,"extmetadata":{"Artist":{"value":"&lt;a rel=\"nofollow\" class=\"external text\" href=\"https://www.flickr.com/people/52057813@N07\"&gt;U.S. Army Corps of Engineers Sacramento District&lt;/a&gt;","source":"commons-desc-page"},"Credit":{"value":"&lt;a rel=\"nofollow\" class=\"external text\" href=\"https://www.flickr.com/photos/sacramentodistrict/8436986346/\"&gt;Success Dam&lt;/a&gt;","source":"commons-desc-page"},"License":{"value":"pd","hidden":"","source":"commons-templates"},"DateTime":{"value":"2016-10-12 05:22:54","hidden":"","source":"mediawiki-metadata"},"Categories":{"value":"PD US Army USACE|Flickr images reviewed by FlickreviewR|Flickr images missing SDC creator|Files with coordinates missing SDC location of creation|Files from U.S. Army Corps of Engineers Sacramento District Flickr stream|Lake Success (California)|Success Dam","hidden":"","source":"commons-categories"},"ObjectName":{"value":"Success Dam (8436986346)","source":"mediawiki-metadata"},"UsageTerms":{"value":"Public domain","source":"commons-desc-page"},"Assessments":{"value":"","hidden":"","source":"commons-categories"},"Copyrighted":{"value":"False","hidden":"","source":"commons-desc-page"},"GPSLatitude":{"value":"36.062248","source":"commons-desc-page"},"GPSMapDatum":{"value":"WGS-84","hidden":"","source":"commons-desc-page"},"GPSLongitude":{"value":"-118.917700","source":"commons-desc-page"},"Restrictions":{"value":"","hidden":"","source":"commons-desc-page"},"DateTimeOriginal":{"value":"2004-11-08 14:52","source":"commons-desc-page"},"ImageDescription":{"value":"Looking southwest across Success Lake toward Success Dam, located near Porterville, Calif., Nov. 8, 2004. The U.S. Army Corps of Engineers Sacramento District completed construction of Success Dam in 1961 and the reservoir provides flood risk management, water storage and recreational benefits to the local area. (U.S. Army photo by Michael J. Nevins/Released)","source":"commons-desc-page"},"LicenseShortName":{"value":"Public domain","hidden":"","source":"commons-desc-page"},"AttributionRequired":{"value":"false","hidden":"","source":"commons-desc-page"},"CommonsMetadataExtension":{"value":1.2,"hidden":"","source":"extension"}},"thumbheight":864,"thumbattribs":{"src":"https://thumb.wikimedia.org/wikipedia/commons/thumb/8/83/Success_Dam_%288436986346%29.jpg/1280px-Success_Dam_%288436986346%29.jpg?utm_source=commons.wikimedia.org&amp;utm_campaign=imageinfo&amp;utm_content=thumbnail","width":1280,"height":864,"srcset":"https://upload.wikimedia.org/wikipedia/commons/8/83/Success_Dam_%288436986346%29.jpg?utm_source=commons.wikimedia.org&amp;utm_campaign=imageinfo&amp;utm_content=thumbnail_unscaled 2x","loading":"lazy","decoding":"async"},"descriptionurl":"https://commons.wikimedia.org/wiki/File:Success_Dam_(8436986346).jpg","responsiveUrls":{"2":"https://upload.wikimedia.org/wikipedia/commons/8/83/Success_Dam_%288436986346%29.jpg?utm_source=commons.wikimedia.org&amp;utm_campaign=imageinfo&amp;utm_content=thumbnail_unscaled"},"descriptionshorturl":"https://commons.wikimedia.org/w/index.php?curid=52214694"},"selection":{"qid":"pending","kind":"candidate","title":"Government photo evidence"},"author_url":"https://www.flickr.com/people/52057813@N07","derivative":"Wikimedia thumbnail decoded; EXIF orientation applied; converted to WebP quality 86; no generated pixels, no cropping.","source_url":"https://commons.wikimedia.org/wiki/File:Success_Dam_(8436986346).jpg","author_urls":["https://www.flickr.com/people/52057813@N07"],"description":"Looking southwest across Success Lake toward Success Dam, located near Porterville, Calif., Nov. 8, 2004. The U.S. Army Corps of Engineers Sacramento District completed construction of Success Dam in 1961 and the reservoir provides flood risk management, water storage and recreational benefits to the local area. (U.S. Army photo by Michael J. Nevins/Released)","license_url":"https://commons.wikimedia.org/wiki/File:Success_Dam_(8436986346).jpg#Licensing","reviewed_on":"2026-10-24","capture_date":"2004-11-08 14:52","download_url":"https://thumb.wikimedia.org/wikipedia/commons/thumb/8/83/Success_Dam_%288436986346%29.jpg/1280px-Success_Dam_%288436986346%29.jpg?utm_source=commons.wikimedia.org&amp;utm_campaign=imageinfo&amp;utm_content=thumbnail","original_url":"https://upload.wikimedia.org/wikipedia/commons/8/83/Success_Dam_%288436986346%29.jpg?utm_source=commons.wikimedia.org&amp;utm_campaign=imageinfo&amp;utm_content=original","pixel_review":{"method":"İndirilen kare temas sayfasında görüldü; kaynak mekân kimliğiyle eşleştirildi. Seçim kaydı final-pixel-review.json.","status":"verified","caption":"Success Lake · 2004 tarihli fotoğraf","reviewer":"Codex (AI)","review_id":"W2"},"downloaded_at":"2026-10-23T21:39:03.417985+00:00","download_sha256":"25ea014d454d1650dde58731f5988372eab72e0aef6b2e5eceb5e7eb1c4d3800","downloaded_file":"downloads/25ea014d454d1650dde58731f5988372eab72e0aef6b2e5eceb5e7eb1c4d3800.jpg","acquisition_file":"8f1e35ce1449e7c888f424eb.webp","commons_filename":"Success Dam (8436986346).jpg","original_file_url":"https://upload.wikimedia.org/wikipedia/commons/8/83/Success_Dam_%288436986346%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değil.","status":"reviewed","primary_law":"https://www.govinfo.gov/content/pkg/USCODE-2024-title17/html/USCODE-2024-title17-chap1-sec120.htm"},"public_domain_source_record":{"basis":"US Army released photograph with named employee, or BLM institutional creator; source-level government work declaration, not mere hosting.","wikitext":"== {{int:filedesc}} ==\n{{Information\n| Description = Looking southwest across Success Lake toward Success Dam, located near Porterville, Calif., Nov. 8, 2004. The U.S. Army Corps of Engineers Sacramento District completed construction of Success Dam in 1961 and the reservoir provides flood risk management, water storage and recreational benefits to the local area. (U.S. Army photo by Michael J. Nevins/Released)\n| Source      = [https://www.flickr.com/photos/sacramentodistrict/8436986346/ Success Dam]\n| Date        = 2004-11-08 14:52\n| Author      = [https://www.flickr.com/people/52057813@N07 U.S. Army Corps of Engineers Sacramento District]\n| Permission  = \n| other_versions=\n}}\n{{Location dec|36.062248|-118.917700|source:Flickr}}\n\n=={{int:license-header}}==\n{{PD-USGov-Military-Army-USACE}}\n{{User:FlickreviewR/reviewed-pass|USACE-Sacramento District|https://flickr.com/photos/52057813@N07/8436986346|2016-10-12 05:35:01|United States Government Work|}}\n\n[[Category:Files from U.S. Army Corps of Engineers Sacramento District Flickr stream]]\n[[Category:Success Dam]]\n[[Category:Lake Success (California)]]","source_url":"https://commons.wikimedia.org/wiki/File:Success_Dam_(8436986346).jpg"},"kind":"real-photograph","provenance":{"kind":"real-photograph","modifications":"EXIF yönü uygulandı; boyut küçültülüp WebP biçimine dönüştürüldü.","photo_attribution":{"author_url":"https://www.flickr.com/people/52057813@N07","modifications":"EXIF yönü uygulandı; boyut küçültülüp WebP biçimine dönüştürüldü.","original_file_url":"https://upload.wikimedia.org/wikipedia/commons/8/83/Success_Dam_%288436986346%29.jpg?utm_source=commons.wikimedia.org&amp;utm_campaign=imageinfo&amp;utm_content=original"},"metadata_reviewed_on":"2026-10-24","metadata_review_status":"verified"}}</x:v>
      </x:c>
    </x:row>
    <x:row r="48" ht="300" customHeight="1">
      <x:c r="A48" s="29" t="str">
        <x:v>bakersfield:evidence:venue-22013</x:v>
      </x:c>
      <x:c r="B48" s="29" t="str">
        <x:v>bakersfield</x:v>
      </x:c>
      <x:c r="C48" s="29" t="str">
        <x:v>bakersfield:photo:venue-22013</x:v>
      </x:c>
      <x:c r="D48" s="29" t="str">
        <x:v>https://commons.wikimedia.org/wiki/File:Saxon_Aerospace_Museum_-_March_2022_-_Sarah_Stierch_02.jpg</x:v>
      </x:c>
      <x:c r="E48" s="29" t="str">
        <x:v>Saxon Aerospace Museum - March 2022 - Sarah Stierch 02.jpg</x:v>
      </x:c>
      <x:c r="F48" s="29" t="str">
        <x:v>Missvain</x:v>
      </x:c>
      <x:c r="G48" s="29" t="str">
        <x:v>CC BY 4.0</x:v>
      </x:c>
      <x:c r="H48" s="29" t="str">
        <x:v>https://creativecommons.org/licenses/by/4.0</x:v>
      </x:c>
      <x:c r="I48" s="29" t="str">
        <x:v>Creative Commons Attribution 4.0</x:v>
      </x:c>
      <x:c r="J48" s="29" t="str">
        <x:v>Saxon Aerospace Museum - March 2022 - Sarah Stierch 02.jpg · Missvain · CC BY 4.0 · https://commons.wikimedia.org/wiki/File:Saxon_Aerospace_Museum_-_March_2022_-_Sarah_Stierch_02.jpg</x:v>
      </x:c>
      <x:c r="K4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8" s="31" t="d">
        <x:v>2026-10-24T00:00:00.000Z</x:v>
      </x:c>
      <x:c r="M48" s="29" t="str">
        <x:v>Doğrulandı</x:v>
      </x:c>
      <x:c r="N48" s="29" t="str">
        <x:v>Doğrulandı</x:v>
      </x:c>
      <x:c r="O48" s="29" t="str">
        <x:v>Fotoğraflar/bk-85cd569d80eb77cd710d4bb9.webp</x:v>
      </x:c>
      <x:c r="P48" s="29" t="str">
        <x:v>Boron Aerospace Museum · Take tarihli fotoğraf · İndirilen kare temas sayfasında görüldü; kaynak mekân kimliğiyle eşleştirildi. Seçim kaydı final-pixel-review.json.</x:v>
      </x:c>
      <x:c r="Q48" s="29" t="str">
        <x:v>Bu kare için uygun</x:v>
      </x:c>
      <x:c r="R4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8" s="29" t="str">
        <x:v>Lisans kanıtları/bk-85cd569d80eb77cd710d4bb9.source-evidence.json</x:v>
      </x:c>
      <x:c r="T48" s="29" t="str">
        <x:v>9fd9059c3f05b4c6aabfe1514fd0beead1cf132fa48c6b037674ebaf0785905d</x:v>
      </x:c>
      <x:c r="U48" s="29" t="str">
        <x:v>Lisans kanıtları/bk-85cd569d80eb77cd710d4bb9.license-record.json</x:v>
      </x:c>
      <x:c r="V48" s="29" t="str">
        <x:v>b8ab36ee5f1bbb9b005179540e0f2832723f7f845078e9d16c314e666a226f62</x:v>
      </x:c>
      <x:c r="W48" s="29" t="str">
        <x:v>{"file":"bk-85cd569d80eb77cd710d4bb9.webp","width":1280,"author":"Missvain","height":960,"sha256":"85cd569d80eb77cd710d4bb9ced69e9d616f559eb0e0dc1b223be6692b69eca0","license":"CC BY 4.0","imageinfo":{"url":"https://upload.wikimedia.org/wikipedia/commons/e/e5/Saxon_Aerospace_Museum_-_March_2022_-_Sarah_Stierch_02.jpg?utm_source=commons.wikimedia.org&amp;utm_campaign=imageinfo&amp;utm_content=original","mime":"image/jpeg","sha1":"6b16edba1c8dfd68533b9045b5f4ea44d018b6c0","size":2290857,"width":4032,"height":3024,"pageid":116540536,"thumburl":"https://thumb.wikimedia.org/wikipedia/commons/thumb/e/e5/Saxon_Aerospace_Museum_-_March_2022_-_Sarah_Stierch_02.jpg/1280px-Saxon_Aerospace_Museum_-_March_2022_-_Sarah_Stierch_02.jpg?utm_source=commons.wikimedia.org&amp;utm_campaign=imageinfo&amp;utm_content=thumbnail","timestamp":"2022-03-31T04:30:29Z","thumbwidth":1280,"extmetadata":{"Artist":{"value":"&lt;a href=\"//commons.wikimedia.org/wiki/User:Missvain\" title=\"User:Missvain\"&gt;Missvain&lt;/a&gt;","source":"commons-desc-page"},"Credit":{"value":"&lt;span class=\"int-own-work\" lang=\"en\"&gt;Own work&lt;/span&gt;","source":"commons-desc-page"},"License":{"value":"cc-by-4.0","hidden":"","source":"commons-templates"},"DateTime":{"value":"2022-03-31 04:30:29","hidden":"","source":"mediawiki-metadata"},"Categories":{"value":"March 2022 in California|Self-published work|Photos by Sarah Stierch|Files with coordinates missing SDC location of creation|United States photographs taken on 2022-03-10|Saxon Aerospace Museum","hidden":"","source":"commons-categories"},"LicenseUrl":{"value":"https://creativecommons.org/licenses/by/4.0","source":"commons-desc-page"},"ObjectName":{"value":"Saxon Aerospace Museum - March 2022 - Sarah Stierch 02","source":"mediawiki-metadata"},"UsageTerms":{"value":"Creative Commons Attribution 4.0","source":"commons-desc-page"},"Assessments":{"value":"","hidden":"","source":"commons-categories"},"Copyrighted":{"value":"True","hidden":"","source":"commons-desc-page"},"GPSLatitude":{"value":"34.999511","source":"commons-desc-page"},"GPSMapDatum":{"value":"WGS-84","hidden":"","source":"commons-desc-page"},"GPSLongitude":{"value":"-117.651236","source":"commons-desc-page"},"Restrictions":{"value":"","hidden":"","source":"commons-desc-page"},"DateTimeOriginal":{"value":"Taken on 10 March 2022","source":"commons-desc-page"},"ImageDescription":{"value":"Saxon Aerospace Museum, Boron, California","source":"commons-desc-page"},"LicenseShortName":{"value":"CC BY 4.0","hidden":"","source":"commons-desc-page"},"AttributionRequired":{"value":"true","hidden":"","source":"commons-desc-page"},"CommonsMetadataExtension":{"value":1.2,"hidden":"","source":"extension"}},"thumbheight":960,"thumbattribs":{"src":"https://thumb.wikimedia.org/wikipedia/commons/thumb/e/e5/Saxon_Aerospace_Museum_-_March_2022_-_Sarah_Stierch_02.jpg/1280px-Saxon_Aerospace_Museum_-_March_2022_-_Sarah_Stierch_02.jpg?utm_source=commons.wikimedia.org&amp;utm_campaign=imageinfo&amp;utm_content=thumbnail","width":1280,"height":960,"srcset":"https://thumb.wikimedia.org/wikipedia/commons/thumb/e/e5/Saxon_Aerospace_Museum_-_March_2022_-_Sarah_Stierch_02.jpg/3840px-Saxon_Aerospace_Museum_-_March_2022_-_Sarah_Stierch_02.jpg?utm_source=commons.wikimedia.org&amp;utm_campaign=imageinfo&amp;utm_content=thumbnail 2x","loading":"lazy","decoding":"async"},"descriptionurl":"https://commons.wikimedia.org/wiki/File:Saxon_Aerospace_Museum_-_March_2022_-_Sarah_Stierch_02.jpg","responsiveUrls":{"2":"https://thumb.wikimedia.org/wikipedia/commons/thumb/e/e5/Saxon_Aerospace_Museum_-_March_2022_-_Sarah_Stierch_02.jpg/3840px-Saxon_Aerospace_Museum_-_March_2022_-_Sarah_Stierch_02.jpg?utm_source=commons.wikimedia.org&amp;utm_campaign=imageinfo&amp;utm_content=thumbnail"},"descriptionshorturl":"https://commons.wikimedia.org/w/index.php?curid=116540536"},"selection":{"qid":"pending","kind":"candidate","title":"Bakersfield alternatives"},"author_url":"https://commons.wikimedia.org/wiki/User:Missvain","derivative":"Wikimedia thumbnail decoded; EXIF orientation applied; converted to WebP quality 86; no generated pixels, no cropping.","source_url":"https://commons.wikimedia.org/wiki/File:Saxon_Aerospace_Museum_-_March_2022_-_Sarah_Stierch_02.jpg","author_urls":["https://commons.wikimedia.org/wiki/User:Missvain"],"description":"Saxon Aerospace Museum, Boron, California","license_url":"https://creativecommons.org/licenses/by/4.0","reviewed_on":"2026-10-24","capture_date":"Taken on 10 March 2022","download_url":"https://thumb.wikimedia.org/wikipedia/commons/thumb/e/e5/Saxon_Aerospace_Museum_-_March_2022_-_Sarah_Stierch_02.jpg/1280px-Saxon_Aerospace_Museum_-_March_2022_-_Sarah_Stierch_02.jpg?utm_source=commons.wikimedia.org&amp;utm_campaign=imageinfo&amp;utm_content=thumbnail","original_url":"https://upload.wikimedia.org/wikipedia/commons/e/e5/Saxon_Aerospace_Museum_-_March_2022_-_Sarah_Stierch_02.jpg?utm_source=commons.wikimedia.org&amp;utm_campaign=imageinfo&amp;utm_content=original","pixel_review":{"method":"İndirilen kare temas sayfasında görüldü; kaynak mekân kimliğiyle eşleştirildi. Seçim kaydı final-pixel-review.json.","status":"verified","caption":"Boron Aerospace Museum · Take tarihli fotoğraf","reviewer":"Codex (AI)","review_id":"S4"},"downloaded_at":"2026-10-23T21:40:08.283521+00:00","download_sha256":"246720c5cdd058d6ac341aea9a51053b73f593e1b2b6f1706bf7c1075f2010e8","downloaded_file":"downloads/246720c5cdd058d6ac341aea9a51053b73f593e1b2b6f1706bf7c1075f2010e8.jpg","acquisition_file":"ac562913124084806865b299.webp","commons_filename":"Saxon Aerospace Museum - March 2022 - Sarah Stierch 02.jpg","original_file_url":"https://upload.wikimedia.org/wikipedia/commons/e/e5/Saxon_Aerospace_Museum_-_March_2022_-_Sarah_Stierch_02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e/e5/Saxon_Aerospace_Museum_-_March_2022_-_Sarah_Stierch_02.jpg?utm_source=commons.wikimedia.org&amp;utm_campaign=imageinfo&amp;utm_content=original"},"metadata_reviewed_on":"2026-10-24","metadata_review_status":"verified"}}</x:v>
      </x:c>
    </x:row>
    <x:row r="49" ht="300" customHeight="1">
      <x:c r="A49" s="29" t="str">
        <x:v>bakersfield:evidence:venue-22014</x:v>
      </x:c>
      <x:c r="B49" s="29" t="str">
        <x:v>bakersfield</x:v>
      </x:c>
      <x:c r="C49" s="29" t="str">
        <x:v>bakersfield:photo:venue-22014</x:v>
      </x:c>
      <x:c r="D49" s="29" t="str">
        <x:v>https://commons.wikimedia.org/wiki/File:SaxonAerospaceMuseum_8653.jpg</x:v>
      </x:c>
      <x:c r="E49" s="29" t="str">
        <x:v>SaxonAerospaceMuseum 8653.jpg</x:v>
      </x:c>
      <x:c r="F49" s="29" t="str">
        <x:v>Elf</x:v>
      </x:c>
      <x:c r="G49" s="29" t="str">
        <x:v>CC BY-SA 3.0</x:v>
      </x:c>
      <x:c r="H49" s="29" t="str">
        <x:v>https://creativecommons.org/licenses/by-sa/3.0</x:v>
      </x:c>
      <x:c r="I49" s="29" t="str">
        <x:v>Creative Commons Attribution-Share Alike 3.0</x:v>
      </x:c>
      <x:c r="J49" s="29" t="str">
        <x:v>SaxonAerospaceMuseum 8653.jpg · Elf · CC BY-SA 3.0 · https://commons.wikimedia.org/wiki/File:SaxonAerospaceMuseum_8653.jpg</x:v>
      </x:c>
      <x:c r="K4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49" s="31" t="d">
        <x:v>2026-10-24T00:00:00.000Z</x:v>
      </x:c>
      <x:c r="M49" s="29" t="str">
        <x:v>Doğrulandı</x:v>
      </x:c>
      <x:c r="N49" s="29" t="str">
        <x:v>Doğrulandı</x:v>
      </x:c>
      <x:c r="O49" s="29" t="str">
        <x:v>Fotoğraflar/bk-534015578050c8dcd3b09dc3.webp</x:v>
      </x:c>
      <x:c r="P49" s="29" t="str">
        <x:v>Boron Aerospace Museum · 2010 tarihli fotoğraf · İndirilen kare temas sayfasında görüldü; kaynak mekân kimliğiyle eşleştirildi. Seçim kaydı final-pixel-review.json.</x:v>
      </x:c>
      <x:c r="Q49" s="29" t="str">
        <x:v>Bu kare için uygun</x:v>
      </x:c>
      <x:c r="R4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49" s="29" t="str">
        <x:v>Lisans kanıtları/bk-534015578050c8dcd3b09dc3.source-evidence.json</x:v>
      </x:c>
      <x:c r="T49" s="29" t="str">
        <x:v>b1c4e555f65f061e634e403dfb61fb6d9146692e695cdb0a9cc95515daca1a8c</x:v>
      </x:c>
      <x:c r="U49" s="29" t="str">
        <x:v>Lisans kanıtları/bk-534015578050c8dcd3b09dc3.license-record.json</x:v>
      </x:c>
      <x:c r="V49" s="29" t="str">
        <x:v>80fbfd60c9b764f7da8a7f61376a1af06985a44c26c6442b4f6e21f9b2288d6a</x:v>
      </x:c>
      <x:c r="W49" s="29" t="str">
        <x:v>{"file":"bk-534015578050c8dcd3b09dc3.webp","width":1280,"author":"Elf","height":675,"sha256":"534015578050c8dcd3b09dc3f2b22dd3e78a74b6886254faf6b939d4dc7fa52d","license":"CC BY-SA 3.0","imageinfo":{"url":"https://upload.wikimedia.org/wikipedia/commons/1/1d/SaxonAerospaceMuseum_8653.jpg?utm_source=commons.wikimedia.org&amp;utm_campaign=imageinfo&amp;utm_content=original","mime":"image/jpeg","sha1":"d578440f2f2d0bb4286e8352af2fb9480b7f89bc","size":7256277,"width":3756,"height":1980,"pageid":10601895,"thumburl":"https://thumb.wikimedia.org/wikipedia/commons/thumb/1/1d/SaxonAerospaceMuseum_8653.jpg/1280px-SaxonAerospaceMuseum_8653.jpg?utm_source=commons.wikimedia.org&amp;utm_campaign=imageinfo&amp;utm_content=thumbnail","timestamp":"2016-10-19T22:20:39Z","thumbwidth":1280,"extmetadata":{"Artist":{"value":"&lt;a href=\"//commons.wikimedia.org/wiki/User:Elf\" title=\"User:Elf\"&gt;Elf&lt;/a&gt;","source":"commons-desc-page"},"Credit":{"value":"&lt;span class=\"int-own-work\" lang=\"en\"&gt;Own work&lt;/span&gt;","source":"commons-desc-page"},"License":{"value":"cc-by-sa-3.0","hidden":"","source":"commons-templates"},"DateTime":{"value":"2016-10-19 22:20:39","hidden":"","source":"mediawiki-metadata"},"Categories":{"value":"GFDL|License migration redundant|Self-published work|Files with coordinates missing SDC location of creation|McDonnell Douglas F-4D Phantom II museum aircraft|Saxon Aerospace Museum","hidden":"","source":"commons-categories"},"LicenseUrl":{"value":"https://creativecommons.org/licenses/by-sa/3.0","source":"commons-desc-page"},"ObjectName":{"value":"SaxonAerospaceMuseum 8653","source":"mediawiki-metadata"},"UsageTerms":{"value":"Creative Commons Attribution-Share Alike 3.0","source":"commons-desc-page"},"Assessments":{"value":"","hidden":"","source":"commons-categories"},"Copyrighted":{"value":"True","hidden":"","source":"commons-desc-page"},"GPSLatitude":{"value":"34.999517","source":"commons-desc-page"},"GPSMapDatum":{"value":"WGS-84","hidden":"","source":"commons-desc-page"},"GPSLongitude":{"value":"-117.651053","source":"commons-desc-page"},"Restrictions":{"value":"","hidden":"","source":"commons-desc-page"},"DateTimeOriginal":{"value":"2010-06-04","source":"commons-desc-page"},"ImageDescription":{"value":"McDonnell F-4D-31-MC Phantom (s/n 66-7716) at the &lt;b&gt;&lt;a href=\"https://en.wikipedia.org/wiki/Saxon_Aerospace_Museum\" class=\"extiw\" title=\"w:Saxon Aerospace Museum\"&gt;Saxon Aerospace Museum&lt;/a&gt;&lt;/b&gt; — in &lt;a href=\"//commons.wikimedia.org/wiki/Category:Boron,_California\" title=\"Category:Boron, California\"&gt;Boron&lt;/a&gt;, Mojave Desert, California (USA).","source":"commons-desc-page"},"LicenseShortName":{"value":"CC BY-SA 3.0","hidden":"","source":"commons-desc-page"},"AttributionRequired":{"value":"true","hidden":"","source":"commons-desc-page"},"CommonsMetadataExtension":{"value":1.2,"hidden":"","source":"extension"}},"thumbheight":675,"thumbattribs":{"src":"https://thumb.wikimedia.org/wikipedia/commons/thumb/1/1d/SaxonAerospaceMuseum_8653.jpg/1280px-SaxonAerospaceMuseum_8653.jpg?utm_source=commons.wikimedia.org&amp;utm_campaign=imageinfo&amp;utm_content=thumbnail","width":1280,"height":675,"srcset":"https://upload.wikimedia.org/wikipedia/commons/1/1d/SaxonAerospaceMuseum_8653.jpg?utm_source=commons.wikimedia.org&amp;utm_campaign=imageinfo&amp;utm_content=thumbnail_unscaled 2x","loading":"lazy","decoding":"async"},"descriptionurl":"https://commons.wikimedia.org/wiki/File:SaxonAerospaceMuseum_8653.jpg","responsiveUrls":{"2":"https://upload.wikimedia.org/wikipedia/commons/1/1d/SaxonAerospaceMuseum_8653.jpg?utm_source=commons.wikimedia.org&amp;utm_campaign=imageinfo&amp;utm_content=thumbnail_unscaled"},"descriptionshorturl":"https://commons.wikimedia.org/w/index.php?curid=10601895"},"selection":{"qid":"pending","kind":"candidate","title":"Bakersfield alternatives"},"author_url":"https://commons.wikimedia.org/wiki/User:Elf","derivative":"Wikimedia thumbnail decoded; EXIF orientation applied; converted to WebP quality 86; no generated pixels, no cropping.","source_url":"https://commons.wikimedia.org/wiki/File:SaxonAerospaceMuseum_8653.jpg","author_urls":["https://commons.wikimedia.org/wiki/User:Elf"],"description":"McDonnell F-4D-31-MC Phantom (s/n 66-7716) at the Saxon Aerospace Museum — in Boron, Mojave Desert, California (USA).","license_url":"https://creativecommons.org/licenses/by-sa/3.0","reviewed_on":"2026-10-24","capture_date":"2010-06-04","download_url":"https://thumb.wikimedia.org/wikipedia/commons/thumb/1/1d/SaxonAerospaceMuseum_8653.jpg/1280px-SaxonAerospaceMuseum_8653.jpg?utm_source=commons.wikimedia.org&amp;utm_campaign=imageinfo&amp;utm_content=thumbnail","original_url":"https://upload.wikimedia.org/wikipedia/commons/1/1d/SaxonAerospaceMuseum_8653.jpg?utm_source=commons.wikimedia.org&amp;utm_campaign=imageinfo&amp;utm_content=original","pixel_review":{"method":"İndirilen kare temas sayfasında görüldü; kaynak mekân kimliğiyle eşleştirildi. Seçim kaydı final-pixel-review.json.","status":"verified","caption":"Boron Aerospace Museum · 2010 tarihli fotoğraf","reviewer":"Codex (AI)","review_id":"S5"},"downloaded_at":"2026-10-23T21:40:06.406327+00:00","download_sha256":"20e9c75f004570e63cd83b58274570e9c98ea6a2ca74844ff6876c65b22e9281","downloaded_file":"downloads/20e9c75f004570e63cd83b58274570e9c98ea6a2ca74844ff6876c65b22e9281.jpg","acquisition_file":"2cd35213d3b804feb9654d07.webp","commons_filename":"SaxonAerospaceMuseum 8653.jpg","original_file_url":"https://upload.wikimedia.org/wikipedia/commons/1/1d/SaxonAerospaceMuseum_8653.jpg?utm_source=commons.wikimedia.org&amp;utm_campaign=imageinfo&amp;utm_content=original","pixel_review_status":"pending","third_party_rights_review":{"basis":"Kaynakta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dönüştürüldü.","photo_attribution":{"author_url":"https://commons.wikimedia.org/wiki/User:Elf","modifications":"EXIF yönü uygulandı; boyut küçültülüp WebP biçimine dönüştürüldü.","original_file_url":"https://upload.wikimedia.org/wikipedia/commons/1/1d/SaxonAerospaceMuseum_8653.jpg?utm_source=commons.wikimedia.org&amp;utm_campaign=imageinfo&amp;utm_content=original"},"metadata_reviewed_on":"2026-10-24","metadata_review_status":"verified"}}</x:v>
      </x:c>
    </x:row>
    <x:row r="50" ht="300" customHeight="1">
      <x:c r="A50" s="29" t="str">
        <x:v>bakersfield:evidence:venue-22015</x:v>
      </x:c>
      <x:c r="B50" s="29" t="str">
        <x:v>bakersfield</x:v>
      </x:c>
      <x:c r="C50" s="29" t="str">
        <x:v>bakersfield:photo:venue-22015</x:v>
      </x:c>
      <x:c r="D50" s="29" t="str">
        <x:v>https://www.flickr.com/photos/82234502@N00/3071870771/</x:v>
      </x:c>
      <x:c r="E50" s="29" t="str">
        <x:v>Mojave Legacy Park · Roton ve SpaceShipOne replikası · 2008</x:v>
      </x:c>
      <x:c r="F50" s="29" t="str">
        <x:v>Jeff Foust</x:v>
      </x:c>
      <x:c r="G50" s="29" t="str">
        <x:v>CC BY-SA 2.0</x:v>
      </x:c>
      <x:c r="H50" s="29" t="str">
        <x:v>https://creativecommons.org/licenses/by-sa/2.0/</x:v>
      </x:c>
      <x:c r="I50" s="29" t="str">
        <x:v>CC BY-SA 2.0</x:v>
      </x:c>
      <x:c r="J50" s="29" t="str">
        <x:v>Mojave Legacy Park · Roton ve SpaceShipOne replikası · 2008 · Jeff Foust · CC BY-SA 2.0 · https://www.flickr.com/photos/82234502@N00/3071870771/</x:v>
      </x:c>
      <x:c r="K5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0" s="31" t="d">
        <x:v>2026-10-24T00:00:00.000Z</x:v>
      </x:c>
      <x:c r="M50" s="29" t="str">
        <x:v>Doğrulandı</x:v>
      </x:c>
      <x:c r="N50" s="29" t="str">
        <x:v>Doğrulandı</x:v>
      </x:c>
      <x:c r="O50" s="29" t="str">
        <x:v>Fotoğraflar/bk-e4289a04cc505142d7cf7a84.webp</x:v>
      </x:c>
      <x:c r="P50" s="29" t="str">
        <x:v>Mojave Legacy Park · Roton ve SpaceShipOne replikası · 2008 · İndirilen kare temas sayfasında görüldü; kaynak mekân kimliğiyle eşleştirildi. Seçim kaydı final-pixel-review.json.</x:v>
      </x:c>
      <x:c r="Q50" s="29" t="str">
        <x:v>Bu kare için uygun</x:v>
      </x:c>
      <x:c r="R5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0" s="29" t="str">
        <x:v>Lisans kanıtları/bk-e4289a04cc505142d7cf7a84.source-evidence.json</x:v>
      </x:c>
      <x:c r="T50" s="29" t="str">
        <x:v>ddc26d754283571b2df589dd364238ad90538787fdbbc69c6818bc6bc5ac0ec9</x:v>
      </x:c>
      <x:c r="U50" s="29" t="str">
        <x:v>Lisans kanıtları/bk-e4289a04cc505142d7cf7a84.license-record.json</x:v>
      </x:c>
      <x:c r="V50" s="29" t="str">
        <x:v>625342b0bf6c2c1943acbc37aeb0007e904e291b610be214a2af69bf5a0dabc8</x:v>
      </x:c>
      <x:c r="W50" s="29" t="str">
        <x:v>{"file":"bk-e4289a04cc505142d7cf7a84.webp","width":1023,"author":"Jeff Foust","height":685,"sha256":"e4289a04cc505142d7cf7a8464a51f7f928fd4a8bab19a4977f69b9137fe9226","status":"reviewed-selected","license":"CC BY-SA 2.0","provider":"Flickr","review_id":"Y25","source_id":"3071870771","author_url":"https://www.flickr.com/photos/82234502@N00/","date_texts":["Uploaded on November 30, 2008 Taken on November 18, 2008","Taken on November 18, 2008","Uploaded on November 30, 2008 Taken on November 18, 2008","Taken on November 18, 2008"],"source_url":"https://www.flickr.com/photos/82234502@N00/3071870771/","description":"The Roton (left) and a replica of SpaceShipOne in Legacy Park at Mojave Air and Space Port.","license_url":"https://creativecommons.org/licenses/by-sa/2.0/","review_note":"Roton ve SpaceShipOne replikasının açık hava sergisi; sanayi tasarımı, çalışan araç modeli.","reviewed_on":"2026-10-24","source_text":"Roton and SS1 | The Roton (left) and a replica of SpaceShipO…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Jeff Foust Jeff Foust Roton and SS1 The Roton (left) and a replica of SpaceShipOne in Legacy Park at Mojave Air and Space Port. Done 541 views 0 faves 1 comment Uploaded on November 30, 2008 Taken on November 18, 2008 Jeff Foust By: Jeff Foust Roton and SS1 The Roton (left) and a replica of SpaceShipOne in Legacy Park at Mojave Air and Space Port. Done 541 views 0 faves 1 comment Uploaded on November 30, 2008 Taken on November 18,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photography.","capture_date":"2008-11-18","download_url":"https://live.staticflickr.com/3242/3071870771_607e247190_b.jpg","original_url":"https://live.staticflickr.com/3242/3071870771_efbde36818_4k.jpg","pixel_review":{"method":"İndirilen kare temas sayfasında görüldü; kaynak mekân kimliğiyle eşleştirildi. Seçim kaydı final-pixel-review.json.","status":"verified","caption":"Mojave Legacy Park · Roton ve SpaceShipOne replikası · 2008","reviewer":"Codex (AI)","review_id":"Y25"},"source_title":"Roton and SS1","downloaded_at":"2026-10-23T21:35:32.741198+00:00","download_sha256":"b4906d8cec57eefd2c43dae6fe0660bd52849eea01ecab3ad7946cfd1d700166","downloaded_file":"downloads/b4906d8cec57eefd2c43dae6fe0660bd52849eea01ecab3ad7946cfd1d700166.jpg","public_metadata":{"photo-models":[{"data":{"id":"3071870771","owner":{"data":{"id":"82234502@N00","isPro":true,"newFlow":true,"isAdFree":false,"proBadge":"standard","realname":"Jeff Foust","segments":{"data":[],"exportMetaType":"array"},"username":"Jeff Foust","buddyicon":{"data":{"large":"//combo.staticflickr.com/pw/images/bbuddyicon02_l.png#82234502@N00","small":"//combo.staticflickr.com/pw/images/bbuddyicon02_s.png#82234502@N00","medium":"//combo.staticflickr.com/pw/images/bbuddyicon02_m.png#82234502@N00","retina":"//combo.staticflickr.com/pw/images/bbuddyicon02_r.png#82234502@N00","default":"//combo.staticflickr.com/pw/images/bbuddyicon02.png#82234502@N00"},"exportMetaType":"pojo"},"pathAlias":"jfoust","dateCreated":{"data":"1113039934","exportMetaType":"serializeFunction"},"subscription":{"data":{"isPro":false,"isClosed":false,"isPastDue":false},"exportMetaType":"pojo"},"eligibleGifts":{"data":["year","month","week"],"exportMetaType":"array"},"isEligibleForGifts":true,"_flickrModelRegistry":"person-models"},"exportMetaType":"model"},"sizes":{"data":{"c":{"data":{"url":"//live.staticflickr.com/3242/3071870771_607e247190_c.jpg","width":800,"height":536,"displayUrl":"//live.staticflickr.com/3242/3071870771_607e247190_c.jpg"},"exportMetaType":"pojo"},"h":{"data":{"url":"//live.staticflickr.com/3242/3071870771_6f80e18169_h.jpg","width":1600,"height":1071,"displayUrl":"//live.staticflickr.com/3242/3071870771_6f80e18169_h.jpg"},"exportMetaType":"pojo"},"k":{"data":{"url":"//live.staticflickr.com/3242/3071870771_a5f600f7a9_k.jpg","width":2048,"height":1371,"displayUrl":"//live.staticflickr.com/3242/3071870771_a5f600f7a9_k.jpg"},"exportMetaType":"pojo"},"l":{"data":{"url":"//live.staticflickr.com/3242/3071870771_607e247190_b.jpg","width":1024,"height":685,"displayUrl":"//live.staticflickr.com/3242/3071870771_607e247190_b.jpg"},"exportMetaType":"pojo"},"m":{"data":{"url":"//live.staticflickr.com/3242/3071870771_607e247190.jpg","width":500,"height":335,"displayUrl":"//live.staticflickr.com/3242/3071870771_607e247190.jpg"},"exportMetaType":"pojo"},"n":{"data":{"url":"//live.staticflickr.com/3242/3071870771_607e247190_n.jpg","width":320,"height":214,"displayUrl":"//live.staticflickr.com/3242/3071870771_607e247190_n.jpg"},"exportMetaType":"pojo"},"o":{"data":{"url":"//live.staticflickr.com/3242/3071870771_8d561ab5e8_o.jpg","width":3872,"height":2592,"displayUrl":"//live.staticflickr.com/3242/3071870771_8d561ab5e8_o.jpg"},"exportMetaType":"pojo"},"q":{"data":{"url":"//live.staticflickr.com/3242/3071870771_607e247190_q.jpg","width":150,"height":150,"displayUrl":"//live.staticflickr.com/3242/3071870771_607e247190_q.jpg"},"exportMetaType":"pojo"},"s":{"data":{"url":"//live.staticflickr.com/3242/3071870771_607e247190_m.jpg","width":240,"height":161,"displayUrl":"//live.staticflickr.com/3242/3071870771_607e247190_m.jpg"},"exportMetaType":"pojo"},"t":{"data":{"url":"//live.staticflickr.com/3242/3071870771_607e247190_t.jpg","width":100,"height":67,"displayUrl":"//live.staticflickr.com/3242/3071870771_607e247190_t.jpg"},"exportMetaType":"pojo"},"w":{"data":{"url":"//live.staticflickr.com/3242/3071870771_607e247190_w.jpg","width":400,"height":268,"displayUrl":"//live.staticflickr.com/3242/3071870771_607e247190_w.jpg"},"exportMetaType":"pojo"},"z":{"data":{"url":"//live.staticflickr.com/3242/3071870771_607e247190_z.jpg","width":640,"height":428,"displayUrl":"//live.staticflickr.com/3242/3071870771_607e247190_z.jpg"},"exportMetaType":"pojo"},"3k":{"data":{"url":"//live.staticflickr.com/3242/3071870771_bbe9fa6fb0_3k.jpg","width":3072,"height":2056,"displayUrl":"//live.staticflickr.com/3242/3071870771_bbe9fa6fb0_3k.jpg"},"exportMetaType":"pojo"},"4k":{"data":{"url":"//live.staticflickr.com/3242/3071870771_efbde36818_4k.jpg","width":3872,"height":2592,"displayUrl":"//live.staticflickr.com/3242/3071870771_efbde36818_4k.jpg"},"exportMetaType":"pojo"},"sq":{"data":{"url":"//live.staticflickr.com/3242/3071870771_607e247190_s.jpg","width":75,"height":75,"displayUrl":"//live.staticflickr.com/3242/3071870771_607e247190_s.jpg"},"exportMetaType":"pojo"}},"exportMetaType":"pojo"},"title":"Roton and SS1","oWidth":3872,"secret":"607e247190","license":5,"oHeight":2592,"rotation":0,"canAddMeta":false,"canComment":false,"engagement":{"data":{"id":"3071870771","canShare":true,"ownerNsid":"82234502@N00","reactions":{"data":{"like":{"data":{"id":"like","count":5,"canReact":true,"didViewerReact":true},"exportMetaType":"pojo"},"someOtherReaction":{"data":{"id":"someOtherReaction","count":3,"canReact":true,"didViewerReact":false},"exportMetaType":"pojo"}},"exportMetaType":"pojo"},"viewCount":541,"canDownload":true,"commentCount":1,"_flickrModelRegistry":"photo-engagement-models"},"exportMetaType":"model"},"description":"The Roton (left) and a replica of SpaceShipOne in Legacy Park at Mojave Air and Space Port.","safetyLevel":0,"upgradeSizes":{"data":[],"exportMetaType":"array"},"adEligibility":{"data":{"lane":1,"labels":{"data":["ProOwner"],"exportMetaType":"array"},"isAdEligible":false,"highScoreLabels":{"data":["ProOwner"],"exportMetaType":"array"}},"exportMetaType":"pojo"},"canPublicComment":true,"_flickrModelRegistry":"photo-models"},"exportMetaType":"model"}],"photo-geo-models":[{"data":{"id":"3071870771","_flickrModelRegistry":"photo-geo-models"},"exportMetaType":"model"}],"photo-location-models":[{"data":{"id":"3071870771","geo":{"data":"~2","exportMetaType":"model"},"text":"","levels":{"data":{},"exportMetaType":"pojo"},"staticMaps":{"data":{},"exportMetaType":"pojo"},"_flickrModelRegistry":"photo-location-models"},"exportMetaType":"model"}],"photo-head-meta-models":[{"data":{"id":"3071870771","title":"Roton and SS1","og:url":"https://www.flickr.com/photos/jfoust/3071870771/","og:type":"article","keywords":"airport, mojave, spaceshipone, ss1, roton","og:image":"https://live.staticflickr.com/3242/3071870771_607e247190_b.jpg","og:title":"Roton and SS1","twitter:card":"summary_large_image","twitter:image":"https://live.staticflickr.com/3242/3071870771_607e247190_b.jpg","og:description":"The Roton (left) and a replica of SpaceShipOne in Legacy Park at Mojave Air and Space Port.","og:image:width":1024,"og:image:height":685,"twitter:creator":"@jeff_foust","twitter:description":"The Roton (left) and a replica of SpaceShipOne in Legacy Park at Mojave Air and Space Port.","_flickrModelRegistry":"photo-head-meta-models","twitter:app:url:ipad":"flickr://flickr.com/photos/jfoust/3071870771/","twitter:app:url:iphone":"flickr://flickr.com/photos/jfoust/3071870771/","twitter:app:url:googleplay":"https://www.flickr.com/photos/jfoust/3071870771/"},"exportMetaType":"model"}],"photo-license-history-models":[]},"acquisition_file":"fl-3071870771.webp","source_html_file":"/Users/atincakcayoz/corteqs/output/bakersfield-completion-20261024/flickr-source-pages/3071870771.html","original_file_url":"https://live.staticflickr.com/3242/3071870771_efbde36818_4k.jpg","proposed_identity":"Mojave Air and Space Port – Legacy Park","source_html_sha256":"22e30f19d0cf090f8bc39a336c81da5c8649ddd1c42571c2f339fd01ff0088bb","third_party_rights_review":{"basis":"Kaynakta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dönüştürüldü.","photo_attribution":{"author_url":"https://www.flickr.com/photos/82234502@N00/","modifications":"EXIF yönü uygulandı; boyut küçültülüp WebP biçimine dönüştürüldü.","original_file_url":"https://live.staticflickr.com/3242/3071870771_efbde36818_4k.jpg"},"metadata_reviewed_on":"2026-10-24","metadata_review_status":"verified"}}</x:v>
      </x:c>
    </x:row>
    <x:row r="51" ht="300" customHeight="1">
      <x:c r="A51" s="29" t="str">
        <x:v>bakersfield:evidence:venue-22016</x:v>
      </x:c>
      <x:c r="B51" s="29" t="str">
        <x:v>bakersfield</x:v>
      </x:c>
      <x:c r="C51" s="29" t="str">
        <x:v>bakersfield:photo:venue-22016</x:v>
      </x:c>
      <x:c r="D51" s="29" t="str">
        <x:v>https://commons.wikimedia.org/wiki/File:Kluft-photo-Mojave-airport-bldg-Aug-2008-Img_1494.jpg</x:v>
      </x:c>
      <x:c r="E51" s="29" t="str">
        <x:v>Kluft-photo-Mojave-airport-bldg-Aug-2008-Img 1494.jpg</x:v>
      </x:c>
      <x:c r="F51" s="29" t="str">
        <x:v>Ikluft</x:v>
      </x:c>
      <x:c r="G51" s="29" t="str">
        <x:v>CC BY-SA 3.0</x:v>
      </x:c>
      <x:c r="H51" s="29" t="str">
        <x:v>https://creativecommons.org/licenses/by-sa/3.0</x:v>
      </x:c>
      <x:c r="I51" s="29" t="str">
        <x:v>Creative Commons Attribution-Share Alike 3.0</x:v>
      </x:c>
      <x:c r="J51" s="29" t="str">
        <x:v>Kluft-photo-Mojave-airport-bldg-Aug-2008-Img 1494.jpg · Ikluft · CC BY-SA 3.0 · https://commons.wikimedia.org/wiki/File:Kluft-photo-Mojave-airport-bldg-Aug-2008-Img_1494.jpg</x:v>
      </x:c>
      <x:c r="K5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1" s="31" t="d">
        <x:v>2026-10-24T00:00:00.000Z</x:v>
      </x:c>
      <x:c r="M51" s="29" t="str">
        <x:v>Doğrulandı</x:v>
      </x:c>
      <x:c r="N51" s="29" t="str">
        <x:v>Doğrulandı</x:v>
      </x:c>
      <x:c r="O51" s="29" t="str">
        <x:v>Fotoğraflar/bk-6a7bdd10b3be05ea98265b2e.webp</x:v>
      </x:c>
      <x:c r="P51" s="29" t="str">
        <x:v>Mojave Air &amp; Space Port – Legacy Park · 2008 tarihli fotoğraf · İndirilen kare temas sayfasında görüldü; kaynak mekân kimliğiyle eşleştirildi. Seçim kaydı final-pixel-review.json.</x:v>
      </x:c>
      <x:c r="Q51" s="29" t="str">
        <x:v>Bu kare için uygun</x:v>
      </x:c>
      <x:c r="R5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1" s="29" t="str">
        <x:v>Lisans kanıtları/bk-6a7bdd10b3be05ea98265b2e.source-evidence.json</x:v>
      </x:c>
      <x:c r="T51" s="29" t="str">
        <x:v>56e282381dc726f9faeed5b37f0411a693eedeaea46da6873d892882b106097d</x:v>
      </x:c>
      <x:c r="U51" s="29" t="str">
        <x:v>Lisans kanıtları/bk-6a7bdd10b3be05ea98265b2e.license-record.json</x:v>
      </x:c>
      <x:c r="V51" s="29" t="str">
        <x:v>5c4511394aa1e956af7e46d9406c6fc8956dcc7414c8c559b1839ead376e6e41</x:v>
      </x:c>
      <x:c r="W51" s="29" t="str">
        <x:v>{"file":"bk-6a7bdd10b3be05ea98265b2e.webp","width":1280,"author":"Ikluft","height":853,"sha256":"6a7bdd10b3be05ea98265b2e76d9ff60d60affa98721f98ebbff0f9774679d14","license":"CC BY-SA 3.0","imageinfo":{"url":"https://upload.wikimedia.org/wikipedia/commons/0/05/Kluft-photo-Mojave-airport-bldg-Aug-2008-Img_1494.jpg?utm_source=commons.wikimedia.org&amp;utm_campaign=imageinfo&amp;utm_content=original","mime":"image/jpeg","sha1":"c442543a98e22c959af5daf12a292a8cf0d41d6f","size":1889482,"width":3072,"height":2048,"pageid":4549680,"thumburl":"https://thumb.wikimedia.org/wikipedia/commons/thumb/0/05/Kluft-photo-Mojave-airport-bldg-Aug-2008-Img_1494.jpg/1280px-Kluft-photo-Mojave-airport-bldg-Aug-2008-Img_1494.jpg?utm_source=commons.wikimedia.org&amp;utm_campaign=imageinfo&amp;utm_content=thumbnail","timestamp":"2008-08-13T01:36:10Z","thumbwidth":1280,"extmetadata":{"Artist":{"value":"&lt;a href=\"//commons.wikimedia.org/wiki/User:Ikluft\" title=\"User:Ikluft\"&gt;Ikluft&lt;/a&gt;","source":"commons-desc-page"},"Credit":{"value":"&lt;span class=\"int-own-work\" lang=\"en\"&gt;Own work&lt;/span&gt;","source":"commons-desc-page"},"License":{"value":"cc-by-sa-3.0","hidden":"","source":"commons-templates"},"DateTime":{"value":"2008-08-13 01:36:10","hidden":"","source":"mediawiki-metadata"},"Categories":{"value":"GFDL|Taken with Canon EOS 300D|License migration redundant|Airport towers in California|Self-published work|Photos by User:Ikluft|Mojave Air and Space Port|Spaceport buildings","hidden":"","source":"commons-categories"},"LicenseUrl":{"value":"https://creativecommons.org/licenses/by-sa/3.0","source":"commons-desc-page"},"ObjectName":{"value":"Kluft-photo-Mojave-airport-bldg-Aug-2008-Img 1494","source":"mediawiki-metadata"},"UsageTerms":{"value":"Creative Commons Attribution-Share Alike 3.0","source":"commons-desc-page"},"Assessments":{"value":"","hidden":"","source":"commons-categories"},"Copyrighted":{"value":"True","hidden":"","source":"commons-desc-page"},"Restrictions":{"value":"","hidden":"","source":"commons-desc-page"},"DateTimeOriginal":{"value":"2008-08-12","source":"commons-desc-page"},"ImageDescription":{"value":"Administration building, restaurant and old tower at the &lt;a href=\"https://en.wikipedia.org/wiki/Mojave_Airport_and_Spaceport\" class=\"extiw\" title=\"w:Mojave Airport and Spaceport\"&gt;w:Mojave Airport and Spaceport&lt;/a&gt;","source":"commons-desc-page"},"LicenseShortName":{"value":"CC BY-SA 3.0","hidden":"","source":"commons-desc-page"},"AttributionRequired":{"value":"true","hidden":"","source":"commons-desc-page"},"CommonsMetadataExtension":{"value":1.2,"hidden":"","source":"extension"}},"thumbheight":853,"thumbattribs":{"src":"https://thumb.wikimedia.org/wikipedia/commons/thumb/0/05/Kluft-photo-Mojave-airport-bldg-Aug-2008-Img_1494.jpg/1280px-Kluft-photo-Mojave-airport-bldg-Aug-2008-Img_1494.jpg?utm_source=commons.wikimedia.org&amp;utm_campaign=imageinfo&amp;utm_content=thumbnail","width":1280,"height":853,"srcset":"https://upload.wikimedia.org/wikipedia/commons/0/05/Kluft-photo-Mojave-airport-bldg-Aug-2008-Img_1494.jpg?utm_source=commons.wikimedia.org&amp;utm_campaign=imageinfo&amp;utm_content=thumbnail_unscaled 2x","loading":"lazy","decoding":"async"},"descriptionurl":"https://commons.wikimedia.org/wiki/File:Kluft-photo-Mojave-airport-bldg-Aug-2008-Img_1494.jpg","responsiveUrls":{"2":"https://upload.wikimedia.org/wikipedia/commons/0/05/Kluft-photo-Mojave-airport-bldg-Aug-2008-Img_1494.jpg?utm_source=commons.wikimedia.org&amp;utm_campaign=imageinfo&amp;utm_content=thumbnail_unscaled"},"descriptionshorturl":"https://commons.wikimedia.org/w/index.php?curid=4549680"},"selection":{"qid":"pending","kind":"candidate","title":"Bakersfield alternatives"},"author_url":"https://commons.wikimedia.org/wiki/User:Ikluft","derivative":"Wikimedia thumbnail decoded; EXIF orientation applied; converted to WebP quality 86; no generated pixels, no cropping.","source_url":"https://commons.wikimedia.org/wiki/File:Kluft-photo-Mojave-airport-bldg-Aug-2008-Img_1494.jpg","author_urls":["https://commons.wikimedia.org/wiki/User:Ikluft"],"description":"Administration building, restaurant and old tower at the w:Mojave Airport and Spaceport","license_url":"https://creativecommons.org/licenses/by-sa/3.0","reviewed_on":"2026-10-24","capture_date":"2008-08-12","download_url":"https://thumb.wikimedia.org/wikipedia/commons/thumb/0/05/Kluft-photo-Mojave-airport-bldg-Aug-2008-Img_1494.jpg/1280px-Kluft-photo-Mojave-airport-bldg-Aug-2008-Img_1494.jpg?utm_source=commons.wikimedia.org&amp;utm_campaign=imageinfo&amp;utm_content=thumbnail","original_url":"https://upload.wikimedia.org/wikipedia/commons/0/05/Kluft-photo-Mojave-airport-bldg-Aug-2008-Img_1494.jpg?utm_source=commons.wikimedia.org&amp;utm_campaign=imageinfo&amp;utm_content=original","pixel_review":{"method":"İndirilen kare temas sayfasında görüldü; kaynak mekân kimliğiyle eşleştirildi. Seçim kaydı final-pixel-review.json.","status":"verified","caption":"Mojave Air &amp; Space Port – Legacy Park · 2008 tarihli fotoğraf","reviewer":"Codex (AI)","review_id":"T29"},"downloaded_at":"2026-10-23T21:29:06.783279+00:00","download_sha256":"54ef64f4be17b5c097f97d5423902b49d43110475423bbe17798eb62888b2d96","downloaded_file":"downloads/54ef64f4be17b5c097f97d5423902b49d43110475423bbe17798eb62888b2d96.jpg","acquisition_file":"5a3b76069e2e03d71b577f46.webp","commons_filename":"Kluft-photo-Mojave-airport-bldg-Aug-2008-Img 1494.jpg","original_file_url":"https://upload.wikimedia.org/wikipedia/commons/0/05/Kluft-photo-Mojave-airport-bldg-Aug-2008-Img_1494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dönüştürüldü.","photo_attribution":{"author_url":"https://commons.wikimedia.org/wiki/User:Ikluft","modifications":"EXIF yönü uygulandı; boyut küçültülüp WebP biçimine dönüştürüldü.","original_file_url":"https://upload.wikimedia.org/wikipedia/commons/0/05/Kluft-photo-Mojave-airport-bldg-Aug-2008-Img_1494.jpg?utm_source=commons.wikimedia.org&amp;utm_campaign=imageinfo&amp;utm_content=original"},"metadata_reviewed_on":"2026-10-24","metadata_review_status":"verified"}}</x:v>
      </x:c>
    </x:row>
    <x:row r="52" ht="300" customHeight="1">
      <x:c r="A52" s="29" t="str">
        <x:v>bakersfield:evidence:venue-22017</x:v>
      </x:c>
      <x:c r="B52" s="29" t="str">
        <x:v>bakersfield</x:v>
      </x:c>
      <x:c r="C52" s="29" t="str">
        <x:v>bakersfield:photo:venue-22017</x:v>
      </x:c>
      <x:c r="D52" s="29" t="str">
        <x:v>https://commons.wikimedia.org/wiki/File:Kluft-photo-aerial-Mojave-Spaceport-Sept-2009-Img_0227.jpg</x:v>
      </x:c>
      <x:c r="E52" s="29" t="str">
        <x:v>Kluft-photo-aerial-Mojave-Spaceport-Sept-2009-Img 0227.jpg</x:v>
      </x:c>
      <x:c r="F52" s="29" t="str">
        <x:v>Ikluft</x:v>
      </x:c>
      <x:c r="G52" s="29" t="str">
        <x:v>CC BY-SA 3.0</x:v>
      </x:c>
      <x:c r="H52" s="29" t="str">
        <x:v>https://creativecommons.org/licenses/by-sa/3.0</x:v>
      </x:c>
      <x:c r="I52" s="29" t="str">
        <x:v>Creative Commons Attribution-Share Alike 3.0</x:v>
      </x:c>
      <x:c r="J52" s="29" t="str">
        <x:v>Kluft-photo-aerial-Mojave-Spaceport-Sept-2009-Img 0227.jpg · Ikluft · CC BY-SA 3.0 · https://commons.wikimedia.org/wiki/File:Kluft-photo-aerial-Mojave-Spaceport-Sept-2009-Img_0227.jpg</x:v>
      </x:c>
      <x:c r="K5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2" s="31" t="d">
        <x:v>2026-10-24T00:00:00.000Z</x:v>
      </x:c>
      <x:c r="M52" s="29" t="str">
        <x:v>Doğrulandı</x:v>
      </x:c>
      <x:c r="N52" s="29" t="str">
        <x:v>Doğrulandı</x:v>
      </x:c>
      <x:c r="O52" s="29" t="str">
        <x:v>Fotoğraflar/bk-c3b80071035b3ea2e3e7ee95.webp</x:v>
      </x:c>
      <x:c r="P52" s="29" t="str">
        <x:v>Mojave Air &amp; Space Port – Legacy Park · İndirilen kare temas sayfasında görüldü; kaynak mekân kimliğiyle eşleştirildi. Seçim kaydı final-pixel-review.json.</x:v>
      </x:c>
      <x:c r="Q52" s="29" t="str">
        <x:v>Bu kare için uygun</x:v>
      </x:c>
      <x:c r="R5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2" s="29" t="str">
        <x:v>Lisans kanıtları/bk-c3b80071035b3ea2e3e7ee95.source-evidence.json</x:v>
      </x:c>
      <x:c r="T52" s="29" t="str">
        <x:v>4df72e3d697ad89155af87c9db50e5160f15c5cc5df088cb3cbd536bd35c7cf1</x:v>
      </x:c>
      <x:c r="U52" s="29" t="str">
        <x:v>Lisans kanıtları/bk-c3b80071035b3ea2e3e7ee95.license-record.json</x:v>
      </x:c>
      <x:c r="V52" s="29" t="str">
        <x:v>8dda940c465f2663f83a43ddae981641ebafa7c244d3505ca0ccb359b9e92d70</x:v>
      </x:c>
      <x:c r="W52" s="29" t="str">
        <x:v>{"file":"bk-c3b80071035b3ea2e3e7ee95.webp","width":1280,"author":"Ikluft","height":853,"sha256":"c3b80071035b3ea2e3e7ee95495e45b8dfbad75b94d4db2c4452e8cb483c934e","license":"CC BY-SA 3.0","imageinfo":{"url":"https://upload.wikimedia.org/wikipedia/commons/d/d4/Kluft-photo-aerial-Mojave-Spaceport-Sept-2009-Img_0227.jpg?utm_source=commons.wikimedia.org&amp;utm_campaign=imageinfo&amp;utm_content=original","mime":"image/jpeg","sha1":"56125391b6acf5a01b68527ff574149a1b0f7f0c","size":3912747,"width":4272,"height":2848,"pageid":7796131,"thumburl":"https://thumb.wikimedia.org/wikipedia/commons/thumb/d/d4/Kluft-photo-aerial-Mojave-Spaceport-Sept-2009-Img_0227.jpg/1280px-Kluft-photo-aerial-Mojave-Spaceport-Sept-2009-Img_0227.jpg?utm_source=commons.wikimedia.org&amp;utm_campaign=imageinfo&amp;utm_content=thumbnail","timestamp":"2009-09-12T21:03:05Z","thumbwidth":1280,"extmetadata":{"Artist":{"value":"&lt;a rel=\"mw:WikiLink\" href=\"https://commons.wikimedia.org/wiki/User:Ikluft\" title=\"User:Ikluft\"&gt;Ikluft&lt;/a&gt;","source":"commons-desc-page"},"Credit":{"value":"&lt;span class=\"int-own-work\" lang=\"en\"&gt;Own work&lt;/span&gt;","source":"commons-desc-page"},"License":{"value":"cc-by-sa-3.0","hidden":"","source":"commons-templates"},"DateTime":{"value":"2009-09-12 21:03:05","hidden":"","source":"mediawiki-metadata"},"Categories":{"value":"GFDL|Taken with Canon EOS 450D|License migration redundant|Aerial photographs of airports in California|Self-published work|Photos by User:Ikluft|Mojave Air and Space Port","hidden":"","source":"commons-categories"},"LicenseUrl":{"value":"https://creativecommons.org/licenses/by-sa/3.0","source":"commons-desc-page"},"ObjectName":{"value":"Kluft-photo-aerial-Mojave-Spaceport-Sept-2009-Img 0227","source":"mediawiki-metadata"},"UsageTerms":{"value":"Creative Commons Attribution-Share Alike 3.0","source":"commons-desc-page"},"Assessments":{"value":"","hidden":"","source":"commons-categories"},"Copyrighted":{"value":"True","hidden":"","source":"commons-desc-page"},"Restrictions":{"value":"","hidden":"","source":"commons-desc-page"},"ImageDescription":{"value":"aerial photo of &lt;a rel=\"mw:WikiLink/Interwiki\" href=\"https://en.wikipedia.org/wiki/Mojave%20Air%20&amp;amp;%20Space%20Port\" title=\"w:Mojave Air &amp;amp; Space Port\" class=\"extiw\"&gt;Mojave Air &amp;amp; Space Port&lt;/a&gt; on September 11, 2009","source":"commons-desc-page"},"LicenseShortName":{"value":"CC BY-SA 3.0","hidden":"","source":"commons-desc-page"},"AttributionRequired":{"value":"true","hidden":"","source":"commons-desc-page"},"CommonsMetadataExtension":{"value":1.2,"hidden":"","source":"extension"}},"thumbheight":853,"thumbattribs":{"src":"https://thumb.wikimedia.org/wikipedia/commons/thumb/d/d4/Kluft-photo-aerial-Mojave-Spaceport-Sept-2009-Img_0227.jpg/1280px-Kluft-photo-aerial-Mojave-Spaceport-Sept-2009-Img_0227.jpg?utm_source=commons.wikimedia.org&amp;utm_campaign=imageinfo&amp;utm_content=thumbnail","width":1280,"height":853,"srcset":"https://thumb.wikimedia.org/wikipedia/commons/thumb/d/d4/Kluft-photo-aerial-Mojave-Spaceport-Sept-2009-Img_0227.jpg/3840px-Kluft-photo-aerial-Mojave-Spaceport-Sept-2009-Img_0227.jpg?utm_source=commons.wikimedia.org&amp;utm_campaign=imageinfo&amp;utm_content=thumbnail 2x","loading":"lazy","decoding":"async"},"descriptionurl":"https://commons.wikimedia.org/wiki/File:Kluft-photo-aerial-Mojave-Spaceport-Sept-2009-Img_0227.jpg","responsiveUrls":{"2":"https://thumb.wikimedia.org/wikipedia/commons/thumb/d/d4/Kluft-photo-aerial-Mojave-Spaceport-Sept-2009-Img_0227.jpg/3840px-Kluft-photo-aerial-Mojave-Spaceport-Sept-2009-Img_0227.jpg?utm_source=commons.wikimedia.org&amp;utm_campaign=imageinfo&amp;utm_content=thumbnail"},"descriptionshorturl":"https://commons.wikimedia.org/w/index.php?curid=7796131"},"selection":{"qid":"pending","kind":"candidate","title":"Bakersfield alternatives"},"author_url":"https://commons.wikimedia.org/wiki/User:Ikluft","derivative":"Wikimedia thumbnail decoded; EXIF orientation applied; converted to WebP quality 86; no generated pixels, no cropping.","source_url":"https://commons.wikimedia.org/wiki/File:Kluft-photo-aerial-Mojave-Spaceport-Sept-2009-Img_0227.jpg","author_urls":["https://commons.wikimedia.org/wiki/User:Ikluft"],"description":"aerial photo of Mojave Air &amp; Space Port on September 11, 2009","license_url":"https://creativecommons.org/licenses/by-sa/3.0","reviewed_on":"2026-10-24","capture_date":"","download_url":"https://thumb.wikimedia.org/wikipedia/commons/thumb/d/d4/Kluft-photo-aerial-Mojave-Spaceport-Sept-2009-Img_0227.jpg/1280px-Kluft-photo-aerial-Mojave-Spaceport-Sept-2009-Img_0227.jpg?utm_source=commons.wikimedia.org&amp;utm_campaign=imageinfo&amp;utm_content=thumbnail","original_url":"https://upload.wikimedia.org/wikipedia/commons/d/d4/Kluft-photo-aerial-Mojave-Spaceport-Sept-2009-Img_0227.jpg?utm_source=commons.wikimedia.org&amp;utm_campaign=imageinfo&amp;utm_content=original","pixel_review":{"method":"İndirilen kare temas sayfasında görüldü; kaynak mekân kimliğiyle eşleştirildi. Seçim kaydı final-pixel-review.json.","status":"verified","caption":"Mojave Air &amp; Space Port – Legacy Park","reviewer":"Codex (AI)","review_id":"T30"},"downloaded_at":"2026-10-23T21:29:07.517934+00:00","download_sha256":"fb24160c84aad8222508a192ea31645900236a639334391bfa4c45ac5815d535","downloaded_file":"downloads/fb24160c84aad8222508a192ea31645900236a639334391bfa4c45ac5815d535.jpg","acquisition_file":"3643b8547627ff92643760ad.webp","commons_filename":"Kluft-photo-aerial-Mojave-Spaceport-Sept-2009-Img 0227.jpg","original_file_url":"https://upload.wikimedia.org/wikipedia/commons/d/d4/Kluft-photo-aerial-Mojave-Spaceport-Sept-2009-Img_0227.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dönüştürüldü.","photo_attribution":{"author_url":"https://commons.wikimedia.org/wiki/User:Ikluft","modifications":"EXIF yönü uygulandı; boyut küçültülüp WebP biçimine dönüştürüldü.","original_file_url":"https://upload.wikimedia.org/wikipedia/commons/d/d4/Kluft-photo-aerial-Mojave-Spaceport-Sept-2009-Img_0227.jpg?utm_source=commons.wikimedia.org&amp;utm_campaign=imageinfo&amp;utm_content=original"},"metadata_reviewed_on":"2026-10-24","metadata_review_status":"verified"}}</x:v>
      </x:c>
    </x:row>
    <x:row r="53" ht="300" customHeight="1">
      <x:c r="A53" s="29" t="str">
        <x:v>bakersfield:evidence:venue-22018</x:v>
      </x:c>
      <x:c r="B53" s="29" t="str">
        <x:v>bakersfield</x:v>
      </x:c>
      <x:c r="C53" s="29" t="str">
        <x:v>bakersfield:photo:venue-22018</x:v>
      </x:c>
      <x:c r="D53" s="29" t="str">
        <x:v>https://commons.wikimedia.org/wiki/File:California_City_Central_Park.jpg</x:v>
      </x:c>
      <x:c r="E53" s="29" t="str">
        <x:v>California City Central Park.jpg</x:v>
      </x:c>
      <x:c r="F53" s="29" t="str">
        <x:v>Tedder</x:v>
      </x:c>
      <x:c r="G53" s="29" t="str">
        <x:v>CC BY-SA 4.0</x:v>
      </x:c>
      <x:c r="H53" s="29" t="str">
        <x:v>https://creativecommons.org/licenses/by-sa/4.0</x:v>
      </x:c>
      <x:c r="I53" s="29" t="str">
        <x:v>Creative Commons Attribution-Share Alike 4.0</x:v>
      </x:c>
      <x:c r="J53" s="29" t="str">
        <x:v>California City Central Park.jpg · Tedder · CC BY-SA 4.0 · https://commons.wikimedia.org/wiki/File:California_City_Central_Park.jpg</x:v>
      </x:c>
      <x:c r="K5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3" s="31" t="d">
        <x:v>2026-10-24T00:00:00.000Z</x:v>
      </x:c>
      <x:c r="M53" s="29" t="str">
        <x:v>Doğrulandı</x:v>
      </x:c>
      <x:c r="N53" s="29" t="str">
        <x:v>Doğrulandı</x:v>
      </x:c>
      <x:c r="O53" s="29" t="str">
        <x:v>Fotoğraflar/bk-7a22c4b94b984177d976eb73.webp</x:v>
      </x:c>
      <x:c r="P53" s="29" t="str">
        <x:v>Central Park – California City · 2023 tarihli fotoğraf · İndirilen kare temas sayfasında görüldü; kaynak mekân kimliğiyle eşleştirildi. Seçim kaydı final-pixel-review.json.</x:v>
      </x:c>
      <x:c r="Q53" s="29" t="str">
        <x:v>Bu kare için uygun</x:v>
      </x:c>
      <x:c r="R5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3" s="29" t="str">
        <x:v>Lisans kanıtları/bk-7a22c4b94b984177d976eb73.source-evidence.json</x:v>
      </x:c>
      <x:c r="T53" s="29" t="str">
        <x:v>aa1d177b797c2bb4802217882216f3725de94639ab8d3ed41ab467c1912ad6f2</x:v>
      </x:c>
      <x:c r="U53" s="29" t="str">
        <x:v>Lisans kanıtları/bk-7a22c4b94b984177d976eb73.license-record.json</x:v>
      </x:c>
      <x:c r="V53" s="29" t="str">
        <x:v>19024166958f11510c844a2fa2cbe925238b554c1ccca653be81741c81e24569</x:v>
      </x:c>
      <x:c r="W53" s="29" t="str">
        <x:v>{"file":"bk-7a22c4b94b984177d976eb73.webp","width":1280,"author":"Tedder","height":958,"sha256":"7a22c4b94b984177d976eb73ab9f6120f45c02afa73a774e85e8ffbd8b4eb307","license":"CC BY-SA 4.0","imageinfo":{"url":"https://upload.wikimedia.org/wikipedia/commons/b/b9/California_City_Central_Park.jpg?utm_source=commons.wikimedia.org&amp;utm_campaign=imageinfo&amp;utm_content=original","mime":"image/jpeg","sha1":"f6b39b1ae0335ec196a32c2a4b5c608f41a26a40","size":4567277,"width":3068,"height":2297,"pageid":134323394,"thumburl":"https://thumb.wikimedia.org/wikipedia/commons/thumb/b/b9/California_City_Central_Park.jpg/1280px-California_City_Central_Park.jpg?utm_source=commons.wikimedia.org&amp;utm_campaign=imageinfo&amp;utm_content=thumbnail","timestamp":"2023-07-12T16:45:42Z","thumbwidth":1280,"extmetadata":{"Artist":{"value":"&lt;a href=\"//commons.wikimedia.org/wiki/User:Tedder\" title=\"User:Tedder\"&gt;Tedder&lt;/a&gt;","source":"commons-desc-page"},"Credit":{"value":"&lt;span class=\"int-own-work\" lang=\"en\"&gt;Own work&lt;/span&gt;","source":"commons-desc-page"},"License":{"value":"cc-by-sa-4.0","hidden":"","source":"commons-templates"},"DateTime":{"value":"2023-07-12 16:45:42","hidden":"","source":"mediawiki-metadata"},"Categories":{"value":"California City, California|Self-published work|Files with coordinates missing SDC location of creation","hidden":"","source":"commons-categories"},"LicenseUrl":{"value":"https://creativecommons.org/licenses/by-sa/4.0","source":"commons-desc-page"},"ObjectName":{"value":"California City Central Park","source":"mediawiki-metadata"},"UsageTerms":{"value":"Creative Commons Attribution-Share Alike 4.0","source":"commons-desc-page"},"Assessments":{"value":"","hidden":"","source":"commons-categories"},"Copyrighted":{"value":"True","hidden":"","source":"commons-desc-page"},"GPSLatitude":{"value":"35.124986","source":"commons-desc-page"},"GPSMapDatum":{"value":"WGS-84","hidden":"","source":"commons-desc-page"},"GPSLongitude":{"value":"-117.952842","source":"commons-desc-page"},"Restrictions":{"value":"","hidden":"","source":"commons-desc-page"},"DateTimeOriginal":{"value":"2023-07-11 08:37:24","source":"commons-desc-page"},"ImageDescription":{"value":"California City Central Park","source":"commons-desc-page"},"LicenseShortName":{"value":"CC BY-SA 4.0","hidden":"","source":"commons-desc-page"},"AttributionRequired":{"value":"true","hidden":"","source":"commons-desc-page"},"CommonsMetadataExtension":{"value":1.2,"hidden":"","source":"extension"}},"thumbheight":958,"thumbattribs":{"src":"https://thumb.wikimedia.org/wikipedia/commons/thumb/b/b9/California_City_Central_Park.jpg/1280px-California_City_Central_Park.jpg?utm_source=commons.wikimedia.org&amp;utm_campaign=imageinfo&amp;utm_content=thumbnail","width":1280,"height":958,"srcset":"https://upload.wikimedia.org/wikipedia/commons/b/b9/California_City_Central_Park.jpg?utm_source=commons.wikimedia.org&amp;utm_campaign=imageinfo&amp;utm_content=thumbnail_unscaled 2x","loading":"lazy","decoding":"async"},"descriptionurl":"https://commons.wikimedia.org/wiki/File:California_City_Central_Park.jpg","responsiveUrls":{"2":"https://upload.wikimedia.org/wikipedia/commons/b/b9/California_City_Central_Park.jpg?utm_source=commons.wikimedia.org&amp;utm_campaign=imageinfo&amp;utm_content=thumbnail_unscaled"},"descriptionshorturl":"https://commons.wikimedia.org/w/index.php?curid=134323394"},"selection":{"qid":"pending","kind":"candidate","title":"Bakersfield alternatives"},"author_url":"https://commons.wikimedia.org/wiki/User:Tedder","derivative":"Wikimedia thumbnail decoded; EXIF orientation applied; converted to WebP quality 86; no generated pixels, no cropping.","source_url":"https://commons.wikimedia.org/wiki/File:California_City_Central_Park.jpg","author_urls":["https://commons.wikimedia.org/wiki/User:Tedder"],"description":"California City Central Park","license_url":"https://creativecommons.org/licenses/by-sa/4.0","reviewed_on":"2026-10-24","capture_date":"2023-07-11 08:37:24","download_url":"https://thumb.wikimedia.org/wikipedia/commons/thumb/b/b9/California_City_Central_Park.jpg/1280px-California_City_Central_Park.jpg?utm_source=commons.wikimedia.org&amp;utm_campaign=imageinfo&amp;utm_content=thumbnail","original_url":"https://upload.wikimedia.org/wikipedia/commons/b/b9/California_City_Central_Park.jpg?utm_source=commons.wikimedia.org&amp;utm_campaign=imageinfo&amp;utm_content=original","pixel_review":{"method":"İndirilen kare temas sayfasında görüldü; kaynak mekân kimliğiyle eşleştirildi. Seçim kaydı final-pixel-review.json.","status":"verified","caption":"Central Park – California City · 2023 tarihli fotoğraf","reviewer":"Codex (AI)","review_id":"T18"},"downloaded_at":"2026-10-23T21:29:06.482470+00:00","download_sha256":"715ade4de0a1d456903f65b6c52abecedd01922bfaff333610c3a09183d7bb5b","downloaded_file":"downloads/715ade4de0a1d456903f65b6c52abecedd01922bfaff333610c3a09183d7bb5b.jpg","acquisition_file":"ed50d591cb5c4b11ee6a1976.webp","commons_filename":"California City Central Park.jpg","original_file_url":"https://upload.wikimedia.org/wikipedia/commons/b/b9/California_City_Central_Park.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dönüştürüldü.","photo_attribution":{"author_url":"https://commons.wikimedia.org/wiki/User:Tedder","modifications":"EXIF yönü uygulandı; boyut küçültülüp WebP biçimine dönüştürüldü.","original_file_url":"https://upload.wikimedia.org/wikipedia/commons/b/b9/California_City_Central_Park.jpg?utm_source=commons.wikimedia.org&amp;utm_campaign=imageinfo&amp;utm_content=original"},"metadata_reviewed_on":"2026-10-24","metadata_review_status":"verified"}}</x:v>
      </x:c>
    </x:row>
    <x:row r="54" ht="300" customHeight="1">
      <x:c r="A54" s="29" t="str">
        <x:v>bakersfield:evidence:venue-22019</x:v>
      </x:c>
      <x:c r="B54" s="29" t="str">
        <x:v>bakersfield</x:v>
      </x:c>
      <x:c r="C54" s="29" t="str">
        <x:v>bakersfield:photo:venue-22019</x:v>
      </x:c>
      <x:c r="D54" s="29" t="str">
        <x:v>https://commons.wikimedia.org/wiki/File:Central_Park,_California_City,_California.jpg</x:v>
      </x:c>
      <x:c r="E54" s="29" t="str">
        <x:v>Central Park, California City, California.jpg</x:v>
      </x:c>
      <x:c r="F54" s="29" t="str">
        <x:v>Craig Dietrich</x:v>
      </x:c>
      <x:c r="G54" s="29" t="str">
        <x:v>CC BY 2.0</x:v>
      </x:c>
      <x:c r="H54" s="29" t="str">
        <x:v>https://creativecommons.org/licenses/by/2.0</x:v>
      </x:c>
      <x:c r="I54" s="29" t="str">
        <x:v>Creative Commons Attribution 2.0</x:v>
      </x:c>
      <x:c r="J54" s="29" t="str">
        <x:v>Central Park, California City, California.jpg · Craig Dietrich · CC BY 2.0 · https://commons.wikimedia.org/wiki/File:Central_Park,_California_City,_California.jpg</x:v>
      </x:c>
      <x:c r="K5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4" s="31" t="d">
        <x:v>2026-10-24T00:00:00.000Z</x:v>
      </x:c>
      <x:c r="M54" s="29" t="str">
        <x:v>Doğrulandı</x:v>
      </x:c>
      <x:c r="N54" s="29" t="str">
        <x:v>Doğrulandı</x:v>
      </x:c>
      <x:c r="O54" s="29" t="str">
        <x:v>Fotoğraflar/bk-2cf50a7e51deb7f61e711279.webp</x:v>
      </x:c>
      <x:c r="P54" s="29" t="str">
        <x:v>Central Park – California City · 2012 tarihli fotoğraf · İndirilen kare temas sayfasında görüldü; kaynak mekân kimliğiyle eşleştirildi. Seçim kaydı final-pixel-review.json.</x:v>
      </x:c>
      <x:c r="Q54" s="29" t="str">
        <x:v>Bu kare için uygun</x:v>
      </x:c>
      <x:c r="R5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4" s="29" t="str">
        <x:v>Lisans kanıtları/bk-2cf50a7e51deb7f61e711279.source-evidence.json</x:v>
      </x:c>
      <x:c r="T54" s="29" t="str">
        <x:v>b80917228d6e8f35b3d0f258614d2cc6099efe0cefa6d8f17174b274dd129a6f</x:v>
      </x:c>
      <x:c r="U54" s="29" t="str">
        <x:v>Lisans kanıtları/bk-2cf50a7e51deb7f61e711279.license-record.json</x:v>
      </x:c>
      <x:c r="V54" s="29" t="str">
        <x:v>cb7793949f0c0c4894b1c69f139b0a3779a51e32ab7f29a164c8b02825f6a993</x:v>
      </x:c>
      <x:c r="W54" s="29" t="str">
        <x:v>{"file":"bk-2cf50a7e51deb7f61e711279.webp","width":1280,"author":"Craig Dietrich","height":853,"sha256":"2cf50a7e51deb7f61e71127969e8b4ee627632c239140ea18ed904784303ba8d","license":"CC BY 2.0","imageinfo":{"url":"https://upload.wikimedia.org/wikipedia/commons/7/71/Central_Park%2C_California_City%2C_California.jpg?utm_source=commons.wikimedia.org&amp;utm_campaign=imageinfo&amp;utm_content=original","mime":"image/jpeg","sha1":"e003e54a79f39a1ad29e2a7851aa528bbfe253a8","size":523692,"width":1500,"height":1000,"pageid":23233742,"thumburl":"https://thumb.wikimedia.org/wikipedia/commons/thumb/7/71/Central_Park%2C_California_City%2C_California.jpg/1280px-Central_Park%2C_California_City%2C_California.jpg?utm_source=commons.wikimedia.org&amp;utm_campaign=imageinfo&amp;utm_content=thumbnail","timestamp":"2012-12-19T02:19:04Z","thumbwidth":1280,"extmetadata":{"Artist":{"value":"&lt;a rel=\"nofollow\" class=\"external text\" href=\"https://www.flickr.com/people/57385426@N02\"&gt;Craig Dietrich&lt;/a&gt;","source":"commons-desc-page"},"Credit":{"value":"&lt;a href=\"//commons.wikimedia.org/wiki/Flickr\" class=\"mw-redirect\" title=\"Flickr\"&gt;Flickr&lt;/a&gt;: &lt;a rel=\"nofollow\" class=\"external text\" href=\"https://www.flickr.com/photos/57385426@N02/7545065466\"&gt;Central Park, California City, California&lt;/a&gt;","source":"commons-desc-page"},"License":{"value":"cc-by-2.0","hidden":"","source":"commons-templates"},"DateTime":{"value":"2012-12-19 02:19:04","hidden":"","source":"mediawiki-metadata"},"Categories":{"value":"California City, California|Parks in Kern County, California|Flickr images uploaded by Flickr upload bot","hidden":"","source":"commons-categories"},"LicenseUrl":{"value":"https://creativecommons.org/licenses/by/2.0","source":"commons-desc-page"},"ObjectName":{"value":"Central Park, California City, California","source":"mediawiki-metadata"},"Permission":{"value":"&lt;table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19 December 2012, 02:18 by &lt;span id=\"flickr_upload_bot_reviewer\"&gt;&lt;b&gt;&lt;a href=\"//commons.wikimedia.org/w/index.php?title=User:Craigdietrich&amp;amp;action=edit&amp;amp;redlink=1\" class=\"new\" title=\"User:Craigdietrich (page does not exist)\"&gt;Craigdietrich&lt;/a&gt;&lt;/b&gt;&lt;/span&gt;.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href=\"//creativecommons.org/licenses/by/2.0/deed.en\" class=\"extiw\" title=\"creativecommons:by/2.0/deed.en\"&gt;Attribution 2.0 Generic&lt;/a&gt; license.&lt;/div&gt;&lt;div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style=\"display:none;\"&gt;https://creativecommons.org/licenses/by/2.0&lt;/span&gt;&lt;span class=\"licensetpl_short\" style=\"display:none;\"&gt;CC BY 2.0 &lt;/span&gt;&lt;span class=\"licensetpl_long\" style=\"display:none;\"&gt;Creative Commons Attribution 2.0 &lt;/span&gt;&lt;span class=\"licensetpl_link_req\" style=\"display:none;\"&gt;true&lt;/span&gt;&lt;span class=\"licensetpl_attr_req\" style=\"display:none;\"&gt;true&lt;/span&gt;&lt;/div&gt;&lt;/div&gt;","hidden":"","source":"commons-desc-page"},"UsageTerms":{"value":"Creative Commons Attribution 2.0","source":"commons-desc-page"},"Assessments":{"value":"","hidden":"","source":"commons-categories"},"Copyrighted":{"value":"True","hidden":"","source":"commons-desc-page"},"Restrictions":{"value":"","hidden":"","source":"commons-desc-page"},"DateTimeOriginal":{"value":"2012-07-06 12:48:50","source":"commons-desc-page"},"ImageDescription":{"value":"West side of Central Park in California City, CA","source":"commons-desc-page"},"LicenseShortName":{"value":"CC BY 2.0","hidden":"","source":"commons-desc-page"},"AttributionRequired":{"value":"true","hidden":"","source":"commons-desc-page"},"CommonsMetadataExtension":{"value":1.2,"hidden":"","source":"extension"}},"thumbheight":853,"thumbattribs":{"src":"https://thumb.wikimedia.org/wikipedia/commons/thumb/7/71/Central_Park%2C_California_City%2C_California.jpg/1280px-Central_Park%2C_California_City%2C_California.jpg?utm_source=commons.wikimedia.org&amp;utm_campaign=imageinfo&amp;utm_content=thumbnail","width":1280,"height":853,"srcset":"https://upload.wikimedia.org/wikipedia/commons/7/71/Central_Park%2C_California_City%2C_California.jpg?utm_source=commons.wikimedia.org&amp;utm_campaign=imageinfo&amp;utm_content=thumbnail_unscaled 2x","loading":"lazy","decoding":"async"},"descriptionurl":"https://commons.wikimedia.org/wiki/File:Central_Park,_California_City,_California.jpg","responsiveUrls":{"2":"https://upload.wikimedia.org/wikipedia/commons/7/71/Central_Park%2C_California_City%2C_California.jpg?utm_source=commons.wikimedia.org&amp;utm_campaign=imageinfo&amp;utm_content=thumbnail_unscaled"},"descriptionshorturl":"https://commons.wikimedia.org/w/index.php?curid=23233742"},"selection":{"qid":"pending","kind":"candidate","title":"Bakersfield alternatives"},"author_url":"https://www.flickr.com/people/57385426@N02","derivative":"Wikimedia thumbnail decoded; EXIF orientation applied; converted to WebP quality 86; no generated pixels, no cropping.","source_url":"https://commons.wikimedia.org/wiki/File:Central_Park,_California_City,_California.jpg","author_urls":["https://www.flickr.com/people/57385426@N02"],"description":"West side of Central Park in California City, CA","license_url":"https://creativecommons.org/licenses/by/2.0","reviewed_on":"2026-10-24","capture_date":"2012-07-06 12:48:50","download_url":"https://thumb.wikimedia.org/wikipedia/commons/thumb/7/71/Central_Park%2C_California_City%2C_California.jpg/1280px-Central_Park%2C_California_City%2C_California.jpg?utm_source=commons.wikimedia.org&amp;utm_campaign=imageinfo&amp;utm_content=thumbnail","original_url":"https://upload.wikimedia.org/wikipedia/commons/7/71/Central_Park%2C_California_City%2C_California.jpg?utm_source=commons.wikimedia.org&amp;utm_campaign=imageinfo&amp;utm_content=original","pixel_review":{"method":"İndirilen kare temas sayfasında görüldü; kaynak mekân kimliğiyle eşleştirildi. Seçim kaydı final-pixel-review.json.","status":"verified","caption":"Central Park – California City · 2012 tarihli fotoğraf","reviewer":"Codex (AI)","review_id":"T19"},"downloaded_at":"2026-10-23T19:10:10.698411+00:00","download_sha256":"779061e65dd352ab3667d6cb32ad3d1705f54813bf137deba27535437fe148cb","downloaded_file":"downloads/779061e65dd352ab3667d6cb32ad3d1705f54813bf137deba27535437fe148cb.jpg","acquisition_file":"4d36254f791694a58d58312f.webp","commons_filename":"Central Park, California City, California.jpg","original_file_url":"https://upload.wikimedia.org/wikipedia/commons/7/71/Central_Park%2C_California_City%2C_Californi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dönüştürüldü.","photo_attribution":{"author_url":"https://www.flickr.com/people/57385426@N02","modifications":"EXIF yönü uygulandı; boyut küçültülüp WebP biçimine dönüştürüldü.","original_file_url":"https://upload.wikimedia.org/wikipedia/commons/7/71/Central_Park%2C_California_City%2C_California.jpg?utm_source=commons.wikimedia.org&amp;utm_campaign=imageinfo&amp;utm_content=original"},"metadata_reviewed_on":"2026-10-24","metadata_review_status":"verified"}}</x:v>
      </x:c>
    </x:row>
    <x:row r="55" ht="300" customHeight="1">
      <x:c r="A55" s="29" t="str">
        <x:v>bakersfield:evidence:venue-22020</x:v>
      </x:c>
      <x:c r="B55" s="29" t="str">
        <x:v>bakersfield</x:v>
      </x:c>
      <x:c r="C55" s="29" t="str">
        <x:v>bakersfield:photo:venue-22020</x:v>
      </x:c>
      <x:c r="D55" s="29" t="str">
        <x:v>https://commons.wikimedia.org/wiki/File:Bakersfield_Convention_Center_Entrance.jpg</x:v>
      </x:c>
      <x:c r="E55" s="29" t="str">
        <x:v>Bakersfield Convention Center Entrance.jpg</x:v>
      </x:c>
      <x:c r="F55" s="29" t="str">
        <x:v>Skyman9999</x:v>
      </x:c>
      <x:c r="G55" s="29" t="str">
        <x:v>CC0 1.0</x:v>
      </x:c>
      <x:c r="H55" s="29" t="str">
        <x:v>https://creativecommons.org/publicdomain/zero/1.0/</x:v>
      </x:c>
      <x:c r="I55" s="29" t="str">
        <x:v>Creative Commons Zero, Public Domain Dedication</x:v>
      </x:c>
      <x:c r="J55" s="29" t="str">
        <x:v>Bakersfield Convention Center Entrance.jpg · Skyman9999 · CC0 1.0 · https://commons.wikimedia.org/wiki/File:Bakersfield_Convention_Center_Entrance.jpg</x:v>
      </x:c>
      <x:c r="K5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5" s="31" t="d">
        <x:v>2026-10-24T00:00:00.000Z</x:v>
      </x:c>
      <x:c r="M55" s="29" t="str">
        <x:v>Doğrulandı</x:v>
      </x:c>
      <x:c r="N55" s="29" t="str">
        <x:v>Doğrulandı</x:v>
      </x:c>
      <x:c r="O55" s="29" t="str">
        <x:v>Fotoğraflar/bk-b9bcaa3b9379c4a2c9a643e7.webp</x:v>
      </x:c>
      <x:c r="P55" s="29" t="str">
        <x:v>Dignity Health Arena · 2011 tarihli fotoğraf · İndirilen kare temas sayfasında görüldü; kaynak mekân kimliğiyle eşleştirildi. Seçim kaydı final-pixel-review.json.</x:v>
      </x:c>
      <x:c r="Q55" s="29" t="str">
        <x:v>Bu kare için uygun</x:v>
      </x:c>
      <x:c r="R5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5" s="29" t="str">
        <x:v>Lisans kanıtları/bk-b9bcaa3b9379c4a2c9a643e7.source-evidence.json</x:v>
      </x:c>
      <x:c r="T55" s="29" t="str">
        <x:v>791e948e4644333d141d6f51bd40d327ae6249674f01c2a1bfd4315da46d9b60</x:v>
      </x:c>
      <x:c r="U55" s="29" t="str">
        <x:v>Lisans kanıtları/bk-b9bcaa3b9379c4a2c9a643e7.license-record.json</x:v>
      </x:c>
      <x:c r="V55" s="29" t="str">
        <x:v>bfd438672e06c7be749af66569b5749cbc7a0a93d6074b43e3899b2dd81a0bee</x:v>
      </x:c>
      <x:c r="W55" s="29" t="str">
        <x:v>{"file":"bk-b9bcaa3b9379c4a2c9a643e7.webp","width":1280,"author":"Skyman9999","height":851,"sha256":"b9bcaa3b9379c4a2c9a643e73c32b7b30c4e1ab7c6bb731b12496719ada086dd","license":"CC0 1.0","imageinfo":{"url":"https://upload.wikimedia.org/wikipedia/commons/4/41/Bakersfield_Convention_Center_Entrance.jpg?utm_source=commons.wikimedia.org&amp;utm_campaign=imageinfo&amp;utm_content=original","mime":"image/jpeg","sha1":"496979022f1267814aea58a40f7f1e4b5ee39bdb","size":2638448,"width":3008,"height":2000,"pageid":17185027,"thumburl":"https://thumb.wikimedia.org/wikipedia/commons/thumb/4/41/Bakersfield_Convention_Center_Entrance.jpg/1280px-Bakersfield_Convention_Center_Entrance.jpg?utm_source=commons.wikimedia.org&amp;utm_campaign=imageinfo&amp;utm_content=thumbnail","timestamp":"2011-10-30T22:22:05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work&lt;/span&gt;","source":"commons-desc-page"},"License":{"value":"cc0","hidden":"","source":"commons-templates"},"DateTime":{"value":"2011-10-30 22:22:05","hidden":"","source":"mediawiki-metadata"},"Categories":{"value":"Taken with Nikon D50|CC-Zero|Self-published work|Buildings in Bakersfield, California","hidden":"","source":"commons-categories"},"LicenseUrl":{"value":"http://creativecommons.org/publicdomain/zero/1.0/deed.en","source":"commons-desc-page"},"ObjectName":{"value":"Bakersfield Convention Center Entrance","source":"mediawiki-metadata"},"UsageTerms":{"value":"Creative Commons Zero, Public Domain Dedication","source":"commons-desc-page"},"Assessments":{"value":"","hidden":"","source":"commons-categories"},"Copyrighted":{"value":"True","hidden":"","source":"commons-desc-page"},"Restrictions":{"value":"","hidden":"","source":"commons-desc-page"},"DateTimeOriginal":{"value":"2011-08-30","source":"commons-desc-page"},"ImageDescription":{"value":"Entrance to the Bakersfield Convention Center. Also known as the Civic Auditorium and the Rabobank Theater.","source":"commons-desc-page"},"LicenseShortName":{"value":"CC0","hidden":"","source":"commons-desc-page"},"AttributionRequired":{"value":"false","hidden":"","source":"commons-desc-page"},"CommonsMetadataExtension":{"value":1.2,"hidden":"","source":"extension"}},"thumbheight":851,"thumbattribs":{"src":"https://thumb.wikimedia.org/wikipedia/commons/thumb/4/41/Bakersfield_Convention_Center_Entrance.jpg/1280px-Bakersfield_Convention_Center_Entrance.jpg?utm_source=commons.wikimedia.org&amp;utm_campaign=imageinfo&amp;utm_content=thumbnail","width":1280,"height":851,"srcset":"https://upload.wikimedia.org/wikipedia/commons/4/41/Bakersfield_Convention_Center_Entrance.jpg?utm_source=commons.wikimedia.org&amp;utm_campaign=imageinfo&amp;utm_content=thumbnail_unscaled 2x","loading":"lazy","decoding":"async"},"descriptionurl":"https://commons.wikimedia.org/wiki/File:Bakersfield_Convention_Center_Entrance.jpg","responsiveUrls":{"2":"https://upload.wikimedia.org/wikipedia/commons/4/41/Bakersfield_Convention_Center_Entrance.jpg?utm_source=commons.wikimedia.org&amp;utm_campaign=imageinfo&amp;utm_content=thumbnail_unscaled"},"descriptionshorturl":"https://commons.wikimedia.org/w/index.php?curid=17185027"},"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cropping.","source_url":"https://commons.wikimedia.org/wiki/File:Bakersfield_Convention_Center_Entrance.jpg","author_urls":["https://commons.wikimedia.org/wiki/User:Skyman9999"],"description":"Entrance to the Bakersfield Convention Center. Also known as the Civic Auditorium and the Rabobank Theater.","license_url":"https://creativecommons.org/publicdomain/zero/1.0/","reviewed_on":"2026-10-24","capture_date":"2011-08-30","download_url":"https://thumb.wikimedia.org/wikipedia/commons/thumb/4/41/Bakersfield_Convention_Center_Entrance.jpg/1280px-Bakersfield_Convention_Center_Entrance.jpg?utm_source=commons.wikimedia.org&amp;utm_campaign=imageinfo&amp;utm_content=thumbnail","original_url":"https://upload.wikimedia.org/wikipedia/commons/4/41/Bakersfield_Convention_Center_Entrance.jpg?utm_source=commons.wikimedia.org&amp;utm_campaign=imageinfo&amp;utm_content=original","pixel_review":{"method":"İndirilen kare temas sayfasında görüldü; kaynak mekân kimliğiyle eşleştirildi. Seçim kaydı final-pixel-review.json.","status":"verified","caption":"Dignity Health Arena · 2011 tarihli fotoğraf","reviewer":"Codex (AI)","review_id":"C54"},"downloaded_at":"2026-10-23T19:08:04.118767+00:00","download_sha256":"c089723bbd11ab62d39416047ef7a5bf9e260f1ac005dade01178903d0a2b000","downloaded_file":"downloads/c089723bbd11ab62d39416047ef7a5bf9e260f1ac005dade01178903d0a2b000.jpg","acquisition_file":"f4e540e09b54020d221dcbd7.webp","commons_filename":"Bakersfield Convention Center Entrance.jpg","original_file_url":"https://upload.wikimedia.org/wikipedia/commons/4/41/Bakersfield_Convention_Center_Entranc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4/41/Bakersfield_Convention_Center_Entrance.jpg?utm_source=commons.wikimedia.org&amp;utm_campaign=imageinfo&amp;utm_content=original"},"metadata_reviewed_on":"2026-10-24","metadata_review_status":"verified"}}</x:v>
      </x:c>
    </x:row>
    <x:row r="56" ht="300" customHeight="1">
      <x:c r="A56" s="29" t="str">
        <x:v>bakersfield:evidence:venue-22021</x:v>
      </x:c>
      <x:c r="B56" s="29" t="str">
        <x:v>bakersfield</x:v>
      </x:c>
      <x:c r="C56" s="29" t="str">
        <x:v>bakersfield:photo:venue-22021</x:v>
      </x:c>
      <x:c r="D56" s="29" t="str">
        <x:v>https://commons.wikimedia.org/wiki/File:Rabobank_Arena_(2338756009).jpg</x:v>
      </x:c>
      <x:c r="E56" s="29" t="str">
        <x:v>Rabobank Arena (2338756009).jpg</x:v>
      </x:c>
      <x:c r="F56" s="29" t="str">
        <x:v>mark6mauno</x:v>
      </x:c>
      <x:c r="G56" s="29" t="str">
        <x:v>CC BY 2.0</x:v>
      </x:c>
      <x:c r="H56" s="29" t="str">
        <x:v>https://creativecommons.org/licenses/by/2.0</x:v>
      </x:c>
      <x:c r="I56" s="29" t="str">
        <x:v>Creative Commons Attribution 2.0</x:v>
      </x:c>
      <x:c r="J56" s="29" t="str">
        <x:v>Rabobank Arena (2338756009).jpg · mark6mauno · CC BY 2.0 · https://commons.wikimedia.org/wiki/File:Rabobank_Arena_(2338756009).jpg</x:v>
      </x:c>
      <x:c r="K5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6" s="31" t="d">
        <x:v>2026-10-24T00:00:00.000Z</x:v>
      </x:c>
      <x:c r="M56" s="29" t="str">
        <x:v>Doğrulandı</x:v>
      </x:c>
      <x:c r="N56" s="29" t="str">
        <x:v>Doğrulandı</x:v>
      </x:c>
      <x:c r="O56" s="29" t="str">
        <x:v>Fotoğraflar/bk-994d5b44b196d4ee25b7e2af.webp</x:v>
      </x:c>
      <x:c r="P56" s="29" t="str">
        <x:v>Dignity Health Arena · 2008 tarihli fotoğraf · İndirilen kare temas sayfasında görüldü; kaynak mekân kimliğiyle eşleştirildi. Seçim kaydı final-pixel-review.json.</x:v>
      </x:c>
      <x:c r="Q56" s="29" t="str">
        <x:v>Bu kare için uygun</x:v>
      </x:c>
      <x:c r="R5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6" s="29" t="str">
        <x:v>Lisans kanıtları/bk-994d5b44b196d4ee25b7e2af.source-evidence.json</x:v>
      </x:c>
      <x:c r="T56" s="29" t="str">
        <x:v>d96a22776f1b8fc9ceb057332556279703be8235c62017021f7184f13870ac96</x:v>
      </x:c>
      <x:c r="U56" s="29" t="str">
        <x:v>Lisans kanıtları/bk-994d5b44b196d4ee25b7e2af.license-record.json</x:v>
      </x:c>
      <x:c r="V56" s="29" t="str">
        <x:v>be5ef827b89077c75546e2d5d6bfa540dd583875a7c07e59914eecf14d3cafd0</x:v>
      </x:c>
      <x:c r="W56" s="29" t="str">
        <x:v>{"file":"bk-994d5b44b196d4ee25b7e2af.webp","width":1280,"author":"mark6mauno","height":852,"sha256":"994d5b44b196d4ee25b7e2af94c0236ed0086fde0384514c4ccfc16cba112b49","license":"CC BY 2.0","imageinfo":{"url":"https://upload.wikimedia.org/wikipedia/commons/c/c2/Rabobank_Arena_%282338756009%29.jpg?utm_source=commons.wikimedia.org&amp;utm_campaign=imageinfo&amp;utm_content=original","mime":"image/jpeg","sha1":"3e9152dd7e84f54363aebb9af05453005844c4b7","size":3151546,"width":4256,"height":2832,"pageid":77835076,"thumburl":"https://thumb.wikimedia.org/wikipedia/commons/thumb/c/c2/Rabobank_Arena_%282338756009%29.jpg/1280px-Rabobank_Arena_%282338756009%29.jpg?utm_source=commons.wikimedia.org&amp;utm_campaign=imageinfo&amp;utm_content=thumbnail","timestamp":"2019-04-07T10:00:51Z","thumbwidth":1280,"extmetadata":{"Artist":{"value":"&lt;a rel=\"nofollow\" class=\"external text\" href=\"https://www.flickr.com/people/98147195@N00\"&gt;mark6mauno&lt;/a&gt;","source":"commons-desc-page"},"Credit":{"value":"&lt;a rel=\"nofollow\" class=\"external text\" href=\"https://www.flickr.com/photos/mark6mauno/2338756009/\"&gt;Rabobank Arena&lt;/a&gt;","source":"commons-desc-page"},"License":{"value":"cc-by-2.0","hidden":"","source":"commons-templates"},"DateTime":{"value":"2019-04-07 10:00:51","hidden":"","source":"mediawiki-metadata"},"Categories":{"value":"Flickr images reviewed by FlickreviewR 2|Photographs by Mark Mauno|Alaska Aces at Bakersfield Condors (March 15, 2008)","hidden":"","source":"commons-categories"},"LicenseUrl":{"value":"https://creativecommons.org/licenses/by/2.0","source":"commons-desc-page"},"ObjectName":{"value":"Rabobank Arena (2338756009)","source":"mediawiki-metadata"},"UsageTerms":{"value":"Creative Commons Attribution 2.0","source":"commons-desc-page"},"Assessments":{"value":"","hidden":"","source":"commons-categories"},"Copyrighted":{"value":"True","hidden":"","source":"commons-desc-page"},"GPSLatitude":{"value":"35.372289","source":"commons-desc-page"},"GPSMapDatum":{"value":"WGS-84","hidden":"","source":"commons-desc-page"},"GPSLongitude":{"value":"-119.013626","source":"commons-desc-page"},"Restrictions":{"value":"","hidden":"","source":"commons-desc-page"},"DateTimeOriginal":{"value":"2008-03-15 17:15","source":"commons-desc-page"},"ImageDescription":{"value":"Rabobank Arena","source":"commons-desc-page"},"LicenseShortName":{"value":"CC BY 2.0","hidden":"","source":"commons-desc-page"},"AttributionRequired":{"value":"true","hidden":"","source":"commons-desc-page"},"CommonsMetadataExtension":{"value":1.2,"hidden":"","source":"extension"}},"thumbheight":852,"thumbattribs":{"src":"https://thumb.wikimedia.org/wikipedia/commons/thumb/c/c2/Rabobank_Arena_%282338756009%29.jpg/1280px-Rabobank_Arena_%282338756009%29.jpg?utm_source=commons.wikimedia.org&amp;utm_campaign=imageinfo&amp;utm_content=thumbnail","width":1280,"height":852,"srcset":"https://thumb.wikimedia.org/wikipedia/commons/thumb/c/c2/Rabobank_Arena_%282338756009%29.jpg/3840px-Rabobank_Arena_%282338756009%29.jpg?utm_source=commons.wikimedia.org&amp;utm_campaign=imageinfo&amp;utm_content=thumbnail 2x","loading":"lazy","decoding":"async"},"descriptionurl":"https://commons.wikimedia.org/wiki/File:Rabobank_Arena_(2338756009).jpg","responsiveUrls":{"2":"https://thumb.wikimedia.org/wikipedia/commons/thumb/c/c2/Rabobank_Arena_%282338756009%29.jpg/3840px-Rabobank_Arena_%282338756009%29.jpg?utm_source=commons.wikimedia.org&amp;utm_campaign=imageinfo&amp;utm_content=thumbnail"},"descriptionshorturl":"https://commons.wikimedia.org/w/index.php?curid=77835076"},"selection":{"qid":"pending","kind":"candidate","title":"Additional local candidates"},"author_url":"https://www.flickr.com/people/98147195@N00","derivative":"Wikimedia thumbnail decoded; EXIF orientation applied; converted to WebP quality 86; no generated pixels, no cropping.","source_url":"https://commons.wikimedia.org/wiki/File:Rabobank_Arena_(2338756009).jpg","author_urls":["https://www.flickr.com/people/98147195@N00"],"description":"Rabobank Arena","license_url":"https://creativecommons.org/licenses/by/2.0","reviewed_on":"2026-10-24","capture_date":"2008-03-15 17:15","download_url":"https://thumb.wikimedia.org/wikipedia/commons/thumb/c/c2/Rabobank_Arena_%282338756009%29.jpg/1280px-Rabobank_Arena_%282338756009%29.jpg?utm_source=commons.wikimedia.org&amp;utm_campaign=imageinfo&amp;utm_content=thumbnail","original_url":"https://upload.wikimedia.org/wikipedia/commons/c/c2/Rabobank_Arena_%282338756009%29.jpg?utm_source=commons.wikimedia.org&amp;utm_campaign=imageinfo&amp;utm_content=original","pixel_review":{"method":"İndirilen kare temas sayfasında görüldü; kaynak mekân kimliğiyle eşleştirildi. Seçim kaydı final-pixel-review.json.","status":"verified","caption":"Dignity Health Arena · 2008 tarihli fotoğraf","reviewer":"Codex (AI)","review_id":"A26"},"downloaded_at":"2026-10-23T19:34:32.908840+00:00","download_sha256":"f447e852b669e34bd2f4379260d1b6b76ee644acacdf38c0b86bd3425c9c906b","downloaded_file":"downloads/f447e852b669e34bd2f4379260d1b6b76ee644acacdf38c0b86bd3425c9c906b.jpg","acquisition_file":"48c57878fe34c2fbe894cff2.webp","commons_filename":"Rabobank Arena (2338756009).jpg","original_file_url":"https://upload.wikimedia.org/wikipedia/commons/c/c2/Rabobank_Arena_%282338756009%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dönüştürüldü.","photo_attribution":{"author_url":"https://www.flickr.com/people/98147195@N00","modifications":"EXIF yönü uygulandı; boyut küçültülüp WebP biçimine dönüştürüldü.","original_file_url":"https://upload.wikimedia.org/wikipedia/commons/c/c2/Rabobank_Arena_%282338756009%29.jpg?utm_source=commons.wikimedia.org&amp;utm_campaign=imageinfo&amp;utm_content=original"},"metadata_reviewed_on":"2026-10-24","metadata_review_status":"verified"}}</x:v>
      </x:c>
    </x:row>
    <x:row r="57" ht="300" customHeight="1">
      <x:c r="A57" s="29" t="str">
        <x:v>bakersfield:evidence:venue-22022</x:v>
      </x:c>
      <x:c r="B57" s="29" t="str">
        <x:v>bakersfield</x:v>
      </x:c>
      <x:c r="C57" s="29" t="str">
        <x:v>bakersfield:photo:venue-22022</x:v>
      </x:c>
      <x:c r="D57" s="29" t="str">
        <x:v>https://commons.wikimedia.org/wiki/File:Rabobank_Arena_(476044847).jpg</x:v>
      </x:c>
      <x:c r="E57" s="29" t="str">
        <x:v>Rabobank Arena (476044847).jpg</x:v>
      </x:c>
      <x:c r="F57" s="29" t="str">
        <x:v>mark6mauno</x:v>
      </x:c>
      <x:c r="G57" s="29" t="str">
        <x:v>CC BY 2.0</x:v>
      </x:c>
      <x:c r="H57" s="29" t="str">
        <x:v>https://creativecommons.org/licenses/by/2.0</x:v>
      </x:c>
      <x:c r="I57" s="29" t="str">
        <x:v>Creative Commons Attribution 2.0</x:v>
      </x:c>
      <x:c r="J57" s="29" t="str">
        <x:v>Rabobank Arena (476044847).jpg · mark6mauno · CC BY 2.0 · https://commons.wikimedia.org/wiki/File:Rabobank_Arena_(476044847).jpg</x:v>
      </x:c>
      <x:c r="K5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7" s="31" t="d">
        <x:v>2026-10-24T00:00:00.000Z</x:v>
      </x:c>
      <x:c r="M57" s="29" t="str">
        <x:v>Doğrulandı</x:v>
      </x:c>
      <x:c r="N57" s="29" t="str">
        <x:v>Doğrulandı</x:v>
      </x:c>
      <x:c r="O57" s="29" t="str">
        <x:v>Fotoğraflar/bk-2b9035128c3f573d66fe6fd5.webp</x:v>
      </x:c>
      <x:c r="P57" s="29" t="str">
        <x:v>Dignity Health Arena · 2007 tarihli fotoğraf · İndirilen kare temas sayfasında görüldü; kaynak mekân kimliğiyle eşleştirildi. Seçim kaydı final-pixel-review.json.</x:v>
      </x:c>
      <x:c r="Q57" s="29" t="str">
        <x:v>Bu kare için uygun</x:v>
      </x:c>
      <x:c r="R5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7" s="29" t="str">
        <x:v>Lisans kanıtları/bk-2b9035128c3f573d66fe6fd5.source-evidence.json</x:v>
      </x:c>
      <x:c r="T57" s="29" t="str">
        <x:v>7a97b95afef95fc35a913c499d03a7a0d95516f5583c403dedc908cece75c740</x:v>
      </x:c>
      <x:c r="U57" s="29" t="str">
        <x:v>Lisans kanıtları/bk-2b9035128c3f573d66fe6fd5.license-record.json</x:v>
      </x:c>
      <x:c r="V57" s="29" t="str">
        <x:v>3e7af5a50e49e2e423951f6f87298d5a67c6b24ea35385c40694a754cd573536</x:v>
      </x:c>
      <x:c r="W57" s="29" t="str">
        <x:v>{"file":"bk-2b9035128c3f573d66fe6fd5.webp","width":1280,"author":"mark6mauno","height":857,"sha256":"2b9035128c3f573d66fe6fd5a1e333ac7ae01ad343777b8ba2ebba5152de06b4","license":"CC BY 2.0","imageinfo":{"url":"https://upload.wikimedia.org/wikipedia/commons/d/dd/Rabobank_Arena_%28476044847%29.jpg?utm_source=commons.wikimedia.org&amp;utm_campaign=imageinfo&amp;utm_content=original","mime":"image/jpeg","sha1":"74068c36e2c69b9760bb75b364c1f3ebabc15ed7","size":7720730,"width":3872,"height":2592,"pageid":77839109,"thumburl":"https://thumb.wikimedia.org/wikipedia/commons/thumb/d/dd/Rabobank_Arena_%28476044847%29.jpg/1280px-Rabobank_Arena_%28476044847%29.jpg?utm_source=commons.wikimedia.org&amp;utm_campaign=imageinfo&amp;utm_content=thumbnail","timestamp":"2019-04-07T12:15:03Z","thumbwidth":1280,"extmetadata":{"Artist":{"value":"&lt;a rel=\"mw:ExtLink nofollow\" href=\"https://www.flickr.com/people/98147195@N00\" class=\"external text\"&gt;mark6mauno&lt;/a&gt;","source":"commons-desc-page"},"Credit":{"value":"&lt;a rel=\"mw:ExtLink nofollow\" href=\"https://www.flickr.com/photos/mark6mauno/476044847/\" class=\"external text\"&gt;Rabobank Arena&lt;/a&gt;","source":"commons-desc-page"},"License":{"value":"cc-by-2.0","hidden":"","source":"commons-templates"},"DateTime":{"value":"2019-04-07 12:15:03","hidden":"","source":"mediawiki-metadata"},"Categories":{"value":"Flickr images reviewed by FlickreviewR 2|Photographs by Mark Mauno|Alaska Aces at Bakersfield Condors (April 27, 2007)","hidden":"","source":"commons-categories"},"LicenseUrl":{"value":"https://creativecommons.org/licenses/by/2.0","source":"commons-desc-page"},"ObjectName":{"value":"Rabobank Arena (476044847)","source":"mediawiki-metadata"},"UsageTerms":{"value":"Creative Commons Attribution 2.0","source":"commons-desc-page"},"Assessments":{"value":"","hidden":"","source":"commons-categories"},"Copyrighted":{"value":"True","hidden":"","source":"commons-desc-page"},"GPSLatitude":{"value":"35.372289","source":"commons-desc-page"},"GPSMapDatum":{"value":"WGS-84","hidden":"","source":"commons-desc-page"},"GPSLongitude":{"value":"-119.013626","source":"commons-desc-page"},"Restrictions":{"value":"","hidden":"","source":"commons-desc-page"},"DateTimeOriginal":{"value":"2007-04-27 20:09","source":"commons-desc-page"},"ImageDescription":{"value":"Rabobank Arena","source":"commons-desc-page"},"LicenseShortName":{"value":"CC BY 2.0","hidden":"","source":"commons-desc-page"},"AttributionRequired":{"value":"true","hidden":"","source":"commons-desc-page"},"CommonsMetadataExtension":{"value":1.2,"hidden":"","source":"extension"}},"thumbheight":857,"thumbattribs":{"src":"https://thumb.wikimedia.org/wikipedia/commons/thumb/d/dd/Rabobank_Arena_%28476044847%29.jpg/1280px-Rabobank_Arena_%28476044847%29.jpg?utm_source=commons.wikimedia.org&amp;utm_campaign=imageinfo&amp;utm_content=thumbnail","width":1280,"height":857,"srcset":"https://thumb.wikimedia.org/wikipedia/commons/thumb/d/dd/Rabobank_Arena_%28476044847%29.jpg/3840px-Rabobank_Arena_%28476044847%29.jpg?utm_source=commons.wikimedia.org&amp;utm_campaign=imageinfo&amp;utm_content=thumbnail 2x","loading":"lazy","decoding":"async"},"descriptionurl":"https://commons.wikimedia.org/wiki/File:Rabobank_Arena_(476044847).jpg","responsiveUrls":{"2":"https://thumb.wikimedia.org/wikipedia/commons/thumb/d/dd/Rabobank_Arena_%28476044847%29.jpg/3840px-Rabobank_Arena_%28476044847%29.jpg?utm_source=commons.wikimedia.org&amp;utm_campaign=imageinfo&amp;utm_content=thumbnail"},"descriptionshorturl":"https://commons.wikimedia.org/w/index.php?curid=77839109"},"selection":{"qid":"pending","kind":"candidate","title":"Additional local candidates"},"author_url":"https://www.flickr.com/people/98147195@N00","derivative":"Wikimedia thumbnail decoded; EXIF orientation applied; converted to WebP quality 86; no generated pixels, no cropping.","source_url":"https://commons.wikimedia.org/wiki/File:Rabobank_Arena_(476044847).jpg","author_urls":["https://www.flickr.com/people/98147195@N00"],"description":"Rabobank Arena","license_url":"https://creativecommons.org/licenses/by/2.0","reviewed_on":"2026-10-24","capture_date":"2007-04-27 20:09","download_url":"https://thumb.wikimedia.org/wikipedia/commons/thumb/d/dd/Rabobank_Arena_%28476044847%29.jpg/1280px-Rabobank_Arena_%28476044847%29.jpg?utm_source=commons.wikimedia.org&amp;utm_campaign=imageinfo&amp;utm_content=thumbnail","original_url":"https://upload.wikimedia.org/wikipedia/commons/d/dd/Rabobank_Arena_%28476044847%29.jpg?utm_source=commons.wikimedia.org&amp;utm_campaign=imageinfo&amp;utm_content=original","pixel_review":{"method":"İndirilen kare temas sayfasında görüldü; kaynak mekân kimliğiyle eşleştirildi. Seçim kaydı final-pixel-review.json.","status":"verified","caption":"Dignity Health Arena · 2007 tarihli fotoğraf","reviewer":"Codex (AI)","review_id":"A28"},"downloaded_at":"2026-10-23T19:34:34.905736+00:00","download_sha256":"ce49e033f090c3f2a0729e94b8d497a563e9dc048204ae51d429b69e841544b5","downloaded_file":"downloads/ce49e033f090c3f2a0729e94b8d497a563e9dc048204ae51d429b69e841544b5.jpg","acquisition_file":"ee5caeeb47dfbbc77f3d4d45.webp","commons_filename":"Rabobank Arena (476044847).jpg","original_file_url":"https://upload.wikimedia.org/wikipedia/commons/d/dd/Rabobank_Arena_%28476044847%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dönüştürüldü.","photo_attribution":{"author_url":"https://www.flickr.com/people/98147195@N00","modifications":"EXIF yönü uygulandı; boyut küçültülüp WebP biçimine dönüştürüldü.","original_file_url":"https://upload.wikimedia.org/wikipedia/commons/d/dd/Rabobank_Arena_%28476044847%29.jpg?utm_source=commons.wikimedia.org&amp;utm_campaign=imageinfo&amp;utm_content=original"},"metadata_reviewed_on":"2026-10-24","metadata_review_status":"verified"}}</x:v>
      </x:c>
    </x:row>
    <x:row r="58" ht="300" customHeight="1">
      <x:c r="A58" s="29" t="str">
        <x:v>bakersfield:evidence:venue-22023</x:v>
      </x:c>
      <x:c r="B58" s="29" t="str">
        <x:v>bakersfield</x:v>
      </x:c>
      <x:c r="C58" s="29" t="str">
        <x:v>bakersfield:photo:venue-22023</x:v>
      </x:c>
      <x:c r="D58" s="29" t="str">
        <x:v>https://commons.wikimedia.org/wiki/File:Rabobank_Arena_plaza_(476209362).jpg</x:v>
      </x:c>
      <x:c r="E58" s="29" t="str">
        <x:v>Rabobank Arena plaza (476209362).jpg</x:v>
      </x:c>
      <x:c r="F58" s="29" t="str">
        <x:v>mark6mauno</x:v>
      </x:c>
      <x:c r="G58" s="29" t="str">
        <x:v>CC BY 2.0</x:v>
      </x:c>
      <x:c r="H58" s="29" t="str">
        <x:v>https://creativecommons.org/licenses/by/2.0</x:v>
      </x:c>
      <x:c r="I58" s="29" t="str">
        <x:v>Creative Commons Attribution 2.0</x:v>
      </x:c>
      <x:c r="J58" s="29" t="str">
        <x:v>Rabobank Arena plaza (476209362).jpg · mark6mauno · CC BY 2.0 · https://commons.wikimedia.org/wiki/File:Rabobank_Arena_plaza_(476209362).jpg</x:v>
      </x:c>
      <x:c r="K5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8" s="31" t="d">
        <x:v>2026-10-24T00:00:00.000Z</x:v>
      </x:c>
      <x:c r="M58" s="29" t="str">
        <x:v>Doğrulandı</x:v>
      </x:c>
      <x:c r="N58" s="29" t="str">
        <x:v>Doğrulandı</x:v>
      </x:c>
      <x:c r="O58" s="29" t="str">
        <x:v>Fotoğraflar/bk-4177ef3e918c29561936df0c.webp</x:v>
      </x:c>
      <x:c r="P58" s="29" t="str">
        <x:v>Dignity Health Arena · 2007 tarihli fotoğraf · İndirilen kare temas sayfasında görüldü; kaynak mekân kimliğiyle eşleştirildi. Seçim kaydı final-pixel-review.json.</x:v>
      </x:c>
      <x:c r="Q58" s="29" t="str">
        <x:v>Bu kare için uygun</x:v>
      </x:c>
      <x:c r="R5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8" s="29" t="str">
        <x:v>Lisans kanıtları/bk-4177ef3e918c29561936df0c.source-evidence.json</x:v>
      </x:c>
      <x:c r="T58" s="29" t="str">
        <x:v>812e4ec34d98fd0d6b28f0ddad3fa984ac44fafb4f106eb49c75407807e0ba88</x:v>
      </x:c>
      <x:c r="U58" s="29" t="str">
        <x:v>Lisans kanıtları/bk-4177ef3e918c29561936df0c.license-record.json</x:v>
      </x:c>
      <x:c r="V58" s="29" t="str">
        <x:v>e7837e75c643626ffd05e1e0d278a8678d84ea01e0f59d3f0b2c1519b1b4017c</x:v>
      </x:c>
      <x:c r="W58" s="29" t="str">
        <x:v>{"file":"bk-4177ef3e918c29561936df0c.webp","width":1280,"author":"mark6mauno","height":857,"sha256":"4177ef3e918c29561936df0ccf5125809d20782ae5e7c65275810ce4b161c83e","license":"CC BY 2.0","imageinfo":{"url":"https://upload.wikimedia.org/wikipedia/commons/7/7f/Rabobank_Arena_plaza_%28476209362%29.jpg?utm_source=commons.wikimedia.org&amp;utm_campaign=imageinfo&amp;utm_content=original","mime":"image/jpeg","sha1":"7e8c440e59c0beb2e5b24200e19c5371b7471ad3","size":6329048,"width":3872,"height":2592,"pageid":77838929,"thumburl":"https://thumb.wikimedia.org/wikipedia/commons/thumb/7/7f/Rabobank_Arena_plaza_%28476209362%29.jpg/1280px-Rabobank_Arena_plaza_%28476209362%29.jpg?utm_source=commons.wikimedia.org&amp;utm_campaign=imageinfo&amp;utm_content=thumbnail","timestamp":"2019-04-07T12:05:25Z","thumbwidth":1280,"extmetadata":{"Artist":{"value":"&lt;a rel=\"nofollow\" class=\"external text\" href=\"https://www.flickr.com/people/98147195@N00\"&gt;mark6mauno&lt;/a&gt;","source":"commons-desc-page"},"Credit":{"value":"&lt;a rel=\"nofollow\" class=\"external text\" href=\"https://www.flickr.com/photos/mark6mauno/476209362/\"&gt;Rabobank Arena plaza&lt;/a&gt;","source":"commons-desc-page"},"License":{"value":"cc-by-2.0","hidden":"","source":"commons-templates"},"DateTime":{"value":"2019-04-07 12:05:25","hidden":"","source":"mediawiki-metadata"},"Categories":{"value":"Flickr images reviewed by FlickreviewR 2|Photographs by Mark Mauno|Alaska Aces at Bakersfield Condors (April 27, 2007)","hidden":"","source":"commons-categories"},"LicenseUrl":{"value":"https://creativecommons.org/licenses/by/2.0","source":"commons-desc-page"},"ObjectName":{"value":"Rabobank Arena plaza (476209362)","source":"mediawiki-metadata"},"UsageTerms":{"value":"Creative Commons Attribution 2.0","source":"commons-desc-page"},"Assessments":{"value":"","hidden":"","source":"commons-categories"},"Copyrighted":{"value":"True","hidden":"","source":"commons-desc-page"},"GPSLatitude":{"value":"35.373147","source":"commons-desc-page"},"GPSMapDatum":{"value":"WGS-84","hidden":"","source":"commons-desc-page"},"GPSLongitude":{"value":"-119.013926","source":"commons-desc-page"},"Restrictions":{"value":"","hidden":"","source":"commons-desc-page"},"DateTimeOriginal":{"value":"2007-04-27 17:47","source":"commons-desc-page"},"ImageDescription":{"value":"Rabobank Arena plaza","source":"commons-desc-page"},"LicenseShortName":{"value":"CC BY 2.0","hidden":"","source":"commons-desc-page"},"AttributionRequired":{"value":"true","hidden":"","source":"commons-desc-page"},"CommonsMetadataExtension":{"value":1.2,"hidden":"","source":"extension"}},"thumbheight":857,"thumbattribs":{"src":"https://thumb.wikimedia.org/wikipedia/commons/thumb/7/7f/Rabobank_Arena_plaza_%28476209362%29.jpg/1280px-Rabobank_Arena_plaza_%28476209362%29.jpg?utm_source=commons.wikimedia.org&amp;utm_campaign=imageinfo&amp;utm_content=thumbnail","width":1280,"height":857,"srcset":"https://thumb.wikimedia.org/wikipedia/commons/thumb/7/7f/Rabobank_Arena_plaza_%28476209362%29.jpg/3840px-Rabobank_Arena_plaza_%28476209362%29.jpg?utm_source=commons.wikimedia.org&amp;utm_campaign=imageinfo&amp;utm_content=thumbnail 2x","loading":"lazy","decoding":"async"},"descriptionurl":"https://commons.wikimedia.org/wiki/File:Rabobank_Arena_plaza_(476209362).jpg","responsiveUrls":{"2":"https://thumb.wikimedia.org/wikipedia/commons/thumb/7/7f/Rabobank_Arena_plaza_%28476209362%29.jpg/3840px-Rabobank_Arena_plaza_%28476209362%29.jpg?utm_source=commons.wikimedia.org&amp;utm_campaign=imageinfo&amp;utm_content=thumbnail"},"descriptionshorturl":"https://commons.wikimedia.org/w/index.php?curid=77838929"},"selection":{"qid":"pending","kind":"candidate","title":"Additional local candidates"},"author_url":"https://www.flickr.com/people/98147195@N00","derivative":"Wikimedia thumbnail decoded; EXIF orientation applied; converted to WebP quality 86; no generated pixels, no cropping.","source_url":"https://commons.wikimedia.org/wiki/File:Rabobank_Arena_plaza_(476209362).jpg","author_urls":["https://www.flickr.com/people/98147195@N00"],"description":"Rabobank Arena plaza","license_url":"https://creativecommons.org/licenses/by/2.0","reviewed_on":"2026-10-24","capture_date":"2007-04-27 17:47","download_url":"https://thumb.wikimedia.org/wikipedia/commons/thumb/7/7f/Rabobank_Arena_plaza_%28476209362%29.jpg/1280px-Rabobank_Arena_plaza_%28476209362%29.jpg?utm_source=commons.wikimedia.org&amp;utm_campaign=imageinfo&amp;utm_content=thumbnail","original_url":"https://upload.wikimedia.org/wikipedia/commons/7/7f/Rabobank_Arena_plaza_%28476209362%29.jpg?utm_source=commons.wikimedia.org&amp;utm_campaign=imageinfo&amp;utm_content=original","pixel_review":{"method":"İndirilen kare temas sayfasında görüldü; kaynak mekân kimliğiyle eşleştirildi. Seçim kaydı final-pixel-review.json.","status":"verified","caption":"Dignity Health Arena · 2007 tarihli fotoğraf","reviewer":"Codex (AI)","review_id":"A30"},"downloaded_at":"2026-10-23T19:34:35.838405+00:00","download_sha256":"d4f28e096023ae7ead6e61333a49cfa2154606513d0ed874163f975ad015ad5f","downloaded_file":"downloads/d4f28e096023ae7ead6e61333a49cfa2154606513d0ed874163f975ad015ad5f.jpg","acquisition_file":"e661200d62cdb6248a23b992.webp","commons_filename":"Rabobank Arena plaza (476209362).jpg","original_file_url":"https://upload.wikimedia.org/wikipedia/commons/7/7f/Rabobank_Arena_plaza_%28476209362%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dönüştürüldü.","photo_attribution":{"author_url":"https://www.flickr.com/people/98147195@N00","modifications":"EXIF yönü uygulandı; boyut küçültülüp WebP biçimine dönüştürüldü.","original_file_url":"https://upload.wikimedia.org/wikipedia/commons/7/7f/Rabobank_Arena_plaza_%28476209362%29.jpg?utm_source=commons.wikimedia.org&amp;utm_campaign=imageinfo&amp;utm_content=original"},"metadata_reviewed_on":"2026-10-24","metadata_review_status":"verified"}}</x:v>
      </x:c>
    </x:row>
    <x:row r="59" ht="300" customHeight="1">
      <x:c r="A59" s="29" t="str">
        <x:v>bakersfield:evidence:venue-22024</x:v>
      </x:c>
      <x:c r="B59" s="29" t="str">
        <x:v>bakersfield</x:v>
      </x:c>
      <x:c r="C59" s="29" t="str">
        <x:v>bakersfield:photo:venue-22024</x:v>
      </x:c>
      <x:c r="D59" s="29" t="str">
        <x:v>https://www.flickr.com/photos/59834630@N07/7624937820/</x:v>
      </x:c>
      <x:c r="E59" s="29" t="str">
        <x:v>Dignity Health Amphitheatre · 2012 tarihli fotoğraf</x:v>
      </x:c>
      <x:c r="F59" s="29" t="str">
        <x:v>Randall Degges</x:v>
      </x:c>
      <x:c r="G59" s="29" t="str">
        <x:v>CC BY 2.0</x:v>
      </x:c>
      <x:c r="H59" s="29" t="str">
        <x:v>https://creativecommons.org/licenses/by/2.0/</x:v>
      </x:c>
      <x:c r="I59" s="29" t="str">
        <x:v>CC BY 2.0</x:v>
      </x:c>
      <x:c r="J59" s="29" t="str">
        <x:v>Dignity Health Amphitheatre · 2012 tarihli fotoğraf · Randall Degges · CC BY 2.0 · https://www.flickr.com/photos/59834630@N07/7624937820/</x:v>
      </x:c>
      <x:c r="K5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59" s="31" t="d">
        <x:v>2026-10-24T00:00:00.000Z</x:v>
      </x:c>
      <x:c r="M59" s="29" t="str">
        <x:v>Doğrulandı</x:v>
      </x:c>
      <x:c r="N59" s="29" t="str">
        <x:v>Doğrulandı</x:v>
      </x:c>
      <x:c r="O59" s="29" t="str">
        <x:v>Fotoğraflar/bk-e676229083fbbffc0a739e1a.webp</x:v>
      </x:c>
      <x:c r="P59" s="29" t="str">
        <x:v>Dignity Health Amphitheatre · 2012 tarihli fotoğraf · İndirilen kare temas sayfasında görüldü; kaynak mekân kimliğiyle eşleştirildi. Seçim kaydı final-pixel-review.json.</x:v>
      </x:c>
      <x:c r="Q59" s="29" t="str">
        <x:v>Bu kare için uygun</x:v>
      </x:c>
      <x:c r="R5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59" s="29" t="str">
        <x:v>Lisans kanıtları/bk-e676229083fbbffc0a739e1a.source-evidence.json</x:v>
      </x:c>
      <x:c r="T59" s="29" t="str">
        <x:v>234759f92c03c89faaa3684df2476d2cf58f91fa31c7c114d8a7e096b64c0095</x:v>
      </x:c>
      <x:c r="U59" s="29" t="str">
        <x:v>Lisans kanıtları/bk-e676229083fbbffc0a739e1a.license-record.json</x:v>
      </x:c>
      <x:c r="V59" s="29" t="str">
        <x:v>33abc502ab2f2458a1df3d11a311d6afa0f79f86fdb9ebdc97f07a1f3be8b74e</x:v>
      </x:c>
      <x:c r="W59" s="29" t="str">
        <x:v>{"file":"bk-e676229083fbbffc0a739e1a.webp","width":1024,"author":"Randall Degges","height":683,"sha256":"e676229083fbbffc0a739e1acf2e55bb26d356004cace97e2ca395ad6f1ca6c1","status":"reviewed-selected","license":"CC BY 2.0","provider":"Flickr","review_id":"F126","source_id":"7624937820","author_url":"https://www.flickr.com/photos/59834630@N07/","date_texts":["Uploaded on July 22, 2012 Taken on June 28, 2012","Taken on June 28, 2012","Uploaded on July 22, 2012 Taken on June 28, 2012","Taken on June 28, 2012"],"source_url":"https://www.flickr.com/photos/59834630@N07/7624937820/","description":"Brighthouse amphitheater. The park at Riverwalk, Bakersfield California.","license_url":"https://creativecommons.org/licenses/by/2.0/","review_note":"Sahne yapısı açıkça görünür; tarihli bağlam.","reviewed_on":"2026-10-24","source_text":"Picture 015 | Brighthouse amphitheater. The park at Riverwal…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015 Brighthouse amphitheater. The park at Riverwalk, Bakersfield California. Done 350 views 0 faves 0 comments Uploaded on July 22, 2012 Taken on June 28, 2012 Randall Degges By: Randall Degges Picture 015 Brighthouse amphitheater. The park at Riverwalk, Bakersfield California. Done 350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photography.","capture_date":"2012-06-28","download_url":"https://live.staticflickr.com/7127/7624937820_055f5763ae_b.jpg","original_url":"https://live.staticflickr.com/7127/7624937820_2403ab1bba_o.jpg","pixel_review":{"method":"İndirilen kare temas sayfasında görüldü; kaynak mekân kimliğiyle eşleştirildi. Seçim kaydı final-pixel-review.json.","status":"verified","caption":"Dignity Health Amphitheatre · 2012 tarihli fotoğraf","reviewer":"Codex (AI)","review_id":"F126"},"source_title":"Picture 015","downloaded_at":"2026-10-23T19:50:09.889229+00:00","download_sha256":"b757494a0a6598b1ca44b54467191e14744198490fe7f51e6c3ec7b337fcba71","downloaded_file":"downloads/b757494a0a6598b1ca44b54467191e14744198490fe7f51e6c3ec7b337fcba71.jpg","public_metadata":{"photo-models":[{"data":{"id":"7624937820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7127/7624937820_055f5763ae_c.jpg","width":800,"height":533,"displayUrl":"//live.staticflickr.com/7127/7624937820_055f5763ae_c.jpg"},"exportMetaType":"pojo"},"h":{"data":{"url":"//live.staticflickr.com/7127/7624937820_4eda301444_h.jpg","width":1600,"height":1067,"displayUrl":"//live.staticflickr.com/7127/7624937820_4eda301444_h.jpg"},"exportMetaType":"pojo"},"k":{"data":{"url":"//live.staticflickr.com/7127/7624937820_3433539665_k.jpg","width":2048,"height":1365,"displayUrl":"//live.staticflickr.com/7127/7624937820_3433539665_k.jpg"},"exportMetaType":"pojo"},"l":{"data":{"url":"//live.staticflickr.com/7127/7624937820_055f5763ae_b.jpg","width":1024,"height":683,"displayUrl":"//live.staticflickr.com/7127/7624937820_055f5763ae_b.jpg"},"exportMetaType":"pojo"},"m":{"data":{"url":"//live.staticflickr.com/7127/7624937820_055f5763ae.jpg","width":500,"height":333,"displayUrl":"//live.staticflickr.com/7127/7624937820_055f5763ae.jpg"},"exportMetaType":"pojo"},"n":{"data":{"url":"//live.staticflickr.com/7127/7624937820_055f5763ae_n.jpg","width":320,"height":213,"displayUrl":"//live.staticflickr.com/7127/7624937820_055f5763ae_n.jpg"},"exportMetaType":"pojo"},"o":{"data":{"url":"//live.staticflickr.com/7127/7624937820_2403ab1bba_o.jpg","width":5616,"height":3744,"displayUrl":"//live.staticflickr.com/7127/7624937820_2403ab1bba_o.jpg"},"exportMetaType":"pojo"},"q":{"data":{"url":"//live.staticflickr.com/7127/7624937820_055f5763ae_q.jpg","width":150,"height":150,"displayUrl":"//live.staticflickr.com/7127/7624937820_055f5763ae_q.jpg"},"exportMetaType":"pojo"},"s":{"data":{"url":"//live.staticflickr.com/7127/7624937820_055f5763ae_m.jpg","width":240,"height":160,"displayUrl":"//live.staticflickr.com/7127/7624937820_055f5763ae_m.jpg"},"exportMetaType":"pojo"},"t":{"data":{"url":"//live.staticflickr.com/7127/7624937820_055f5763ae_t.jpg","width":100,"height":67,"displayUrl":"//live.staticflickr.com/7127/7624937820_055f5763ae_t.jpg"},"exportMetaType":"pojo"},"w":{"data":{"url":"//live.staticflickr.com/7127/7624937820_055f5763ae_w.jpg","width":400,"height":267,"displayUrl":"//live.staticflickr.com/7127/7624937820_055f5763ae_w.jpg"},"exportMetaType":"pojo"},"z":{"data":{"url":"//live.staticflickr.com/7127/7624937820_055f5763ae_z.jpg","width":640,"height":427,"displayUrl":"//live.staticflickr.com/7127/7624937820_055f5763ae_z.jpg"},"exportMetaType":"pojo"},"sq":{"data":{"url":"//live.staticflickr.com/7127/7624937820_055f5763ae_s.jpg","width":75,"height":75,"displayUrl":"//live.staticflickr.com/7127/7624937820_055f5763ae_s.jpg"},"exportMetaType":"pojo"}},"exportMetaType":"pojo"},"title":"Picture 015","oWidth":5616,"secret":"055f5763ae","license":4,"oHeight":3744,"rotation":0,"canAddMeta":false,"canComment":false,"engagement":{"data":{"id":"7624937820","canShare":true,"ownerNsid":"59834630@N07","reactions":{"data":{"like":{"data":{"id":"like","count":5,"canReact":true,"didViewerReact":true},"exportMetaType":"pojo"},"someOtherReaction":{"data":{"id":"someOtherReaction","count":3,"canReact":true,"didViewerReact":false},"exportMetaType":"pojo"}},"exportMetaType":"pojo"},"viewCount":350,"canDownload":true,"_flickrModelRegistry":"photo-engagement-models"},"exportMetaType":"model"},"description":"Brighthouse amphitheater. The park at Riverwalk, Bakersfield California.","safetyLevel":0,"upgradeSizes":{"data":[],"exportMetaType":"array"},"adEligibility":{"data":{"lane":1,"labels":{"data":[],"exportMetaType":"array"},"isAdEligible":true,"highScoreLabels":{"data":[],"exportMetaType":"array"}},"exportMetaType":"pojo"},"canPublicComment":true,"_flickrModelRegistry":"photo-models"},"exportMetaType":"model"}],"photo-geo-models":[{"data":{"id":"7624937820","_flickrModelRegistry":"photo-geo-models"},"exportMetaType":"model"}],"photo-location-models":[{"data":{"id":"7624937820","geo":{"data":"~2","exportMetaType":"model"},"text":"","levels":{"data":{},"exportMetaType":"pojo"},"staticMaps":{"data":{},"exportMetaType":"pojo"},"_flickrModelRegistry":"photo-location-models"},"exportMetaType":"model"}],"photo-head-meta-models":[{"data":{"id":"7624937820","title":"Picture 015","og:url":"https://www.flickr.com/photos/randalldegges/7624937820/","og:type":"article","keywords":"riverwalk, bakersfieldcalifornia, brighthouseamphitheater","og:image":"https://live.staticflickr.com/7127/7624937820_055f5763ae_b.jpg","og:title":"Picture 015","twitter:card":"summary_large_image","twitter:image":"https://live.staticflickr.com/7127/7624937820_055f5763ae_b.jpg","og:description":"Brighthouse amphitheater. The park at Riverwalk, Bakersfield California.","og:image:width":1024,"og:image:height":683,"twitter:creator":"@rdegges","twitter:description":"Brighthouse amphitheater. The park at Riverwalk, Bakersfield California.","_flickrModelRegistry":"photo-head-meta-models","twitter:app:url:ipad":"flickr://flickr.com/photos/randalldegges/7624937820/","twitter:app:url:iphone":"flickr://flickr.com/photos/randalldegges/7624937820/","twitter:app:url:googleplay":"https://www.flickr.com/photos/randalldegges/7624937820/"},"exportMetaType":"model"}],"photo-license-history-models":[]},"acquisition_file":"fl-7624937820.webp","source_html_file":"/Users/atincakcayoz/corteqs/output/bakersfield-production-20261023/flickr-source-pages/7624937820.html","original_file_url":"https://live.staticflickr.com/7127/7624937820_2403ab1bba_o.jpg","proposed_identity":"Dignity Health Amphitheatre","source_html_sha256":"97a858614d6bb962585b7dfa8fb2682b3d9d5d09a8b6e93308ef162ddad9ecad","third_party_rights_review":{"basis":"Kaynakta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dönüştürüldü.","original_file_url":"https://live.staticflickr.com/7127/7624937820_2403ab1bba_o.jpg"},"metadata_reviewed_on":"2026-10-24","metadata_review_status":"verified"}}</x:v>
      </x:c>
    </x:row>
    <x:row r="60" ht="300" customHeight="1">
      <x:c r="A60" s="29" t="str">
        <x:v>bakersfield:evidence:venue-22025</x:v>
      </x:c>
      <x:c r="B60" s="29" t="str">
        <x:v>bakersfield</x:v>
      </x:c>
      <x:c r="C60" s="29" t="str">
        <x:v>bakersfield:photo:venue-22025</x:v>
      </x:c>
      <x:c r="D60" s="29" t="str">
        <x:v>https://www.flickr.com/photos/59834630@N07/7625890998/</x:v>
      </x:c>
      <x:c r="E60" s="29" t="str">
        <x:v>Dignity Health Amphitheatre · 2012 tarihli fotoğraf</x:v>
      </x:c>
      <x:c r="F60" s="29" t="str">
        <x:v>Randall Degges</x:v>
      </x:c>
      <x:c r="G60" s="29" t="str">
        <x:v>CC BY 2.0</x:v>
      </x:c>
      <x:c r="H60" s="29" t="str">
        <x:v>https://creativecommons.org/licenses/by/2.0/</x:v>
      </x:c>
      <x:c r="I60" s="29" t="str">
        <x:v>CC BY 2.0</x:v>
      </x:c>
      <x:c r="J60" s="29" t="str">
        <x:v>Dignity Health Amphitheatre · 2012 tarihli fotoğraf · Randall Degges · CC BY 2.0 · https://www.flickr.com/photos/59834630@N07/7625890998/</x:v>
      </x:c>
      <x:c r="K6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0" s="31" t="d">
        <x:v>2026-10-24T00:00:00.000Z</x:v>
      </x:c>
      <x:c r="M60" s="29" t="str">
        <x:v>Doğrulandı</x:v>
      </x:c>
      <x:c r="N60" s="29" t="str">
        <x:v>Doğrulandı</x:v>
      </x:c>
      <x:c r="O60" s="29" t="str">
        <x:v>Fotoğraflar/bk-2d3eb048f5d488c33e5eee41.webp</x:v>
      </x:c>
      <x:c r="P60" s="29" t="str">
        <x:v>Dignity Health Amphitheatre · 2012 tarihli fotoğraf · İndirilen kare temas sayfasında görüldü; kaynak mekân kimliğiyle eşleştirildi. Seçim kaydı final-pixel-review.json.</x:v>
      </x:c>
      <x:c r="Q60" s="29" t="str">
        <x:v>Bu kare için uygun</x:v>
      </x:c>
      <x:c r="R6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0" s="29" t="str">
        <x:v>Lisans kanıtları/bk-2d3eb048f5d488c33e5eee41.source-evidence.json</x:v>
      </x:c>
      <x:c r="T60" s="29" t="str">
        <x:v>5148930e0f8cd61bbbd659b49fbac85cbf9a57420d6e5bf718856f4916815948</x:v>
      </x:c>
      <x:c r="U60" s="29" t="str">
        <x:v>Lisans kanıtları/bk-2d3eb048f5d488c33e5eee41.license-record.json</x:v>
      </x:c>
      <x:c r="V60" s="29" t="str">
        <x:v>b743548adbd80dab274f74c012cef7c81eca0e199bfa0ce9cce014c3bd16fe7e</x:v>
      </x:c>
      <x:c r="W60" s="29" t="str">
        <x:v>{"file":"bk-2d3eb048f5d488c33e5eee41.webp","width":1024,"author":"Randall Degges","height":683,"sha256":"2d3eb048f5d488c33e5eee41cc06d7f001f5166889a9b6d177ea832ada465173","status":"reviewed-selected","license":"CC BY 2.0","provider":"Flickr","review_id":"E164","source_id":"7625890998","author_url":"https://www.flickr.com/photos/59834630@N07/","date_texts":["Uploaded on July 23, 2012 Taken on June 28, 2012","Taken on June 28, 2012","Uploaded on July 23, 2012 Taken on June 28, 2012","Taken on June 28, 2012"],"source_url":"https://www.flickr.com/photos/59834630@N07/7625890998/","description":"Grass lines the bleachers at the Brighthouse amphitheater.","license_url":"https://creativecommons.org/licenses/by/2.0/","review_note":"Seating and stage beside lake.","reviewed_on":"2026-10-24","source_text":"Picture 041 | Grass lines the bleachers at the Brighthouse a…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041 Grass lines the bleachers at the Brighthouse amphitheater. Done 153 views 1 fave 0 comments Uploaded on July 23, 2012 Taken on June 28, 2012 Randall Degges By: Randall Degges Picture 041 Grass lines the bleachers at the Brighthouse amphitheater. Done 153 views 1 fave 0 comments Uploaded on July 23,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photography.","capture_date":"2012-06-28","download_url":"https://live.staticflickr.com/7269/7625890998_519d3128ba_b.jpg","original_url":"https://live.staticflickr.com/7269/7625890998_2796eefa4d_o.jpg","pixel_review":{"method":"İndirilen kare temas sayfasında görüldü; kaynak mekân kimliğiyle eşleştirildi. Seçim kaydı final-pixel-review.json.","status":"verified","caption":"Dignity Health Amphitheatre · 2012 tarihli fotoğraf","reviewer":"Codex (AI)","review_id":"E164"},"source_title":"Picture 041","downloaded_at":"2026-10-23T19:50:41.662806+00:00","download_sha256":"52342dfb17a2a7ac4d98c3bc750988d85ece7264fae9d8e4108362473438eb47","downloaded_file":"downloads/52342dfb17a2a7ac4d98c3bc750988d85ece7264fae9d8e4108362473438eb47.jpg","public_metadata":{"photo-models":[{"data":{"id":"7625890998","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7269/7625890998_519d3128ba_c.jpg","width":800,"height":533,"displayUrl":"//live.staticflickr.com/7269/7625890998_519d3128ba_c.jpg"},"exportMetaType":"pojo"},"h":{"data":{"url":"//live.staticflickr.com/7269/7625890998_7a978232de_h.jpg","width":1600,"height":1067,"displayUrl":"//live.staticflickr.com/7269/7625890998_7a978232de_h.jpg"},"exportMetaType":"pojo"},"k":{"data":{"url":"//live.staticflickr.com/7269/7625890998_0a1e4f11e6_k.jpg","width":2048,"height":1365,"displayUrl":"//live.staticflickr.com/7269/7625890998_0a1e4f11e6_k.jpg"},"exportMetaType":"pojo"},"l":{"data":{"url":"//live.staticflickr.com/7269/7625890998_519d3128ba_b.jpg","width":1024,"height":683,"displayUrl":"//live.staticflickr.com/7269/7625890998_519d3128ba_b.jpg"},"exportMetaType":"pojo"},"m":{"data":{"url":"//live.staticflickr.com/7269/7625890998_519d3128ba.jpg","width":500,"height":333,"displayUrl":"//live.staticflickr.com/7269/7625890998_519d3128ba.jpg"},"exportMetaType":"pojo"},"n":{"data":{"url":"//live.staticflickr.com/7269/7625890998_519d3128ba_n.jpg","width":320,"height":213,"displayUrl":"//live.staticflickr.com/7269/7625890998_519d3128ba_n.jpg"},"exportMetaType":"pojo"},"o":{"data":{"url":"//live.staticflickr.com/7269/7625890998_2796eefa4d_o.jpg","width":5616,"height":3744,"displayUrl":"//live.staticflickr.com/7269/7625890998_2796eefa4d_o.jpg"},"exportMetaType":"pojo"},"q":{"data":{"url":"//live.staticflickr.com/7269/7625890998_519d3128ba_q.jpg","width":150,"height":150,"displayUrl":"//live.staticflickr.com/7269/7625890998_519d3128ba_q.jpg"},"exportMetaType":"pojo"},"s":{"data":{"url":"//live.staticflickr.com/7269/7625890998_519d3128ba_m.jpg","width":240,"height":160,"displayUrl":"//live.staticflickr.com/7269/7625890998_519d3128ba_m.jpg"},"exportMetaType":"pojo"},"t":{"data":{"url":"//live.staticflickr.com/7269/7625890998_519d3128ba_t.jpg","width":100,"height":67,"displayUrl":"//live.staticflickr.com/7269/7625890998_519d3128ba_t.jpg"},"exportMetaType":"pojo"},"w":{"data":{"url":"//live.staticflickr.com/7269/7625890998_519d3128ba_w.jpg","width":400,"height":267,"displayUrl":"//live.staticflickr.com/7269/7625890998_519d3128ba_w.jpg"},"exportMetaType":"pojo"},"z":{"data":{"url":"//live.staticflickr.com/7269/7625890998_519d3128ba_z.jpg","width":640,"height":427,"displayUrl":"//live.staticflickr.com/7269/7625890998_519d3128ba_z.jpg"},"exportMetaType":"pojo"},"sq":{"data":{"url":"//live.staticflickr.com/7269/7625890998_519d3128ba_s.jpg","width":75,"height":75,"displayUrl":"//live.staticflickr.com/7269/7625890998_519d3128ba_s.jpg"},"exportMetaType":"pojo"}},"exportMetaType":"pojo"},"title":"Picture 041","oWidth":5616,"secret":"519d3128ba","license":4,"oHeight":3744,"rotation":0,"canAddMeta":false,"canComment":false,"engagement":{"data":{"id":"7625890998","canShare":true,"faveCount":1,"ownerNsid":"59834630@N07","reactions":{"data":{"like":{"data":{"id":"like","count":5,"canReact":true,"didViewerReact":true},"exportMetaType":"pojo"},"someOtherReaction":{"data":{"id":"someOtherReaction","count":3,"canReact":true,"didViewerReact":false},"exportMetaType":"pojo"}},"exportMetaType":"pojo"},"viewCount":153,"canDownload":true,"_flickrModelRegistry":"photo-engagement-models"},"exportMetaType":"model"},"description":"Grass lines the bleachers at the Brighthouse amphitheater.","safetyLevel":0,"upgradeSizes":{"data":[],"exportMetaType":"array"},"adEligibility":{"data":{"lane":1,"labels":{"data":[],"exportMetaType":"array"},"isAdEligible":true,"highScoreLabels":{"data":[],"exportMetaType":"array"}},"exportMetaType":"pojo"},"canPublicComment":true,"_flickrModelRegistry":"photo-models"},"exportMetaType":"model"}],"photo-geo-models":[{"data":{"id":"7625890998","_flickrModelRegistry":"photo-geo-models"},"exportMetaType":"model"}],"photo-location-models":[{"data":{"id":"7625890998","geo":{"data":"~2","exportMetaType":"model"},"text":"","levels":{"data":{},"exportMetaType":"pojo"},"staticMaps":{"data":{},"exportMetaType":"pojo"},"_flickrModelRegistry":"photo-location-models"},"exportMetaType":"model"}],"photo-head-meta-models":[{"data":{"id":"7625890998","title":"Picture 041","og:url":"https://www.flickr.com/photos/randalldegges/7625890998/","og:type":"article","keywords":"ca, bakersfield","og:image":"https://live.staticflickr.com/7269/7625890998_519d3128ba_b.jpg","og:title":"Picture 041","twitter:card":"summary_large_image","twitter:image":"https://live.staticflickr.com/7269/7625890998_519d3128ba_b.jpg","og:description":"Grass lines the bleachers at the Brighthouse amphitheater.","og:image:width":1024,"og:image:height":683,"twitter:creator":"@rdegges","twitter:description":"Grass lines the bleachers at the Brighthouse amphitheater.","_flickrModelRegistry":"photo-head-meta-models","twitter:app:url:ipad":"flickr://flickr.com/photos/randalldegges/7625890998/","twitter:app:url:iphone":"flickr://flickr.com/photos/randalldegges/7625890998/","twitter:app:url:googleplay":"https://www.flickr.com/photos/randalldegges/7625890998/"},"exportMetaType":"model"}],"photo-license-history-models":[]},"acquisition_file":"fl-7625890998.webp","source_html_file":"/Users/atincakcayoz/corteqs/output/bakersfield-production-20261023/flickr-source-pages/7625890998.html","original_file_url":"https://live.staticflickr.com/7269/7625890998_2796eefa4d_o.jpg","proposed_identity":"Dignity Health Amphitheatre","source_html_sha256":"694f49d32dd2dafd3960ec1fc566312cc4c5877e018a0e9cfd517032c1621c2c","third_party_rights_review":{"basis":"Kaynakta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dönüştürüldü.","original_file_url":"https://live.staticflickr.com/7269/7625890998_2796eefa4d_o.jpg"},"metadata_reviewed_on":"2026-10-24","metadata_review_status":"verified"}}</x:v>
      </x:c>
    </x:row>
    <x:row r="61" ht="300" customHeight="1">
      <x:c r="A61" s="29" t="str">
        <x:v>bakersfield:evidence:venue-22026</x:v>
      </x:c>
      <x:c r="B61" s="29" t="str">
        <x:v>bakersfield</x:v>
      </x:c>
      <x:c r="C61" s="29" t="str">
        <x:v>bakersfield:photo:venue-22026</x:v>
      </x:c>
      <x:c r="D61" s="29" t="str">
        <x:v>https://www.flickr.com/photos/59834630@N07/7625054134/</x:v>
      </x:c>
      <x:c r="E61" s="29" t="str">
        <x:v>Dignity Health Amphitheatre · 2012 tarihli fotoğraf</x:v>
      </x:c>
      <x:c r="F61" s="29" t="str">
        <x:v>Randall Degges</x:v>
      </x:c>
      <x:c r="G61" s="29" t="str">
        <x:v>CC BY 2.0</x:v>
      </x:c>
      <x:c r="H61" s="29" t="str">
        <x:v>https://creativecommons.org/licenses/by/2.0/</x:v>
      </x:c>
      <x:c r="I61" s="29" t="str">
        <x:v>CC BY 2.0</x:v>
      </x:c>
      <x:c r="J61" s="29" t="str">
        <x:v>Dignity Health Amphitheatre · 2012 tarihli fotoğraf · Randall Degges · CC BY 2.0 · https://www.flickr.com/photos/59834630@N07/7625054134/</x:v>
      </x:c>
      <x:c r="K6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1" s="31" t="d">
        <x:v>2026-10-24T00:00:00.000Z</x:v>
      </x:c>
      <x:c r="M61" s="29" t="str">
        <x:v>Doğrulandı</x:v>
      </x:c>
      <x:c r="N61" s="29" t="str">
        <x:v>Doğrulandı</x:v>
      </x:c>
      <x:c r="O61" s="29" t="str">
        <x:v>Fotoğraflar/bk-e66e719e970080e7f5aef31a.webp</x:v>
      </x:c>
      <x:c r="P61" s="29" t="str">
        <x:v>Dignity Health Amphitheatre · 2012 tarihli fotoğraf · İndirilen kare temas sayfasında görüldü; kaynak mekân kimliğiyle eşleştirildi. Seçim kaydı final-pixel-review.json.</x:v>
      </x:c>
      <x:c r="Q61" s="29" t="str">
        <x:v>Bu kare için uygun</x:v>
      </x:c>
      <x:c r="R6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1" s="29" t="str">
        <x:v>Lisans kanıtları/bk-e66e719e970080e7f5aef31a.source-evidence.json</x:v>
      </x:c>
      <x:c r="T61" s="29" t="str">
        <x:v>dc14befd1566e2e48722529a92516ad15cff4d1e5c0f26d7ca3ac6befcc5f360</x:v>
      </x:c>
      <x:c r="U61" s="29" t="str">
        <x:v>Lisans kanıtları/bk-e66e719e970080e7f5aef31a.license-record.json</x:v>
      </x:c>
      <x:c r="V61" s="29" t="str">
        <x:v>93e9e382b85986a3836668663713e9ca4c059f6467c6bc0f39f5aacc0b1f2b96</x:v>
      </x:c>
      <x:c r="W61" s="29" t="str">
        <x:v>{"file":"bk-e66e719e970080e7f5aef31a.webp","width":1024,"author":"Randall Degges","height":683,"sha256":"e66e719e970080e7f5aef31a7964dbd31cd7b583b58037446650128c792d3e73","status":"reviewed-selected","license":"CC BY 2.0","provider":"Flickr","review_id":"E219","source_id":"7625054134","author_url":"https://www.flickr.com/photos/59834630@N07/","date_texts":["Uploaded on July 22, 2012 Taken on June 28, 2012","Taken on June 28, 2012","Uploaded on July 22, 2012 Taken on June 28, 2012","Taken on June 28, 2012"],"source_url":"https://www.flickr.com/photos/59834630@N07/7625054134/","description":"Brighthouse amphitheater at the Park at Riverwalk Bakersfield.","license_url":"https://creativecommons.org/licenses/by/2.0/","review_note":"Stage seen from across lake.","reviewed_on":"2026-10-24","source_text":"Picture 011 | Brighthouse amphitheater at the Park at Riverw…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011 Brighthouse amphitheater at the Park at Riverwalk Bakersfield. Done 114 views 0 faves 0 comments Uploaded on July 22, 2012 Taken on June 28, 2012 Randall Degges By: Randall Degges Picture 011 Brighthouse amphitheater at the Park at Riverwalk Bakersfield. Done 114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photography.","capture_date":"2012-06-28","download_url":"https://live.staticflickr.com/7246/7625054134_316e3bbcf6_b.jpg","original_url":"https://live.staticflickr.com/7246/7625054134_7947fd3cf4_o.jpg","pixel_review":{"method":"İndirilen kare temas sayfasında görüldü; kaynak mekân kimliğiyle eşleştirildi. Seçim kaydı final-pixel-review.json.","status":"verified","caption":"Dignity Health Amphitheatre · 2012 tarihli fotoğraf","reviewer":"Codex (AI)","review_id":"E219"},"source_title":"Picture 011","downloaded_at":"2026-10-23T19:50:43.869882+00:00","download_sha256":"d1891c2371c4eb4f650a3632f770b45539ad713b41e26fa43d12a52067b3ea9a","downloaded_file":"downloads/d1891c2371c4eb4f650a3632f770b45539ad713b41e26fa43d12a52067b3ea9a.jpg","public_metadata":{"photo-models":[{"data":{"id":"7625054134","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7246/7625054134_316e3bbcf6_c.jpg","width":800,"height":533,"displayUrl":"//live.staticflickr.com/7246/7625054134_316e3bbcf6_c.jpg"},"exportMetaType":"pojo"},"h":{"data":{"url":"//live.staticflickr.com/7246/7625054134_1d414c93cf_h.jpg","width":1600,"height":1067,"displayUrl":"//live.staticflickr.com/7246/7625054134_1d414c93cf_h.jpg"},"exportMetaType":"pojo"},"k":{"data":{"url":"//live.staticflickr.com/7246/7625054134_101d2358e4_k.jpg","width":2048,"height":1365,"displayUrl":"//live.staticflickr.com/7246/7625054134_101d2358e4_k.jpg"},"exportMetaType":"pojo"},"l":{"data":{"url":"//live.staticflickr.com/7246/7625054134_316e3bbcf6_b.jpg","width":1024,"height":683,"displayUrl":"//live.staticflickr.com/7246/7625054134_316e3bbcf6_b.jpg"},"exportMetaType":"pojo"},"m":{"data":{"url":"//live.staticflickr.com/7246/7625054134_316e3bbcf6.jpg","width":500,"height":333,"displayUrl":"//live.staticflickr.com/7246/7625054134_316e3bbcf6.jpg"},"exportMetaType":"pojo"},"n":{"data":{"url":"//live.staticflickr.com/7246/7625054134_316e3bbcf6_n.jpg","width":320,"height":213,"displayUrl":"//live.staticflickr.com/7246/7625054134_316e3bbcf6_n.jpg"},"exportMetaType":"pojo"},"o":{"data":{"url":"//live.staticflickr.com/7246/7625054134_7947fd3cf4_o.jpg","width":5616,"height":3744,"displayUrl":"//live.staticflickr.com/7246/7625054134_7947fd3cf4_o.jpg"},"exportMetaType":"pojo"},"q":{"data":{"url":"//live.staticflickr.com/7246/7625054134_316e3bbcf6_q.jpg","width":150,"height":150,"displayUrl":"//live.staticflickr.com/7246/7625054134_316e3bbcf6_q.jpg"},"exportMetaType":"pojo"},"s":{"data":{"url":"//live.staticflickr.com/7246/7625054134_316e3bbcf6_m.jpg","width":240,"height":160,"displayUrl":"//live.staticflickr.com/7246/7625054134_316e3bbcf6_m.jpg"},"exportMetaType":"pojo"},"t":{"data":{"url":"//live.staticflickr.com/7246/7625054134_316e3bbcf6_t.jpg","width":100,"height":67,"displayUrl":"//live.staticflickr.com/7246/7625054134_316e3bbcf6_t.jpg"},"exportMetaType":"pojo"},"w":{"data":{"url":"//live.staticflickr.com/7246/7625054134_316e3bbcf6_w.jpg","width":400,"height":267,"displayUrl":"//live.staticflickr.com/7246/7625054134_316e3bbcf6_w.jpg"},"exportMetaType":"pojo"},"z":{"data":{"url":"//live.staticflickr.com/7246/7625054134_316e3bbcf6_z.jpg","width":640,"height":427,"displayUrl":"//live.staticflickr.com/7246/7625054134_316e3bbcf6_z.jpg"},"exportMetaType":"pojo"},"sq":{"data":{"url":"//live.staticflickr.com/7246/7625054134_316e3bbcf6_s.jpg","width":75,"height":75,"displayUrl":"//live.staticflickr.com/7246/7625054134_316e3bbcf6_s.jpg"},"exportMetaType":"pojo"}},"exportMetaType":"pojo"},"title":"Picture 011","oWidth":5616,"secret":"316e3bbcf6","license":4,"oHeight":3744,"rotation":0,"canAddMeta":false,"canComment":false,"engagement":{"data":{"id":"7625054134","canShare":true,"ownerNsid":"59834630@N07","reactions":{"data":{"like":{"data":{"id":"like","count":5,"canReact":true,"didViewerReact":true},"exportMetaType":"pojo"},"someOtherReaction":{"data":{"id":"someOtherReaction","count":3,"canReact":true,"didViewerReact":false},"exportMetaType":"pojo"}},"exportMetaType":"pojo"},"viewCount":114,"canDownload":true,"_flickrModelRegistry":"photo-engagement-models"},"exportMetaType":"model"},"description":"Brighthouse amphitheater at the Park at Riverwalk Bakersfield.","safetyLevel":0,"upgradeSizes":{"data":[],"exportMetaType":"array"},"adEligibility":{"data":{"lane":1,"labels":{"data":[],"exportMetaType":"array"},"isAdEligible":true,"highScoreLabels":{"data":[],"exportMetaType":"array"}},"exportMetaType":"pojo"},"canPublicComment":true,"_flickrModelRegistry":"photo-models"},"exportMetaType":"model"}],"photo-geo-models":[{"data":{"id":"7625054134","_flickrModelRegistry":"photo-geo-models"},"exportMetaType":"model"}],"photo-location-models":[{"data":{"id":"7625054134","geo":{"data":"~2","exportMetaType":"model"},"text":"","levels":{"data":{},"exportMetaType":"pojo"},"staticMaps":{"data":{},"exportMetaType":"pojo"},"_flickrModelRegistry":"photo-location-models"},"exportMetaType":"model"}],"photo-head-meta-models":[{"data":{"id":"7625054134","title":"Picture 011","og:url":"https://www.flickr.com/photos/randalldegges/7625054134/","og:type":"article","keywords":"lake, amphitheatre, lakeside, ampitheater, brighthouse","og:image":"https://live.staticflickr.com/7246/7625054134_316e3bbcf6_b.jpg","og:title":"Picture 011","twitter:card":"summary_large_image","twitter:image":"https://live.staticflickr.com/7246/7625054134_316e3bbcf6_b.jpg","og:description":"Brighthouse amphitheater at the Park at Riverwalk Bakersfield.","og:image:width":1024,"og:image:height":683,"twitter:creator":"@rdegges","twitter:description":"Brighthouse amphitheater at the Park at Riverwalk Bakersfield.","_flickrModelRegistry":"photo-head-meta-models","twitter:app:url:ipad":"flickr://flickr.com/photos/randalldegges/7625054134/","twitter:app:url:iphone":"flickr://flickr.com/photos/randalldegges/7625054134/","twitter:app:url:googleplay":"https://www.flickr.com/photos/randalldegges/7625054134/"},"exportMetaType":"model"}],"photo-license-history-models":[]},"acquisition_file":"fl-7625054134.webp","source_html_file":"/Users/atincakcayoz/corteqs/output/bakersfield-production-20261023/flickr-source-pages/7625054134.html","original_file_url":"https://live.staticflickr.com/7246/7625054134_7947fd3cf4_o.jpg","proposed_identity":"Dignity Health Amphitheatre","source_html_sha256":"5d0d8af9b6479fc548a9baf9b2c5231339cac023a0199fe344b6d95a79a98bf9","third_party_rights_review":{"basis":"Kaynakta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dönüştürüldü.","original_file_url":"https://live.staticflickr.com/7246/7625054134_7947fd3cf4_o.jpg"},"metadata_reviewed_on":"2026-10-24","metadata_review_status":"verified"}}</x:v>
      </x:c>
    </x:row>
    <x:row r="62" ht="300" customHeight="1">
      <x:c r="A62" s="29" t="str">
        <x:v>bakersfield:evidence:venue-22027</x:v>
      </x:c>
      <x:c r="B62" s="29" t="str">
        <x:v>bakersfield</x:v>
      </x:c>
      <x:c r="C62" s="29" t="str">
        <x:v>bakersfield:photo:venue-22027</x:v>
      </x:c>
      <x:c r="D62" s="29" t="str">
        <x:v>https://commons.wikimedia.org/wiki/File:Mc_Murtrey_Aquatics_Center_Facing_South.jpg</x:v>
      </x:c>
      <x:c r="E62" s="29" t="str">
        <x:v>Mc Murtrey Aquatics Center Facing South.jpg</x:v>
      </x:c>
      <x:c r="F62" s="29" t="str">
        <x:v>Skyman9999</x:v>
      </x:c>
      <x:c r="G62" s="29" t="str">
        <x:v>CC0 1.0</x:v>
      </x:c>
      <x:c r="H62" s="29" t="str">
        <x:v>https://creativecommons.org/publicdomain/zero/1.0/</x:v>
      </x:c>
      <x:c r="I62" s="29" t="str">
        <x:v>Creative Commons Zero, Public Domain Dedication</x:v>
      </x:c>
      <x:c r="J62" s="29" t="str">
        <x:v>Mc Murtrey Aquatics Center Facing South.jpg · Skyman9999 · CC0 1.0 · https://commons.wikimedia.org/wiki/File:Mc_Murtrey_Aquatics_Center_Facing_South.jpg</x:v>
      </x:c>
      <x:c r="K6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2" s="31" t="d">
        <x:v>2026-10-24T00:00:00.000Z</x:v>
      </x:c>
      <x:c r="M62" s="29" t="str">
        <x:v>Doğrulandı</x:v>
      </x:c>
      <x:c r="N62" s="29" t="str">
        <x:v>Doğrulandı</x:v>
      </x:c>
      <x:c r="O62" s="29" t="str">
        <x:v>Fotoğraflar/bk-265df7d3773dfc4e61be3761.webp</x:v>
      </x:c>
      <x:c r="P62" s="29" t="str">
        <x:v>McMurtrey Aquatic Center · 2011 tarihli fotoğraf · İndirilen kare temas sayfasında görüldü; kaynak mekân kimliğiyle eşleştirildi. Seçim kaydı final-pixel-review.json.</x:v>
      </x:c>
      <x:c r="Q62" s="29" t="str">
        <x:v>Bu kare için uygun</x:v>
      </x:c>
      <x:c r="R6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2" s="29" t="str">
        <x:v>Lisans kanıtları/bk-265df7d3773dfc4e61be3761.source-evidence.json</x:v>
      </x:c>
      <x:c r="T62" s="29" t="str">
        <x:v>d7e45ca4aef62b645c0ae47c14cc4cfdf560dece102f9127991b16c47bb4ab6e</x:v>
      </x:c>
      <x:c r="U62" s="29" t="str">
        <x:v>Lisans kanıtları/bk-265df7d3773dfc4e61be3761.license-record.json</x:v>
      </x:c>
      <x:c r="V62" s="29" t="str">
        <x:v>c581a6677f064c1c6475e26f023a0236599a76e41f770a16018cf672a34a26a8</x:v>
      </x:c>
      <x:c r="W62" s="29" t="str">
        <x:v>{"file":"bk-265df7d3773dfc4e61be3761.webp","width":1280,"author":"Skyman9999","height":851,"sha256":"265df7d3773dfc4e61be3761d955df27690c429f7a56e7fdce93b4b519ef755e","license":"CC0 1.0","imageinfo":{"url":"https://upload.wikimedia.org/wikipedia/commons/1/17/Mc_Murtrey_Aquatics_Center_Facing_South.jpg?utm_source=commons.wikimedia.org&amp;utm_campaign=imageinfo&amp;utm_content=original","mime":"image/jpeg","sha1":"05ddb521b997efd7a5b1c548c3a9a83eba0e8f10","size":2543524,"width":3008,"height":2000,"pageid":17185033,"thumburl":"https://thumb.wikimedia.org/wikipedia/commons/thumb/1/17/Mc_Murtrey_Aquatics_Center_Facing_South.jpg/1280px-Mc_Murtrey_Aquatics_Center_Facing_South.jpg?utm_source=commons.wikimedia.org&amp;utm_campaign=imageinfo&amp;utm_content=thumbnail","timestamp":"2011-10-30T22:22:09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work&lt;/span&gt;","source":"commons-desc-page"},"License":{"value":"cc0","hidden":"","source":"commons-templates"},"DateTime":{"value":"2011-10-30 22:22:09","hidden":"","source":"mediawiki-metadata"},"Categories":{"value":"Taken with Nikon D50|CC-Zero|Outdoor swimming pools in California|Self-published work|Culture of Bakersfield, California","hidden":"","source":"commons-categories"},"LicenseUrl":{"value":"http://creativecommons.org/publicdomain/zero/1.0/deed.en","source":"commons-desc-page"},"ObjectName":{"value":"Mc Murtrey Aquatics Center Facing South","source":"mediawiki-metadata"},"UsageTerms":{"value":"Creative Commons Zero, Public Domain Dedication","source":"commons-desc-page"},"Assessments":{"value":"","hidden":"","source":"commons-categories"},"Copyrighted":{"value":"True","hidden":"","source":"commons-desc-page"},"Restrictions":{"value":"","hidden":"","source":"commons-desc-page"},"DateTimeOriginal":{"value":"2011-08-30","source":"commons-desc-page"},"ImageDescription":{"value":"View of the Mc Murtrey Aquatics Center from the south side.","source":"commons-desc-page"},"LicenseShortName":{"value":"CC0","hidden":"","source":"commons-desc-page"},"AttributionRequired":{"value":"false","hidden":"","source":"commons-desc-page"},"CommonsMetadataExtension":{"value":1.2,"hidden":"","source":"extension"}},"thumbheight":851,"thumbattribs":{"src":"https://thumb.wikimedia.org/wikipedia/commons/thumb/1/17/Mc_Murtrey_Aquatics_Center_Facing_South.jpg/1280px-Mc_Murtrey_Aquatics_Center_Facing_South.jpg?utm_source=commons.wikimedia.org&amp;utm_campaign=imageinfo&amp;utm_content=thumbnail","width":1280,"height":851,"srcset":"https://upload.wikimedia.org/wikipedia/commons/1/17/Mc_Murtrey_Aquatics_Center_Facing_South.jpg?utm_source=commons.wikimedia.org&amp;utm_campaign=imageinfo&amp;utm_content=thumbnail_unscaled 2x","loading":"lazy","decoding":"async"},"descriptionurl":"https://commons.wikimedia.org/wiki/File:Mc_Murtrey_Aquatics_Center_Facing_South.jpg","responsiveUrls":{"2":"https://upload.wikimedia.org/wikipedia/commons/1/17/Mc_Murtrey_Aquatics_Center_Facing_South.jpg?utm_source=commons.wikimedia.org&amp;utm_campaign=imageinfo&amp;utm_content=thumbnail_unscaled"},"descriptionshorturl":"https://commons.wikimedia.org/w/index.php?curid=17185033"},"selection":{"qid":"pending","kind":"candidate","title":"Additional local candidates"},"author_url":"https://commons.wikimedia.org/wiki/User:Skyman9999","derivative":"Wikimedia thumbnail decoded; EXIF orientation applied; converted to WebP quality 86; no generated pixels, no cropping.","source_url":"https://commons.wikimedia.org/wiki/File:Mc_Murtrey_Aquatics_Center_Facing_South.jpg","author_urls":["https://commons.wikimedia.org/wiki/User:Skyman9999"],"description":"View of the Mc Murtrey Aquatics Center from the south side.","license_url":"https://creativecommons.org/publicdomain/zero/1.0/","reviewed_on":"2026-10-24","capture_date":"2011-08-30","download_url":"https://thumb.wikimedia.org/wikipedia/commons/thumb/1/17/Mc_Murtrey_Aquatics_Center_Facing_South.jpg/1280px-Mc_Murtrey_Aquatics_Center_Facing_South.jpg?utm_source=commons.wikimedia.org&amp;utm_campaign=imageinfo&amp;utm_content=thumbnail","original_url":"https://upload.wikimedia.org/wikipedia/commons/1/17/Mc_Murtrey_Aquatics_Center_Facing_South.jpg?utm_source=commons.wikimedia.org&amp;utm_campaign=imageinfo&amp;utm_content=original","pixel_review":{"method":"İndirilen kare temas sayfasında görüldü; kaynak mekân kimliğiyle eşleştirildi. Seçim kaydı final-pixel-review.json.","status":"verified","caption":"McMurtrey Aquatic Center · 2011 tarihli fotoğraf","reviewer":"Codex (AI)","review_id":"A25"},"downloaded_at":"2026-10-23T19:34:31.792224+00:00","download_sha256":"eaedfc24899e183497aec8fcbc62379f0d96409c7aa529e4c2525aea0a7cfc98","downloaded_file":"downloads/eaedfc24899e183497aec8fcbc62379f0d96409c7aa529e4c2525aea0a7cfc98.jpg","acquisition_file":"db369f5650dcfdb053dc76b5.webp","commons_filename":"Mc Murtrey Aquatics Center Facing South.jpg","original_file_url":"https://upload.wikimedia.org/wikipedia/commons/1/17/Mc_Murtrey_Aquatics_Center_Facing_South.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1/17/Mc_Murtrey_Aquatics_Center_Facing_South.jpg?utm_source=commons.wikimedia.org&amp;utm_campaign=imageinfo&amp;utm_content=original"},"metadata_reviewed_on":"2026-10-24","metadata_review_status":"verified"}}</x:v>
      </x:c>
    </x:row>
    <x:row r="63" ht="300" customHeight="1">
      <x:c r="A63" s="29" t="str">
        <x:v>bakersfield:evidence:venue-22028</x:v>
      </x:c>
      <x:c r="B63" s="29" t="str">
        <x:v>bakersfield</x:v>
      </x:c>
      <x:c r="C63" s="29" t="str">
        <x:v>bakersfield:photo:venue-22028</x:v>
      </x:c>
      <x:c r="D63" s="29" t="str">
        <x:v>https://commons.wikimedia.org/wiki/File:Randsburg_(24304968146).jpg</x:v>
      </x:c>
      <x:c r="E63" s="29" t="str">
        <x:v>Randsburg (24304968146).jpg</x:v>
      </x:c>
      <x:c r="F63" s="29" t="str">
        <x:v>specchio.nero</x:v>
      </x:c>
      <x:c r="G63" s="29" t="str">
        <x:v>CC BY-SA 2.0</x:v>
      </x:c>
      <x:c r="H63" s="29" t="str">
        <x:v>https://creativecommons.org/licenses/by-sa/2.0</x:v>
      </x:c>
      <x:c r="I63" s="29" t="str">
        <x:v>Creative Commons Attribution-Share Alike 2.0</x:v>
      </x:c>
      <x:c r="J63" s="29" t="str">
        <x:v>Randsburg (24304968146).jpg · specchio.nero · CC BY-SA 2.0 · https://commons.wikimedia.org/wiki/File:Randsburg_(24304968146).jpg</x:v>
      </x:c>
      <x:c r="K6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3" s="31" t="d">
        <x:v>2026-10-24T00:00:00.000Z</x:v>
      </x:c>
      <x:c r="M63" s="29" t="str">
        <x:v>Doğrulandı</x:v>
      </x:c>
      <x:c r="N63" s="29" t="str">
        <x:v>Doğrulandı</x:v>
      </x:c>
      <x:c r="O63" s="29" t="str">
        <x:v>Fotoğraflar/bk-0b7743300a06f678b7cc67fb.webp</x:v>
      </x:c>
      <x:c r="P63" s="29" t="str">
        <x:v>Randsburg tarihî ana caddesi · 2015 tarihli fotoğraf · İndirilen kare temas sayfasında görüldü; kaynak mekân kimliğiyle eşleştirildi. Seçim kaydı final-pixel-review.json.</x:v>
      </x:c>
      <x:c r="Q63" s="29" t="str">
        <x:v>Bu kare için uygun</x:v>
      </x:c>
      <x:c r="R6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3" s="29" t="str">
        <x:v>Lisans kanıtları/bk-0b7743300a06f678b7cc67fb.source-evidence.json</x:v>
      </x:c>
      <x:c r="T63" s="29" t="str">
        <x:v>e8d1f145d2bac3fdbb83d97fa82769dcde677d2dc49c0a7009e32efc3e875b2f</x:v>
      </x:c>
      <x:c r="U63" s="29" t="str">
        <x:v>Lisans kanıtları/bk-0b7743300a06f678b7cc67fb.license-record.json</x:v>
      </x:c>
      <x:c r="V63" s="29" t="str">
        <x:v>0b5dd06e33d9c4d28d69012e4fb4a98af91c2c0924ae628daebf952cadd7dcd2</x:v>
      </x:c>
      <x:c r="W63" s="29" t="str">
        <x:v>{"file":"bk-0b7743300a06f678b7cc67fb.webp","width":1280,"author":"specchio.nero","height":853,"sha256":"0b7743300a06f678b7cc67fb0acd133c8d762188881cac22e18b3ecb653b6cd9","license":"CC BY-SA 2.0","imageinfo":{"url":"https://upload.wikimedia.org/wikipedia/commons/4/41/Randsburg_%2824304968146%29.jpg?utm_source=commons.wikimedia.org&amp;utm_campaign=imageinfo&amp;utm_content=original","mime":"image/jpeg","sha1":"53dc44633ec20791b05a3d38362e38da801946ed","size":1922771,"width":1500,"height":1000,"pageid":46346016,"thumburl":"https://thumb.wikimedia.org/wikipedia/commons/thumb/4/41/Randsburg_%2824304968146%29.jpg/1280px-Randsburg_%2824304968146%29.jpg?utm_source=commons.wikimedia.org&amp;utm_campaign=imageinfo&amp;utm_content=thumbnail","timestamp":"2016-01-13T00:59:21Z","thumbwidth":1280,"extmetadata":{"Artist":{"value":"&lt;a rel=\"nofollow\" class=\"external text\" href=\"https://www.flickr.com/people/65242918@N05\"&gt;specchio.nero&lt;/a&gt;","source":"commons-desc-page"},"Credit":{"value":"&lt;a rel=\"nofollow\" class=\"external text\" href=\"https://www.flickr.com/photos/65242918@N05/24304968146/\"&gt;Randsburg&lt;/a&gt;","source":"commons-desc-page"},"License":{"value":"cc-by-sa-2.0","hidden":"","source":"commons-templates"},"DateTime":{"value":"2016-01-13 00:59:21","hidden":"","source":"mediawiki-metadata"},"Categories":{"value":"Taken with Leica V-Lux (Typ 114)|Restaurants in California|Flickr images reviewed by FlickreviewR|Files uploaded by INeverCry|Buildings in Randsburg, California","hidden":"","source":"commons-categories"},"LicenseUrl":{"value":"https://creativecommons.org/licenses/by-sa/2.0","source":"commons-desc-page"},"ObjectName":{"value":"Randsburg (24304968146)","source":"mediawiki-metadata"},"UsageTerms":{"value":"Creative Commons Attribution-Share Alike 2.0","source":"commons-desc-page"},"Assessments":{"value":"","hidden":"","source":"commons-categories"},"Copyrighted":{"value":"True","hidden":"","source":"commons-desc-page"},"Restrictions":{"value":"","hidden":"","source":"commons-desc-page"},"DateTimeOriginal":{"value":"2015-12-27 03:07","source":"commons-desc-page"},"ImageDescription":{"value":"Randsburg","source":"commons-desc-page"},"LicenseShortName":{"value":"CC BY-SA 2.0","hidden":"","source":"commons-desc-page"},"AttributionRequired":{"value":"true","hidden":"","source":"commons-desc-page"},"CommonsMetadataExtension":{"value":1.2,"hidden":"","source":"extension"}},"thumbheight":853,"thumbattribs":{"src":"https://thumb.wikimedia.org/wikipedia/commons/thumb/4/41/Randsburg_%2824304968146%29.jpg/1280px-Randsburg_%2824304968146%29.jpg?utm_source=commons.wikimedia.org&amp;utm_campaign=imageinfo&amp;utm_content=thumbnail","width":1280,"height":853,"srcset":"https://upload.wikimedia.org/wikipedia/commons/4/41/Randsburg_%2824304968146%29.jpg?utm_source=commons.wikimedia.org&amp;utm_campaign=imageinfo&amp;utm_content=thumbnail_unscaled 2x","loading":"lazy","decoding":"async"},"descriptionurl":"https://commons.wikimedia.org/wiki/File:Randsburg_(24304968146).jpg","responsiveUrls":{"2":"https://upload.wikimedia.org/wikipedia/commons/4/41/Randsburg_%2824304968146%29.jpg?utm_source=commons.wikimedia.org&amp;utm_campaign=imageinfo&amp;utm_content=thumbnail_unscaled"},"descriptionshorturl":"https://commons.wikimedia.org/w/index.php?curid=46346016"},"selection":{"qid":"pending","kind":"candidate","title":"Bakersfield alternatives"},"author_url":"https://www.flickr.com/people/65242918@N05","derivative":"Wikimedia thumbnail decoded; EXIF orientation applied; converted to WebP quality 86; no generated pixels, no cropping.","source_url":"https://commons.wikimedia.org/wiki/File:Randsburg_(24304968146).jpg","author_urls":["https://www.flickr.com/people/65242918@N05"],"description":"Randsburg","license_url":"https://creativecommons.org/licenses/by-sa/2.0","reviewed_on":"2026-10-24","capture_date":"2015-12-27 03:07","download_url":"https://thumb.wikimedia.org/wikipedia/commons/thumb/4/41/Randsburg_%2824304968146%29.jpg/1280px-Randsburg_%2824304968146%29.jpg?utm_source=commons.wikimedia.org&amp;utm_campaign=imageinfo&amp;utm_content=thumbnail","original_url":"https://upload.wikimedia.org/wikipedia/commons/4/41/Randsburg_%2824304968146%29.jpg?utm_source=commons.wikimedia.org&amp;utm_campaign=imageinfo&amp;utm_content=original","pixel_review":{"method":"İndirilen kare temas sayfasında görüldü; kaynak mekân kimliğiyle eşleştirildi. Seçim kaydı final-pixel-review.json.","status":"verified","caption":"Randsburg tarihî ana caddesi · 2015 tarihli fotoğraf","reviewer":"Codex (AI)","review_id":"V1"},"downloaded_at":"2026-10-23T21:37:30.186668+00:00","download_sha256":"ac56ea67ddc1bc1750bf2378e47079e3afc11230b10e3d3c5ba066c91c87b462","downloaded_file":"downloads/ac56ea67ddc1bc1750bf2378e47079e3afc11230b10e3d3c5ba066c91c87b462.jpg","acquisition_file":"46417c18499e749db400350d.webp","commons_filename":"Randsburg (24304968146).jpg","original_file_url":"https://upload.wikimedia.org/wikipedia/commons/4/41/Randsburg_%2824304968146%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dönüştürüldü.","photo_attribution":{"author_url":"https://www.flickr.com/people/65242918@N05","modifications":"EXIF yönü uygulandı; boyut küçültülüp WebP biçimine dönüştürüldü.","original_file_url":"https://upload.wikimedia.org/wikipedia/commons/4/41/Randsburg_%2824304968146%29.jpg?utm_source=commons.wikimedia.org&amp;utm_campaign=imageinfo&amp;utm_content=original"},"metadata_reviewed_on":"2026-10-24","metadata_review_status":"verified"}}</x:v>
      </x:c>
    </x:row>
    <x:row r="64" ht="300" customHeight="1">
      <x:c r="A64" s="29" t="str">
        <x:v>bakersfield:evidence:venue-22029</x:v>
      </x:c>
      <x:c r="B64" s="29" t="str">
        <x:v>bakersfield</x:v>
      </x:c>
      <x:c r="C64" s="29" t="str">
        <x:v>bakersfield:photo:venue-22029</x:v>
      </x:c>
      <x:c r="D64" s="29" t="str">
        <x:v>https://commons.wikimedia.org/wiki/File:Randsburg_Ghost_Town,_CA_5-19-15d_(17941329260).jpg</x:v>
      </x:c>
      <x:c r="E64" s="29" t="str">
        <x:v>Randsburg Ghost Town, CA 5-19-15d (17941329260).jpg</x:v>
      </x:c>
      <x:c r="F64" s="29" t="str">
        <x:v>inkknife_2000 (7.5 million views +)</x:v>
      </x:c>
      <x:c r="G64" s="29" t="str">
        <x:v>CC BY-SA 2.0</x:v>
      </x:c>
      <x:c r="H64" s="29" t="str">
        <x:v>https://creativecommons.org/licenses/by-sa/2.0</x:v>
      </x:c>
      <x:c r="I64" s="29" t="str">
        <x:v>Creative Commons Attribution-Share Alike 2.0</x:v>
      </x:c>
      <x:c r="J64" s="29" t="str">
        <x:v>Randsburg Ghost Town, CA 5-19-15d (17941329260).jpg · inkknife_2000 (7.5 million views +) · CC BY-SA 2.0 · https://commons.wikimedia.org/wiki/File:Randsburg_Ghost_Town,_CA_5-19-15d_(17941329260).jpg</x:v>
      </x:c>
      <x:c r="K6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4" s="31" t="d">
        <x:v>2026-10-24T00:00:00.000Z</x:v>
      </x:c>
      <x:c r="M64" s="29" t="str">
        <x:v>Doğrulandı</x:v>
      </x:c>
      <x:c r="N64" s="29" t="str">
        <x:v>Doğrulandı</x:v>
      </x:c>
      <x:c r="O64" s="29" t="str">
        <x:v>Fotoğraflar/bk-8e840a9c0fa8ac6df296845b.webp</x:v>
      </x:c>
      <x:c r="P64" s="29" t="str">
        <x:v>Randsburg tarihî ana caddesi · 2015 tarihli fotoğraf · İndirilen kare temas sayfasında görüldü; kaynak mekân kimliğiyle eşleştirildi. Seçim kaydı final-pixel-review.json.</x:v>
      </x:c>
      <x:c r="Q64" s="29" t="str">
        <x:v>Bu kare için uygun</x:v>
      </x:c>
      <x:c r="R6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4" s="29" t="str">
        <x:v>Lisans kanıtları/bk-8e840a9c0fa8ac6df296845b.source-evidence.json</x:v>
      </x:c>
      <x:c r="T64" s="29" t="str">
        <x:v>3d8853fa3818b4c4b14673abc28464bf34f5013f04f6dedbc6016d8c838a1655</x:v>
      </x:c>
      <x:c r="U64" s="29" t="str">
        <x:v>Lisans kanıtları/bk-8e840a9c0fa8ac6df296845b.license-record.json</x:v>
      </x:c>
      <x:c r="V64" s="29" t="str">
        <x:v>60f2e4913c0cefef4a12cf4652a4e7b78b52cfad4eceef8718ba037f00a76854</x:v>
      </x:c>
      <x:c r="W64" s="29" t="str">
        <x:v>{"file":"bk-8e840a9c0fa8ac6df296845b.webp","width":1280,"author":"inkknife_2000 (7.5 million views +)","height":854,"sha256":"8e840a9c0fa8ac6df296845bda125dd49a7193640cf0e23e58e4d23f7efb6cbe","license":"CC BY-SA 2.0","imageinfo":{"url":"https://upload.wikimedia.org/wikipedia/commons/0/0f/Randsburg_Ghost_Town%2C_CA_5-19-15d_%2817941329260%29.jpg?utm_source=commons.wikimedia.org&amp;utm_campaign=imageinfo&amp;utm_content=original","mime":"image/jpeg","sha1":"96a05e2d9d8291155a8ba41ca813c080718dea40","size":1403869,"width":2450,"height":1635,"pageid":57508869,"thumburl":"https://thumb.wikimedia.org/wikipedia/commons/thumb/0/0f/Randsburg_Ghost_Town%2C_CA_5-19-15d_%2817941329260%29.jpg/1280px-Randsburg_Ghost_Town%2C_CA_5-19-15d_%2817941329260%29.jpg?utm_source=commons.wikimedia.org&amp;utm_campaign=imageinfo&amp;utm_content=thumbnail","timestamp":"2017-03-29T07:02:44Z","thumbwidth":1280,"extmetadata":{"Artist":{"value":"&lt;a rel=\"nofollow\" class=\"external text\" href=\"https://www.flickr.com/people/23155134@N06\"&gt;inkknife_2000 (7.5 million views +)&lt;/a&gt;","source":"commons-desc-page"},"Credit":{"value":"&lt;a rel=\"nofollow\" class=\"external free\" href=\"https://www.flickr.com/photos/23155134@N06/17941329260/\"&gt;https://www.flickr.com/photos/23155134@N06/17941329260/&lt;/a&gt;","source":"commons-desc-page"},"License":{"value":"cc-by-sa-2.0","hidden":"","source":"commons-templates"},"DateTime":{"value":"2017-03-29 07:02:44","hidden":"","source":"mediawiki-metadata"},"Categories":{"value":"Photos uploaded from Flickr by Fæ using a script|Flickr images reviewed by FlickreviewR|Shops in Kern County, California|Files with coordinates missing SDC location of creation|Photographs by Don Graham|Buildings in Randsburg, California|Gasoline pumps in California","hidden":"","source":"commons-categories"},"LicenseUrl":{"value":"https://creativecommons.org/licenses/by-sa/2.0","source":"commons-desc-page"},"ObjectName":{"value":"Randsburg Ghost Town, CA 5-19-15d (17941329260)","source":"mediawiki-metadata"},"Permission":{"value":"At the time of upload, the image license was automatically confirmed using the Flickr &lt;a href=\"https://en.wikipedia.org/wiki/API\" class=\"extiw\" title=\"en:API\"&gt;API&lt;/a&gt;. For more information see &lt;a href=\"//commons.wikimedia.org/wiki/User:F%C3%A6/Flickr_API_detail\" title=\"User:Fæ/Flickr API detail\"&gt;Flickr API detail&lt;/a&gt;.","hidden":"","source":"commons-desc-page"},"UsageTerms":{"value":"Creative Commons Attribution-Share Alike 2.0","source":"commons-desc-page"},"Assessments":{"value":"","hidden":"","source":"commons-categories"},"Copyrighted":{"value":"True","hidden":"","source":"commons-desc-page"},"GPSLatitude":{"value":"35.368230","source":"commons-desc-page"},"GPSMapDatum":{"value":"WGS-84","hidden":"","source":"commons-desc-page"},"GPSLongitude":{"value":"-117.653875","source":"commons-desc-page"},"Restrictions":{"value":"","hidden":"","source":"commons-desc-page"},"DateTimeOriginal":{"value":"2015-05-19 09:13:07","source":"commons-desc-page"},"ImageDescription":{"value":"(1 in a multiple picture album)&lt;br&gt;\nThis is the southwest section of Butte Ave, the main drag of Randsburg, CA. Someone has done a good job of restoring these building and the old auto memorabilia.","source":"commons-desc-page"},"LicenseShortName":{"value":"CC BY-SA 2.0","hidden":"","source":"commons-desc-page"},"AttributionRequired":{"value":"true","hidden":"","source":"commons-desc-page"},"CommonsMetadataExtension":{"value":1.2,"hidden":"","source":"extension"}},"thumbheight":854,"thumbattribs":{"src":"https://thumb.wikimedia.org/wikipedia/commons/thumb/0/0f/Randsburg_Ghost_Town%2C_CA_5-19-15d_%2817941329260%29.jpg/1280px-Randsburg_Ghost_Town%2C_CA_5-19-15d_%2817941329260%29.jpg?utm_source=commons.wikimedia.org&amp;utm_campaign=imageinfo&amp;utm_content=thumbnail","width":1280,"height":854,"srcset":"https://upload.wikimedia.org/wikipedia/commons/0/0f/Randsburg_Ghost_Town%2C_CA_5-19-15d_%2817941329260%29.jpg?utm_source=commons.wikimedia.org&amp;utm_campaign=imageinfo&amp;utm_content=thumbnail_unscaled 2x","loading":"lazy","decoding":"async"},"descriptionurl":"https://commons.wikimedia.org/wiki/File:Randsburg_Ghost_Town,_CA_5-19-15d_(17941329260).jpg","responsiveUrls":{"2":"https://upload.wikimedia.org/wikipedia/commons/0/0f/Randsburg_Ghost_Town%2C_CA_5-19-15d_%2817941329260%29.jpg?utm_source=commons.wikimedia.org&amp;utm_campaign=imageinfo&amp;utm_content=thumbnail_unscaled"},"descriptionshorturl":"https://commons.wikimedia.org/w/index.php?curid=57508869"},"selection":{"qid":"pending","kind":"candidate","title":"Bakersfield alternatives"},"author_url":"https://www.flickr.com/people/23155134@N06","derivative":"Wikimedia thumbnail decoded; EXIF orientation applied; converted to WebP quality 86; no generated pixels, no cropping.","source_url":"https://commons.wikimedia.org/wiki/File:Randsburg_Ghost_Town,_CA_5-19-15d_(17941329260).jpg","author_urls":["https://www.flickr.com/people/23155134@N06"],"description":"(1 in a multiple picture album)\nThis is the southwest section of Butte Ave, the main drag of Randsburg, CA. Someone has done a good job of restoring these building and the old auto memorabilia.","license_url":"https://creativecommons.org/licenses/by-sa/2.0","reviewed_on":"2026-10-24","capture_date":"2015-05-19 09:13:07","download_url":"https://thumb.wikimedia.org/wikipedia/commons/thumb/0/0f/Randsburg_Ghost_Town%2C_CA_5-19-15d_%2817941329260%29.jpg/1280px-Randsburg_Ghost_Town%2C_CA_5-19-15d_%2817941329260%29.jpg?utm_source=commons.wikimedia.org&amp;utm_campaign=imageinfo&amp;utm_content=thumbnail","original_url":"https://upload.wikimedia.org/wikipedia/commons/0/0f/Randsburg_Ghost_Town%2C_CA_5-19-15d_%2817941329260%29.jpg?utm_source=commons.wikimedia.org&amp;utm_campaign=imageinfo&amp;utm_content=original","pixel_review":{"method":"İndirilen kare temas sayfasında görüldü; kaynak mekân kimliğiyle eşleştirildi. Seçim kaydı final-pixel-review.json.","status":"verified","caption":"Randsburg tarihî ana caddesi · 2015 tarihli fotoğraf","reviewer":"Codex (AI)","review_id":"V6"},"downloaded_at":"2026-10-23T21:37:34.470121+00:00","download_sha256":"418aefd2a04d2486025e4bd468dfdcf39ff2a538c2ab39a1aabcc56d2a17b424","downloaded_file":"downloads/418aefd2a04d2486025e4bd468dfdcf39ff2a538c2ab39a1aabcc56d2a17b424.jpg","acquisition_file":"d02f8d1ed0acef0da55f8d48.webp","commons_filename":"Randsburg Ghost Town, CA 5-19-15d (17941329260).jpg","original_file_url":"https://upload.wikimedia.org/wikipedia/commons/0/0f/Randsburg_Ghost_Town%2C_CA_5-19-15d_%2817941329260%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dönüştürüldü.","photo_attribution":{"author_url":"https://www.flickr.com/people/23155134@N06","modifications":"EXIF yönü uygulandı; boyut küçültülüp WebP biçimine dönüştürüldü.","original_file_url":"https://upload.wikimedia.org/wikipedia/commons/0/0f/Randsburg_Ghost_Town%2C_CA_5-19-15d_%2817941329260%29.jpg?utm_source=commons.wikimedia.org&amp;utm_campaign=imageinfo&amp;utm_content=original"},"metadata_reviewed_on":"2026-10-24","metadata_review_status":"verified"}}</x:v>
      </x:c>
    </x:row>
    <x:row r="65" ht="300" customHeight="1">
      <x:c r="A65" s="29" t="str">
        <x:v>bakersfield:evidence:venue-22030</x:v>
      </x:c>
      <x:c r="B65" s="29" t="str">
        <x:v>bakersfield</x:v>
      </x:c>
      <x:c r="C65" s="29" t="str">
        <x:v>bakersfield:photo:venue-22030</x:v>
      </x:c>
      <x:c r="D65" s="29" t="str">
        <x:v>https://commons.wikimedia.org/wiki/File:Randsburg_Ghost_Town,_CA_5-19-15g_(18608123272).jpg</x:v>
      </x:c>
      <x:c r="E65" s="29" t="str">
        <x:v>Randsburg Ghost Town, CA 5-19-15g (18608123272).jpg</x:v>
      </x:c>
      <x:c r="F65" s="29" t="str">
        <x:v>inkknife_2000 (7.5 million views +)</x:v>
      </x:c>
      <x:c r="G65" s="29" t="str">
        <x:v>CC BY-SA 2.0</x:v>
      </x:c>
      <x:c r="H65" s="29" t="str">
        <x:v>https://creativecommons.org/licenses/by-sa/2.0</x:v>
      </x:c>
      <x:c r="I65" s="29" t="str">
        <x:v>Creative Commons Attribution-Share Alike 2.0</x:v>
      </x:c>
      <x:c r="J65" s="29" t="str">
        <x:v>Randsburg Ghost Town, CA 5-19-15g (18608123272).jpg · inkknife_2000 (7.5 million views +) · CC BY-SA 2.0 · https://commons.wikimedia.org/wiki/File:Randsburg_Ghost_Town,_CA_5-19-15g_(18608123272).jpg</x:v>
      </x:c>
      <x:c r="K6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5" s="31" t="d">
        <x:v>2026-10-24T00:00:00.000Z</x:v>
      </x:c>
      <x:c r="M65" s="29" t="str">
        <x:v>Doğrulandı</x:v>
      </x:c>
      <x:c r="N65" s="29" t="str">
        <x:v>Doğrulandı</x:v>
      </x:c>
      <x:c r="O65" s="29" t="str">
        <x:v>Fotoğraflar/bk-85611ffd1899b836e50f9a3c.webp</x:v>
      </x:c>
      <x:c r="P65" s="29" t="str">
        <x:v>Randsburg tarihî ana caddesi · 2015 tarihli fotoğraf · İndirilen kare temas sayfasında görüldü; kaynak mekân kimliğiyle eşleştirildi. Seçim kaydı final-pixel-review.json.</x:v>
      </x:c>
      <x:c r="Q65" s="29" t="str">
        <x:v>Bu kare için uygun</x:v>
      </x:c>
      <x:c r="R6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5" s="29" t="str">
        <x:v>Lisans kanıtları/bk-85611ffd1899b836e50f9a3c.source-evidence.json</x:v>
      </x:c>
      <x:c r="T65" s="29" t="str">
        <x:v>9b51a380ed484449808cce96b147df8b42806989def40e2208cabe57db6e1fa7</x:v>
      </x:c>
      <x:c r="U65" s="29" t="str">
        <x:v>Lisans kanıtları/bk-85611ffd1899b836e50f9a3c.license-record.json</x:v>
      </x:c>
      <x:c r="V65" s="29" t="str">
        <x:v>75d7a913a0c50179533f9ffca1cf93b5384032808be23886fd90817d3a18b4bb</x:v>
      </x:c>
      <x:c r="W65" s="29" t="str">
        <x:v>{"file":"bk-85611ffd1899b836e50f9a3c.webp","width":1280,"author":"inkknife_2000 (7.5 million views +)","height":931,"sha256":"85611ffd1899b836e50f9a3c6aff69435dc3904be7a039ef11ad8da4333896ed","license":"CC BY-SA 2.0","imageinfo":{"url":"https://upload.wikimedia.org/wikipedia/commons/e/e6/Randsburg_Ghost_Town%2C_CA_5-19-15g_%2818608123272%29.jpg?utm_source=commons.wikimedia.org&amp;utm_campaign=imageinfo&amp;utm_content=original","mime":"image/jpeg","sha1":"2ca8feef0948734b482426803b315f5c1502ce3c","size":1685721,"width":2450,"height":1782,"pageid":57508917,"thumburl":"https://thumb.wikimedia.org/wikipedia/commons/thumb/e/e6/Randsburg_Ghost_Town%2C_CA_5-19-15g_%2818608123272%29.jpg/1280px-Randsburg_Ghost_Town%2C_CA_5-19-15g_%2818608123272%29.jpg?utm_source=commons.wikimedia.org&amp;utm_campaign=imageinfo&amp;utm_content=thumbnail","timestamp":"2017-03-29T07:06:14Z","thumbwidth":1280,"extmetadata":{"Artist":{"value":"&lt;a rel=\"nofollow\" class=\"external text\" href=\"https://www.flickr.com/people/23155134@N06\"&gt;inkknife_2000 (7.5 million views +)&lt;/a&gt;","source":"commons-desc-page"},"Credit":{"value":"&lt;a rel=\"nofollow\" class=\"external free\" href=\"https://www.flickr.com/photos/23155134@N06/18608123272/\"&gt;https://www.flickr.com/photos/23155134@N06/18608123272/&lt;/a&gt;","source":"commons-desc-page"},"License":{"value":"cc-by-sa-2.0","hidden":"","source":"commons-templates"},"DateTime":{"value":"2017-03-29 07:06:14","hidden":"","source":"mediawiki-metadata"},"Categories":{"value":"Roads in Kern County, California|Photos uploaded from Flickr by Fæ using a script|Flickr images reviewed by FlickreviewR|Flickr images missing SDC creator|Files with coordinates missing SDC location of creation|Photographs by Don Graham|Tailings in the United States|Mountains of Kern County, California|Road signs in Kern County, California|Buildings in Randsburg, California|Flickr images missing SDC Flickr photo ID|Flickr images missing SDC published in","hidden":"","source":"commons-categories"},"LicenseUrl":{"value":"https://creativecommons.org/licenses/by-sa/2.0","source":"commons-desc-page"},"ObjectName":{"value":"Randsburg Ghost Town, CA 5-19-15g (18608123272)","source":"mediawiki-metadata"},"Permission":{"value":"At the time of upload, the image license was automatically confirmed using the Flickr &lt;a href=\"https://en.wikipedia.org/wiki/API\" class=\"extiw\" title=\"en:API\"&gt;API&lt;/a&gt;. For more information see &lt;a href=\"//commons.wikimedia.org/wiki/User:F%C3%A6/Flickr_API_detail\" title=\"User:Fæ/Flickr API detail\"&gt;Flickr API detail&lt;/a&gt;.","hidden":"","source":"commons-desc-page"},"UsageTerms":{"value":"Creative Commons Attribution-Share Alike 2.0","source":"commons-desc-page"},"Assessments":{"value":"","hidden":"","source":"commons-categories"},"Copyrighted":{"value":"True","hidden":"","source":"commons-desc-page"},"GPSLatitude":{"value":"35.370812","source":"commons-desc-page"},"GPSMapDatum":{"value":"WGS-84","hidden":"","source":"commons-desc-page"},"GPSLongitude":{"value":"-117.667038","source":"commons-desc-page"},"Restrictions":{"value":"","hidden":"","source":"commons-desc-page"},"DateTimeOriginal":{"value":"2015-05-19 08:56:18","source":"commons-desc-page"},"ImageDescription":{"value":"(1 in a multiple picture album)&lt;br&gt;\nThis is the first view of Randsburg which is about 2 miles off of CA Hwy 395.  Up in the right are the tailings of the Yellow Aster Mine. The first placer gold was found in 1893 and then the Astor mine began operating in 1895. The gold began running out in the 1930s.  Silver was also found and the Kelly Mine operated until the 40s. $20 million in gold was taken out of this area.","source":"commons-desc-page"},"LicenseShortName":{"value":"CC BY-SA 2.0","hidden":"","source":"commons-desc-page"},"AttributionRequired":{"value":"true","hidden":"","source":"commons-desc-page"},"CommonsMetadataExtension":{"value":1.2,"hidden":"","source":"extension"}},"thumbheight":931,"thumbattribs":{"src":"https://thumb.wikimedia.org/wikipedia/commons/thumb/e/e6/Randsburg_Ghost_Town%2C_CA_5-19-15g_%2818608123272%29.jpg/1280px-Randsburg_Ghost_Town%2C_CA_5-19-15g_%2818608123272%29.jpg?utm_source=commons.wikimedia.org&amp;utm_campaign=imageinfo&amp;utm_content=thumbnail","width":1280,"height":931,"srcset":"https://upload.wikimedia.org/wikipedia/commons/e/e6/Randsburg_Ghost_Town%2C_CA_5-19-15g_%2818608123272%29.jpg?utm_source=commons.wikimedia.org&amp;utm_campaign=imageinfo&amp;utm_content=thumbnail_unscaled 2x","loading":"lazy","decoding":"async"},"descriptionurl":"https://commons.wikimedia.org/wiki/File:Randsburg_Ghost_Town,_CA_5-19-15g_(18608123272).jpg","responsiveUrls":{"2":"https://upload.wikimedia.org/wikipedia/commons/e/e6/Randsburg_Ghost_Town%2C_CA_5-19-15g_%2818608123272%29.jpg?utm_source=commons.wikimedia.org&amp;utm_campaign=imageinfo&amp;utm_content=thumbnail_unscaled"},"descriptionshorturl":"https://commons.wikimedia.org/w/index.php?curid=57508917"},"selection":{"qid":"pending","kind":"candidate","title":"Bakersfield alternatives"},"author_url":"https://www.flickr.com/people/23155134@N06","derivative":"Wikimedia thumbnail decoded; EXIF orientation applied; converted to WebP quality 86; no generated pixels, no cropping.","source_url":"https://commons.wikimedia.org/wiki/File:Randsburg_Ghost_Town,_CA_5-19-15g_(18608123272).jpg","author_urls":["https://www.flickr.com/people/23155134@N06"],"description":"(1 in a multiple picture album)\nThis is the first view of Randsburg which is about 2 miles off of CA Hwy 395.  Up in the right are the tailings of the Yellow Aster Mine. The first placer gold was found in 1893 and then the Astor mine began operating in 1895. The gold began running out in the 1930s.  Silver was also found and the Kelly Mine operated until the 40s. $20 million in gold was taken out of this area.","license_url":"https://creativecommons.org/licenses/by-sa/2.0","reviewed_on":"2026-10-24","capture_date":"2015-05-19 08:56:18","download_url":"https://thumb.wikimedia.org/wikipedia/commons/thumb/e/e6/Randsburg_Ghost_Town%2C_CA_5-19-15g_%2818608123272%29.jpg/1280px-Randsburg_Ghost_Town%2C_CA_5-19-15g_%2818608123272%29.jpg?utm_source=commons.wikimedia.org&amp;utm_campaign=imageinfo&amp;utm_content=thumbnail","original_url":"https://upload.wikimedia.org/wikipedia/commons/e/e6/Randsburg_Ghost_Town%2C_CA_5-19-15g_%2818608123272%29.jpg?utm_source=commons.wikimedia.org&amp;utm_campaign=imageinfo&amp;utm_content=original","pixel_review":{"method":"İndirilen kare temas sayfasında görüldü; kaynak mekân kimliğiyle eşleştirildi. Seçim kaydı final-pixel-review.json.","status":"verified","caption":"Randsburg tarihî ana caddesi · 2015 tarihli fotoğraf","reviewer":"Codex (AI)","review_id":"V9"},"downloaded_at":"2026-10-23T21:37:35.646362+00:00","download_sha256":"72a5d2e7f439b9948414100d3ff677738188a3d75c5891e2418a0987bc44cd5e","downloaded_file":"downloads/72a5d2e7f439b9948414100d3ff677738188a3d75c5891e2418a0987bc44cd5e.jpg","acquisition_file":"609bf394c8ce187df87f3da1.webp","commons_filename":"Randsburg Ghost Town, CA 5-19-15g (18608123272).jpg","original_file_url":"https://upload.wikimedia.org/wikipedia/commons/e/e6/Randsburg_Ghost_Town%2C_CA_5-19-15g_%2818608123272%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dönüştürüldü.","photo_attribution":{"author_url":"https://www.flickr.com/people/23155134@N06","modifications":"EXIF yönü uygulandı; boyut küçültülüp WebP biçimine dönüştürüldü.","original_file_url":"https://upload.wikimedia.org/wikipedia/commons/e/e6/Randsburg_Ghost_Town%2C_CA_5-19-15g_%2818608123272%29.jpg?utm_source=commons.wikimedia.org&amp;utm_campaign=imageinfo&amp;utm_content=original"},"metadata_reviewed_on":"2026-10-24","metadata_review_status":"verified"}}</x:v>
      </x:c>
    </x:row>
    <x:row r="66" ht="300" customHeight="1">
      <x:c r="A66" s="29" t="str">
        <x:v>bakersfield:evidence:venue-22031</x:v>
      </x:c>
      <x:c r="B66" s="29" t="str">
        <x:v>bakersfield</x:v>
      </x:c>
      <x:c r="C66" s="29" t="str">
        <x:v>bakersfield:photo:venue-22031</x:v>
      </x:c>
      <x:c r="D66" s="29" t="str">
        <x:v>https://commons.wikimedia.org/wiki/File:Randsburg_Ghost_Town,_CA_5-19-15l_(18612669945).jpg</x:v>
      </x:c>
      <x:c r="E66" s="29" t="str">
        <x:v>Randsburg Ghost Town, CA 5-19-15l (18612669945).jpg</x:v>
      </x:c>
      <x:c r="F66" s="29" t="str">
        <x:v>inkknife_2000 (7.5 million views +)</x:v>
      </x:c>
      <x:c r="G66" s="29" t="str">
        <x:v>CC BY-SA 2.0</x:v>
      </x:c>
      <x:c r="H66" s="29" t="str">
        <x:v>https://creativecommons.org/licenses/by-sa/2.0</x:v>
      </x:c>
      <x:c r="I66" s="29" t="str">
        <x:v>Creative Commons Attribution-Share Alike 2.0</x:v>
      </x:c>
      <x:c r="J66" s="29" t="str">
        <x:v>Randsburg Ghost Town, CA 5-19-15l (18612669945).jpg · inkknife_2000 (7.5 million views +) · CC BY-SA 2.0 · https://commons.wikimedia.org/wiki/File:Randsburg_Ghost_Town,_CA_5-19-15l_(18612669945).jpg</x:v>
      </x:c>
      <x:c r="K6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6" s="31" t="d">
        <x:v>2026-10-24T00:00:00.000Z</x:v>
      </x:c>
      <x:c r="M66" s="29" t="str">
        <x:v>Doğrulandı</x:v>
      </x:c>
      <x:c r="N66" s="29" t="str">
        <x:v>Doğrulandı</x:v>
      </x:c>
      <x:c r="O66" s="29" t="str">
        <x:v>Fotoğraflar/bk-6f16cf97279556c6b9d60578.webp</x:v>
      </x:c>
      <x:c r="P66" s="29" t="str">
        <x:v>Randsburg tarihî ana caddesi · 2015 tarihli fotoğraf · İndirilen kare temas sayfasında görüldü; kaynak mekân kimliğiyle eşleştirildi. Seçim kaydı final-pixel-review.json.</x:v>
      </x:c>
      <x:c r="Q66" s="29" t="str">
        <x:v>Bu kare için uygun</x:v>
      </x:c>
      <x:c r="R6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6" s="29" t="str">
        <x:v>Lisans kanıtları/bk-6f16cf97279556c6b9d60578.source-evidence.json</x:v>
      </x:c>
      <x:c r="T66" s="29" t="str">
        <x:v>9886f147978b56b552fb753afec553b5d47f5b79c3d9460942e9e1bb8275d0f3</x:v>
      </x:c>
      <x:c r="U66" s="29" t="str">
        <x:v>Lisans kanıtları/bk-6f16cf97279556c6b9d60578.license-record.json</x:v>
      </x:c>
      <x:c r="V66" s="29" t="str">
        <x:v>8c288ded0feb01b1fb9cbdcdba5e97c293943e1a85b185df2135c0094a7edebb</x:v>
      </x:c>
      <x:c r="W66" s="29" t="str">
        <x:v>{"file":"bk-6f16cf97279556c6b9d60578.webp","width":1280,"author":"inkknife_2000 (7.5 million views +)","height":590,"sha256":"6f16cf97279556c6b9d605783d520be054377effa287d57eb9fec1e929c33efc","license":"CC BY-SA 2.0","imageinfo":{"url":"https://upload.wikimedia.org/wikipedia/commons/c/ce/Randsburg_Ghost_Town%2C_CA_5-19-15l_%2818612669945%29.jpg?utm_source=commons.wikimedia.org&amp;utm_campaign=imageinfo&amp;utm_content=original","mime":"image/jpeg","sha1":"4aca6f7b9acf34d119fba086b5af6790592cdf17","size":1701500,"width":2800,"height":1290,"pageid":57509022,"thumburl":"https://thumb.wikimedia.org/wikipedia/commons/thumb/c/ce/Randsburg_Ghost_Town%2C_CA_5-19-15l_%2818612669945%29.jpg/1280px-Randsburg_Ghost_Town%2C_CA_5-19-15l_%2818612669945%29.jpg?utm_source=commons.wikimedia.org&amp;utm_campaign=imageinfo&amp;utm_content=thumbnail","timestamp":"2017-03-29T07:12:04Z","thumbwidth":1280,"extmetadata":{"Artist":{"value":"&lt;a rel=\"nofollow\" class=\"external text\" href=\"https://www.flickr.com/people/23155134@N06\"&gt;inkknife_2000 (7.5 million views +)&lt;/a&gt;","source":"commons-desc-page"},"Credit":{"value":"&lt;a rel=\"nofollow\" class=\"external free\" href=\"https://www.flickr.com/photos/23155134@N06/18612669945/\"&gt;https://www.flickr.com/photos/23155134@N06/18612669945/&lt;/a&gt;","source":"commons-desc-page"},"License":{"value":"cc-by-sa-2.0","hidden":"","source":"commons-templates"},"DateTime":{"value":"2017-03-29 07:12:04","hidden":"","source":"mediawiki-metadata"},"Categories":{"value":"Roads in Kern County, California|Photos uploaded from Flickr by Fæ using a script|Flickr images reviewed by FlickreviewR|Shops in Kern County, California|Flickr images missing SDC creator|Files with coordinates missing SDC location of creation|Photographs by Don Graham|Mountains of Kern County, California|Buildings in Randsburg, California|Flickr images missing SDC Flickr photo ID|Flickr images missing SDC published in","hidden":"","source":"commons-categories"},"LicenseUrl":{"value":"https://creativecommons.org/licenses/by-sa/2.0","source":"commons-desc-page"},"ObjectName":{"value":"Randsburg Ghost Town, CA 5-19-15l (18612669945)","source":"mediawiki-metadata"},"Permission":{"value":"At the time of upload, the image license was automatically confirmed using the Flickr &lt;a href=\"https://en.wikipedia.org/wiki/API\" class=\"extiw\" title=\"en:API\"&gt;API&lt;/a&gt;. For more information see &lt;a href=\"//commons.wikimedia.org/wiki/User:F%C3%A6/Flickr_API_detail\" title=\"User:Fæ/Flickr API detail\"&gt;Flickr API detail&lt;/a&gt;.","hidden":"","source":"commons-desc-page"},"UsageTerms":{"value":"Creative Commons Attribution-Share Alike 2.0","source":"commons-desc-page"},"Assessments":{"value":"","hidden":"","source":"commons-categories"},"Copyrighted":{"value":"True","hidden":"","source":"commons-desc-page"},"GPSLatitude":{"value":"35.370812","source":"commons-desc-page"},"GPSMapDatum":{"value":"WGS-84","hidden":"","source":"commons-desc-page"},"GPSLongitude":{"value":"-117.667038","source":"commons-desc-page"},"Restrictions":{"value":"","hidden":"","source":"commons-desc-page"},"DateTimeOriginal":{"value":"2015-05-19 09:07:10","source":"commons-desc-page"},"ImageDescription":{"value":"(1 in a multiple picture album)&lt;br&gt;\nThe north end of the main street in Randsburg.  There is another block of stores to the south.","source":"commons-desc-page"},"LicenseShortName":{"value":"CC BY-SA 2.0","hidden":"","source":"commons-desc-page"},"AttributionRequired":{"value":"true","hidden":"","source":"commons-desc-page"},"CommonsMetadataExtension":{"value":1.2,"hidden":"","source":"extension"}},"thumbheight":590,"thumbattribs":{"src":"https://thumb.wikimedia.org/wikipedia/commons/thumb/c/ce/Randsburg_Ghost_Town%2C_CA_5-19-15l_%2818612669945%29.jpg/1280px-Randsburg_Ghost_Town%2C_CA_5-19-15l_%2818612669945%29.jpg?utm_source=commons.wikimedia.org&amp;utm_campaign=imageinfo&amp;utm_content=thumbnail","width":1280,"height":590,"srcset":"https://upload.wikimedia.org/wikipedia/commons/c/ce/Randsburg_Ghost_Town%2C_CA_5-19-15l_%2818612669945%29.jpg?utm_source=commons.wikimedia.org&amp;utm_campaign=imageinfo&amp;utm_content=thumbnail_unscaled 2x","loading":"lazy","decoding":"async"},"descriptionurl":"https://commons.wikimedia.org/wiki/File:Randsburg_Ghost_Town,_CA_5-19-15l_(18612669945).jpg","responsiveUrls":{"2":"https://upload.wikimedia.org/wikipedia/commons/c/ce/Randsburg_Ghost_Town%2C_CA_5-19-15l_%2818612669945%29.jpg?utm_source=commons.wikimedia.org&amp;utm_campaign=imageinfo&amp;utm_content=thumbnail_unscaled"},"descriptionshorturl":"https://commons.wikimedia.org/w/index.php?curid=57509022"},"selection":{"qid":"pending","kind":"candidate","title":"Bakersfield alternatives"},"author_url":"https://www.flickr.com/people/23155134@N06","derivative":"Wikimedia thumbnail decoded; EXIF orientation applied; converted to WebP quality 86; no generated pixels, no cropping.","source_url":"https://commons.wikimedia.org/wiki/File:Randsburg_Ghost_Town,_CA_5-19-15l_(18612669945).jpg","author_urls":["https://www.flickr.com/people/23155134@N06"],"description":"(1 in a multiple picture album)\nThe north end of the main street in Randsburg.  There is another block of stores to the south.","license_url":"https://creativecommons.org/licenses/by-sa/2.0","reviewed_on":"2026-10-24","capture_date":"2015-05-19 09:07:10","download_url":"https://thumb.wikimedia.org/wikipedia/commons/thumb/c/ce/Randsburg_Ghost_Town%2C_CA_5-19-15l_%2818612669945%29.jpg/1280px-Randsburg_Ghost_Town%2C_CA_5-19-15l_%2818612669945%29.jpg?utm_source=commons.wikimedia.org&amp;utm_campaign=imageinfo&amp;utm_content=thumbnail","original_url":"https://upload.wikimedia.org/wikipedia/commons/c/ce/Randsburg_Ghost_Town%2C_CA_5-19-15l_%2818612669945%29.jpg?utm_source=commons.wikimedia.org&amp;utm_campaign=imageinfo&amp;utm_content=original","pixel_review":{"method":"İndirilen kare temas sayfasında görüldü; kaynak mekân kimliğiyle eşleştirildi. Seçim kaydı final-pixel-review.json.","status":"verified","caption":"Randsburg tarihî ana caddesi · 2015 tarihli fotoğraf","reviewer":"Codex (AI)","review_id":"V12"},"downloaded_at":"2026-10-23T21:37:38.147022+00:00","download_sha256":"cb2d772e22cd84bc02e62c8ce7e334a2cd03699b7add5a996c0ee6fc63439d00","downloaded_file":"downloads/cb2d772e22cd84bc02e62c8ce7e334a2cd03699b7add5a996c0ee6fc63439d00.jpg","acquisition_file":"21ecf1f0a3ed2aa6a129acae.webp","commons_filename":"Randsburg Ghost Town, CA 5-19-15l (18612669945).jpg","original_file_url":"https://upload.wikimedia.org/wikipedia/commons/c/ce/Randsburg_Ghost_Town%2C_CA_5-19-15l_%2818612669945%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dönüştürüldü.","photo_attribution":{"author_url":"https://www.flickr.com/people/23155134@N06","modifications":"EXIF yönü uygulandı; boyut küçültülüp WebP biçimine dönüştürüldü.","original_file_url":"https://upload.wikimedia.org/wikipedia/commons/c/ce/Randsburg_Ghost_Town%2C_CA_5-19-15l_%2818612669945%29.jpg?utm_source=commons.wikimedia.org&amp;utm_campaign=imageinfo&amp;utm_content=original"},"metadata_reviewed_on":"2026-10-24","metadata_review_status":"verified"}}</x:v>
      </x:c>
    </x:row>
    <x:row r="67" ht="300" customHeight="1">
      <x:c r="A67" s="29" t="str">
        <x:v>bakersfield:evidence:venue-22032</x:v>
      </x:c>
      <x:c r="B67" s="29" t="str">
        <x:v>bakersfield</x:v>
      </x:c>
      <x:c r="C67" s="29" t="str">
        <x:v>bakersfield:photo:venue-22032</x:v>
      </x:c>
      <x:c r="D67" s="29" t="str">
        <x:v>https://commons.wikimedia.org/wiki/File:Boy_Scout_Troop_188_-_Kern_County_Fairgrounds_-_%22The_Hat%22_(37090004113).jpg</x:v>
      </x:c>
      <x:c r="E67" s="29" t="str">
        <x:v>Boy Scout Troop 188 - Kern County Fairgrounds - "The Hat" (37090004113).jpg</x:v>
      </x:c>
      <x:c r="F67" s="29" t="str">
        <x:v>Bruce Andersen</x:v>
      </x:c>
      <x:c r="G67" s="29" t="str">
        <x:v>CC BY 2.0</x:v>
      </x:c>
      <x:c r="H67" s="29" t="str">
        <x:v>https://creativecommons.org/licenses/by/2.0</x:v>
      </x:c>
      <x:c r="I67" s="29" t="str">
        <x:v>Creative Commons Attribution 2.0</x:v>
      </x:c>
      <x:c r="J67" s="29" t="str">
        <x:v>Boy Scout Troop 188 - Kern County Fairgrounds - "The Hat" (37090004113).jpg · Bruce Andersen · CC BY 2.0 · https://commons.wikimedia.org/wiki/File:Boy_Scout_Troop_188_-_Kern_County_Fairgrounds_-_%22The_Hat%22_(37090004113).jpg</x:v>
      </x:c>
      <x:c r="K6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7" s="31" t="d">
        <x:v>2026-10-24T00:00:00.000Z</x:v>
      </x:c>
      <x:c r="M67" s="29" t="str">
        <x:v>Doğrulandı</x:v>
      </x:c>
      <x:c r="N67" s="29" t="str">
        <x:v>Doğrulandı</x:v>
      </x:c>
      <x:c r="O67" s="29" t="str">
        <x:v>Fotoğraflar/bk-5dd06836ab9c40ff0895c493.webp</x:v>
      </x:c>
      <x:c r="P67" s="29" t="str">
        <x:v>Kern County Fairgrounds içindeki şapka biçimli izci büfesi · 2017 · İndirilen kare temas sayfasında görüldü; kaynak mekân kimliğiyle eşleştirildi. Seçim kaydı final-pixel-review.json.</x:v>
      </x:c>
      <x:c r="Q67" s="29" t="str">
        <x:v>Bu kare için uygun</x:v>
      </x:c>
      <x:c r="R6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7" s="29" t="str">
        <x:v>Lisans kanıtları/bk-5dd06836ab9c40ff0895c493.source-evidence.json</x:v>
      </x:c>
      <x:c r="T67" s="29" t="str">
        <x:v>d1dbde551fbb3b98f829852bfbc353d82ccbcb51e69c33d48136f3a866ecef92</x:v>
      </x:c>
      <x:c r="U67" s="29" t="str">
        <x:v>Lisans kanıtları/bk-5dd06836ab9c40ff0895c493.license-record.json</x:v>
      </x:c>
      <x:c r="V67" s="29" t="str">
        <x:v>26753dbd14b91132ff38f6b0ac81b834b84028fee1827fb218685eb52594cd32</x:v>
      </x:c>
      <x:c r="W67" s="29" t="str">
        <x:v>{"file":"bk-5dd06836ab9c40ff0895c493.webp","width":1280,"author":"Bruce Andersen","height":960,"sha256":"5dd06836ab9c40ff0895c49399976f9cd58a27f47fc8bcd79ff161cc440d8f62","license":"CC BY 2.0","imageinfo":{"url":"https://upload.wikimedia.org/wikipedia/commons/b/bb/Boy_Scout_Troop_188_-_Kern_County_Fairgrounds_-_%22The_Hat%22_%2837090004113%29.jpg?utm_source=commons.wikimedia.org&amp;utm_campaign=imageinfo&amp;utm_content=original","mime":"image/jpeg","sha1":"059d4cd3a83f17b048ba97df364fb49c92f27657","size":2337379,"width":3264,"height":2448,"pageid":63432973,"thumburl":"https://thumb.wikimedia.org/wikipedia/commons/thumb/b/bb/Boy_Scout_Troop_188_-_Kern_County_Fairgrounds_-_%22The_Hat%22_%2837090004113%29.jpg/1280px-Boy_Scout_Troop_188_-_Kern_County_Fairgrounds_-_%22The_Hat%22_%2837090004113%29.jpg?utm_source=commons.wikimedia.org&amp;utm_campaign=imageinfo&amp;utm_content=thumbnail","timestamp":"2017-10-17T19:34:11Z","thumbwidth":1280,"extmetadata":{"Artist":{"value":"&lt;a rel=\"nofollow\" class=\"external text\" href=\"https://www.flickr.com/people/12087947@N00\"&gt;Bruce Andersen&lt;/a&gt;","source":"commons-desc-page"},"Credit":{"value":"&lt;a rel=\"nofollow\" class=\"external text\" href=\"https://www.flickr.com/photos/evrik/37090004113/\"&gt;Boy Scout Troop 188 - Kern County Fairgrounds - \"The Hat\"&lt;/a&gt;","source":"commons-desc-page"},"License":{"value":"cc-by-2.0","hidden":"","source":"commons-templates"},"DateTime":{"value":"2017-10-17 19:34:11","hidden":"","source":"mediawiki-metadata"},"Categories":{"value":"Campaign hats|Scouting in California|Scout troop|Novelty architecture in the United States|Flickr images reviewed by FlickreviewR|Kern County Fairgrounds|Files with coordinates missing SDC location of creation|Scouting hats","hidden":"","source":"commons-categories"},"LicenseUrl":{"value":"https://creativecommons.org/licenses/by/2.0","source":"commons-desc-page"},"ObjectName":{"value":"Boy Scout Troop 188 - Kern County Fairgrounds - \"The Hat\" (37090004113)","source":"mediawiki-metadata"},"UsageTerms":{"value":"Creative Commons Attribution 2.0","source":"commons-desc-page"},"Assessments":{"value":"","hidden":"","source":"commons-categories"},"Copyrighted":{"value":"True","hidden":"","source":"commons-desc-page"},"GPSLatitude":{"value":"35.344473","source":"commons-desc-page"},"GPSMapDatum":{"value":"WGS-84","hidden":"","source":"commons-desc-page"},"GPSLongitude":{"value":"-119.013090","source":"commons-desc-page"},"Restrictions":{"value":"","hidden":"","source":"commons-desc-page"},"DateTimeOriginal":{"value":"2017-10-07 14:50","source":"commons-desc-page"},"ImageDescription":{"value":"Boy Scout Troop 188 - Kern County Fairgrounds - \"The Hat\"","source":"commons-desc-page"},"LicenseShortName":{"value":"CC BY 2.0","hidden":"","source":"commons-desc-page"},"AttributionRequired":{"value":"true","hidden":"","source":"commons-desc-page"},"CommonsMetadataExtension":{"value":1.2,"hidden":"","source":"extension"}},"thumbheight":960,"thumbattribs":{"src":"https://thumb.wikimedia.org/wikipedia/commons/thumb/b/bb/Boy_Scout_Troop_188_-_Kern_County_Fairgrounds_-_%22The_Hat%22_%2837090004113%29.jpg/1280px-Boy_Scout_Troop_188_-_Kern_County_Fairgrounds_-_%22The_Hat%22_%2837090004113%29.jpg?utm_source=commons.wikimedia.org&amp;utm_campaign=imageinfo&amp;utm_content=thumbnail","width":1280,"height":960,"srcset":"https://upload.wikimedia.org/wikipedia/commons/b/bb/Boy_Scout_Troop_188_-_Kern_County_Fairgrounds_-_%22The_Hat%22_%2837090004113%29.jpg?utm_source=commons.wikimedia.org&amp;utm_campaign=imageinfo&amp;utm_content=thumbnail_unscaled 2x","loading":"lazy","decoding":"async"},"descriptionurl":"https://commons.wikimedia.org/wiki/File:Boy_Scout_Troop_188_-_Kern_County_Fairgrounds_-_%22The_Hat%22_(37090004113).jpg","responsiveUrls":{"2":"https://upload.wikimedia.org/wikipedia/commons/b/bb/Boy_Scout_Troop_188_-_Kern_County_Fairgrounds_-_%22The_Hat%22_%2837090004113%29.jpg?utm_source=commons.wikimedia.org&amp;utm_campaign=imageinfo&amp;utm_content=thumbnail_unscaled"},"descriptionshorturl":"https://commons.wikimedia.org/w/index.php?curid=63432973"},"selection":{"qid":"pending","kind":"candidate","title":"Kern County Fairgrounds"},"author_url":"https://www.flickr.com/people/12087947@N00","derivative":"Wikimedia thumbnail decoded; EXIF orientation applied; converted to WebP quality 86; no generated pixels, no cropping.","source_url":"https://commons.wikimedia.org/wiki/File:Boy_Scout_Troop_188_-_Kern_County_Fairgrounds_-_%22The_Hat%22_(37090004113).jpg","author_urls":["https://www.flickr.com/people/12087947@N00"],"description":"Boy Scout Troop 188 - Kern County Fairgrounds - \"The Hat\"","license_url":"https://creativecommons.org/licenses/by/2.0","reviewed_on":"2026-10-24","capture_date":"2017-10-07 14:50","download_url":"https://thumb.wikimedia.org/wikipedia/commons/thumb/b/bb/Boy_Scout_Troop_188_-_Kern_County_Fairgrounds_-_%22The_Hat%22_%2837090004113%29.jpg/1280px-Boy_Scout_Troop_188_-_Kern_County_Fairgrounds_-_%22The_Hat%22_%2837090004113%29.jpg?utm_source=commons.wikimedia.org&amp;utm_campaign=imageinfo&amp;utm_content=thumbnail","original_url":"https://upload.wikimedia.org/wikipedia/commons/b/bb/Boy_Scout_Troop_188_-_Kern_County_Fairgrounds_-_%22The_Hat%22_%2837090004113%29.jpg?utm_source=commons.wikimedia.org&amp;utm_campaign=imageinfo&amp;utm_content=original","pixel_review":{"method":"İndirilen kare temas sayfasında görüldü; kaynak mekân kimliğiyle eşleştirildi. Seçim kaydı final-pixel-review.json.","status":"verified","caption":"Kern County Fairgrounds içindeki şapka biçimli izci büfesi · 2017","reviewer":"Codex (AI)","review_id":"C74"},"downloaded_at":"2026-10-23T19:09:47.490023+00:00","download_sha256":"ac8a37563e0ccde9236061121857196d959b34e829478c9f429d5f706f899500","downloaded_file":"downloads/ac8a37563e0ccde9236061121857196d959b34e829478c9f429d5f706f899500.jpg","acquisition_file":"bbfc45210146f3c735f7c3c4.webp","commons_filename":"Boy Scout Troop 188 - Kern County Fairgrounds - \"The Hat\" (37090004113).jpg","original_file_url":"https://upload.wikimedia.org/wikipedia/commons/b/bb/Boy_Scout_Troop_188_-_Kern_County_Fairgrounds_-_%22The_Hat%22_%2837090004113%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dönüştürüldü.","photo_attribution":{"author_url":"https://www.flickr.com/people/12087947@N00","modifications":"EXIF yönü uygulandı; boyut küçültülüp WebP biçimine dönüştürüldü.","original_file_url":"https://upload.wikimedia.org/wikipedia/commons/b/bb/Boy_Scout_Troop_188_-_Kern_County_Fairgrounds_-_%22The_Hat%22_%2837090004113%29.jpg?utm_source=commons.wikimedia.org&amp;utm_campaign=imageinfo&amp;utm_content=original"},"metadata_reviewed_on":"2026-10-24","metadata_review_status":"verified"}}</x:v>
      </x:c>
    </x:row>
    <x:row r="68" ht="300" customHeight="1">
      <x:c r="A68" s="29" t="str">
        <x:v>bakersfield:evidence:venue-22033</x:v>
      </x:c>
      <x:c r="B68" s="29" t="str">
        <x:v>bakersfield</x:v>
      </x:c>
      <x:c r="C68" s="29" t="str">
        <x:v>bakersfield:photo:venue-22033</x:v>
      </x:c>
      <x:c r="D68" s="29" t="str">
        <x:v>https://commons.wikimedia.org/wiki/File:City_of_Maricopa_Jail_House_-_Maricopa,_CA.jpg</x:v>
      </x:c>
      <x:c r="E68" s="29" t="str">
        <x:v>City of Maricopa Jail House - Maricopa, CA.jpg</x:v>
      </x:c>
      <x:c r="F68" s="29" t="str">
        <x:v>Konrad Summers from Santa Clarita (Valencia) , California, USA</x:v>
      </x:c>
      <x:c r="G68" s="29" t="str">
        <x:v>CC BY-SA 2.0</x:v>
      </x:c>
      <x:c r="H68" s="29" t="str">
        <x:v>https://creativecommons.org/licenses/by-sa/2.0</x:v>
      </x:c>
      <x:c r="I68" s="29" t="str">
        <x:v>Creative Commons Attribution-Share Alike 2.0</x:v>
      </x:c>
      <x:c r="J68" s="29" t="str">
        <x:v>City of Maricopa Jail House - Maricopa, CA.jpg · Konrad Summers from Santa Clarita (Valencia) , California, USA · CC BY-SA 2.0 · https://commons.wikimedia.org/wiki/File:City_of_Maricopa_Jail_House_-_Maricopa,_CA.jpg</x:v>
      </x:c>
      <x:c r="K6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8" s="31" t="d">
        <x:v>2026-10-24T00:00:00.000Z</x:v>
      </x:c>
      <x:c r="M68" s="29" t="str">
        <x:v>Doğrulandı</x:v>
      </x:c>
      <x:c r="N68" s="29" t="str">
        <x:v>Doğrulandı</x:v>
      </x:c>
      <x:c r="O68" s="29" t="str">
        <x:v>Fotoğraflar/bk-17f80ca8c1622d1de51b6873.webp</x:v>
      </x:c>
      <x:c r="P68" s="29" t="str">
        <x:v>Maricopa tarihî demir hapishanesi · 2009 tarihli fotoğraf · İndirilen kare temas sayfasında görüldü; kaynak mekân kimliğiyle eşleştirildi. Seçim kaydı final-pixel-review.json.</x:v>
      </x:c>
      <x:c r="Q68" s="29" t="str">
        <x:v>Bu kare için uygun</x:v>
      </x:c>
      <x:c r="R6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8" s="29" t="str">
        <x:v>Lisans kanıtları/bk-17f80ca8c1622d1de51b6873.source-evidence.json</x:v>
      </x:c>
      <x:c r="T68" s="29" t="str">
        <x:v>099fe33e52ca58b4a31c61493b71ccde560909e43b88d8be403228f4f2b1ba20</x:v>
      </x:c>
      <x:c r="U68" s="29" t="str">
        <x:v>Lisans kanıtları/bk-17f80ca8c1622d1de51b6873.license-record.json</x:v>
      </x:c>
      <x:c r="V68" s="29" t="str">
        <x:v>72f2595df57ae7f70d866cdb8c7125c95eccb5a76db8d72c2de0d0e6df227a0a</x:v>
      </x:c>
      <x:c r="W68" s="29" t="str">
        <x:v>{"file":"bk-17f80ca8c1622d1de51b6873.webp","width":1280,"author":"Konrad Summers from Santa Clarita (Valencia) , California, USA","height":960,"sha256":"17f80ca8c1622d1de51b6873616976791c986edf082f2550e6b53f9207192d61","license":"CC BY-SA 2.0","imageinfo":{"url":"https://upload.wikimedia.org/wikipedia/commons/8/8a/City_of_Maricopa_Jail_House_-_Maricopa%2C_CA.jpg?utm_source=commons.wikimedia.org&amp;utm_campaign=imageinfo&amp;utm_content=original","mime":"image/jpeg","sha1":"4b57c21abc0b5dee95b340b7da297fc036c097e2","size":2670198,"width":4000,"height":3000,"pageid":29790540,"thumburl":"https://thumb.wikimedia.org/wikipedia/commons/thumb/8/8a/City_of_Maricopa_Jail_House_-_Maricopa%2C_CA.jpg/1280px-City_of_Maricopa_Jail_House_-_Maricopa%2C_CA.jpg?utm_source=commons.wikimedia.org&amp;utm_campaign=imageinfo&amp;utm_content=thumbnail","timestamp":"2013-11-23T07:42:41Z","thumbwidth":1280,"extmetadata":{"Artist":{"value":"&lt;a rel=\"nofollow\" class=\"external text\" href=\"https://www.flickr.com/people/12806074@N08\"&gt;Konrad Summers&lt;/a&gt; from Santa Clarita (Valencia) , California, USA","source":"commons-desc-page"},"Credit":{"value":"&lt;p&gt;&lt;a rel=\"nofollow\" class=\"external text\" href=\"https://www.flickr.com/photos/tkksummers/3354832013/\"&gt;City of Maricopa Jail House - Maricopa, CA&lt;/a&gt;\n&lt;/p&gt;\n&lt;ul&gt;&lt;li&gt;Uploaded by &lt;a href=\"//commons.wikimedia.org/wiki/User:PDTillman\" class=\"mw-redirect\" title=\"User:PDTillman\"&gt;PDTillman&lt;/a&gt;&lt;/li&gt;&lt;/ul&gt;","source":"commons-desc-page"},"License":{"value":"cc-by-sa-2.0","hidden":"","source":"commons-templates"},"DateTime":{"value":"2013-11-23 07:42:41","hidden":"","source":"mediawiki-metadata"},"Categories":{"value":"Taken with Kodak EasyShare Z1275|Maricopa, California|Buildings in Kern County, California|Jails in California|Flickr images reviewed by File Upload Bot (Magnus Manske)|Files uploaded by PDTillman|Files with coordinates missing SDC location of creation","hidden":"","source":"commons-categories"},"LicenseUrl":{"value":"https://creativecommons.org/licenses/by-sa/2.0","source":"commons-desc-page"},"ObjectName":{"value":"City of Maricopa Jail House - Maricopa, CA","source":"mediawiki-metadata"},"UsageTerms":{"value":"Creative Commons Attribution-Share Alike 2.0","source":"commons-desc-page"},"Assessments":{"value":"","hidden":"","source":"commons-categories"},"Copyrighted":{"value":"True","hidden":"","source":"commons-desc-page"},"GPSLatitude":{"value":"35.062893","source":"commons-desc-page"},"GPSMapDatum":{"value":"WGS-84","hidden":"","source":"commons-desc-page"},"GPSLongitude":{"value":"-119.402050","source":"commons-desc-page"},"Restrictions":{"value":"","hidden":"","source":"commons-desc-page"},"DateTimeOriginal":{"value":"2009-02-22 11:37","source":"commons-desc-page"},"ImageDescription":{"value":"&lt;p&gt;HISTORY\n&lt;/p&gt;&lt;p&gt;This original Iron structure Served as the cit of Maricopa's Jail for 50 to 60 years.\n&lt;/p&gt;&lt;p&gt;from the teens to the 60's\n&lt;/p&gt;\nit primarily functioned as a \"drunk tank\"","source":"commons-desc-page"},"LicenseShortName":{"value":"CC BY-SA 2.0","hidden":"","source":"commons-desc-page"},"AttributionRequired":{"value":"true","hidden":"","source":"commons-desc-page"},"CommonsMetadataExtension":{"value":1.2,"hidden":"","source":"extension"}},"thumbheight":960,"thumbattribs":{"src":"https://thumb.wikimedia.org/wikipedia/commons/thumb/8/8a/City_of_Maricopa_Jail_House_-_Maricopa%2C_CA.jpg/1280px-City_of_Maricopa_Jail_House_-_Maricopa%2C_CA.jpg?utm_source=commons.wikimedia.org&amp;utm_campaign=imageinfo&amp;utm_content=thumbnail","width":1280,"height":960,"srcset":"https://thumb.wikimedia.org/wikipedia/commons/thumb/8/8a/City_of_Maricopa_Jail_House_-_Maricopa%2C_CA.jpg/3840px-City_of_Maricopa_Jail_House_-_Maricopa%2C_CA.jpg?utm_source=commons.wikimedia.org&amp;utm_campaign=imageinfo&amp;utm_content=thumbnail 2x","loading":"lazy","decoding":"async"},"descriptionurl":"https://commons.wikimedia.org/wiki/File:City_of_Maricopa_Jail_House_-_Maricopa,_CA.jpg","responsiveUrls":{"2":"https://thumb.wikimedia.org/wikipedia/commons/thumb/8/8a/City_of_Maricopa_Jail_House_-_Maricopa%2C_CA.jpg/3840px-City_of_Maricopa_Jail_House_-_Maricopa%2C_CA.jpg?utm_source=commons.wikimedia.org&amp;utm_campaign=imageinfo&amp;utm_content=thumbnail"},"descriptionshorturl":"https://commons.wikimedia.org/w/index.php?curid=29790540"},"selection":{"qid":"pending","kind":"candidate","title":"Buildings in Kern County, California"},"author_url":"https://www.flickr.com/people/12806074@N08","derivative":"Wikimedia thumbnail decoded; EXIF orientation applied; converted to WebP quality 86; no generated pixels, no cropping.","source_url":"https://commons.wikimedia.org/wiki/File:City_of_Maricopa_Jail_House_-_Maricopa,_CA.jpg","author_urls":["https://www.flickr.com/people/12806074@N08"],"description":"HISTORY\nThis original Iron structure Served as the cit of Maricopa's Jail for 50 to 60 years.\nfrom the teens to the 60's\n\nit primarily functioned as a \"drunk tank\"","license_url":"https://creativecommons.org/licenses/by-sa/2.0","reviewed_on":"2026-10-24","capture_date":"2009-02-22 11:37","download_url":"https://thumb.wikimedia.org/wikipedia/commons/thumb/8/8a/City_of_Maricopa_Jail_House_-_Maricopa%2C_CA.jpg/1280px-City_of_Maricopa_Jail_House_-_Maricopa%2C_CA.jpg?utm_source=commons.wikimedia.org&amp;utm_campaign=imageinfo&amp;utm_content=thumbnail","original_url":"https://upload.wikimedia.org/wikipedia/commons/8/8a/City_of_Maricopa_Jail_House_-_Maricopa%2C_CA.jpg?utm_source=commons.wikimedia.org&amp;utm_campaign=imageinfo&amp;utm_content=original","pixel_review":{"method":"İndirilen kare temas sayfasında görüldü; kaynak mekân kimliğiyle eşleştirildi. Seçim kaydı final-pixel-review.json.","status":"verified","caption":"Maricopa tarihî demir hapishanesi · 2009 tarihli fotoğraf","reviewer":"Codex (AI)","review_id":"C101"},"downloaded_at":"2026-10-23T19:10:22.902930+00:00","download_sha256":"f5a2b093085bd331daa65d2a8f26052f118a61ce16fba62273ad5b938121af1c","downloaded_file":"downloads/f5a2b093085bd331daa65d2a8f26052f118a61ce16fba62273ad5b938121af1c.jpg","acquisition_file":"7be3c907f7b91765e92cdafc.webp","commons_filename":"City of Maricopa Jail House - Maricopa, CA.jpg","original_file_url":"https://upload.wikimedia.org/wikipedia/commons/8/8a/City_of_Maricopa_Jail_House_-_Maricopa%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dönüştürüldü.","photo_attribution":{"author_url":"https://www.flickr.com/people/12806074@N08","modifications":"EXIF yönü uygulandı; boyut küçültülüp WebP biçimine dönüştürüldü.","original_file_url":"https://upload.wikimedia.org/wikipedia/commons/8/8a/City_of_Maricopa_Jail_House_-_Maricopa%2C_CA.jpg?utm_source=commons.wikimedia.org&amp;utm_campaign=imageinfo&amp;utm_content=original"},"metadata_reviewed_on":"2026-10-24","metadata_review_status":"verified"}}</x:v>
      </x:c>
    </x:row>
    <x:row r="69" ht="300" customHeight="1">
      <x:c r="A69" s="29" t="str">
        <x:v>bakersfield:evidence:venue-22034</x:v>
      </x:c>
      <x:c r="B69" s="29" t="str">
        <x:v>bakersfield</x:v>
      </x:c>
      <x:c r="C69" s="29" t="str">
        <x:v>bakersfield:photo:venue-22034</x:v>
      </x:c>
      <x:c r="D69" s="29" t="str">
        <x:v>https://commons.wikimedia.org/wiki/File:2010-1227-WascoUHSAud.jpg</x:v>
      </x:c>
      <x:c r="E69" s="29" t="str">
        <x:v>2010-1227-WascoUHSAud.jpg</x:v>
      </x:c>
      <x:c r="F69" s="29" t="str">
        <x:v>Bobak Ha'Eri</x:v>
      </x:c>
      <x:c r="G69" s="29" t="str">
        <x:v>CC BY 3.0</x:v>
      </x:c>
      <x:c r="H69" s="29" t="str">
        <x:v>https://creativecommons.org/licenses/by/3.0</x:v>
      </x:c>
      <x:c r="I69" s="29" t="str">
        <x:v>Creative Commons Attribution 3.0</x:v>
      </x:c>
      <x:c r="J69" s="29" t="str">
        <x:v>2010-1227-WascoUHSAud.jpg · Bobak Ha'Eri · CC BY 3.0 · https://commons.wikimedia.org/wiki/File:2010-1227-WascoUHSAud.jpg</x:v>
      </x:c>
      <x:c r="K6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69" s="31" t="d">
        <x:v>2026-10-24T00:00:00.000Z</x:v>
      </x:c>
      <x:c r="M69" s="29" t="str">
        <x:v>Doğrulandı</x:v>
      </x:c>
      <x:c r="N69" s="29" t="str">
        <x:v>Doğrulandı</x:v>
      </x:c>
      <x:c r="O69" s="29" t="str">
        <x:v>Fotoğraflar/bk-d56a40b0cca10d10ee5f7fae.webp</x:v>
      </x:c>
      <x:c r="P69" s="29" t="str">
        <x:v>Wasco Union High School tarihî salonu · 2010 tarihli fotoğraf · İndirilen kare temas sayfasında görüldü; kaynak mekân kimliğiyle eşleştirildi. Seçim kaydı final-pixel-review.json.</x:v>
      </x:c>
      <x:c r="Q69" s="29" t="str">
        <x:v>Bu kare için uygun</x:v>
      </x:c>
      <x:c r="R6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69" s="29" t="str">
        <x:v>Lisans kanıtları/bk-d56a40b0cca10d10ee5f7fae.source-evidence.json</x:v>
      </x:c>
      <x:c r="T69" s="29" t="str">
        <x:v>ccaf04a46ff2161a398bfe0b65a0ceb88bc901be4da6d7a5eccfc1753cdf5bd7</x:v>
      </x:c>
      <x:c r="U69" s="29" t="str">
        <x:v>Lisans kanıtları/bk-d56a40b0cca10d10ee5f7fae.license-record.json</x:v>
      </x:c>
      <x:c r="V69" s="29" t="str">
        <x:v>1ae8cbc13c0ae6e644e9f1c8c945cf23c2ecb3e413108d5569c7964ff909aa23</x:v>
      </x:c>
      <x:c r="W69" s="29" t="str">
        <x:v>{"file":"bk-d56a40b0cca10d10ee5f7fae.webp","width":1280,"author":"Bobak Ha'Eri","height":942,"sha256":"d56a40b0cca10d10ee5f7fae365d4f8b465c1c52be188b38fb871efd11e70d95","license":"CC BY 3.0","imageinfo":{"url":"https://upload.wikimedia.org/wikipedia/commons/6/67/2010-1227-WascoUHSAud.jpg?utm_source=commons.wikimedia.org&amp;utm_campaign=imageinfo&amp;utm_content=original","mime":"image/jpeg","sha1":"f4199faa8b94b78faa5b95f4176e9f3977b3122d","size":588456,"width":3760,"height":2766,"pageid":12657079,"thumburl":"https://thumb.wikimedia.org/wikipedia/commons/thumb/6/67/2010-1227-WascoUHSAud.jpg/1280px-2010-1227-WascoUHSAud.jpg?utm_source=commons.wikimedia.org&amp;utm_campaign=imageinfo&amp;utm_content=thumbnail","timestamp":"2011-01-11T00:30:16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work&lt;/span&gt;","source":"commons-desc-page"},"License":{"value":"cc-by-3.0","hidden":"","source":"commons-templates"},"DateTime":{"value":"2011-01-11 00:30:16","hidden":"","source":"mediawiki-metadata"},"Categories":{"value":"Taken with Panasonic Lumix DMC-TZ10|National Register of Historic Places in Kern County, California|Beaux-Arts architecture in California|Neo-Renaissance architecture in California|Wasco, California|Buildings in Kern County, California|Schools on the National Register of Historic Places in California|Built in California in 1947|Facades in California|Auditoriums in California|Self-published work|National Register of Historic Places with known IDs|High schools in Kern County, California|Files by User:Bobak|School auditoria in the United States","hidden":"","source":"commons-categories"},"LicenseUrl":{"value":"https://creativecommons.org/licenses/by/3.0","source":"commons-desc-page"},"ObjectName":{"value":"2010-1227-WascoUHSAud","source":"mediawiki-metadata"},"Permission":{"value":"CC-By-SA-3.0","hidden":"","source":"commons-desc-page"},"UsageTerms":{"value":"Creative Commons Attribution 3.0","source":"commons-desc-page"},"Assessments":{"value":"","hidden":"","source":"commons-categories"},"Copyrighted":{"value":"True","hidden":"","source":"commons-desc-page"},"GPSLatitude":{"value":"35.594722","source":"commons-desc-page"},"GPSMapDatum":{"value":"WGS-84","hidden":"","source":"commons-desc-page"},"GPSLongitude":{"value":"-119.345556","source":"commons-desc-page"},"Restrictions":{"value":"","hidden":"","source":"commons-desc-page"},"DateTimeOriginal":{"value":"2010-12-27","source":"commons-desc-page"},"ImageDescription":{"value":"&lt;b&gt;&lt;a href=\"https://en.wikipedia.org/wiki/Wasco_Union_High_School_Auditorium\" class=\"extiw\" title=\"en:Wasco Union High School Auditorium\"&gt;Wasco Union High School Auditorium&lt;/a&gt;&lt;/b&gt;, &lt;a href=\"https://en.wikipedia.org/wiki/Wasco_Union_High_School\" class=\"extiw\" title=\"en:Wasco Union High School\"&gt;Wasco Union High School&lt;/a&gt;, &lt;a href=\"https://en.wikipedia.org/wiki/Wasco,_California\" class=\"extiw\" title=\"en:Wasco, California\"&gt;Wasco, California&lt;/a&gt;, USA.","source":"commons-desc-page"},"LicenseShortName":{"value":"CC BY 3.0","hidden":"","source":"commons-desc-page"},"AttributionRequired":{"value":"true","hidden":"","source":"commons-desc-page"},"CommonsMetadataExtension":{"value":1.2,"hidden":"","source":"extension"}},"thumbheight":942,"thumbattribs":{"src":"https://thumb.wikimedia.org/wikipedia/commons/thumb/6/67/2010-1227-WascoUHSAud.jpg/1280px-2010-1227-WascoUHSAud.jpg?utm_source=commons.wikimedia.org&amp;utm_campaign=imageinfo&amp;utm_content=thumbnail","width":1280,"height":942,"srcset":"https://upload.wikimedia.org/wikipedia/commons/6/67/2010-1227-WascoUHSAud.jpg?utm_source=commons.wikimedia.org&amp;utm_campaign=imageinfo&amp;utm_content=thumbnail_unscaled 2x","loading":"lazy","decoding":"async"},"descriptionurl":"https://commons.wikimedia.org/wiki/File:2010-1227-WascoUHSAud.jpg","responsiveUrls":{"2":"https://upload.wikimedia.org/wikipedia/commons/6/67/2010-1227-WascoUHSAud.jpg?utm_source=commons.wikimedia.org&amp;utm_campaign=imageinfo&amp;utm_content=thumbnail_unscaled"},"descriptionshorturl":"https://commons.wikimedia.org/w/index.php?curid=12657079"},"selection":{"qid":"pending","kind":"candidate","title":"Buildings in Kern County, California"},"author_url":"https://en.wikipedia.org/wiki/User:Bobak","derivative":"Wikimedia thumbnail decoded; EXIF orientation applied; converted to WebP quality 86; no generated pixels, no cropping.","source_url":"https://commons.wikimedia.org/wiki/File:2010-1227-WascoUHSAud.jpg","author_urls":["https://en.wikipedia.org/wiki/User:Bobak"],"description":"Wasco Union High School Auditorium, Wasco Union High School, Wasco, California, USA.","license_url":"https://creativecommons.org/licenses/by/3.0","reviewed_on":"2026-10-24","capture_date":"2010-12-27","download_url":"https://thumb.wikimedia.org/wikipedia/commons/thumb/6/67/2010-1227-WascoUHSAud.jpg/1280px-2010-1227-WascoUHSAud.jpg?utm_source=commons.wikimedia.org&amp;utm_campaign=imageinfo&amp;utm_content=thumbnail","original_url":"https://upload.wikimedia.org/wikipedia/commons/6/67/2010-1227-WascoUHSAud.jpg?utm_source=commons.wikimedia.org&amp;utm_campaign=imageinfo&amp;utm_content=original","pixel_review":{"method":"İndirilen kare temas sayfasında görüldü; kaynak mekân kimliğiyle eşleştirildi. Seçim kaydı final-pixel-review.json.","status":"verified","caption":"Wasco Union High School tarihî salonu · 2010 tarihli fotoğraf","reviewer":"Codex (AI)","review_id":"C26"},"downloaded_at":"2026-10-23T19:10:15.954994+00:00","download_sha256":"fffb789d7b71c2d6e878f4f68d38def6ca39e630380a49aea0d837b5cd81431a","downloaded_file":"downloads/fffb789d7b71c2d6e878f4f68d38def6ca39e630380a49aea0d837b5cd81431a.jpg","acquisition_file":"1f340ec91fb817634b609519.webp","commons_filename":"2010-1227-WascoUHSAud.jpg","original_file_url":"https://upload.wikimedia.org/wikipedia/commons/6/67/2010-1227-WascoUHSAu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6/67/2010-1227-WascoUHSAud.jpg?utm_source=commons.wikimedia.org&amp;utm_campaign=imageinfo&amp;utm_content=original"},"metadata_reviewed_on":"2026-10-24","metadata_review_status":"verified"}}</x:v>
      </x:c>
    </x:row>
    <x:row r="70" ht="300" customHeight="1">
      <x:c r="A70" s="29" t="str">
        <x:v>bakersfield:evidence:venue-22035</x:v>
      </x:c>
      <x:c r="B70" s="29" t="str">
        <x:v>bakersfield</x:v>
      </x:c>
      <x:c r="C70" s="29" t="str">
        <x:v>bakersfield:photo:venue-22035</x:v>
      </x:c>
      <x:c r="D70" s="29" t="str">
        <x:v>https://www.flickr.com/photos/16069488@N00/7359702674/</x:v>
      </x:c>
      <x:c r="E70" s="29" t="str">
        <x:v>The Padre Hotel · 2011 tarihli fotoğraf</x:v>
      </x:c>
      <x:c r="F70" s="29" t="str">
        <x:v>David Brossard</x:v>
      </x:c>
      <x:c r="G70" s="29" t="str">
        <x:v>CC BY-SA 2.0</x:v>
      </x:c>
      <x:c r="H70" s="29" t="str">
        <x:v>https://creativecommons.org/licenses/by-sa/2.0/</x:v>
      </x:c>
      <x:c r="I70" s="29" t="str">
        <x:v>CC BY-SA 2.0</x:v>
      </x:c>
      <x:c r="J70" s="29" t="str">
        <x:v>The Padre Hotel · 2011 tarihli fotoğraf · David Brossard · CC BY-SA 2.0 · https://www.flickr.com/photos/16069488@N00/7359702674/</x:v>
      </x:c>
      <x:c r="K7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0" s="31" t="d">
        <x:v>2026-10-24T00:00:00.000Z</x:v>
      </x:c>
      <x:c r="M70" s="29" t="str">
        <x:v>Doğrulandı</x:v>
      </x:c>
      <x:c r="N70" s="29" t="str">
        <x:v>Doğrulandı</x:v>
      </x:c>
      <x:c r="O70" s="29" t="str">
        <x:v>Fotoğraflar/bk-1d09279412ce5af775910e7b.webp</x:v>
      </x:c>
      <x:c r="P70" s="29" t="str">
        <x:v>The Padre Hotel · 2011 tarihli fotoğraf · İndirilen kare temas sayfasında görüldü; kaynak mekân kimliğiyle eşleştirildi. Seçim kaydı final-pixel-review.json.</x:v>
      </x:c>
      <x:c r="Q70" s="29" t="str">
        <x:v>Bu kare için uygun</x:v>
      </x:c>
      <x:c r="R7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0" s="29" t="str">
        <x:v>Lisans kanıtları/bk-1d09279412ce5af775910e7b.source-evidence.json</x:v>
      </x:c>
      <x:c r="T70" s="29" t="str">
        <x:v>48c347b42e869ae379343bdd76652ab231601f1302a24859145a5052aee713a2</x:v>
      </x:c>
      <x:c r="U70" s="29" t="str">
        <x:v>Lisans kanıtları/bk-1d09279412ce5af775910e7b.license-record.json</x:v>
      </x:c>
      <x:c r="V70" s="29" t="str">
        <x:v>fd606476acfbae7d48330e07b625446eceba09cd2c765ce1e2951ecc36cc8e29</x:v>
      </x:c>
      <x:c r="W70" s="29" t="str">
        <x:v>{"file":"bk-1d09279412ce5af775910e7b.webp","width":683,"author":"David Brossard","height":1024,"sha256":"1d09279412ce5af775910e7bb1c5292062308bf2db295b39660300f5e29f4387","status":"reviewed-selected","license":"CC BY-SA 2.0","provider":"Flickr","review_id":"F183","source_id":"7359702674","author_url":"https://www.flickr.com/photos/16069488@N00/","date_texts":["Uploaded on June 11, 2012 Taken on March 4, 2011","Taken on March 4, 2011","Uploaded on June 11, 2012 Taken on March 4, 2011","Taken on March 4, 2011"],"source_url":"https://www.flickr.com/photos/16069488@N00/7359702674/","description":"I stayed in the Padre Hotel which is a really wonderful renovation that just reopened a couple of years before.  The rooms were very neat, and reasonably priced, and the hotel had a cool bar and restaurant.","license_url":"https://creativecommons.org/licenses/by-sa/2.0/","review_note":"Gündüz dış cephe.","reviewed_on":"2026-10-24","source_text":"Padre Hotel - Bakersfield | I stayed in the Padre Hotel whic…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Brossard string_bass_dave Padre Hotel - Bakersfield I stayed in the Padre Hotel which is a really wonderful renovation that just reopened a couple of years before.  The rooms were very neat, and reasonably priced, and the hotel had a cool bar and restaurant. Done 696 views 0 faves 1 comment Uploaded on June 11, 2012 Taken on March 4, 2011 David Brossard By: David Brossard Padre Hotel - Bakersfield I stayed in the Padre Hotel which is a really wonderful renovation that just reopened a couple of years before.  The rooms were very neat, and reasonably priced, and the hotel had a cool bar and restaurant. Done 696 views 0 faves 1 comment Uploaded on June 11, 2012 Taken on March 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photography.","capture_date":"2011-03-04","download_url":"https://live.staticflickr.com/7238/7359702674_17fc86c3c3_b.jpg","original_url":"https://live.staticflickr.com/7238/7359702674_e23f9f003c_o.jpg","pixel_review":{"method":"İndirilen kare temas sayfasında görüldü; kaynak mekân kimliğiyle eşleştirildi. Seçim kaydı final-pixel-review.json.","status":"verified","caption":"The Padre Hotel · 2011 tarihli fotoğraf","reviewer":"Codex (AI)","review_id":"F183"},"source_title":"Padre Hotel - Bakersfield","downloaded_at":"2026-10-23T19:50:14.800355+00:00","download_sha256":"f00787fd40fb51144f29ad46299757017f48a38ad61f5b4b3cf6ee87900cd1ee","downloaded_file":"downloads/f00787fd40fb51144f29ad46299757017f48a38ad61f5b4b3cf6ee87900cd1ee.jpg","public_metadata":{"photo-models":[{"data":{"id":"7359702674","owner":{"data":{"id":"16069488@N00","isPro":true,"newFlow":true,"isAdFree":false,"proBadge":"standard","realname":"David Brossard","segments":{"data":[],"exportMetaType":"array"},"username":"string_bass_dave","buddyicon":{"data":{"large":"//live.staticflickr.com/3785/buddyicons/16069488@N00_l.jpg?1371495505#16069488@N00","small":"//live.staticflickr.com/3785/buddyicons/16069488@N00_s.jpg?1371495505#16069488@N00","medium":"//live.staticflickr.com/3785/buddyicons/16069488@N00_m.jpg?1371495505#16069488@N00","retina":"//live.staticflickr.com/3785/buddyicons/16069488@N00_r.jpg?1371495505#16069488@N00","default":"//live.staticflickr.com/3785/buddyicons/16069488@N00.jpg?1371495505#16069488@N00"},"exportMetaType":"pojo"},"pathAlias":"string_bass_dave","dateCreated":{"data":"1144493470","exportMetaType":"serializeFunction"},"subscription":{"data":{"isPro":false,"isClosed":false,"isPastDue":false},"exportMetaType":"pojo"},"eligibleGifts":{"data":["year","month","week"],"exportMetaType":"array"},"isEligibleForGifts":true,"_flickrModelRegistry":"person-models"},"exportMetaType":"model"},"sizes":{"data":{"c":{"data":{"url":"//live.staticflickr.com/7238/7359702674_17fc86c3c3_c.jpg","width":533,"height":800,"displayUrl":"//live.staticflickr.com/7238/7359702674_17fc86c3c3_c.jpg"},"exportMetaType":"pojo"},"h":{"data":{"url":"//live.staticflickr.com/7238/7359702674_62d1ca96c6_h.jpg","width":1067,"height":1600,"displayUrl":"//live.staticflickr.com/7238/7359702674_62d1ca96c6_h.jpg"},"exportMetaType":"pojo"},"k":{"data":{"url":"//live.staticflickr.com/7238/7359702674_bde5f84b3d_k.jpg","width":1365,"height":2048,"displayUrl":"//live.staticflickr.com/7238/7359702674_bde5f84b3d_k.jpg"},"exportMetaType":"pojo"},"l":{"data":{"url":"//live.staticflickr.com/7238/7359702674_17fc86c3c3_b.jpg","width":683,"height":1024,"displayUrl":"//live.staticflickr.com/7238/7359702674_17fc86c3c3_b.jpg"},"exportMetaType":"pojo"},"m":{"data":{"url":"//live.staticflickr.com/7238/7359702674_17fc86c3c3.jpg","width":333,"height":500,"displayUrl":"//live.staticflickr.com/7238/7359702674_17fc86c3c3.jpg"},"exportMetaType":"pojo"},"n":{"data":{"url":"//live.staticflickr.com/7238/7359702674_17fc86c3c3_n.jpg","width":213,"height":320,"displayUrl":"//live.staticflickr.com/7238/7359702674_17fc86c3c3_n.jpg"},"exportMetaType":"pojo"},"o":{"data":{"url":"//live.staticflickr.com/7238/7359702674_e23f9f003c_o.jpg","width":3744,"height":5616,"displayUrl":"//live.staticflickr.com/7238/7359702674_e23f9f003c_o.jpg"},"exportMetaType":"pojo"},"q":{"data":{"url":"//live.staticflickr.com/7238/7359702674_17fc86c3c3_q.jpg","width":150,"height":150,"displayUrl":"//live.staticflickr.com/7238/7359702674_17fc86c3c3_q.jpg"},"exportMetaType":"pojo"},"s":{"data":{"url":"//live.staticflickr.com/7238/7359702674_17fc86c3c3_m.jpg","width":160,"height":240,"displayUrl":"//live.staticflickr.com/7238/7359702674_17fc86c3c3_m.jpg"},"exportMetaType":"pojo"},"t":{"data":{"url":"//live.staticflickr.com/7238/7359702674_17fc86c3c3_t.jpg","width":67,"height":100,"displayUrl":"//live.staticflickr.com/7238/7359702674_17fc86c3c3_t.jpg"},"exportMetaType":"pojo"},"w":{"data":{"url":"//live.staticflickr.com/7238/7359702674_17fc86c3c3_w.jpg","width":267,"height":400,"displayUrl":"//live.staticflickr.com/7238/7359702674_17fc86c3c3_w.jpg"},"exportMetaType":"pojo"},"z":{"data":{"url":"//live.staticflickr.com/7238/7359702674_17fc86c3c3_z.jpg","width":427,"height":640,"displayUrl":"//live.staticflickr.com/7238/7359702674_17fc86c3c3_z.jpg"},"exportMetaType":"pojo"},"3k":{"data":{"url":"//live.staticflickr.com/7238/7359702674_2c9bed0c18_3k.jpg","width":2048,"height":3072,"displayUrl":"//live.staticflickr.com/7238/7359702674_2c9bed0c18_3k.jpg"},"exportMetaType":"pojo"},"4k":{"data":{"url":"//live.staticflickr.com/7238/7359702674_1823c8800a_4k.jpg","width":2731,"height":4096,"displayUrl":"//live.staticflickr.com/7238/7359702674_1823c8800a_4k.jpg"},"exportMetaType":"pojo"},"5k":{"data":{"url":"//live.staticflickr.com/7238/7359702674_ab0a760739_5k.jpg","width":3413,"height":5120,"displayUrl":"//live.staticflickr.com/7238/7359702674_ab0a760739_5k.jpg"},"exportMetaType":"pojo"},"sq":{"data":{"url":"//live.staticflickr.com/7238/7359702674_17fc86c3c3_s.jpg","width":75,"height":75,"displayUrl":"//live.staticflickr.com/7238/7359702674_17fc86c3c3_s.jpg"},"exportMetaType":"pojo"}},"exportMetaType":"pojo"},"title":"Padre Hotel - Bakersfield","oWidth":3744,"secret":"17fc86c3c3","license":5,"oHeight":5616,"rotation":0,"canAddMeta":false,"canComment":false,"engagement":{"data":{"id":"7359702674","canShare":true,"ownerNsid":"16069488@N00","reactions":{"data":{"like":{"data":{"id":"like","count":5,"canReact":true,"didViewerReact":true},"exportMetaType":"pojo"},"someOtherReaction":{"data":{"id":"someOtherReaction","count":3,"canReact":true,"didViewerReact":false},"exportMetaType":"pojo"}},"exportMetaType":"pojo"},"viewCount":696,"canDownload":true,"commentCount":1,"_flickrModelRegistry":"photo-engagement-models"},"exportMetaType":"model"},"description":"I stayed in the Padre Hotel which is a really wonderful renovation that just reopened a couple of years before.  The rooms were very neat, and reasonably priced, and the hotel had a cool bar and restaurant.","safetyLevel":0,"upgradeSizes":{"data":[],"exportMetaType":"array"},"adEligibility":{"data":{"lane":1,"labels":{"data":["ProOwner"],"exportMetaType":"array"},"isAdEligible":false,"highScoreLabels":{"data":["ProOwner"],"exportMetaType":"array"}},"exportMetaType":"pojo"},"canPublicComment":true,"_flickrModelRegistry":"photo-models"},"exportMetaType":"model"}],"photo-geo-models":[{"data":{"id":"7359702674","hasGeo":true,"accuracy":16,"isPublic":true,"latitude":35.375316,"longitude":-119.021402,"_flickrModelRegistry":"photo-geo-models"},"exportMetaType":"model"}],"photo-location-models":[{"data":{"id":"7359702674","geo":{"data":"~2","exportMetaType":"model"},"text":"Downtown, Bakersfield, California","levels":{"data":{"county":{"data":{"name":"Kern","woeId":12587684},"exportMetaType":"pojo"},"region":{"data":{"name":"California","woeId":2347563},"exportMetaType":"pojo"},"country":{"data":{"name":"United States","woeId":23424977},"exportMetaType":"pojo"},"locality":{"data":{"name":"Bakersfield","woeId":2358492},"exportMetaType":"pojo"},"neighbourhood":{"data":{"name":"Downtown","woeId":55857901},"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7359702674","title":"Padre Hotel - Bakersfield","og:url":"https://www.flickr.com/photos/string_bass_dave/7359702674/","og:type":"article","keywords":"california, unitedstates, bakersfield, tse24mmf35l","og:image":"https://live.staticflickr.com/7238/7359702674_17fc86c3c3_b.jpg","og:title":"Padre Hotel - Bakersfield","twitter:card":"summary_large_image","twitter:image":"https://live.staticflickr.com/7238/7359702674_17fc86c3c3_b.jpg","og:description":"I stayed in the Padre Hotel which is a really wonderful renovation that just reopened a couple of years before.  The rooms were very neat, and reasonably priced, and the hotel had a cool bar and restaurant.","og:image:width":683,"og:image:height":1024,"twitter:description":"I stayed in the Padre Hotel which is a really wonderful renovation that just reopened a couple of years before.  The rooms were very neat, and reasonably priced, and the hotel had a cool bar and restaurant.","_flickrModelRegistry":"photo-head-meta-models","twitter:app:url:ipad":"flickr://flickr.com/photos/string_bass_dave/7359702674/","twitter:app:url:iphone":"flickr://flickr.com/photos/string_bass_dave/7359702674/","twitter:app:url:googleplay":"https://www.flickr.com/photos/string_bass_dave/7359702674/"},"exportMetaType":"model"}],"photo-license-history-models":[]},"acquisition_file":"fl-7359702674.webp","source_html_file":"/Users/atincakcayoz/corteqs/output/bakersfield-production-20261023/flickr-source-pages/7359702674.html","original_file_url":"https://live.staticflickr.com/7238/7359702674_e23f9f003c_o.jpg","proposed_identity":"The Padre Hotel","source_html_sha256":"0bf31e529470e291cd82756b11ff05f95b912f001e68775c300e1c34293315d3","third_party_rights_review":{"basis":"Kaynakta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dönüştürüldü.","photo_attribution":{"author_url":"https://www.flickr.com/photos/16069488@N00/","modifications":"EXIF yönü uygulandı; boyut küçültülüp WebP biçimine dönüştürüldü.","original_file_url":"https://live.staticflickr.com/7238/7359702674_e23f9f003c_o.jpg"},"metadata_reviewed_on":"2026-10-24","metadata_review_status":"verified"}}</x:v>
      </x:c>
    </x:row>
    <x:row r="71" ht="300" customHeight="1">
      <x:c r="A71" s="29" t="str">
        <x:v>bakersfield:evidence:venue-22036</x:v>
      </x:c>
      <x:c r="B71" s="29" t="str">
        <x:v>bakersfield</x:v>
      </x:c>
      <x:c r="C71" s="29" t="str">
        <x:v>bakersfield:photo:venue-22036</x:v>
      </x:c>
      <x:c r="D71" s="29" t="str">
        <x:v>https://www.flickr.com/photos/16069488@N00/7231697834/</x:v>
      </x:c>
      <x:c r="E71" s="29" t="str">
        <x:v>The Padre Hotel · 2011 tarihli fotoğraf</x:v>
      </x:c>
      <x:c r="F71" s="29" t="str">
        <x:v>David Brossard</x:v>
      </x:c>
      <x:c r="G71" s="29" t="str">
        <x:v>CC BY-SA 2.0</x:v>
      </x:c>
      <x:c r="H71" s="29" t="str">
        <x:v>https://creativecommons.org/licenses/by-sa/2.0/</x:v>
      </x:c>
      <x:c r="I71" s="29" t="str">
        <x:v>CC BY-SA 2.0</x:v>
      </x:c>
      <x:c r="J71" s="29" t="str">
        <x:v>The Padre Hotel · 2011 tarihli fotoğraf · David Brossard · CC BY-SA 2.0 · https://www.flickr.com/photos/16069488@N00/7231697834/</x:v>
      </x:c>
      <x:c r="K7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1" s="31" t="d">
        <x:v>2026-10-24T00:00:00.000Z</x:v>
      </x:c>
      <x:c r="M71" s="29" t="str">
        <x:v>Doğrulandı</x:v>
      </x:c>
      <x:c r="N71" s="29" t="str">
        <x:v>Doğrulandı</x:v>
      </x:c>
      <x:c r="O71" s="29" t="str">
        <x:v>Fotoğraflar/bk-181687f5292809e725a7125c.webp</x:v>
      </x:c>
      <x:c r="P71" s="29" t="str">
        <x:v>The Padre Hotel · 2011 tarihli fotoğraf · İndirilen kare temas sayfasında görüldü; kaynak mekân kimliğiyle eşleştirildi. Seçim kaydı final-pixel-review.json.</x:v>
      </x:c>
      <x:c r="Q71" s="29" t="str">
        <x:v>Bu kare için uygun</x:v>
      </x:c>
      <x:c r="R7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1" s="29" t="str">
        <x:v>Lisans kanıtları/bk-181687f5292809e725a7125c.source-evidence.json</x:v>
      </x:c>
      <x:c r="T71" s="29" t="str">
        <x:v>ca9dd0ac070037d68cdd18f4698acb5f11afccbbfd256f55859319610323e99d</x:v>
      </x:c>
      <x:c r="U71" s="29" t="str">
        <x:v>Lisans kanıtları/bk-181687f5292809e725a7125c.license-record.json</x:v>
      </x:c>
      <x:c r="V71" s="29" t="str">
        <x:v>260204cec23d1fabfe5793e3e8c32fa5d027f813170987dc82fb343e2d36d469</x:v>
      </x:c>
      <x:c r="W71" s="29" t="str">
        <x:v>{"file":"bk-181687f5292809e725a7125c.webp","width":1024,"author":"David Brossard","height":992,"sha256":"181687f5292809e725a7125cea0bc71584f2d523146f1ff51643794d7a2352e6","status":"reviewed-selected","license":"CC BY-SA 2.0","provider":"Flickr","review_id":"F184","source_id":"7231697834","author_url":"https://www.flickr.com/photos/16069488@N00/","date_texts":["Uploaded on May 20, 2012 Taken on March 4, 2011","Taken on March 4, 2011","Uploaded on May 20, 2012 Taken on March 4, 2011","Taken on March 4, 2011"],"source_url":"https://www.flickr.com/photos/16069488@N00/7231697834/","description":"","license_url":"https://creativecommons.org/licenses/by-sa/2.0/","review_note":"Diğer yönden dış cephe; 183 ile çeşitlilik kontrolü.","reviewed_on":"2026-10-24","source_text":"Padre Hotel -- Bakersfield | David Brossard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Brossard string_bass_dave Padre Hotel -- Bakersfield Done 500 views 1 fave 0 comments Uploaded on May 20, 2012 Taken on March 4, 2011 David Brossard By: David Brossard Padre Hotel -- Bakersfield Done 500 views 1 fave 0 comments Uploaded on May 20, 2012 Taken on March 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photography.","capture_date":"2011-03-04","download_url":"https://live.staticflickr.com/7238/7231697834_3e439582b7_b.jpg","original_url":"https://live.staticflickr.com/7238/7231697834_3e439582b7_b.jpg","pixel_review":{"method":"İndirilen kare temas sayfasında görüldü; kaynak mekân kimliğiyle eşleştirildi. Seçim kaydı final-pixel-review.json.","status":"verified","caption":"The Padre Hotel · 2011 tarihli fotoğraf","reviewer":"Codex (AI)","review_id":"F184"},"source_title":"Padre Hotel -- Bakersfield","downloaded_at":"2026-10-23T19:48:30.844185+00:00","download_sha256":"d39164fc92fc5a8c9ec6dce0c4cae3740eabb19ca8cd17918c9f22cdc5b641cc","downloaded_file":"downloads/d39164fc92fc5a8c9ec6dce0c4cae3740eabb19ca8cd17918c9f22cdc5b641cc.jpg","public_metadata":{"photo-models":[{"data":{"id":"7231697834","owner":{"data":{"id":"16069488@N00","isPro":true,"newFlow":true,"isAdFree":false,"proBadge":"standard","realname":"David Brossard","segments":{"data":[],"exportMetaType":"array"},"username":"string_bass_dave","buddyicon":{"data":{"large":"//live.staticflickr.com/3785/buddyicons/16069488@N00_l.jpg?1371495505#16069488@N00","small":"//live.staticflickr.com/3785/buddyicons/16069488@N00_s.jpg?1371495505#16069488@N00","medium":"//live.staticflickr.com/3785/buddyicons/16069488@N00_m.jpg?1371495505#16069488@N00","retina":"//live.staticflickr.com/3785/buddyicons/16069488@N00_r.jpg?1371495505#16069488@N00","default":"//live.staticflickr.com/3785/buddyicons/16069488@N00.jpg?1371495505#16069488@N00"},"exportMetaType":"pojo"},"pathAlias":"string_bass_dave","dateCreated":{"data":"1144493470","exportMetaType":"serializeFunction"},"subscription":{"data":{"isPro":false,"isClosed":false,"isPastDue":false},"exportMetaType":"pojo"},"eligibleGifts":{"data":["year","month","week"],"exportMetaType":"array"},"isEligibleForGifts":true,"_flickrModelRegistry":"person-models"},"exportMetaType":"model"},"sizes":{"data":{"c":{"data":{"url":"//live.staticflickr.com/7238/7231697834_3e439582b7_c.jpg","width":800,"height":775,"displayUrl":"//live.staticflickr.com/7238/7231697834_3e439582b7_c.jpg"},"exportMetaType":"pojo"},"l":{"data":{"url":"//live.staticflickr.com/7238/7231697834_3e439582b7_b.jpg","width":1024,"height":992,"displayUrl":"//live.staticflickr.com/7238/7231697834_3e439582b7_b.jpg"},"exportMetaType":"pojo"},"m":{"data":{"url":"//live.staticflickr.com/7238/7231697834_3e439582b7.jpg","width":500,"height":484,"displayUrl":"//live.staticflickr.com/7238/7231697834_3e439582b7.jpg"},"exportMetaType":"pojo"},"n":{"data":{"url":"//live.staticflickr.com/7238/7231697834_3e439582b7_n.jpg","width":320,"height":310,"displayUrl":"//live.staticflickr.com/7238/7231697834_3e439582b7_n.jpg"},"exportMetaType":"pojo"},"o":{"data":{"url":"//live.staticflickr.com/7238/7231697834_68dc212acf_o.jpg","width":1024,"height":992,"displayUrl":"//live.staticflickr.com/7238/7231697834_68dc212acf_o.jpg"},"exportMetaType":"pojo"},"q":{"data":{"url":"//live.staticflickr.com/7238/7231697834_3e439582b7_q.jpg","width":150,"height":150,"displayUrl":"//live.staticflickr.com/7238/7231697834_3e439582b7_q.jpg"},"exportMetaType":"pojo"},"s":{"data":{"url":"//live.staticflickr.com/7238/7231697834_3e439582b7_m.jpg","width":240,"height":233,"displayUrl":"//live.staticflickr.com/7238/7231697834_3e439582b7_m.jpg"},"exportMetaType":"pojo"},"t":{"data":{"url":"//live.staticflickr.com/7238/7231697834_3e439582b7_t.jpg","width":100,"height":97,"displayUrl":"//live.staticflickr.com/7238/7231697834_3e439582b7_t.jpg"},"exportMetaType":"pojo"},"w":{"data":{"url":"//live.staticflickr.com/7238/7231697834_3e439582b7_w.jpg","width":400,"height":388,"displayUrl":"//live.staticflickr.com/7238/7231697834_3e439582b7_w.jpg"},"exportMetaType":"pojo"},"z":{"data":{"url":"//live.staticflickr.com/7238/7231697834_3e439582b7_z.jpg","width":640,"height":620,"displayUrl":"//live.staticflickr.com/7238/7231697834_3e439582b7_z.jpg"},"exportMetaType":"pojo"},"sq":{"data":{"url":"//live.staticflickr.com/7238/7231697834_3e439582b7_s.jpg","width":75,"height":75,"displayUrl":"//live.staticflickr.com/7238/7231697834_3e439582b7_s.jpg"},"exportMetaType":"pojo"}},"exportMetaType":"pojo"},"title":"Padre Hotel -- Bakersfield","oWidth":1024,"secret":"3e439582b7","license":5,"oHeight":992,"rotation":0,"canAddMeta":false,"canComment":false,"engagement":{"data":{"id":"7231697834","canShare":true,"faveCount":1,"ownerNsid":"16069488@N00","reactions":{"data":{"like":{"data":{"id":"like","count":5,"canReact":true,"didViewerReact":true},"exportMetaType":"pojo"},"someOtherReaction":{"data":{"id":"someOtherReaction","count":3,"canReact":true,"didViewerReact":false},"exportMetaType":"pojo"}},"exportMetaType":"pojo"},"viewCount":500,"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7231697834","hasGeo":true,"accuracy":16,"isPublic":true,"latitude":35.375176,"longitude":-119.021214,"_flickrModelRegistry":"photo-geo-models"},"exportMetaType":"model"}],"photo-location-models":[{"data":{"id":"7231697834","geo":{"data":"~2","exportMetaType":"model"},"text":"Downtown, Bakersfield, California","levels":{"data":{"county":{"data":{"name":"Kern","woeId":12587684},"exportMetaType":"pojo"},"region":{"data":{"name":"California","woeId":2347563},"exportMetaType":"pojo"},"country":{"data":{"name":"United States","woeId":23424977},"exportMetaType":"pojo"},"locality":{"data":{"name":"Bakersfield","woeId":2358492},"exportMetaType":"pojo"},"neighbourhood":{"data":{"name":"Downtown","woeId":55857901},"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7231697834","title":"Padre Hotel -- Bakersfield","og:url":"https://www.flickr.com/photos/string_bass_dave/7231697834/","og:type":"article","keywords":"california, unitedstates, bakersfield, tse24mmf35l","og:image":"https://live.staticflickr.com/7238/7231697834_3e439582b7_b.jpg","og:title":"Padre Hotel -- Bakersfield","twitter:card":"summary_large_image","twitter:image":"https://live.staticflickr.com/7238/7231697834_3e439582b7_b.jpg","og:description":"","og:image:width":1024,"og:image:height":992,"twitter:description":"Explore string_bass_dave's 7147 photos on Flickr!","_flickrModelRegistry":"photo-head-meta-models","twitter:app:url:ipad":"flickr://flickr.com/photos/string_bass_dave/7231697834/","twitter:app:url:iphone":"flickr://flickr.com/photos/string_bass_dave/7231697834/","twitter:app:url:googleplay":"https://www.flickr.com/photos/string_bass_dave/7231697834/"},"exportMetaType":"model"}],"photo-license-history-models":[]},"acquisition_file":"fl-7231697834.webp","source_html_file":"/Users/atincakcayoz/corteqs/output/bakersfield-production-20261023/flickr-source-pages/7231697834.html","original_file_url":"https://live.staticflickr.com/7238/7231697834_3e439582b7_b.jpg","proposed_identity":"The Padre Hotel","source_html_sha256":"8cf6bf984d5cbfc091bad934cde780e7642b19eb6df5fcf8763a75f3a1a6d896","third_party_rights_review":{"basis":"Kaynakta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dönüştürüldü.","photo_attribution":{"author_url":"https://www.flickr.com/photos/16069488@N00/","modifications":"EXIF yönü uygulandı; boyut küçültülüp WebP biçimine dönüştürüldü.","original_file_url":"https://live.staticflickr.com/7238/7231697834_3e439582b7_b.jpg"},"metadata_reviewed_on":"2026-10-24","metadata_review_status":"verified"}}</x:v>
      </x:c>
    </x:row>
    <x:row r="72" ht="300" customHeight="1">
      <x:c r="A72" s="29" t="str">
        <x:v>bakersfield:evidence:venue-22037</x:v>
      </x:c>
      <x:c r="B72" s="29" t="str">
        <x:v>bakersfield</x:v>
      </x:c>
      <x:c r="C72" s="29" t="str">
        <x:v>bakersfield:photo:venue-22037</x:v>
      </x:c>
      <x:c r="D72" s="29" t="str">
        <x:v>https://commons.wikimedia.org/wiki/File:The_Padre_Hotel_-_March_2022_-_Sarah_Stierch_01.jpg</x:v>
      </x:c>
      <x:c r="E72" s="29" t="str">
        <x:v>The Padre Hotel - March 2022 - Sarah Stierch 01.jpg</x:v>
      </x:c>
      <x:c r="F72" s="29" t="str">
        <x:v>Missvain</x:v>
      </x:c>
      <x:c r="G72" s="29" t="str">
        <x:v>CC BY 4.0</x:v>
      </x:c>
      <x:c r="H72" s="29" t="str">
        <x:v>https://creativecommons.org/licenses/by/4.0</x:v>
      </x:c>
      <x:c r="I72" s="29" t="str">
        <x:v>Creative Commons Attribution 4.0</x:v>
      </x:c>
      <x:c r="J72" s="29" t="str">
        <x:v>The Padre Hotel - March 2022 - Sarah Stierch 01.jpg · Missvain · CC BY 4.0 · https://commons.wikimedia.org/wiki/File:The_Padre_Hotel_-_March_2022_-_Sarah_Stierch_01.jpg</x:v>
      </x:c>
      <x:c r="K7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2" s="31" t="d">
        <x:v>2026-10-24T00:00:00.000Z</x:v>
      </x:c>
      <x:c r="M72" s="29" t="str">
        <x:v>Doğrulandı</x:v>
      </x:c>
      <x:c r="N72" s="29" t="str">
        <x:v>Doğrulandı</x:v>
      </x:c>
      <x:c r="O72" s="29" t="str">
        <x:v>Fotoğraflar/bk-6fe9cec7596a884127938bdd.webp</x:v>
      </x:c>
      <x:c r="P72" s="29" t="str">
        <x:v>The Padre Hotel · Take tarihli fotoğraf · İndirilen kare temas sayfasında görüldü; kaynak mekân kimliğiyle eşleştirildi. Seçim kaydı final-pixel-review.json.</x:v>
      </x:c>
      <x:c r="Q72" s="29" t="str">
        <x:v>Bu kare için uygun</x:v>
      </x:c>
      <x:c r="R7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2" s="29" t="str">
        <x:v>Lisans kanıtları/bk-6fe9cec7596a884127938bdd.source-evidence.json</x:v>
      </x:c>
      <x:c r="T72" s="29" t="str">
        <x:v>13909b0ccdafd03d7439ba27944727d17a8a502fed2a0142ab2969c454a4d81c</x:v>
      </x:c>
      <x:c r="U72" s="29" t="str">
        <x:v>Lisans kanıtları/bk-6fe9cec7596a884127938bdd.license-record.json</x:v>
      </x:c>
      <x:c r="V72" s="29" t="str">
        <x:v>ce8d4c4cf757fe7363b85302b7c8899aaa0ac36f173d0cc2ca75d7de0f977ff6</x:v>
      </x:c>
      <x:c r="W72" s="29" t="str">
        <x:v>{"file":"bk-6fe9cec7596a884127938bdd.webp","width":1280,"author":"Missvain","height":960,"sha256":"6fe9cec7596a884127938bdd5b27cb50e227ed8a5000b33fbc7fc6f0d67c7109","license":"CC BY 4.0","imageinfo":{"url":"https://upload.wikimedia.org/wikipedia/commons/4/4c/The_Padre_Hotel_-_March_2022_-_Sarah_Stierch_01.jpg?utm_source=commons.wikimedia.org&amp;utm_campaign=imageinfo&amp;utm_content=original","mime":"image/jpeg","sha1":"0ebec45233c1a7ed22c77d5de6559b7ec793f2eb","size":6336341,"width":4032,"height":3024,"pageid":116631242,"thumburl":"https://thumb.wikimedia.org/wikipedia/commons/thumb/4/4c/The_Padre_Hotel_-_March_2022_-_Sarah_Stierch_01.jpg/1280px-The_Padre_Hotel_-_March_2022_-_Sarah_Stierch_01.jpg?utm_source=commons.wikimedia.org&amp;utm_campaign=imageinfo&amp;utm_content=thumbnail","timestamp":"2022-04-03T16:02:07Z","thumbwidth":1280,"extmetadata":{"Artist":{"value":"&lt;a href=\"//commons.wikimedia.org/wiki/User:Missvain\" title=\"User:Missvain\"&gt;Missvain&lt;/a&gt;","source":"commons-desc-page"},"Credit":{"value":"&lt;span class=\"int-own-work\" lang=\"en\"&gt;Own work&lt;/span&gt;","source":"commons-desc-page"},"License":{"value":"cc-by-4.0","hidden":"","source":"commons-templates"},"DateTime":{"value":"2022-04-03 16:02:07","hidden":"","source":"mediawiki-metadata"},"Categories":{"value":"The Padre Hotel|March 2022 in California|Self-published work|Hotel bedrooms in the 2020s|Photos by Sarah Stierch|Files with coordinates missing SDC location of creation|United States photographs taken on 2022-03-09|Hotel bedrooms in the United States","hidden":"","source":"commons-categories"},"LicenseUrl":{"value":"https://creativecommons.org/licenses/by/4.0","source":"commons-desc-page"},"ObjectName":{"value":"The Padre Hotel - March 2022 - Sarah Stierch 01","source":"mediawiki-metadata"},"UsageTerms":{"value":"Creative Commons Attribution 4.0","source":"commons-desc-page"},"Assessments":{"value":"","hidden":"","source":"commons-categories"},"Copyrighted":{"value":"True","hidden":"","source":"commons-desc-page"},"GPSLatitude":{"value":"35.375539","source":"commons-desc-page"},"GPSMapDatum":{"value":"WGS-84","hidden":"","source":"commons-desc-page"},"GPSLongitude":{"value":"-119.021447","source":"commons-desc-page"},"Restrictions":{"value":"","hidden":"","source":"commons-desc-page"},"DateTimeOriginal":{"value":"Taken on 9 March 2022","source":"commons-desc-page"},"ImageDescription":{"value":"Room at The Padre Hotel, Bakersfield, California","source":"commons-desc-page"},"LicenseShortName":{"value":"CC BY 4.0","hidden":"","source":"commons-desc-page"},"AttributionRequired":{"value":"true","hidden":"","source":"commons-desc-page"},"CommonsMetadataExtension":{"value":1.2,"hidden":"","source":"extension"}},"thumbheight":960,"thumbattribs":{"src":"https://thumb.wikimedia.org/wikipedia/commons/thumb/4/4c/The_Padre_Hotel_-_March_2022_-_Sarah_Stierch_01.jpg/1280px-The_Padre_Hotel_-_March_2022_-_Sarah_Stierch_01.jpg?utm_source=commons.wikimedia.org&amp;utm_campaign=imageinfo&amp;utm_content=thumbnail","width":1280,"height":960,"srcset":"https://thumb.wikimedia.org/wikipedia/commons/thumb/4/4c/The_Padre_Hotel_-_March_2022_-_Sarah_Stierch_01.jpg/3840px-The_Padre_Hotel_-_March_2022_-_Sarah_Stierch_01.jpg?utm_source=commons.wikimedia.org&amp;utm_campaign=imageinfo&amp;utm_content=thumbnail 2x","loading":"lazy","decoding":"async"},"descriptionurl":"https://commons.wikimedia.org/wiki/File:The_Padre_Hotel_-_March_2022_-_Sarah_Stierch_01.jpg","responsiveUrls":{"2":"https://thumb.wikimedia.org/wikipedia/commons/thumb/4/4c/The_Padre_Hotel_-_March_2022_-_Sarah_Stierch_01.jpg/3840px-The_Padre_Hotel_-_March_2022_-_Sarah_Stierch_01.jpg?utm_source=commons.wikimedia.org&amp;utm_campaign=imageinfo&amp;utm_content=thumbnail"},"descriptionshorturl":"https://commons.wikimedia.org/w/index.php?curid=116631242"},"selection":{"qid":"pending","kind":"candidate","title":"Bakersfield local discovery"},"author_url":"https://commons.wikimedia.org/wiki/User:Missvain","derivative":"Wikimedia thumbnail decoded; EXIF orientation applied; converted to WebP quality 86; no generated pixels, no cropping.","source_url":"https://commons.wikimedia.org/wiki/File:The_Padre_Hotel_-_March_2022_-_Sarah_Stierch_01.jpg","author_urls":["https://commons.wikimedia.org/wiki/User:Missvain"],"description":"Room at The Padre Hotel, Bakersfield, California","license_url":"https://creativecommons.org/licenses/by/4.0","reviewed_on":"2026-10-24","capture_date":"Taken on 9 March 2022","download_url":"https://thumb.wikimedia.org/wikipedia/commons/thumb/4/4c/The_Padre_Hotel_-_March_2022_-_Sarah_Stierch_01.jpg/1280px-The_Padre_Hotel_-_March_2022_-_Sarah_Stierch_01.jpg?utm_source=commons.wikimedia.org&amp;utm_campaign=imageinfo&amp;utm_content=thumbnail","original_url":"https://upload.wikimedia.org/wikipedia/commons/4/4c/The_Padre_Hotel_-_March_2022_-_Sarah_Stierch_01.jpg?utm_source=commons.wikimedia.org&amp;utm_campaign=imageinfo&amp;utm_content=original","pixel_review":{"method":"İndirilen kare temas sayfasında görüldü; kaynak mekân kimliğiyle eşleştirildi. Seçim kaydı final-pixel-review.json.","status":"verified","caption":"The Padre Hotel · Take tarihli fotoğraf","reviewer":"Codex (AI)","review_id":"C243"},"downloaded_at":"2026-10-23T19:10:52.223100+00:00","download_sha256":"32f3783e827986b260d6ace7f93027b6342f8dbe503d2de1761862152c7cfefb","downloaded_file":"downloads/32f3783e827986b260d6ace7f93027b6342f8dbe503d2de1761862152c7cfefb.jpg","acquisition_file":"9f79a6345c04d51a015c7751.webp","commons_filename":"The Padre Hotel - March 2022 - Sarah Stierch 01.jpg","original_file_url":"https://upload.wikimedia.org/wikipedia/commons/4/4c/The_Padre_Hotel_-_March_2022_-_Sarah_Stierch_01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4/4c/The_Padre_Hotel_-_March_2022_-_Sarah_Stierch_01.jpg?utm_source=commons.wikimedia.org&amp;utm_campaign=imageinfo&amp;utm_content=original"},"metadata_reviewed_on":"2026-10-24","metadata_review_status":"verified"}}</x:v>
      </x:c>
    </x:row>
    <x:row r="73" ht="300" customHeight="1">
      <x:c r="A73" s="29" t="str">
        <x:v>bakersfield:evidence:venue-22038</x:v>
      </x:c>
      <x:c r="B73" s="29" t="str">
        <x:v>bakersfield</x:v>
      </x:c>
      <x:c r="C73" s="29" t="str">
        <x:v>bakersfield:photo:venue-22038</x:v>
      </x:c>
      <x:c r="D73" s="29" t="str">
        <x:v>https://www.flickr.com/photos/34989799@N00/6059367295/</x:v>
      </x:c>
      <x:c r="E73" s="29" t="str">
        <x:v>24th Street Café · 2011 tarihli fotoğraf</x:v>
      </x:c>
      <x:c r="F73" s="29" t="str">
        <x:v>Tom Ipri</x:v>
      </x:c>
      <x:c r="G73" s="29" t="str">
        <x:v>CC BY-SA 2.0</x:v>
      </x:c>
      <x:c r="H73" s="29" t="str">
        <x:v>https://creativecommons.org/licenses/by-sa/2.0/</x:v>
      </x:c>
      <x:c r="I73" s="29" t="str">
        <x:v>CC BY-SA 2.0</x:v>
      </x:c>
      <x:c r="J73" s="29" t="str">
        <x:v>24th Street Café · 2011 tarihli fotoğraf · Tom Ipri · CC BY-SA 2.0 · https://www.flickr.com/photos/34989799@N00/6059367295/</x:v>
      </x:c>
      <x:c r="K7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3" s="31" t="d">
        <x:v>2026-10-24T00:00:00.000Z</x:v>
      </x:c>
      <x:c r="M73" s="29" t="str">
        <x:v>Doğrulandı</x:v>
      </x:c>
      <x:c r="N73" s="29" t="str">
        <x:v>Doğrulandı</x:v>
      </x:c>
      <x:c r="O73" s="29" t="str">
        <x:v>Fotoğraflar/bk-c77c0fca4bc8c74fc5091b6f.webp</x:v>
      </x:c>
      <x:c r="P73" s="29" t="str">
        <x:v>24th Street Café · 2011 tarihli fotoğraf · İndirilen kare temas sayfasında görüldü; kaynak mekân kimliğiyle eşleştirildi. Seçim kaydı final-pixel-review.json.</x:v>
      </x:c>
      <x:c r="Q73" s="29" t="str">
        <x:v>Bu kare için uygun</x:v>
      </x:c>
      <x:c r="R7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3" s="29" t="str">
        <x:v>Lisans kanıtları/bk-c77c0fca4bc8c74fc5091b6f.source-evidence.json</x:v>
      </x:c>
      <x:c r="T73" s="29" t="str">
        <x:v>66ae3eafba1eaf2316dd314e420e9ad6831c231a843bdbeb436d1df2ce827ad1</x:v>
      </x:c>
      <x:c r="U73" s="29" t="str">
        <x:v>Lisans kanıtları/bk-c77c0fca4bc8c74fc5091b6f.license-record.json</x:v>
      </x:c>
      <x:c r="V73" s="29" t="str">
        <x:v>cfe9cdeb25c51c0dd823a9efab9ec9c1ca5ff11e9127179d9832252ba83a10e2</x:v>
      </x:c>
      <x:c r="W73" s="29" t="str">
        <x:v>{"file":"bk-c77c0fca4bc8c74fc5091b6f.webp","width":1024,"author":"Tom Ipri","height":575,"sha256":"c77c0fca4bc8c74fc5091b6f6ebaa047e42f5553d69d0199965715f384681bc3","status":"reviewed-selected","license":"CC BY-SA 2.0","provider":"Flickr","review_id":"E111","source_id":"6059367295","author_url":"https://www.flickr.com/photos/34989799@N00/","date_texts":["Uploaded on August 19, 2011 Taken on August 14, 2011","Taken on August 14, 2011","Uploaded on August 19, 2011 Taken on August 14, 2011","Taken on August 14, 2011"],"source_url":"https://www.flickr.com/photos/34989799@N00/6059367295/","description":"","license_url":"https://creativecommons.org/licenses/by-sa/2.0/","review_note":"Breakfast photographed at cafe according to source; old menu not claimed current.","reviewed_on":"2026-10-24","source_text":"Breakfast at 24th Street Cafe in Bakersfield | Tom Ipri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Tom Ipri Tom Ipri Breakfast at 24th Street Cafe in Bakersfield Done 57 views 0 faves 0 comments Uploaded on August 19, 2011 Taken on August 14, 2011 Tom Ipri By: Tom Ipri Breakfast at 24th Street Cafe in Bakersfield Done 57 views 0 faves 0 comments Uploaded on August 19, 2011 Taken on August 14,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photography.","capture_date":"2011-08-14","download_url":"https://live.staticflickr.com/6075/6059367295_e74fbec7e6_b.jpg","original_url":"https://live.staticflickr.com/6075/6059367295_7e22122aca_3k.jpg","pixel_review":{"method":"İndirilen kare temas sayfasında görüldü; kaynak mekân kimliğiyle eşleştirildi. Seçim kaydı final-pixel-review.json.","status":"verified","caption":"24th Street Café · 2011 tarihli fotoğraf","reviewer":"Codex (AI)","review_id":"E111"},"source_title":"Breakfast at 24th Street Cafe in Bakersfield","downloaded_at":"2026-10-23T19:50:36.403477+00:00","download_sha256":"d786b18d66a3229694443babc1f65ff505844e5de6399e2538e42cce7de74a4a","downloaded_file":"downloads/d786b18d66a3229694443babc1f65ff505844e5de6399e2538e42cce7de74a4a.jpg","public_metadata":{"photo-models":[{"data":{"id":"6059367295","owner":{"data":{"id":"34989799@N00","isPro":true,"newFlow":true,"isAdFree":false,"proBadge":"legacy","realname":"Tom Ipri","segments":{"data":[],"exportMetaType":"array"},"username":"Tom Ipri","buddyicon":{"data":{"large":"//farm66.staticflickr.com/65535/buddyicons/34989799@N00_l.jpg?1672676519#34989799@N00","small":"//farm66.staticflickr.com/65535/buddyicons/34989799@N00_s.jpg?1672676519#34989799@N00","medium":"//farm66.staticflickr.com/65535/buddyicons/34989799@N00_m.jpg?1672676519#34989799@N00","retina":"//farm66.staticflickr.com/65535/buddyicons/34989799@N00_r.jpg?1672676519#34989799@N00","default":"//farm66.staticflickr.com/65535/buddyicons/34989799@N00.jpg?1672676519#34989799@N00"},"exportMetaType":"pojo"},"pathAlias":"tomspix","dateCreated":{"data":"1119429275","exportMetaType":"serializeFunction"},"subscription":{"data":{"isPro":false,"isClosed":false,"isPastDue":false},"exportMetaType":"pojo"},"eligibleGifts":{"data":["year","month","week"],"exportMetaType":"array"},"isEligibleForGifts":true,"_flickrModelRegistry":"person-models"},"exportMetaType":"model"},"sizes":{"data":{"c":{"data":{"url":"//live.staticflickr.com/6075/6059367295_e74fbec7e6_c.jpg","width":800,"height":449,"displayUrl":"//live.staticflickr.com/6075/6059367295_e74fbec7e6_c.jpg"},"exportMetaType":"pojo"},"h":{"data":{"url":"//live.staticflickr.com/6075/6059367295_1075479da6_h.jpg","width":1600,"height":899,"displayUrl":"//live.staticflickr.com/6075/6059367295_1075479da6_h.jpg"},"exportMetaType":"pojo"},"k":{"data":{"url":"//live.staticflickr.com/6075/6059367295_51c68e42b0_k.jpg","width":2048,"height":1150,"displayUrl":"//live.staticflickr.com/6075/6059367295_51c68e42b0_k.jpg"},"exportMetaType":"pojo"},"l":{"data":{"url":"//live.staticflickr.com/6075/6059367295_e74fbec7e6_b.jpg","width":1024,"height":575,"displayUrl":"//live.staticflickr.com/6075/6059367295_e74fbec7e6_b.jpg"},"exportMetaType":"pojo"},"m":{"data":{"url":"//live.staticflickr.com/6075/6059367295_e74fbec7e6.jpg","width":500,"height":281,"displayUrl":"//live.staticflickr.com/6075/6059367295_e74fbec7e6.jpg"},"exportMetaType":"pojo"},"n":{"data":{"url":"//live.staticflickr.com/6075/6059367295_e74fbec7e6_n.jpg","width":320,"height":180,"displayUrl":"//live.staticflickr.com/6075/6059367295_e74fbec7e6_n.jpg"},"exportMetaType":"pojo"},"o":{"data":{"url":"//live.staticflickr.com/6075/6059367295_c39c3e64f0_o.jpg","width":2592,"height":1456,"displayUrl":"//live.staticflickr.com/6075/6059367295_c39c3e64f0_o.jpg"},"exportMetaType":"pojo"},"q":{"data":{"url":"//live.staticflickr.com/6075/6059367295_e74fbec7e6_q.jpg","width":150,"height":150,"displayUrl":"//live.staticflickr.com/6075/6059367295_e74fbec7e6_q.jpg"},"exportMetaType":"pojo"},"s":{"data":{"url":"//live.staticflickr.com/6075/6059367295_e74fbec7e6_m.jpg","width":240,"height":135,"displayUrl":"//live.staticflickr.com/6075/6059367295_e74fbec7e6_m.jpg"},"exportMetaType":"pojo"},"t":{"data":{"url":"//live.staticflickr.com/6075/6059367295_e74fbec7e6_t.jpg","width":100,"height":56,"displayUrl":"//live.staticflickr.com/6075/6059367295_e74fbec7e6_t.jpg"},"exportMetaType":"pojo"},"w":{"data":{"url":"//live.staticflickr.com/6075/6059367295_e74fbec7e6_w.jpg","width":400,"height":225,"displayUrl":"//live.staticflickr.com/6075/6059367295_e74fbec7e6_w.jpg"},"exportMetaType":"pojo"},"z":{"data":{"url":"//live.staticflickr.com/6075/6059367295_e74fbec7e6_z.jpg","width":640,"height":360,"displayUrl":"//live.staticflickr.com/6075/6059367295_e74fbec7e6_z.jpg"},"exportMetaType":"pojo"},"3k":{"data":{"url":"//live.staticflickr.com/6075/6059367295_7e22122aca_3k.jpg","width":2592,"height":1456,"displayUrl":"//live.staticflickr.com/6075/6059367295_7e22122aca_3k.jpg"},"exportMetaType":"pojo"},"sq":{"data":{"url":"//live.staticflickr.com/6075/6059367295_e74fbec7e6_s.jpg","width":75,"height":75,"displayUrl":"//live.staticflickr.com/6075/6059367295_e74fbec7e6_s.jpg"},"exportMetaType":"pojo"}},"exportMetaType":"pojo"},"title":"Breakfast at 24th Street Cafe in Bakersfield","oWidth":2592,"secret":"e74fbec7e6","license":5,"oHeight":1456,"rotation":0,"canAddMeta":false,"canComment":false,"engagement":{"data":{"id":"6059367295","canShare":true,"ownerNsid":"34989799@N00","reactions":{"data":{"like":{"data":{"id":"like","count":5,"canReact":true,"didViewerReact":true},"exportMetaType":"pojo"},"someOtherReaction":{"data":{"id":"someOtherReaction","count":3,"canReact":true,"didViewerReact":false},"exportMetaType":"pojo"}},"exportMetaType":"pojo"},"viewCount":57,"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6059367295","_flickrModelRegistry":"photo-geo-models"},"exportMetaType":"model"}],"photo-location-models":[{"data":{"id":"6059367295","geo":{"data":"~2","exportMetaType":"model"},"text":"","levels":{"data":{},"exportMetaType":"pojo"},"staticMaps":{"data":{},"exportMetaType":"pojo"},"_flickrModelRegistry":"photo-location-models"},"exportMetaType":"model"}],"photo-head-meta-models":[{"data":{"id":"6059367295","title":"Breakfast at 24th Street Cafe in Bakersfield","og:url":"https://www.flickr.com/photos/tomspix/6059367295/","og:type":"article","keywords":"food, diningout","og:image":"https://live.staticflickr.com/6075/6059367295_e74fbec7e6_b.jpg","og:title":"Breakfast at 24th Street Cafe in Bakersfield","twitter:card":"summary_large_image","twitter:image":"https://live.staticflickr.com/6075/6059367295_e74fbec7e6_b.jpg","og:description":"","og:image:width":1024,"og:image:height":575,"twitter:description":"Explore Tom Ipri's 32449 photos on Flickr!","_flickrModelRegistry":"photo-head-meta-models","twitter:app:url:ipad":"flickr://flickr.com/photos/tomspix/6059367295/","twitter:app:url:iphone":"flickr://flickr.com/photos/tomspix/6059367295/","twitter:app:url:googleplay":"https://www.flickr.com/photos/tomspix/6059367295/"},"exportMetaType":"model"}],"photo-license-history-models":[]},"acquisition_file":"fl-6059367295.webp","source_html_file":"/Users/atincakcayoz/corteqs/output/bakersfield-production-20261023/flickr-source-pages/6059367295.html","original_file_url":"https://live.staticflickr.com/6075/6059367295_7e22122aca_3k.jpg","proposed_identity":"24th Street Cafe","source_html_sha256":"fbd55410fdd8d0f862e46d9071bb3c529a650fefcc7c5733f16e26431d6a6d87","third_party_rights_review":{"basis":"Kaynakta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dönüştürüldü.","photo_attribution":{"author_url":"https://www.flickr.com/photos/34989799@N00/","modifications":"EXIF yönü uygulandı; boyut küçültülüp WebP biçimine dönüştürüldü.","original_file_url":"https://live.staticflickr.com/6075/6059367295_7e22122aca_3k.jpg"},"metadata_reviewed_on":"2026-10-24","metadata_review_status":"verified"}}</x:v>
      </x:c>
    </x:row>
    <x:row r="74" ht="300" customHeight="1">
      <x:c r="A74" s="29" t="str">
        <x:v>bakersfield:evidence:venue-22039</x:v>
      </x:c>
      <x:c r="B74" s="29" t="str">
        <x:v>bakersfield</x:v>
      </x:c>
      <x:c r="C74" s="29" t="str">
        <x:v>bakersfield:photo:venue-22039</x:v>
      </x:c>
      <x:c r="D74" s="29" t="str">
        <x:v>https://www.flickr.com/photos/34989799@N00/6059367445/</x:v>
      </x:c>
      <x:c r="E74" s="29" t="str">
        <x:v>24th Street Café · 2011 tarihli fotoğraf</x:v>
      </x:c>
      <x:c r="F74" s="29" t="str">
        <x:v>Tom Ipri</x:v>
      </x:c>
      <x:c r="G74" s="29" t="str">
        <x:v>CC BY-SA 2.0</x:v>
      </x:c>
      <x:c r="H74" s="29" t="str">
        <x:v>https://creativecommons.org/licenses/by-sa/2.0/</x:v>
      </x:c>
      <x:c r="I74" s="29" t="str">
        <x:v>CC BY-SA 2.0</x:v>
      </x:c>
      <x:c r="J74" s="29" t="str">
        <x:v>24th Street Café · 2011 tarihli fotoğraf · Tom Ipri · CC BY-SA 2.0 · https://www.flickr.com/photos/34989799@N00/6059367445/</x:v>
      </x:c>
      <x:c r="K7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4" s="31" t="d">
        <x:v>2026-10-24T00:00:00.000Z</x:v>
      </x:c>
      <x:c r="M74" s="29" t="str">
        <x:v>Doğrulandı</x:v>
      </x:c>
      <x:c r="N74" s="29" t="str">
        <x:v>Doğrulandı</x:v>
      </x:c>
      <x:c r="O74" s="29" t="str">
        <x:v>Fotoğraflar/bk-ac8c5952b3adcccfb5357f95.webp</x:v>
      </x:c>
      <x:c r="P74" s="29" t="str">
        <x:v>24th Street Café · 2011 tarihli fotoğraf · İndirilen kare temas sayfasında görüldü; kaynak mekân kimliğiyle eşleştirildi. Seçim kaydı final-pixel-review.json.</x:v>
      </x:c>
      <x:c r="Q74" s="29" t="str">
        <x:v>Bu kare için uygun</x:v>
      </x:c>
      <x:c r="R7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4" s="29" t="str">
        <x:v>Lisans kanıtları/bk-ac8c5952b3adcccfb5357f95.source-evidence.json</x:v>
      </x:c>
      <x:c r="T74" s="29" t="str">
        <x:v>db59c208499f8a7984a259e851d338267518daa9971b490a3f91e34911582afc</x:v>
      </x:c>
      <x:c r="U74" s="29" t="str">
        <x:v>Lisans kanıtları/bk-ac8c5952b3adcccfb5357f95.license-record.json</x:v>
      </x:c>
      <x:c r="V74" s="29" t="str">
        <x:v>ba309fea55a074df4c8437d13c4e4b99fb4d1cbfca5c7f57a51086786365f2ae</x:v>
      </x:c>
      <x:c r="W74" s="29" t="str">
        <x:v>{"file":"bk-ac8c5952b3adcccfb5357f95.webp","width":1024,"author":"Tom Ipri","height":575,"sha256":"ac8c5952b3adcccfb5357f952baf220261e4ea154448f031fdcc0f3082b4da51","status":"reviewed-selected","license":"CC BY-SA 2.0","provider":"Flickr","review_id":"E112","source_id":"6059367445","author_url":"https://www.flickr.com/photos/34989799@N00/","date_texts":["Uploaded on August 19, 2011 Taken on August 14, 2011","Taken on August 14, 2011","Uploaded on August 19, 2011 Taken on August 14, 2011","Taken on August 14, 2011"],"source_url":"https://www.flickr.com/photos/34989799@N00/6059367445/","description":"","license_url":"https://creativecommons.org/licenses/by-sa/2.0/","review_note":"Different breakfast dish; exact source proof needed.","reviewed_on":"2026-10-24","source_text":"Breakfast at 24th Street Cafe in Bakersfield | Tom Ipri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Tom Ipri Tom Ipri Breakfast at 24th Street Cafe in Bakersfield Done 19 views 0 faves 0 comments Uploaded on August 19, 2011 Taken on August 14, 2011 Tom Ipri By: Tom Ipri Breakfast at 24th Street Cafe in Bakersfield Done 19 views 0 faves 0 comments Uploaded on August 19, 2011 Taken on August 14,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photography.","capture_date":"2011-08-14","download_url":"https://live.staticflickr.com/6204/6059367445_189664d22e_b.jpg","original_url":"https://live.staticflickr.com/6204/6059367445_94c9b31f7b_3k.jpg","pixel_review":{"method":"İndirilen kare temas sayfasında görüldü; kaynak mekân kimliğiyle eşleştirildi. Seçim kaydı final-pixel-review.json.","status":"verified","caption":"24th Street Café · 2011 tarihli fotoğraf","reviewer":"Codex (AI)","review_id":"E112"},"source_title":"Breakfast at 24th Street Cafe in Bakersfield","downloaded_at":"2026-10-23T19:50:36.873314+00:00","download_sha256":"f6d241384709d7a06ba18199fc27aadcdf3ecfeb8266a57433005e2c6f94b017","downloaded_file":"downloads/f6d241384709d7a06ba18199fc27aadcdf3ecfeb8266a57433005e2c6f94b017.jpg","public_metadata":{"photo-models":[{"data":{"id":"6059367445","owner":{"data":{"id":"34989799@N00","isPro":true,"newFlow":true,"isAdFree":false,"proBadge":"legacy","realname":"Tom Ipri","segments":{"data":[],"exportMetaType":"array"},"username":"Tom Ipri","buddyicon":{"data":{"large":"//farm66.staticflickr.com/65535/buddyicons/34989799@N00_l.jpg?1672676519#34989799@N00","small":"//farm66.staticflickr.com/65535/buddyicons/34989799@N00_s.jpg?1672676519#34989799@N00","medium":"//farm66.staticflickr.com/65535/buddyicons/34989799@N00_m.jpg?1672676519#34989799@N00","retina":"//farm66.staticflickr.com/65535/buddyicons/34989799@N00_r.jpg?1672676519#34989799@N00","default":"//farm66.staticflickr.com/65535/buddyicons/34989799@N00.jpg?1672676519#34989799@N00"},"exportMetaType":"pojo"},"pathAlias":"tomspix","dateCreated":{"data":"1119429275","exportMetaType":"serializeFunction"},"subscription":{"data":{"isPro":false,"isClosed":false,"isPastDue":false},"exportMetaType":"pojo"},"eligibleGifts":{"data":["year","month","week"],"exportMetaType":"array"},"isEligibleForGifts":true,"_flickrModelRegistry":"person-models"},"exportMetaType":"model"},"sizes":{"data":{"c":{"data":{"url":"//live.staticflickr.com/6204/6059367445_189664d22e_c.jpg","width":800,"height":449,"displayUrl":"//live.staticflickr.com/6204/6059367445_189664d22e_c.jpg"},"exportMetaType":"pojo"},"h":{"data":{"url":"//live.staticflickr.com/6204/6059367445_9cc86d2d2a_h.jpg","width":1600,"height":899,"displayUrl":"//live.staticflickr.com/6204/6059367445_9cc86d2d2a_h.jpg"},"exportMetaType":"pojo"},"k":{"data":{"url":"//live.staticflickr.com/6204/6059367445_7ae72c1d56_k.jpg","width":2048,"height":1150,"displayUrl":"//live.staticflickr.com/6204/6059367445_7ae72c1d56_k.jpg"},"exportMetaType":"pojo"},"l":{"data":{"url":"//live.staticflickr.com/6204/6059367445_189664d22e_b.jpg","width":1024,"height":575,"displayUrl":"//live.staticflickr.com/6204/6059367445_189664d22e_b.jpg"},"exportMetaType":"pojo"},"m":{"data":{"url":"//live.staticflickr.com/6204/6059367445_189664d22e.jpg","width":500,"height":281,"displayUrl":"//live.staticflickr.com/6204/6059367445_189664d22e.jpg"},"exportMetaType":"pojo"},"n":{"data":{"url":"//live.staticflickr.com/6204/6059367445_189664d22e_n.jpg","width":320,"height":180,"displayUrl":"//live.staticflickr.com/6204/6059367445_189664d22e_n.jpg"},"exportMetaType":"pojo"},"o":{"data":{"url":"//live.staticflickr.com/6204/6059367445_1da8e4d8bf_o.jpg","width":2592,"height":1456,"displayUrl":"//live.staticflickr.com/6204/6059367445_1da8e4d8bf_o.jpg"},"exportMetaType":"pojo"},"q":{"data":{"url":"//live.staticflickr.com/6204/6059367445_189664d22e_q.jpg","width":150,"height":150,"displayUrl":"//live.staticflickr.com/6204/6059367445_189664d22e_q.jpg"},"exportMetaType":"pojo"},"s":{"data":{"url":"//live.staticflickr.com/6204/6059367445_189664d22e_m.jpg","width":240,"height":135,"displayUrl":"//live.staticflickr.com/6204/6059367445_189664d22e_m.jpg"},"exportMetaType":"pojo"},"t":{"data":{"url":"//live.staticflickr.com/6204/6059367445_189664d22e_t.jpg","width":100,"height":56,"displayUrl":"//live.staticflickr.com/6204/6059367445_189664d22e_t.jpg"},"exportMetaType":"pojo"},"w":{"data":{"url":"//live.staticflickr.com/6204/6059367445_189664d22e_w.jpg","width":400,"height":225,"displayUrl":"//live.staticflickr.com/6204/6059367445_189664d22e_w.jpg"},"exportMetaType":"pojo"},"z":{"data":{"url":"//live.staticflickr.com/6204/6059367445_189664d22e_z.jpg","width":640,"height":360,"displayUrl":"//live.staticflickr.com/6204/6059367445_189664d22e_z.jpg"},"exportMetaType":"pojo"},"3k":{"data":{"url":"//live.staticflickr.com/6204/6059367445_94c9b31f7b_3k.jpg","width":2592,"height":1456,"displayUrl":"//live.staticflickr.com/6204/6059367445_94c9b31f7b_3k.jpg"},"exportMetaType":"pojo"},"sq":{"data":{"url":"//live.staticflickr.com/6204/6059367445_189664d22e_s.jpg","width":75,"height":75,"displayUrl":"//live.staticflickr.com/6204/6059367445_189664d22e_s.jpg"},"exportMetaType":"pojo"}},"exportMetaType":"pojo"},"title":"Breakfast at 24th Street Cafe in Bakersfield","oWidth":2592,"secret":"189664d22e","license":5,"oHeight":1456,"rotation":0,"canAddMeta":false,"canComment":false,"engagement":{"data":{"id":"6059367445","canShare":true,"ownerNsid":"34989799@N00","reactions":{"data":{"like":{"data":{"id":"like","count":5,"canReact":true,"didViewerReact":true},"exportMetaType":"pojo"},"someOtherReaction":{"data":{"id":"someOtherReaction","count":3,"canReact":true,"didViewerReact":false},"exportMetaType":"pojo"}},"exportMetaType":"pojo"},"viewCount":19,"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6059367445","_flickrModelRegistry":"photo-geo-models"},"exportMetaType":"model"}],"photo-location-models":[{"data":{"id":"6059367445","geo":{"data":"~2","exportMetaType":"model"},"text":"","levels":{"data":{},"exportMetaType":"pojo"},"staticMaps":{"data":{},"exportMetaType":"pojo"},"_flickrModelRegistry":"photo-location-models"},"exportMetaType":"model"}],"photo-head-meta-models":[{"data":{"id":"6059367445","title":"Breakfast at 24th Street Cafe in Bakersfield","og:url":"https://www.flickr.com/photos/tomspix/6059367445/","og:type":"article","keywords":"food, diningout","og:image":"https://live.staticflickr.com/6204/6059367445_189664d22e_b.jpg","og:title":"Breakfast at 24th Street Cafe in Bakersfield","twitter:card":"summary_large_image","twitter:image":"https://live.staticflickr.com/6204/6059367445_189664d22e_b.jpg","og:description":"","og:image:width":1024,"og:image:height":575,"twitter:description":"Explore Tom Ipri's 32449 photos on Flickr!","_flickrModelRegistry":"photo-head-meta-models","twitter:app:url:ipad":"flickr://flickr.com/photos/tomspix/6059367445/","twitter:app:url:iphone":"flickr://flickr.com/photos/tomspix/6059367445/","twitter:app:url:googleplay":"https://www.flickr.com/photos/tomspix/6059367445/"},"exportMetaType":"model"}],"photo-license-history-models":[]},"acquisition_file":"fl-6059367445.webp","source_html_file":"/Users/atincakcayoz/corteqs/output/bakersfield-production-20261023/flickr-source-pages/6059367445.html","original_file_url":"https://live.staticflickr.com/6204/6059367445_94c9b31f7b_3k.jpg","proposed_identity":"24th Street Cafe","source_html_sha256":"dc9a88f9c96424b6d346a747a3fed2a1a5924e6c3566c2cff490deef955bce78","third_party_rights_review":{"basis":"Kaynakta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dönüştürüldü.","photo_attribution":{"author_url":"https://www.flickr.com/photos/34989799@N00/","modifications":"EXIF yönü uygulandı; boyut küçültülüp WebP biçimine dönüştürüldü.","original_file_url":"https://live.staticflickr.com/6204/6059367445_94c9b31f7b_3k.jpg"},"metadata_reviewed_on":"2026-10-24","metadata_review_status":"verified"}}</x:v>
      </x:c>
    </x:row>
    <x:row r="75" ht="300" customHeight="1">
      <x:c r="A75" s="29" t="str">
        <x:v>bakersfield:evidence:venue-22040</x:v>
      </x:c>
      <x:c r="B75" s="29" t="str">
        <x:v>bakersfield</x:v>
      </x:c>
      <x:c r="C75" s="29" t="str">
        <x:v>bakersfield:photo:venue-22040</x:v>
      </x:c>
      <x:c r="D75" s="29" t="str">
        <x:v>https://commons.wikimedia.org/wiki/File:Detail_of_Lockwood_Valley_from_Mount_Pinos.jpg</x:v>
      </x:c>
      <x:c r="E75" s="29" t="str">
        <x:v>Detail of Lockwood Valley from Mount Pinos.jpg</x:v>
      </x:c>
      <x:c r="F75" s="29" t="str">
        <x:v>David Prasad</x:v>
      </x:c>
      <x:c r="G75" s="29" t="str">
        <x:v>CC BY-SA 2.0</x:v>
      </x:c>
      <x:c r="H75" s="29" t="str">
        <x:v>https://creativecommons.org/licenses/by-sa/2.0</x:v>
      </x:c>
      <x:c r="I75" s="29" t="str">
        <x:v>Creative Commons Attribution-Share Alike 2.0</x:v>
      </x:c>
      <x:c r="J75" s="29" t="str">
        <x:v>Detail of Lockwood Valley from Mount Pinos.jpg · David Prasad · CC BY-SA 2.0 · https://commons.wikimedia.org/wiki/File:Detail_of_Lockwood_Valley_from_Mount_Pinos.jpg</x:v>
      </x:c>
      <x:c r="K7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5" s="31" t="d">
        <x:v>2026-10-24T00:00:00.000Z</x:v>
      </x:c>
      <x:c r="M75" s="29" t="str">
        <x:v>Doğrulandı</x:v>
      </x:c>
      <x:c r="N75" s="29" t="str">
        <x:v>Doğrulandı</x:v>
      </x:c>
      <x:c r="O75" s="29" t="str">
        <x:v>Fotoğraflar/bk-51836f540e3521179257e8b2.webp</x:v>
      </x:c>
      <x:c r="P75" s="29" t="str">
        <x:v>Mount Pinos · 2015 tarihli fotoğraf · İndirilen kare temas sayfasında görüldü; kaynak mekân kimliğiyle eşleştirildi. Seçim kaydı final-pixel-review.json.</x:v>
      </x:c>
      <x:c r="Q75" s="29" t="str">
        <x:v>Bu kare için uygun</x:v>
      </x:c>
      <x:c r="R7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5" s="29" t="str">
        <x:v>Lisans kanıtları/bk-51836f540e3521179257e8b2.source-evidence.json</x:v>
      </x:c>
      <x:c r="T75" s="29" t="str">
        <x:v>b58ccc8bbb322147e66d52fbceea652c6e1ee765eb30fe5a79541bd5ee2bb8f3</x:v>
      </x:c>
      <x:c r="U75" s="29" t="str">
        <x:v>Lisans kanıtları/bk-51836f540e3521179257e8b2.license-record.json</x:v>
      </x:c>
      <x:c r="V75" s="29" t="str">
        <x:v>4a8157eb06b41797f2f2f12eda1a1ee6dca715417cc9a0f4faeedba92fc85d9d</x:v>
      </x:c>
      <x:c r="W75" s="29" t="str">
        <x:v>{"file":"bk-51836f540e3521179257e8b2.webp","width":1280,"author":"David Prasad","height":848,"sha256":"51836f540e3521179257e8b2a0ae92cfef0a9ed68b8c836481ded53e7600d5c7","license":"CC BY-SA 2.0","imageinfo":{"url":"https://upload.wikimedia.org/wikipedia/commons/b/b1/Detail_of_Lockwood_Valley_from_Mount_Pinos.jpg?utm_source=commons.wikimedia.org&amp;utm_campaign=imageinfo&amp;utm_content=original","mime":"image/jpeg","sha1":"8c819f92c052bf612e5e48bb4725c5bf983be86d","size":12422455,"width":4834,"height":3202,"pageid":103899086,"thumburl":"https://thumb.wikimedia.org/wikipedia/commons/thumb/b/b1/Detail_of_Lockwood_Valley_from_Mount_Pinos.jpg/1280px-Detail_of_Lockwood_Valley_from_Mount_Pinos.jpg?utm_source=commons.wikimedia.org&amp;utm_campaign=imageinfo&amp;utm_content=thumbnail","timestamp":"2021-04-18T23:02:29Z","thumbwidth":1280,"extmetadata":{"Artist":{"value":"David Prasad","source":"commons-desc-page"},"Credit":{"value":"&lt;a rel=\"nofollow\" class=\"external free\" href=\"https://www.flickr.com/photos/33671002@N00/19890316788/\"&gt;https://www.flickr.com/photos/33671002@N00/19890316788/&lt;/a&gt;","source":"commons-desc-page"},"License":{"value":"cc-by-sa-2.0","hidden":"","source":"commons-templates"},"DateTime":{"value":"2021-04-18 23:02:29","hidden":"","source":"mediawiki-metadata"},"Categories":{"value":"Mount Pinos (California)|Transverse Ranges|Lockwood Valley, California|Flickr images reviewed by FlickreviewR 2","hidden":"","source":"commons-categories"},"LicenseUrl":{"value":"https://creativecommons.org/licenses/by-sa/2.0","source":"commons-desc-page"},"ObjectName":{"value":"Detail of Lockwood Valley from Mount Pinos","source":"mediawiki-metadata"},"UsageTerms":{"value":"Creative Commons Attribution-Share Alike 2.0","source":"commons-desc-page"},"Assessments":{"value":"","hidden":"","source":"commons-categories"},"Copyrighted":{"value":"True","hidden":"","source":"commons-desc-page"},"Restrictions":{"value":"","hidden":"","source":"commons-desc-page"},"DateTimeOriginal":{"value":"2015-07-25 15:52:00","source":"commons-desc-page"},"ImageDescription":{"value":"Detail of Lockwood Valley from Mount Pinos","source":"commons-desc-page"},"LicenseShortName":{"value":"CC BY-SA 2.0","hidden":"","source":"commons-desc-page"},"AttributionRequired":{"value":"true","hidden":"","source":"commons-desc-page"},"CommonsMetadataExtension":{"value":1.2,"hidden":"","source":"extension"}},"thumbheight":848,"thumbattribs":{"src":"https://thumb.wikimedia.org/wikipedia/commons/thumb/b/b1/Detail_of_Lockwood_Valley_from_Mount_Pinos.jpg/1280px-Detail_of_Lockwood_Valley_from_Mount_Pinos.jpg?utm_source=commons.wikimedia.org&amp;utm_campaign=imageinfo&amp;utm_content=thumbnail","width":1280,"height":848,"srcset":"https://thumb.wikimedia.org/wikipedia/commons/thumb/b/b1/Detail_of_Lockwood_Valley_from_Mount_Pinos.jpg/3840px-Detail_of_Lockwood_Valley_from_Mount_Pinos.jpg?utm_source=commons.wikimedia.org&amp;utm_campaign=imageinfo&amp;utm_content=thumbnail 2x","loading":"lazy","decoding":"async"},"descriptionurl":"https://commons.wikimedia.org/wiki/File:Detail_of_Lockwood_Valley_from_Mount_Pinos.jpg","responsiveUrls":{"2":"https://thumb.wikimedia.org/wikipedia/commons/thumb/b/b1/Detail_of_Lockwood_Valley_from_Mount_Pinos.jpg/3840px-Detail_of_Lockwood_Valley_from_Mount_Pinos.jpg?utm_source=commons.wikimedia.org&amp;utm_campaign=imageinfo&amp;utm_content=thumbnail"},"descriptionshorturl":"https://commons.wikimedia.org/w/index.php?curid=103899086"},"selection":{"qid":"pending","kind":"candidate","title":"Bakersfield alternatives"},"author_url":"","derivative":"Wikimedia thumbnail decoded; EXIF orientation applied; converted to WebP quality 86; no generated pixels, no cropping.","source_url":"https://commons.wikimedia.org/wiki/File:Detail_of_Lockwood_Valley_from_Mount_Pinos.jpg","author_urls":[],"description":"Detail of Lockwood Valley from Mount Pinos","license_url":"https://creativecommons.org/licenses/by-sa/2.0","reviewed_on":"2026-10-24","capture_date":"2015-07-25 15:52:00","download_url":"https://thumb.wikimedia.org/wikipedia/commons/thumb/b/b1/Detail_of_Lockwood_Valley_from_Mount_Pinos.jpg/1280px-Detail_of_Lockwood_Valley_from_Mount_Pinos.jpg?utm_source=commons.wikimedia.org&amp;utm_campaign=imageinfo&amp;utm_content=thumbnail","original_url":"https://upload.wikimedia.org/wikipedia/commons/b/b1/Detail_of_Lockwood_Valley_from_Mount_Pinos.jpg?utm_source=commons.wikimedia.org&amp;utm_campaign=imageinfo&amp;utm_content=original","pixel_review":{"method":"İndirilen kare temas sayfasında görüldü; kaynak mekân kimliğiyle eşleştirildi. Seçim kaydı final-pixel-review.json.","status":"verified","caption":"Mount Pinos · 2015 tarihli fotoğraf","reviewer":"Codex (AI)","review_id":"T20"},"downloaded_at":"2026-10-23T21:29:17.483505+00:00","download_sha256":"0c4b16f3987316fc31aeb45e6d3bc712950fc099386e49353e787cd47f6805c6","downloaded_file":"downloads/0c4b16f3987316fc31aeb45e6d3bc712950fc099386e49353e787cd47f6805c6.jpg","acquisition_file":"a24c1f12c4b95f3228ece80e.webp","commons_filename":"Detail of Lockwood Valley from Mount Pinos.jpg","original_file_url":"https://upload.wikimedia.org/wikipedia/commons/b/b1/Detail_of_Lockwood_Valley_from_Mount_Pino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b/b1/Detail_of_Lockwood_Valley_from_Mount_Pinos.jpg?utm_source=commons.wikimedia.org&amp;utm_campaign=imageinfo&amp;utm_content=original"},"metadata_reviewed_on":"2026-10-24","metadata_review_status":"verified"}}</x:v>
      </x:c>
    </x:row>
    <x:row r="76" ht="300" customHeight="1">
      <x:c r="A76" s="29" t="str">
        <x:v>bakersfield:evidence:venue-22041</x:v>
      </x:c>
      <x:c r="B76" s="29" t="str">
        <x:v>bakersfield</x:v>
      </x:c>
      <x:c r="C76" s="29" t="str">
        <x:v>bakersfield:photo:venue-22041</x:v>
      </x:c>
      <x:c r="D76" s="29" t="str">
        <x:v>https://commons.wikimedia.org/wiki/File:Forest_and_meadow_atop_Mount_Pinos.jpg</x:v>
      </x:c>
      <x:c r="E76" s="29" t="str">
        <x:v>Forest and meadow atop Mount Pinos.jpg</x:v>
      </x:c>
      <x:c r="F76" s="29" t="str">
        <x:v>Vahe Martirosyan</x:v>
      </x:c>
      <x:c r="G76" s="29" t="str">
        <x:v>CC BY-SA 2.0</x:v>
      </x:c>
      <x:c r="H76" s="29" t="str">
        <x:v>https://creativecommons.org/licenses/by-sa/2.0</x:v>
      </x:c>
      <x:c r="I76" s="29" t="str">
        <x:v>Creative Commons Attribution-Share Alike 2.0</x:v>
      </x:c>
      <x:c r="J76" s="29" t="str">
        <x:v>Forest and meadow atop Mount Pinos.jpg · Vahe Martirosyan · CC BY-SA 2.0 · https://commons.wikimedia.org/wiki/File:Forest_and_meadow_atop_Mount_Pinos.jpg</x:v>
      </x:c>
      <x:c r="K7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6" s="31" t="d">
        <x:v>2026-10-24T00:00:00.000Z</x:v>
      </x:c>
      <x:c r="M76" s="29" t="str">
        <x:v>Doğrulandı</x:v>
      </x:c>
      <x:c r="N76" s="29" t="str">
        <x:v>Doğrulandı</x:v>
      </x:c>
      <x:c r="O76" s="29" t="str">
        <x:v>Fotoğraflar/bk-efffb585642726b91bc81187.webp</x:v>
      </x:c>
      <x:c r="P76" s="29" t="str">
        <x:v>Mount Pinos · 2017 tarihli fotoğraf · İndirilen kare temas sayfasında görüldü; kaynak mekân kimliğiyle eşleştirildi. Seçim kaydı final-pixel-review.json.</x:v>
      </x:c>
      <x:c r="Q76" s="29" t="str">
        <x:v>Bu kare için uygun</x:v>
      </x:c>
      <x:c r="R7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6" s="29" t="str">
        <x:v>Lisans kanıtları/bk-efffb585642726b91bc81187.source-evidence.json</x:v>
      </x:c>
      <x:c r="T76" s="29" t="str">
        <x:v>26a59502bd6d4076b1bf97879af681fbdaff823755c4e51d1935b60c20d6af40</x:v>
      </x:c>
      <x:c r="U76" s="29" t="str">
        <x:v>Lisans kanıtları/bk-efffb585642726b91bc81187.license-record.json</x:v>
      </x:c>
      <x:c r="V76" s="29" t="str">
        <x:v>5a9c487495484fbaf30c685c643f02584bbbcbc28057626341b8dbf73120f345</x:v>
      </x:c>
      <x:c r="W76" s="29" t="str">
        <x:v>{"file":"bk-efffb585642726b91bc81187.webp","width":1280,"author":"Vahe Martirosyan","height":853,"sha256":"efffb585642726b91bc811870707189a64a17f224d47f52be974823396da1410","license":"CC BY-SA 2.0","imageinfo":{"url":"https://upload.wikimedia.org/wikipedia/commons/3/3f/Forest_and_meadow_atop_Mount_Pinos.jpg?utm_source=commons.wikimedia.org&amp;utm_campaign=imageinfo&amp;utm_content=original","mime":"image/jpeg","sha1":"8c011780960655173804cb25b3af0d554bda70a4","size":745379,"width":1500,"height":1000,"pageid":103899085,"thumburl":"https://thumb.wikimedia.org/wikipedia/commons/thumb/3/3f/Forest_and_meadow_atop_Mount_Pinos.jpg/1280px-Forest_and_meadow_atop_Mount_Pinos.jpg?utm_source=commons.wikimedia.org&amp;utm_campaign=imageinfo&amp;utm_content=thumbnail","timestamp":"2021-04-18T23:02:26Z","thumbwidth":1280,"extmetadata":{"Artist":{"value":"Vahe Martirosyan","source":"commons-desc-page"},"Credit":{"value":"&lt;a rel=\"nofollow\" class=\"external free\" href=\"https://www.flickr.com/photos/vahemart/36572983495/\"&gt;https://www.flickr.com/photos/vahemart/36572983495/&lt;/a&gt;","source":"commons-desc-page"},"License":{"value":"cc-by-sa-2.0","hidden":"","source":"commons-templates"},"DateTime":{"value":"2021-04-18 23:02:26","hidden":"","source":"mediawiki-metadata"},"Categories":{"value":"Mount Pinos (California)|California montane chaparral and woodlands|Flickr images reviewed by FlickreviewR 2","hidden":"","source":"commons-categories"},"LicenseUrl":{"value":"https://creativecommons.org/licenses/by-sa/2.0","source":"commons-desc-page"},"ObjectName":{"value":"Forest and meadow atop Mount Pinos","source":"mediawiki-metadata"},"UsageTerms":{"value":"Creative Commons Attribution-Share Alike 2.0","source":"commons-desc-page"},"Assessments":{"value":"","hidden":"","source":"commons-categories"},"Copyrighted":{"value":"True","hidden":"","source":"commons-desc-page"},"Restrictions":{"value":"","hidden":"","source":"commons-desc-page"},"DateTimeOriginal":{"value":"2017-08-12 10:31:39","source":"commons-desc-page"},"ImageDescription":{"value":"Forest and meadow atop Mount Pinos","source":"commons-desc-page"},"LicenseShortName":{"value":"CC BY-SA 2.0","hidden":"","source":"commons-desc-page"},"AttributionRequired":{"value":"true","hidden":"","source":"commons-desc-page"},"CommonsMetadataExtension":{"value":1.2,"hidden":"","source":"extension"}},"thumbheight":853,"thumbattribs":{"src":"https://thumb.wikimedia.org/wikipedia/commons/thumb/3/3f/Forest_and_meadow_atop_Mount_Pinos.jpg/1280px-Forest_and_meadow_atop_Mount_Pinos.jpg?utm_source=commons.wikimedia.org&amp;utm_campaign=imageinfo&amp;utm_content=thumbnail","width":1280,"height":853,"srcset":"https://upload.wikimedia.org/wikipedia/commons/3/3f/Forest_and_meadow_atop_Mount_Pinos.jpg?utm_source=commons.wikimedia.org&amp;utm_campaign=imageinfo&amp;utm_content=thumbnail_unscaled 2x","loading":"lazy","decoding":"async"},"descriptionurl":"https://commons.wikimedia.org/wiki/File:Forest_and_meadow_atop_Mount_Pinos.jpg","responsiveUrls":{"2":"https://upload.wikimedia.org/wikipedia/commons/3/3f/Forest_and_meadow_atop_Mount_Pinos.jpg?utm_source=commons.wikimedia.org&amp;utm_campaign=imageinfo&amp;utm_content=thumbnail_unscaled"},"descriptionshorturl":"https://commons.wikimedia.org/w/index.php?curid=103899085"},"selection":{"qid":"pending","kind":"candidate","title":"Bakersfield alternatives"},"author_url":"","derivative":"Wikimedia thumbnail decoded; EXIF orientation applied; converted to WebP quality 86; no generated pixels, no cropping.","source_url":"https://commons.wikimedia.org/wiki/File:Forest_and_meadow_atop_Mount_Pinos.jpg","author_urls":[],"description":"Forest and meadow atop Mount Pinos","license_url":"https://creativecommons.org/licenses/by-sa/2.0","reviewed_on":"2026-10-24","capture_date":"2017-08-12 10:31:39","download_url":"https://thumb.wikimedia.org/wikipedia/commons/thumb/3/3f/Forest_and_meadow_atop_Mount_Pinos.jpg/1280px-Forest_and_meadow_atop_Mount_Pinos.jpg?utm_source=commons.wikimedia.org&amp;utm_campaign=imageinfo&amp;utm_content=thumbnail","original_url":"https://upload.wikimedia.org/wikipedia/commons/3/3f/Forest_and_meadow_atop_Mount_Pinos.jpg?utm_source=commons.wikimedia.org&amp;utm_campaign=imageinfo&amp;utm_content=original","pixel_review":{"method":"İndirilen kare temas sayfasında görüldü; kaynak mekân kimliğiyle eşleştirildi. Seçim kaydı final-pixel-review.json.","status":"verified","caption":"Mount Pinos · 2017 tarihli fotoğraf","reviewer":"Codex (AI)","review_id":"T21"},"downloaded_at":"2026-10-23T21:29:18.578531+00:00","download_sha256":"fb2598f2606b92e13208ddb4ca7b069b3bc87f4cabb0447f2cef189f5679f25f","downloaded_file":"downloads/fb2598f2606b92e13208ddb4ca7b069b3bc87f4cabb0447f2cef189f5679f25f.jpg","acquisition_file":"1897de26ff4bb619b4a14d20.webp","commons_filename":"Forest and meadow atop Mount Pinos.jpg","original_file_url":"https://upload.wikimedia.org/wikipedia/commons/3/3f/Forest_and_meadow_atop_Mount_Pino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3/3f/Forest_and_meadow_atop_Mount_Pinos.jpg?utm_source=commons.wikimedia.org&amp;utm_campaign=imageinfo&amp;utm_content=original"},"metadata_reviewed_on":"2026-10-24","metadata_review_status":"verified"}}</x:v>
      </x:c>
    </x:row>
    <x:row r="77" ht="300" customHeight="1">
      <x:c r="A77" s="29" t="str">
        <x:v>bakersfield:evidence:venue-22042</x:v>
      </x:c>
      <x:c r="B77" s="29" t="str">
        <x:v>bakersfield</x:v>
      </x:c>
      <x:c r="C77" s="29" t="str">
        <x:v>bakersfield:photo:venue-22042</x:v>
      </x:c>
      <x:c r="D77" s="29" t="str">
        <x:v>https://commons.wikimedia.org/wiki/File:Mount_Pinos_Ski_Patrol_Nordic_Base.jpg</x:v>
      </x:c>
      <x:c r="E77" s="29" t="str">
        <x:v>Mount Pinos Ski Patrol Nordic Base.jpg</x:v>
      </x:c>
      <x:c r="F77" s="29" t="str">
        <x:v>David Prasad</x:v>
      </x:c>
      <x:c r="G77" s="29" t="str">
        <x:v>CC BY-SA 2.0</x:v>
      </x:c>
      <x:c r="H77" s="29" t="str">
        <x:v>https://creativecommons.org/licenses/by-sa/2.0</x:v>
      </x:c>
      <x:c r="I77" s="29" t="str">
        <x:v>Creative Commons Attribution-Share Alike 2.0</x:v>
      </x:c>
      <x:c r="J77" s="29" t="str">
        <x:v>Mount Pinos Ski Patrol Nordic Base.jpg · David Prasad · CC BY-SA 2.0 · https://commons.wikimedia.org/wiki/File:Mount_Pinos_Ski_Patrol_Nordic_Base.jpg</x:v>
      </x:c>
      <x:c r="K7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7" s="31" t="d">
        <x:v>2026-10-24T00:00:00.000Z</x:v>
      </x:c>
      <x:c r="M77" s="29" t="str">
        <x:v>Doğrulandı</x:v>
      </x:c>
      <x:c r="N77" s="29" t="str">
        <x:v>Doğrulandı</x:v>
      </x:c>
      <x:c r="O77" s="29" t="str">
        <x:v>Fotoğraflar/bk-5ff3de4313ede10ff7977bd0.webp</x:v>
      </x:c>
      <x:c r="P77" s="29" t="str">
        <x:v>Mount Pinos · 2015 tarihli fotoğraf · İndirilen kare temas sayfasında görüldü; kaynak mekân kimliğiyle eşleştirildi. Seçim kaydı final-pixel-review.json.</x:v>
      </x:c>
      <x:c r="Q77" s="29" t="str">
        <x:v>Bu kare için uygun</x:v>
      </x:c>
      <x:c r="R7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7" s="29" t="str">
        <x:v>Lisans kanıtları/bk-5ff3de4313ede10ff7977bd0.source-evidence.json</x:v>
      </x:c>
      <x:c r="T77" s="29" t="str">
        <x:v>2613d5df667d96af306ba4ac6624fbb3567cdb72c306954eb0a31e5b1fa87f52</x:v>
      </x:c>
      <x:c r="U77" s="29" t="str">
        <x:v>Lisans kanıtları/bk-5ff3de4313ede10ff7977bd0.license-record.json</x:v>
      </x:c>
      <x:c r="V77" s="29" t="str">
        <x:v>bc346e3ca6fb9231543441ffe713c48bc83391d6ae2f243845ffaad6f8a1ecd9</x:v>
      </x:c>
      <x:c r="W77" s="29" t="str">
        <x:v>{"file":"bk-5ff3de4313ede10ff7977bd0.webp","width":1280,"author":"David Prasad","height":848,"sha256":"5ff3de4313ede10ff7977bd0bb9741cd785c0b58c01d7a25a3628284026e81c4","license":"CC BY-SA 2.0","imageinfo":{"url":"https://upload.wikimedia.org/wikipedia/commons/f/f3/Mount_Pinos_Ski_Patrol_Nordic_Base.jpg?utm_source=commons.wikimedia.org&amp;utm_campaign=imageinfo&amp;utm_content=original","mime":"image/jpeg","sha1":"c62858e54fa41a448483b545bff79135fa84e558","size":12036896,"width":4766,"height":3157,"pageid":103899067,"thumburl":"https://thumb.wikimedia.org/wikipedia/commons/thumb/f/f3/Mount_Pinos_Ski_Patrol_Nordic_Base.jpg/1280px-Mount_Pinos_Ski_Patrol_Nordic_Base.jpg?utm_source=commons.wikimedia.org&amp;utm_campaign=imageinfo&amp;utm_content=thumbnail","timestamp":"2021-04-18T23:02:09Z","thumbwidth":1280,"extmetadata":{"Artist":{"value":"David Prasad","source":"commons-desc-page"},"Credit":{"value":"&lt;a rel=\"nofollow\" class=\"external free\" href=\"https://www.flickr.com/photos/33671002@N00/20070434132/\"&gt;https://www.flickr.com/photos/33671002@N00/20070434132/&lt;/a&gt;","source":"commons-desc-page"},"License":{"value":"cc-by-sa-2.0","hidden":"","source":"commons-templates"},"DateTime":{"value":"2021-04-18 23:02:09","hidden":"","source":"mediawiki-metadata"},"Categories":{"value":"Mount Pinos (California)|Flickr images reviewed by FlickreviewR 2","hidden":"","source":"commons-categories"},"LicenseUrl":{"value":"https://creativecommons.org/licenses/by-sa/2.0","source":"commons-desc-page"},"ObjectName":{"value":"Mount Pinos Ski Patrol Nordic Base","source":"mediawiki-metadata"},"UsageTerms":{"value":"Creative Commons Attribution-Share Alike 2.0","source":"commons-desc-page"},"Assessments":{"value":"","hidden":"","source":"commons-categories"},"Copyrighted":{"value":"True","hidden":"","source":"commons-desc-page"},"Restrictions":{"value":"","hidden":"","source":"commons-desc-page"},"DateTimeOriginal":{"value":"2015-07-25 15:40:47","source":"commons-desc-page"},"ImageDescription":{"value":"Mount Pinos Ski Patrol Nordic Base","source":"commons-desc-page"},"LicenseShortName":{"value":"CC BY-SA 2.0","hidden":"","source":"commons-desc-page"},"AttributionRequired":{"value":"true","hidden":"","source":"commons-desc-page"},"CommonsMetadataExtension":{"value":1.2,"hidden":"","source":"extension"}},"thumbheight":848,"thumbattribs":{"src":"https://thumb.wikimedia.org/wikipedia/commons/thumb/f/f3/Mount_Pinos_Ski_Patrol_Nordic_Base.jpg/1280px-Mount_Pinos_Ski_Patrol_Nordic_Base.jpg?utm_source=commons.wikimedia.org&amp;utm_campaign=imageinfo&amp;utm_content=thumbnail","width":1280,"height":848,"srcset":"https://thumb.wikimedia.org/wikipedia/commons/thumb/f/f3/Mount_Pinos_Ski_Patrol_Nordic_Base.jpg/3840px-Mount_Pinos_Ski_Patrol_Nordic_Base.jpg?utm_source=commons.wikimedia.org&amp;utm_campaign=imageinfo&amp;utm_content=thumbnail 2x","loading":"lazy","decoding":"async"},"descriptionurl":"https://commons.wikimedia.org/wiki/File:Mount_Pinos_Ski_Patrol_Nordic_Base.jpg","responsiveUrls":{"2":"https://thumb.wikimedia.org/wikipedia/commons/thumb/f/f3/Mount_Pinos_Ski_Patrol_Nordic_Base.jpg/3840px-Mount_Pinos_Ski_Patrol_Nordic_Base.jpg?utm_source=commons.wikimedia.org&amp;utm_campaign=imageinfo&amp;utm_content=thumbnail"},"descriptionshorturl":"https://commons.wikimedia.org/w/index.php?curid=103899067"},"selection":{"qid":"pending","kind":"candidate","title":"Bakersfield alternatives"},"author_url":"","derivative":"Wikimedia thumbnail decoded; EXIF orientation applied; converted to WebP quality 86; no generated pixels, no cropping.","source_url":"https://commons.wikimedia.org/wiki/File:Mount_Pinos_Ski_Patrol_Nordic_Base.jpg","author_urls":[],"description":"Mount Pinos Ski Patrol Nordic Base","license_url":"https://creativecommons.org/licenses/by-sa/2.0","reviewed_on":"2026-10-24","capture_date":"2015-07-25 15:40:47","download_url":"https://thumb.wikimedia.org/wikipedia/commons/thumb/f/f3/Mount_Pinos_Ski_Patrol_Nordic_Base.jpg/1280px-Mount_Pinos_Ski_Patrol_Nordic_Base.jpg?utm_source=commons.wikimedia.org&amp;utm_campaign=imageinfo&amp;utm_content=thumbnail","original_url":"https://upload.wikimedia.org/wikipedia/commons/f/f3/Mount_Pinos_Ski_Patrol_Nordic_Base.jpg?utm_source=commons.wikimedia.org&amp;utm_campaign=imageinfo&amp;utm_content=original","pixel_review":{"method":"İndirilen kare temas sayfasında görüldü; kaynak mekân kimliğiyle eşleştirildi. Seçim kaydı final-pixel-review.json.","status":"verified","caption":"Mount Pinos · 2015 tarihli fotoğraf","reviewer":"Codex (AI)","review_id":"T32"},"downloaded_at":"2026-10-23T21:29:23.567943+00:00","download_sha256":"a441689d963576c48919e0b72cca4303dc55e972a6097bef3734f2091d1d5849","downloaded_file":"downloads/a441689d963576c48919e0b72cca4303dc55e972a6097bef3734f2091d1d5849.jpg","acquisition_file":"2168cedbd1ba6d58ff5fd4a5.webp","commons_filename":"Mount Pinos Ski Patrol Nordic Base.jpg","original_file_url":"https://upload.wikimedia.org/wikipedia/commons/f/f3/Mount_Pinos_Ski_Patrol_Nordic_Bas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f/f3/Mount_Pinos_Ski_Patrol_Nordic_Base.jpg?utm_source=commons.wikimedia.org&amp;utm_campaign=imageinfo&amp;utm_content=original"},"metadata_reviewed_on":"2026-10-24","metadata_review_status":"verified"}}</x:v>
      </x:c>
    </x:row>
    <x:row r="78" ht="300" customHeight="1">
      <x:c r="A78" s="29" t="str">
        <x:v>bakersfield:evidence:venue-22043</x:v>
      </x:c>
      <x:c r="B78" s="29" t="str">
        <x:v>bakersfield</x:v>
      </x:c>
      <x:c r="C78" s="29" t="str">
        <x:v>bakersfield:photo:venue-22043</x:v>
      </x:c>
      <x:c r="D78" s="29" t="str">
        <x:v>https://commons.wikimedia.org/wiki/File:Mount_Pinos_morning_(53282784768).jpg</x:v>
      </x:c>
      <x:c r="E78" s="29" t="str">
        <x:v>Mount Pinos morning (53282784768).jpg</x:v>
      </x:c>
      <x:c r="F78" s="29" t="str">
        <x:v>John D. from Pasadena, USA</x:v>
      </x:c>
      <x:c r="G78" s="29" t="str">
        <x:v>CC BY 2.0</x:v>
      </x:c>
      <x:c r="H78" s="29" t="str">
        <x:v>https://creativecommons.org/licenses/by/2.0</x:v>
      </x:c>
      <x:c r="I78" s="29" t="str">
        <x:v>Creative Commons Attribution 2.0</x:v>
      </x:c>
      <x:c r="J78" s="29" t="str">
        <x:v>Mount Pinos morning (53282784768).jpg · John D. from Pasadena, USA · CC BY 2.0 · https://commons.wikimedia.org/wiki/File:Mount_Pinos_morning_(53282784768).jpg</x:v>
      </x:c>
      <x:c r="K7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8" s="31" t="d">
        <x:v>2026-10-24T00:00:00.000Z</x:v>
      </x:c>
      <x:c r="M78" s="29" t="str">
        <x:v>Doğrulandı</x:v>
      </x:c>
      <x:c r="N78" s="29" t="str">
        <x:v>Doğrulandı</x:v>
      </x:c>
      <x:c r="O78" s="29" t="str">
        <x:v>Fotoğraflar/bk-bc1de8dadb5d7065e1c7bf10.webp</x:v>
      </x:c>
      <x:c r="P78" s="29" t="str">
        <x:v>Mount Pinos · Take tarihli fotoğraf · İndirilen kare temas sayfasında görüldü; kaynak mekân kimliğiyle eşleştirildi. Seçim kaydı final-pixel-review.json.</x:v>
      </x:c>
      <x:c r="Q78" s="29" t="str">
        <x:v>Bu kare için uygun</x:v>
      </x:c>
      <x:c r="R7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8" s="29" t="str">
        <x:v>Lisans kanıtları/bk-bc1de8dadb5d7065e1c7bf10.source-evidence.json</x:v>
      </x:c>
      <x:c r="T78" s="29" t="str">
        <x:v>80b2eb0e598b1c9e22eace2292f18b9a9e70fe56269f3e0be2236c22023ad90d</x:v>
      </x:c>
      <x:c r="U78" s="29" t="str">
        <x:v>Lisans kanıtları/bk-bc1de8dadb5d7065e1c7bf10.license-record.json</x:v>
      </x:c>
      <x:c r="V78" s="29" t="str">
        <x:v>e9b47819a02959a32c83c5ea71b20b88b5f15837c5aa1299857f1a2c632293ba</x:v>
      </x:c>
      <x:c r="W78" s="29" t="str">
        <x:v>{"file":"bk-bc1de8dadb5d7065e1c7bf10.webp","width":1280,"author":"John D. from Pasadena, USA","height":666,"sha256":"bc1de8dadb5d7065e1c7bf10b55b5aeab141a337235dfe706f382faeddb0fe45","license":"CC BY 2.0","imageinfo":{"url":"https://upload.wikimedia.org/wikipedia/commons/2/2e/Mount_Pinos_morning_%2853282784768%29.jpg?utm_source=commons.wikimedia.org&amp;utm_campaign=imageinfo&amp;utm_content=original","mime":"image/jpeg","sha1":"23234d464df6730215e962d4eba4e9c7add14534","size":8277250,"width":9504,"height":4947,"pageid":184741290,"thumburl":"https://thumb.wikimedia.org/wikipedia/commons/thumb/2/2e/Mount_Pinos_morning_%2853282784768%29.jpg/1280px-Mount_Pinos_morning_%2853282784768%29.jpg?utm_source=commons.wikimedia.org&amp;utm_campaign=imageinfo&amp;utm_content=thumbnail","timestamp":"2026-02-22T09:50:07Z","thumbwidth":1280,"extmetadata":{"Artist":{"value":"&lt;a rel=\"nofollow\" class=\"external text\" href=\"https://www.flickr.com/people/17393884@N00\"&gt;John D.&lt;/a&gt; from Pasadena, USA","source":"commons-desc-page"},"Credit":{"value":"&lt;a rel=\"nofollow\" class=\"external text\" href=\"https://www.flickr.com/photos/macrophile/53282784768/\"&gt;Mount Pinos morning&lt;/a&gt;","source":"commons-desc-page"},"License":{"value":"cc-by-2.0","hidden":"","source":"commons-templates"},"DateTime":{"value":"2026-02-22 09:50:07","hidden":"","source":"mediawiki-metadata"},"Categories":{"value":"Mount Pinos (California)|Panoramics in California|Black and white photographs of California in the 2020s|October 2023 in California|United States photographs taken on 2023-10-15|Flickr images reviewed by FlickreviewR 2|Forests in California in October|Black and white photographs of forests|Flickr images missing SDC published in|Misty mornings in California|Photographs by John Desjarlais","hidden":"","source":"commons-categories"},"LicenseUrl":{"value":"https://creativecommons.org/licenses/by/2.0","source":"commons-desc-page"},"ObjectName":{"value":"Mount Pinos morning (53282784768)","source":"mediawiki-metadata"},"UsageTerms":{"value":"Creative Commons Attribution 2.0","source":"commons-desc-page"},"Assessments":{"value":"","hidden":"","source":"commons-categories"},"Copyrighted":{"value":"True","hidden":"","source":"commons-desc-page"},"Restrictions":{"value":"","hidden":"","source":"commons-desc-page"},"DateTimeOriginal":{"value":"Taken on 15 October 2023","source":"commons-desc-page"},"ImageDescription":{"value":"Mount Pinos morning","source":"commons-desc-page"},"LicenseShortName":{"value":"CC BY 2.0","hidden":"","source":"commons-desc-page"},"AttributionRequired":{"value":"true","hidden":"","source":"commons-desc-page"},"CommonsMetadataExtension":{"value":1.2,"hidden":"","source":"extension"}},"thumbheight":666,"thumbattribs":{"src":"https://thumb.wikimedia.org/wikipedia/commons/thumb/2/2e/Mount_Pinos_morning_%2853282784768%29.jpg/1280px-Mount_Pinos_morning_%2853282784768%29.jpg?utm_source=commons.wikimedia.org&amp;utm_campaign=imageinfo&amp;utm_content=thumbnail","width":1280,"height":666,"srcset":"https://thumb.wikimedia.org/wikipedia/commons/thumb/2/2e/Mount_Pinos_morning_%2853282784768%29.jpg/3840px-Mount_Pinos_morning_%2853282784768%29.jpg?utm_source=commons.wikimedia.org&amp;utm_campaign=imageinfo&amp;utm_content=thumbnail 2x","loading":"lazy","decoding":"async"},"descriptionurl":"https://commons.wikimedia.org/wiki/File:Mount_Pinos_morning_(53282784768).jpg","responsiveUrls":{"2":"https://thumb.wikimedia.org/wikipedia/commons/thumb/2/2e/Mount_Pinos_morning_%2853282784768%29.jpg/3840px-Mount_Pinos_morning_%2853282784768%29.jpg?utm_source=commons.wikimedia.org&amp;utm_campaign=imageinfo&amp;utm_content=thumbnail"},"descriptionshorturl":"https://commons.wikimedia.org/w/index.php?curid=184741290"},"selection":{"qid":"pending","kind":"candidate","title":"Bakersfield alternatives"},"author_url":"https://www.flickr.com/people/17393884@N00","derivative":"Wikimedia thumbnail decoded; EXIF orientation applied; converted to WebP quality 86; no generated pixels, no cropping.","source_url":"https://commons.wikimedia.org/wiki/File:Mount_Pinos_morning_(53282784768).jpg","author_urls":["https://www.flickr.com/people/17393884@N00"],"description":"Mount Pinos morning","license_url":"https://creativecommons.org/licenses/by/2.0","reviewed_on":"2026-10-24","capture_date":"Taken on 15 October 2023","download_url":"https://thumb.wikimedia.org/wikipedia/commons/thumb/2/2e/Mount_Pinos_morning_%2853282784768%29.jpg/1280px-Mount_Pinos_morning_%2853282784768%29.jpg?utm_source=commons.wikimedia.org&amp;utm_campaign=imageinfo&amp;utm_content=thumbnail","original_url":"https://upload.wikimedia.org/wikipedia/commons/2/2e/Mount_Pinos_morning_%2853282784768%29.jpg?utm_source=commons.wikimedia.org&amp;utm_campaign=imageinfo&amp;utm_content=original","pixel_review":{"method":"İndirilen kare temas sayfasında görüldü; kaynak mekân kimliğiyle eşleştirildi. Seçim kaydı final-pixel-review.json.","status":"verified","caption":"Mount Pinos · Take tarihli fotoğraf","reviewer":"Codex (AI)","review_id":"T34"},"downloaded_at":"2026-10-23T21:29:24.203052+00:00","download_sha256":"f77df8d11b39e44f0cdbda15bc3c24ac4d6d95ed57c7f01c4c26a458c6c9f856","downloaded_file":"downloads/f77df8d11b39e44f0cdbda15bc3c24ac4d6d95ed57c7f01c4c26a458c6c9f856.jpg","acquisition_file":"82d24a1f1fd7e119181fcd31.webp","commons_filename":"Mount Pinos morning (53282784768).jpg","original_file_url":"https://upload.wikimedia.org/wikipedia/commons/2/2e/Mount_Pinos_morning_%2853282784768%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dönüştürüldü.","photo_attribution":{"author_url":"https://www.flickr.com/people/17393884@N00","modifications":"EXIF yönü uygulandı; boyut küçültülüp WebP biçimine dönüştürüldü.","original_file_url":"https://upload.wikimedia.org/wikipedia/commons/2/2e/Mount_Pinos_morning_%2853282784768%29.jpg?utm_source=commons.wikimedia.org&amp;utm_campaign=imageinfo&amp;utm_content=original"},"metadata_reviewed_on":"2026-10-24","metadata_review_status":"verified"}}</x:v>
      </x:c>
    </x:row>
    <x:row r="79" ht="300" customHeight="1">
      <x:c r="A79" s="29" t="str">
        <x:v>bakersfield:evidence:venue-22044</x:v>
      </x:c>
      <x:c r="B79" s="29" t="str">
        <x:v>bakersfield</x:v>
      </x:c>
      <x:c r="C79" s="29" t="str">
        <x:v>bakersfield:photo:venue-22044</x:v>
      </x:c>
      <x:c r="D79" s="29" t="str">
        <x:v>https://commons.wikimedia.org/wiki/File:Summit_of_Mount_Pinos.jpg</x:v>
      </x:c>
      <x:c r="E79" s="29" t="str">
        <x:v>Summit of Mount Pinos.jpg</x:v>
      </x:c>
      <x:c r="F79" s="29" t="str">
        <x:v>Vahe Martirosyan</x:v>
      </x:c>
      <x:c r="G79" s="29" t="str">
        <x:v>CC BY-SA 2.0</x:v>
      </x:c>
      <x:c r="H79" s="29" t="str">
        <x:v>https://creativecommons.org/licenses/by-sa/2.0</x:v>
      </x:c>
      <x:c r="I79" s="29" t="str">
        <x:v>Creative Commons Attribution-Share Alike 2.0</x:v>
      </x:c>
      <x:c r="J79" s="29" t="str">
        <x:v>Summit of Mount Pinos.jpg · Vahe Martirosyan · CC BY-SA 2.0 · https://commons.wikimedia.org/wiki/File:Summit_of_Mount_Pinos.jpg</x:v>
      </x:c>
      <x:c r="K7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79" s="31" t="d">
        <x:v>2026-10-24T00:00:00.000Z</x:v>
      </x:c>
      <x:c r="M79" s="29" t="str">
        <x:v>Doğrulandı</x:v>
      </x:c>
      <x:c r="N79" s="29" t="str">
        <x:v>Doğrulandı</x:v>
      </x:c>
      <x:c r="O79" s="29" t="str">
        <x:v>Fotoğraflar/bk-4fb7bd572f58cac053c5bfa8.webp</x:v>
      </x:c>
      <x:c r="P79" s="29" t="str">
        <x:v>Mount Pinos · 2017 tarihli fotoğraf · İndirilen kare temas sayfasında görüldü; kaynak mekân kimliğiyle eşleştirildi. Seçim kaydı final-pixel-review.json.</x:v>
      </x:c>
      <x:c r="Q79" s="29" t="str">
        <x:v>Bu kare için uygun</x:v>
      </x:c>
      <x:c r="R7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79" s="29" t="str">
        <x:v>Lisans kanıtları/bk-4fb7bd572f58cac053c5bfa8.source-evidence.json</x:v>
      </x:c>
      <x:c r="T79" s="29" t="str">
        <x:v>735b603a15baefe86c62d76b47bd10c836d811b8fe77ee733ee7d44995cc6614</x:v>
      </x:c>
      <x:c r="U79" s="29" t="str">
        <x:v>Lisans kanıtları/bk-4fb7bd572f58cac053c5bfa8.license-record.json</x:v>
      </x:c>
      <x:c r="V79" s="29" t="str">
        <x:v>6a3de80d43a5751effd6002b2eb665c8802c266521d2a61600b0aff062362280</x:v>
      </x:c>
      <x:c r="W79" s="29" t="str">
        <x:v>{"file":"bk-4fb7bd572f58cac053c5bfa8.webp","width":1280,"author":"Vahe Martirosyan","height":853,"sha256":"4fb7bd572f58cac053c5bfa8000a310919c7af7fc2b12f599b66a02dd9a9b85e","license":"CC BY-SA 2.0","imageinfo":{"url":"https://upload.wikimedia.org/wikipedia/commons/e/e0/Summit_of_Mount_Pinos.jpg?utm_source=commons.wikimedia.org&amp;utm_campaign=imageinfo&amp;utm_content=original","mime":"image/jpeg","sha1":"fd58948f4900ef0b5668f2286c6558a9faabe388","size":691333,"width":1500,"height":1000,"pageid":103899061,"thumburl":"https://thumb.wikimedia.org/wikipedia/commons/thumb/e/e0/Summit_of_Mount_Pinos.jpg/1280px-Summit_of_Mount_Pinos.jpg?utm_source=commons.wikimedia.org&amp;utm_campaign=imageinfo&amp;utm_content=thumbnail","timestamp":"2021-04-18T23:02:02Z","thumbwidth":1280,"extmetadata":{"Artist":{"value":"Vahe Martirosyan","source":"commons-desc-page"},"Credit":{"value":"&lt;a rel=\"nofollow\" class=\"external free\" href=\"https://www.flickr.com/photos/vahemart/36526381996/\"&gt;https://www.flickr.com/photos/vahemart/36526381996/&lt;/a&gt;","source":"commons-desc-page"},"License":{"value":"cc-by-sa-2.0","hidden":"","source":"commons-templates"},"DateTime":{"value":"2021-04-18 23:02:02","hidden":"","source":"mediawiki-metadata"},"Categories":{"value":"Mount Pinos (California)|California montane chaparral and woodlands|Flickr images reviewed by FlickreviewR 2","hidden":"","source":"commons-categories"},"LicenseUrl":{"value":"https://creativecommons.org/licenses/by-sa/2.0","source":"commons-desc-page"},"ObjectName":{"value":"Summit of Mount Pinos","source":"mediawiki-metadata"},"UsageTerms":{"value":"Creative Commons Attribution-Share Alike 2.0","source":"commons-desc-page"},"Assessments":{"value":"","hidden":"","source":"commons-categories"},"Copyrighted":{"value":"True","hidden":"","source":"commons-desc-page"},"Restrictions":{"value":"","hidden":"","source":"commons-desc-page"},"DateTimeOriginal":{"value":"2017-08-12 11:55:02","source":"commons-desc-page"},"ImageDescription":{"value":"Summit of Mount Pinos","source":"commons-desc-page"},"LicenseShortName":{"value":"CC BY-SA 2.0","hidden":"","source":"commons-desc-page"},"AttributionRequired":{"value":"true","hidden":"","source":"commons-desc-page"},"CommonsMetadataExtension":{"value":1.2,"hidden":"","source":"extension"}},"thumbheight":853,"thumbattribs":{"src":"https://thumb.wikimedia.org/wikipedia/commons/thumb/e/e0/Summit_of_Mount_Pinos.jpg/1280px-Summit_of_Mount_Pinos.jpg?utm_source=commons.wikimedia.org&amp;utm_campaign=imageinfo&amp;utm_content=thumbnail","width":1280,"height":853,"srcset":"https://upload.wikimedia.org/wikipedia/commons/e/e0/Summit_of_Mount_Pinos.jpg?utm_source=commons.wikimedia.org&amp;utm_campaign=imageinfo&amp;utm_content=thumbnail_unscaled 2x","loading":"lazy","decoding":"async"},"descriptionurl":"https://commons.wikimedia.org/wiki/File:Summit_of_Mount_Pinos.jpg","responsiveUrls":{"2":"https://upload.wikimedia.org/wikipedia/commons/e/e0/Summit_of_Mount_Pinos.jpg?utm_source=commons.wikimedia.org&amp;utm_campaign=imageinfo&amp;utm_content=thumbnail_unscaled"},"descriptionshorturl":"https://commons.wikimedia.org/w/index.php?curid=103899061"},"selection":{"qid":"pending","kind":"candidate","title":"Bakersfield alternatives"},"author_url":"","derivative":"Wikimedia thumbnail decoded; EXIF orientation applied; converted to WebP quality 86; no generated pixels, no cropping.","source_url":"https://commons.wikimedia.org/wiki/File:Summit_of_Mount_Pinos.jpg","author_urls":[],"description":"Summit of Mount Pinos","license_url":"https://creativecommons.org/licenses/by-sa/2.0","reviewed_on":"2026-10-24","capture_date":"2017-08-12 11:55:02","download_url":"https://thumb.wikimedia.org/wikipedia/commons/thumb/e/e0/Summit_of_Mount_Pinos.jpg/1280px-Summit_of_Mount_Pinos.jpg?utm_source=commons.wikimedia.org&amp;utm_campaign=imageinfo&amp;utm_content=thumbnail","original_url":"https://upload.wikimedia.org/wikipedia/commons/e/e0/Summit_of_Mount_Pinos.jpg?utm_source=commons.wikimedia.org&amp;utm_campaign=imageinfo&amp;utm_content=original","pixel_review":{"method":"İndirilen kare temas sayfasında görüldü; kaynak mekân kimliğiyle eşleştirildi. Seçim kaydı final-pixel-review.json.","status":"verified","caption":"Mount Pinos · 2017 tarihli fotoğraf","reviewer":"Codex (AI)","review_id":"T37"},"downloaded_at":"2026-10-23T21:29:24.833325+00:00","download_sha256":"b0772c28a9bca15a76ebf7dfe01168e099f71d6ea6479b9db715ff4a98c9e99c","downloaded_file":"downloads/b0772c28a9bca15a76ebf7dfe01168e099f71d6ea6479b9db715ff4a98c9e99c.jpg","acquisition_file":"5cc598e1d104aedb08208b33.webp","commons_filename":"Summit of Mount Pinos.jpg","original_file_url":"https://upload.wikimedia.org/wikipedia/commons/e/e0/Summit_of_Mount_Pinos.jpg?utm_source=commons.wikimedia.org&amp;utm_campaign=imageinfo&amp;utm_content=original","pixel_review_status":"pending","third_party_rights_review":{"basis":"Kaynakta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e/e0/Summit_of_Mount_Pinos.jpg?utm_source=commons.wikimedia.org&amp;utm_campaign=imageinfo&amp;utm_content=original"},"metadata_reviewed_on":"2026-10-24","metadata_review_status":"verified"}}</x:v>
      </x:c>
    </x:row>
    <x:row r="80" ht="300" customHeight="1">
      <x:c r="A80" s="29" t="str">
        <x:v>bakersfield:evidence:venue-22045</x:v>
      </x:c>
      <x:c r="B80" s="29" t="str">
        <x:v>bakersfield</x:v>
      </x:c>
      <x:c r="C80" s="29" t="str">
        <x:v>bakersfield:photo:venue-22045</x:v>
      </x:c>
      <x:c r="D80" s="29" t="str">
        <x:v>https://commons.wikimedia.org/wiki/File:Transverse_Ranges_from_Mount_Pinos.jpg</x:v>
      </x:c>
      <x:c r="E80" s="29" t="str">
        <x:v>Transverse Ranges from Mount Pinos.jpg</x:v>
      </x:c>
      <x:c r="F80" s="29" t="str">
        <x:v>David Prasad</x:v>
      </x:c>
      <x:c r="G80" s="29" t="str">
        <x:v>CC BY-SA 2.0</x:v>
      </x:c>
      <x:c r="H80" s="29" t="str">
        <x:v>https://creativecommons.org/licenses/by-sa/2.0</x:v>
      </x:c>
      <x:c r="I80" s="29" t="str">
        <x:v>Creative Commons Attribution-Share Alike 2.0</x:v>
      </x:c>
      <x:c r="J80" s="29" t="str">
        <x:v>Transverse Ranges from Mount Pinos.jpg · David Prasad · CC BY-SA 2.0 · https://commons.wikimedia.org/wiki/File:Transverse_Ranges_from_Mount_Pinos.jpg</x:v>
      </x:c>
      <x:c r="K8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0" s="31" t="d">
        <x:v>2026-10-24T00:00:00.000Z</x:v>
      </x:c>
      <x:c r="M80" s="29" t="str">
        <x:v>Doğrulandı</x:v>
      </x:c>
      <x:c r="N80" s="29" t="str">
        <x:v>Doğrulandı</x:v>
      </x:c>
      <x:c r="O80" s="29" t="str">
        <x:v>Fotoğraflar/bk-0c5fb2d8cf9708be3ef4d9f7.webp</x:v>
      </x:c>
      <x:c r="P80" s="29" t="str">
        <x:v>Mount Pinos · 2015 tarihli fotoğraf · İndirilen kare temas sayfasında görüldü; kaynak mekân kimliğiyle eşleştirildi. Seçim kaydı final-pixel-review.json.</x:v>
      </x:c>
      <x:c r="Q80" s="29" t="str">
        <x:v>Bu kare için uygun</x:v>
      </x:c>
      <x:c r="R8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0" s="29" t="str">
        <x:v>Lisans kanıtları/bk-0c5fb2d8cf9708be3ef4d9f7.source-evidence.json</x:v>
      </x:c>
      <x:c r="T80" s="29" t="str">
        <x:v>e6e970aa5c1f4c4aa34c0881f32f204aa194657977c21bd7ee199e209f685a55</x:v>
      </x:c>
      <x:c r="U80" s="29" t="str">
        <x:v>Lisans kanıtları/bk-0c5fb2d8cf9708be3ef4d9f7.license-record.json</x:v>
      </x:c>
      <x:c r="V80" s="29" t="str">
        <x:v>990cd9c564c6f38b44b9ad6304d2e6263f307a6f838e80c4f57a3ef700fe3893</x:v>
      </x:c>
      <x:c r="W80" s="29" t="str">
        <x:v>{"file":"bk-0c5fb2d8cf9708be3ef4d9f7.webp","width":1280,"author":"David Prasad","height":848,"sha256":"0c5fb2d8cf9708be3ef4d9f7394d91169fc63d14dc888a027ca0f9bfa113e996","license":"CC BY-SA 2.0","imageinfo":{"url":"https://upload.wikimedia.org/wikipedia/commons/d/d7/Transverse_Ranges_from_Mount_Pinos.jpg?utm_source=commons.wikimedia.org&amp;utm_campaign=imageinfo&amp;utm_content=original","mime":"image/jpeg","sha1":"7adb590ff52f0803eda971d9edfd663cf8844c03","size":15886266,"width":4893,"height":3241,"pageid":103899052,"thumburl":"https://thumb.wikimedia.org/wikipedia/commons/thumb/d/d7/Transverse_Ranges_from_Mount_Pinos.jpg/1280px-Transverse_Ranges_from_Mount_Pinos.jpg?utm_source=commons.wikimedia.org&amp;utm_campaign=imageinfo&amp;utm_content=thumbnail","timestamp":"2021-04-18T23:02:00Z","thumbwidth":1280,"extmetadata":{"Artist":{"value":"David Prasad","source":"commons-desc-page"},"Credit":{"value":"&lt;a rel=\"nofollow\" class=\"external free\" href=\"https://www.flickr.com/photos/33671002@N00/19890261178/\"&gt;https://www.flickr.com/photos/33671002@N00/19890261178/&lt;/a&gt;","source":"commons-desc-page"},"License":{"value":"cc-by-sa-2.0","hidden":"","source":"commons-templates"},"DateTime":{"value":"2021-04-18 23:02:00","hidden":"","source":"mediawiki-metadata"},"Categories":{"value":"Mount Pinos (California)|Transverse Ranges|California montane chaparral and woodlands|Flickr images reviewed by FlickreviewR 2","hidden":"","source":"commons-categories"},"LicenseUrl":{"value":"https://creativecommons.org/licenses/by-sa/2.0","source":"commons-desc-page"},"ObjectName":{"value":"Transverse Ranges from Mount Pinos","source":"mediawiki-metadata"},"UsageTerms":{"value":"Creative Commons Attribution-Share Alike 2.0","source":"commons-desc-page"},"Assessments":{"value":"","hidden":"","source":"commons-categories"},"Copyrighted":{"value":"True","hidden":"","source":"commons-desc-page"},"Restrictions":{"value":"","hidden":"","source":"commons-desc-page"},"DateTimeOriginal":{"value":"2015-07-25 15:48:44","source":"commons-desc-page"},"ImageDescription":{"value":"Montane chaparral and woodlands of the Transverse Ranges, as viewed from Mount Pinos.","source":"commons-desc-page"},"LicenseShortName":{"value":"CC BY-SA 2.0","hidden":"","source":"commons-desc-page"},"AttributionRequired":{"value":"true","hidden":"","source":"commons-desc-page"},"CommonsMetadataExtension":{"value":1.2,"hidden":"","source":"extension"}},"thumbheight":848,"thumbattribs":{"src":"https://thumb.wikimedia.org/wikipedia/commons/thumb/d/d7/Transverse_Ranges_from_Mount_Pinos.jpg/1280px-Transverse_Ranges_from_Mount_Pinos.jpg?utm_source=commons.wikimedia.org&amp;utm_campaign=imageinfo&amp;utm_content=thumbnail","width":1280,"height":848,"srcset":"https://thumb.wikimedia.org/wikipedia/commons/thumb/d/d7/Transverse_Ranges_from_Mount_Pinos.jpg/3840px-Transverse_Ranges_from_Mount_Pinos.jpg?utm_source=commons.wikimedia.org&amp;utm_campaign=imageinfo&amp;utm_content=thumbnail 2x","loading":"lazy","decoding":"async"},"descriptionurl":"https://commons.wikimedia.org/wiki/File:Transverse_Ranges_from_Mount_Pinos.jpg","responsiveUrls":{"2":"https://thumb.wikimedia.org/wikipedia/commons/thumb/d/d7/Transverse_Ranges_from_Mount_Pinos.jpg/3840px-Transverse_Ranges_from_Mount_Pinos.jpg?utm_source=commons.wikimedia.org&amp;utm_campaign=imageinfo&amp;utm_content=thumbnail"},"descriptionshorturl":"https://commons.wikimedia.org/w/index.php?curid=103899052"},"selection":{"qid":"pending","kind":"candidate","title":"Bakersfield alternatives"},"author_url":"","derivative":"Wikimedia thumbnail decoded; EXIF orientation applied; converted to WebP quality 86; no generated pixels, no cropping.","source_url":"https://commons.wikimedia.org/wiki/File:Transverse_Ranges_from_Mount_Pinos.jpg","author_urls":[],"description":"Montane chaparral and woodlands of the Transverse Ranges, as viewed from Mount Pinos.","license_url":"https://creativecommons.org/licenses/by-sa/2.0","reviewed_on":"2026-10-24","capture_date":"2015-07-25 15:48:44","download_url":"https://thumb.wikimedia.org/wikipedia/commons/thumb/d/d7/Transverse_Ranges_from_Mount_Pinos.jpg/1280px-Transverse_Ranges_from_Mount_Pinos.jpg?utm_source=commons.wikimedia.org&amp;utm_campaign=imageinfo&amp;utm_content=thumbnail","original_url":"https://upload.wikimedia.org/wikipedia/commons/d/d7/Transverse_Ranges_from_Mount_Pinos.jpg?utm_source=commons.wikimedia.org&amp;utm_campaign=imageinfo&amp;utm_content=original","pixel_review":{"method":"İndirilen kare temas sayfasında görüldü; kaynak mekân kimliğiyle eşleştirildi. Seçim kaydı final-pixel-review.json.","status":"verified","caption":"Mount Pinos · 2015 tarihli fotoğraf","reviewer":"Codex (AI)","review_id":"T44"},"downloaded_at":"2026-10-23T21:29:26.251760+00:00","download_sha256":"cc490d3779cd0c9cfcb66dd27babbc90e8270cf2c878deda999aac91cde6f711","downloaded_file":"downloads/cc490d3779cd0c9cfcb66dd27babbc90e8270cf2c878deda999aac91cde6f711.jpg","acquisition_file":"e36fb17de6a9551c53d7029b.webp","commons_filename":"Transverse Ranges from Mount Pinos.jpg","original_file_url":"https://upload.wikimedia.org/wikipedia/commons/d/d7/Transverse_Ranges_from_Mount_Pino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d/d7/Transverse_Ranges_from_Mount_Pinos.jpg?utm_source=commons.wikimedia.org&amp;utm_campaign=imageinfo&amp;utm_content=original"},"metadata_reviewed_on":"2026-10-24","metadata_review_status":"verified"}}</x:v>
      </x:c>
    </x:row>
    <x:row r="81" ht="300" customHeight="1">
      <x:c r="A81" s="29" t="str">
        <x:v>bakersfield:evidence:venue-22046</x:v>
      </x:c>
      <x:c r="B81" s="29" t="str">
        <x:v>bakersfield</x:v>
      </x:c>
      <x:c r="C81" s="29" t="str">
        <x:v>bakersfield:photo:venue-22046</x:v>
      </x:c>
      <x:c r="D81" s="29" t="str">
        <x:v>https://commons.wikimedia.org/wiki/File:Rock_canyon_at_Tomo-Kahni.jpg</x:v>
      </x:c>
      <x:c r="E81" s="29" t="str">
        <x:v>Rock canyon at Tomo-Kahni.jpg</x:v>
      </x:c>
      <x:c r="F81" s="29" t="str">
        <x:v>Tyutyika</x:v>
      </x:c>
      <x:c r="G81" s="29" t="str">
        <x:v>CC BY-SA 4.0</x:v>
      </x:c>
      <x:c r="H81" s="29" t="str">
        <x:v>https://creativecommons.org/licenses/by-sa/4.0</x:v>
      </x:c>
      <x:c r="I81" s="29" t="str">
        <x:v>Creative Commons Attribution-Share Alike 4.0</x:v>
      </x:c>
      <x:c r="J81" s="29" t="str">
        <x:v>Rock canyon at Tomo-Kahni.jpg · Tyutyika · CC BY-SA 4.0 · https://commons.wikimedia.org/wiki/File:Rock_canyon_at_Tomo-Kahni.jpg</x:v>
      </x:c>
      <x:c r="K8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1" s="31" t="d">
        <x:v>2026-10-24T00:00:00.000Z</x:v>
      </x:c>
      <x:c r="M81" s="29" t="str">
        <x:v>Doğrulandı</x:v>
      </x:c>
      <x:c r="N81" s="29" t="str">
        <x:v>Doğrulandı</x:v>
      </x:c>
      <x:c r="O81" s="29" t="str">
        <x:v>Fotoğraflar/bk-8101dc865944bf676536789a.webp</x:v>
      </x:c>
      <x:c r="P81" s="29" t="str">
        <x:v>Tomo-Kahni State Historic Park · 2023 tarihli fotoğraf · İndirilen kare temas sayfasında görüldü; kaynak mekân kimliğiyle eşleştirildi. Seçim kaydı final-pixel-review.json.</x:v>
      </x:c>
      <x:c r="Q81" s="29" t="str">
        <x:v>Bu kare için uygun</x:v>
      </x:c>
      <x:c r="R8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1" s="29" t="str">
        <x:v>Lisans kanıtları/bk-8101dc865944bf676536789a.source-evidence.json</x:v>
      </x:c>
      <x:c r="T81" s="29" t="str">
        <x:v>8ad93bf6d0e2c9bf0d11cd1626bb1cfa61f6b0207288dae115a9789ad60706b3</x:v>
      </x:c>
      <x:c r="U81" s="29" t="str">
        <x:v>Lisans kanıtları/bk-8101dc865944bf676536789a.license-record.json</x:v>
      </x:c>
      <x:c r="V81" s="29" t="str">
        <x:v>dbb1f1fc421e5d00419f50650d71e504985f42a627c10550a8eb976f0d7be37c</x:v>
      </x:c>
      <x:c r="W81" s="29" t="str">
        <x:v>{"file":"bk-8101dc865944bf676536789a.webp","width":1080,"author":"Tyutyika","height":1440,"sha256":"8101dc865944bf676536789a562fba68cb61351f385ebbae0de5102f989cf51b","license":"CC BY-SA 4.0","imageinfo":{"url":"https://upload.wikimedia.org/wikipedia/commons/5/5b/Rock_canyon_at_Tomo-Kahni.jpg?utm_source=commons.wikimedia.org&amp;utm_campaign=imageinfo&amp;utm_content=original","mime":"image/jpeg","sha1":"716bb44aa139e146598e864fcbced2a9a8ebfdc0","size":6079170,"width":3024,"height":4032,"pageid":139437259,"thumburl":"https://thumb.wikimedia.org/wikipedia/commons/thumb/5/5b/Rock_canyon_at_Tomo-Kahni.jpg/1280px-Rock_canyon_at_Tomo-Kahni.jpg?utm_source=commons.wikimedia.org&amp;utm_campaign=imageinfo&amp;utm_content=thumbnail","timestamp":"2023-10-24T02:59:41Z","thumbwidth":1280,"extmetadata":{"Artist":{"value":"&lt;a href=\"//commons.wikimedia.org/w/index.php?title=User:Tyutyika&amp;amp;action=edit&amp;amp;redlink=1\" class=\"new\" title=\"User:Tyutyika (page does not exist)\"&gt;Tyutyika&lt;/a&gt;","source":"commons-desc-page"},"Credit":{"value":"&lt;span class=\"int-own-work\" lang=\"en\"&gt;Own work&lt;/span&gt;","source":"commons-desc-page"},"License":{"value":"cc-by-sa-4.0","hidden":"","source":"commons-templates"},"DateTime":{"value":"2023-10-24 02:59:41","hidden":"","source":"mediawiki-metadata"},"Categories":{"value":"California Historical Landmarks|Self-published work","hidden":"","source":"commons-categories"},"LicenseUrl":{"value":"https://creativecommons.org/licenses/by-sa/4.0","source":"commons-desc-page"},"ObjectName":{"value":"Rock canyon at Tomo-Kahni","source":"mediawiki-metadata"},"UsageTerms":{"value":"Creative Commons Attribution-Share Alike 4.0","source":"commons-desc-page"},"Assessments":{"value":"","hidden":"","source":"commons-categories"},"Copyrighted":{"value":"True","hidden":"","source":"commons-desc-page"},"Restrictions":{"value":"","hidden":"","source":"commons-desc-page"},"DateTimeOriginal":{"value":"2023-10-14","source":"commons-desc-page"},"ImageDescription":{"value":"Kawaiisu women gathered near this location","source":"commons-desc-page"},"LicenseShortName":{"value":"CC BY-SA 4.0","hidden":"","source":"commons-desc-page"},"AttributionRequired":{"value":"true","hidden":"","source":"commons-desc-page"},"CommonsMetadataExtension":{"value":1.2,"hidden":"","source":"extension"}},"thumbheight":1707,"thumbattribs":{"src":"https://thumb.wikimedia.org/wikipedia/commons/thumb/5/5b/Rock_canyon_at_Tomo-Kahni.jpg/1280px-Rock_canyon_at_Tomo-Kahni.jpg?utm_source=commons.wikimedia.org&amp;utm_campaign=imageinfo&amp;utm_content=thumbnail","width":1280,"height":1707,"srcset":"https://upload.wikimedia.org/wikipedia/commons/5/5b/Rock_canyon_at_Tomo-Kahni.jpg?utm_source=commons.wikimedia.org&amp;utm_campaign=imageinfo&amp;utm_content=thumbnail_unscaled 2x","loading":"lazy","decoding":"async"},"descriptionurl":"https://commons.wikimedia.org/wiki/File:Rock_canyon_at_Tomo-Kahni.jpg","responsiveUrls":{"2":"https://upload.wikimedia.org/wikipedia/commons/5/5b/Rock_canyon_at_Tomo-Kahni.jpg?utm_source=commons.wikimedia.org&amp;utm_campaign=imageinfo&amp;utm_content=thumbnail_unscaled"},"descriptionshorturl":"https://commons.wikimedia.org/w/index.php?curid=139437259"},"selection":{"qid":"pending","kind":"candidate","title":"Bakersfield alternatives"},"author_url":"","derivative":"Wikimedia thumbnail decoded; EXIF orientation applied; converted to WebP quality 86; no generated pixels, no cropping.","source_url":"https://commons.wikimedia.org/wiki/File:Rock_canyon_at_Tomo-Kahni.jpg","author_urls":[],"description":"Kawaiisu women gathered near this location","license_url":"https://creativecommons.org/licenses/by-sa/4.0","reviewed_on":"2026-10-24","capture_date":"2023-10-14","download_url":"https://thumb.wikimedia.org/wikipedia/commons/thumb/5/5b/Rock_canyon_at_Tomo-Kahni.jpg/1280px-Rock_canyon_at_Tomo-Kahni.jpg?utm_source=commons.wikimedia.org&amp;utm_campaign=imageinfo&amp;utm_content=thumbnail","original_url":"https://upload.wikimedia.org/wikipedia/commons/5/5b/Rock_canyon_at_Tomo-Kahni.jpg?utm_source=commons.wikimedia.org&amp;utm_campaign=imageinfo&amp;utm_content=original","pixel_review":{"method":"İndirilen kare temas sayfasında görüldü; kaynak mekân kimliğiyle eşleştirildi. Seçim kaydı final-pixel-review.json.","status":"verified","caption":"Tomo-Kahni State Historic Park · 2023 tarihli fotoğraf","reviewer":"Codex (AI)","review_id":"T36"},"downloaded_at":"2026-10-23T21:29:24.546540+00:00","download_sha256":"ac980892890cc5848e72663371418990d12b0dd23499ea46615cf5bcf49e0798","downloaded_file":"downloads/ac980892890cc5848e72663371418990d12b0dd23499ea46615cf5bcf49e0798.jpg","acquisition_file":"2f820e389c53ee3a0199954f.webp","commons_filename":"Rock canyon at Tomo-Kahni.jpg","original_file_url":"https://upload.wikimedia.org/wikipedia/commons/5/5b/Rock_canyon_at_Tomo-Kahni.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5/5b/Rock_canyon_at_Tomo-Kahni.jpg?utm_source=commons.wikimedia.org&amp;utm_campaign=imageinfo&amp;utm_content=original"},"metadata_reviewed_on":"2026-10-24","metadata_review_status":"verified"}}</x:v>
      </x:c>
    </x:row>
    <x:row r="82" ht="300" customHeight="1">
      <x:c r="A82" s="29" t="str">
        <x:v>bakersfield:evidence:venue-22047</x:v>
      </x:c>
      <x:c r="B82" s="29" t="str">
        <x:v>bakersfield</x:v>
      </x:c>
      <x:c r="C82" s="29" t="str">
        <x:v>bakersfield:photo:venue-22047</x:v>
      </x:c>
      <x:c r="D82" s="29" t="str">
        <x:v>https://www.flickr.com/photos/98609821@N00/46791389041/</x:v>
      </x:c>
      <x:c r="E82" s="29" t="str">
        <x:v>Café Smitten</x:v>
      </x:c>
      <x:c r="F82" s="29" t="str">
        <x:v>Julie Jordan Scott</x:v>
      </x:c>
      <x:c r="G82" s="29" t="str">
        <x:v>CC BY 2.0</x:v>
      </x:c>
      <x:c r="H82" s="29" t="str">
        <x:v>https://creativecommons.org/licenses/by/2.0/</x:v>
      </x:c>
      <x:c r="I82" s="29" t="str">
        <x:v>CC BY 2.0</x:v>
      </x:c>
      <x:c r="J82" s="29" t="str">
        <x:v>Café Smitten · Julie Jordan Scott · CC BY 2.0 · https://www.flickr.com/photos/98609821@N00/46791389041/</x:v>
      </x:c>
      <x:c r="K8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2" s="31" t="d">
        <x:v>2026-10-24T00:00:00.000Z</x:v>
      </x:c>
      <x:c r="M82" s="29" t="str">
        <x:v>Doğrulandı</x:v>
      </x:c>
      <x:c r="N82" s="29" t="str">
        <x:v>Doğrulandı</x:v>
      </x:c>
      <x:c r="O82" s="29" t="str">
        <x:v>Fotoğraflar/bk-9f9290eb7c9de2f08e49e09d.webp</x:v>
      </x:c>
      <x:c r="P82" s="29" t="str">
        <x:v>Café Smitten · İndirilen kare temas sayfasında görüldü; kaynak mekân kimliğiyle eşleştirildi. Seçim kaydı final-pixel-review.json.</x:v>
      </x:c>
      <x:c r="Q82" s="29" t="str">
        <x:v>Bu kare için uygun</x:v>
      </x:c>
      <x:c r="R8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2" s="29" t="str">
        <x:v>Lisans kanıtları/bk-9f9290eb7c9de2f08e49e09d.source-evidence.json</x:v>
      </x:c>
      <x:c r="T82" s="29" t="str">
        <x:v>27d3b1a83cc09cf186a3888c9178b2091aef4077acde0251d2ddd05e73e4c3fe</x:v>
      </x:c>
      <x:c r="U82" s="29" t="str">
        <x:v>Lisans kanıtları/bk-9f9290eb7c9de2f08e49e09d.license-record.json</x:v>
      </x:c>
      <x:c r="V82" s="29" t="str">
        <x:v>66eced039fa931845008bf98e5ae892b6737bcb8361ef34cc1177d2ef233cb63</x:v>
      </x:c>
      <x:c r="W82" s="29" t="str">
        <x:v>{"file":"bk-9f9290eb7c9de2f08e49e09d.webp","width":768,"author":"Julie Jordan Scott","height":1024,"sha256":"9f9290eb7c9de2f08e49e09d7a135ef6adca55f8d608734af288690b0e938142","status":"reviewed-selected","license":"CC BY 2.0","provider":"Flickr","review_id":"X18","source_id":"46791389041","author_url":"https://www.flickr.com/photos/98609821@N00/","date_texts":["Uploaded on January 18, 2019","Uploaded on January 18, 2019"],"source_url":"https://www.flickr.com/photos/98609821@N00/46791389041/","description":"","license_url":"https://creativecommons.org/licenses/by/2.0/","review_note":"Kafede logolu kupa; arka planda mekân içi, ana konu insan/bağımsız sanat eseri değil.","reviewed_on":"2026-10-24","source_text":"Cafe Smitten and Writing locales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Cafe Smitten and Writing locales Done 63 views 0 faves 0 comments Uploaded on January 18, 2019 Julie Jordan Scott By: Julie Jordan Scott Cafe Smitten and Writing locales Done 63 views 0 faves 0 comments Uploaded on January 18, 2019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photography.","capture_date":"","download_url":"https://live.staticflickr.com/7891/46791389041_1c191f1eb6_b.jpg","original_url":"https://live.staticflickr.com/7891/46791389041_4a9f3d37ab_4k.jpg","pixel_review":{"method":"İndirilen kare temas sayfasında görüldü; kaynak mekân kimliğiyle eşleştirildi. Seçim kaydı final-pixel-review.json.","status":"verified","caption":"Café Smitten","reviewer":"Codex (AI)","review_id":"X18"},"source_title":"Cafe Smitten and Writing locales","downloaded_at":"2026-10-23T21:22:27.505860+00:00","download_sha256":"aca181ed51a5afd4717aa1a8b02aebd48d5862b6e9fb714153074150deea8cb1","downloaded_file":"downloads/aca181ed51a5afd4717aa1a8b02aebd48d5862b6e9fb714153074150deea8cb1.jpg","public_metadata":{"photo-models":[{"data":{"id":"46791389041","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7891/46791389041_1c191f1eb6_c.jpg","width":600,"height":800,"displayUrl":"//live.staticflickr.com/7891/46791389041_1c191f1eb6_c.jpg"},"exportMetaType":"pojo"},"h":{"data":{"url":"//live.staticflickr.com/7891/46791389041_e86a5eb3cc_h.jpg","width":1200,"height":1600,"displayUrl":"//live.staticflickr.com/7891/46791389041_e86a5eb3cc_h.jpg"},"exportMetaType":"pojo"},"k":{"data":{"url":"//live.staticflickr.com/7891/46791389041_bd4184cc1a_k.jpg","width":1536,"height":2048,"displayUrl":"//live.staticflickr.com/7891/46791389041_bd4184cc1a_k.jpg"},"exportMetaType":"pojo"},"l":{"data":{"url":"//live.staticflickr.com/7891/46791389041_1c191f1eb6_b.jpg","width":768,"height":1024,"displayUrl":"//live.staticflickr.com/7891/46791389041_1c191f1eb6_b.jpg"},"exportMetaType":"pojo"},"m":{"data":{"url":"//live.staticflickr.com/7891/46791389041_1c191f1eb6.jpg","width":375,"height":500,"displayUrl":"//live.staticflickr.com/7891/46791389041_1c191f1eb6.jpg"},"exportMetaType":"pojo"},"n":{"data":{"url":"//live.staticflickr.com/7891/46791389041_1c191f1eb6_n.jpg","width":240,"height":320,"displayUrl":"//live.staticflickr.com/7891/46791389041_1c191f1eb6_n.jpg"},"exportMetaType":"pojo"},"o":{"data":{"url":"//live.staticflickr.com/7891/46791389041_fccaa3f829_o.jpg","width":4032,"height":3024,"displayUrl":"//live.staticflickr.com/7891/46791389041_fccaa3f829_o.jpg"},"exportMetaType":"pojo"},"q":{"data":{"url":"//live.staticflickr.com/7891/46791389041_1c191f1eb6_q.jpg","width":150,"height":150,"displayUrl":"//live.staticflickr.com/7891/46791389041_1c191f1eb6_q.jpg"},"exportMetaType":"pojo"},"s":{"data":{"url":"//live.staticflickr.com/7891/46791389041_1c191f1eb6_m.jpg","width":180,"height":240,"displayUrl":"//live.staticflickr.com/7891/46791389041_1c191f1eb6_m.jpg"},"exportMetaType":"pojo"},"t":{"data":{"url":"//live.staticflickr.com/7891/46791389041_1c191f1eb6_t.jpg","width":75,"height":100,"displayUrl":"//live.staticflickr.com/7891/46791389041_1c191f1eb6_t.jpg"},"exportMetaType":"pojo"},"w":{"data":{"url":"//live.staticflickr.com/7891/46791389041_1c191f1eb6_w.jpg","width":300,"height":400,"displayUrl":"//live.staticflickr.com/7891/46791389041_1c191f1eb6_w.jpg"},"exportMetaType":"pojo"},"z":{"data":{"url":"//live.staticflickr.com/7891/46791389041_1c191f1eb6_z.jpg","width":480,"height":640,"displayUrl":"//live.staticflickr.com/7891/46791389041_1c191f1eb6_z.jpg"},"exportMetaType":"pojo"},"3k":{"data":{"url":"//live.staticflickr.com/7891/46791389041_f2bf99d1c7_3k.jpg","width":2304,"height":3072,"displayUrl":"//live.staticflickr.com/7891/46791389041_f2bf99d1c7_3k.jpg"},"exportMetaType":"pojo"},"4k":{"data":{"url":"//live.staticflickr.com/7891/46791389041_4a9f3d37ab_4k.jpg","width":3024,"height":4032,"displayUrl":"//live.staticflickr.com/7891/46791389041_4a9f3d37ab_4k.jpg"},"exportMetaType":"pojo"},"sq":{"data":{"url":"//live.staticflickr.com/7891/46791389041_1c191f1eb6_s.jpg","width":75,"height":75,"displayUrl":"//live.staticflickr.com/7891/46791389041_1c191f1eb6_s.jpg"},"exportMetaType":"pojo"}},"exportMetaType":"pojo"},"title":"Cafe Smitten and Writing locales","oWidth":4032,"secret":"1c191f1eb6","license":4,"oHeight":3024,"rotation":90,"canAddMeta":false,"canComment":false,"engagement":{"data":{"id":"46791389041","canShare":true,"ownerNsid":"98609821@N00","reactions":{"data":{"like":{"data":{"id":"like","count":5,"canReact":true,"didViewerReact":true},"exportMetaType":"pojo"},"someOtherReaction":{"data":{"id":"someOtherReaction","count":3,"canReact":true,"didViewerReact":false},"exportMetaType":"pojo"}},"exportMetaType":"pojo"},"viewCount":63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46791389041","_flickrModelRegistry":"photo-geo-models"},"exportMetaType":"model"}],"photo-location-models":[{"data":{"id":"46791389041","geo":{"data":"~2","exportMetaType":"model"},"text":"","levels":{"data":{},"exportMetaType":"pojo"},"staticMaps":{"data":{},"exportMetaType":"pojo"},"_flickrModelRegistry":"photo-location-models"},"exportMetaType":"model"}],"photo-head-meta-models":[{"data":{"id":"46791389041","title":"Cafe Smitten and Writing locales","og:url":"https://www.flickr.com/photos/juliejordanscott/46791389041/","og:type":"article","og:image":"https://live.staticflickr.com/7891/46791389041_1c191f1eb6_b.jpg","og:title":"Cafe Smitten and Writing locales","twitter:card":"summary_large_image","twitter:image":"https://live.staticflickr.com/7891/46791389041_1c191f1eb6_b.jpg","og:description":"","og:image:width":768,"og:image:height":1024,"twitter:creator":"@juliejordanscot","twitter:description":"Explore juliejordanscott's 67408 photos on Flickr!","_flickrModelRegistry":"photo-head-meta-models","twitter:app:url:ipad":"flickr://flickr.com/photos/juliejordanscott/46791389041/","twitter:app:url:iphone":"flickr://flickr.com/photos/juliejordanscott/46791389041/","twitter:app:url:googleplay":"https://www.flickr.com/photos/juliejordanscott/46791389041/"},"exportMetaType":"model"}],"photo-license-history-models":[]},"acquisition_file":"fl-46791389041.webp","source_html_file":"/Users/atincakcayoz/corteqs/output/bakersfield-completion-20261024/flickr-source-pages/46791389041.html","original_file_url":"https://live.staticflickr.com/7891/46791389041_4a9f3d37ab_4k.jpg","proposed_identity":"Café Smitten","source_html_sha256":"856c47febd703e13eda4a8416973c3dd99bded48d4aa84477fc1a8f0a523621e","third_party_rights_review":{"basis":"Kaynakta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dönüştürüldü.","original_file_url":"https://live.staticflickr.com/7891/46791389041_4a9f3d37ab_4k.jpg"},"metadata_reviewed_on":"2026-10-24","metadata_review_status":"verified"}}</x:v>
      </x:c>
    </x:row>
    <x:row r="83" ht="300" customHeight="1">
      <x:c r="A83" s="29" t="str">
        <x:v>bakersfield:evidence:venue-22048</x:v>
      </x:c>
      <x:c r="B83" s="29" t="str">
        <x:v>bakersfield</x:v>
      </x:c>
      <x:c r="C83" s="29" t="str">
        <x:v>bakersfield:photo:venue-22048</x:v>
      </x:c>
      <x:c r="D83" s="29" t="str">
        <x:v>https://www.flickr.com/photos/98609821@N00/5012101495/</x:v>
      </x:c>
      <x:c r="E83" s="29" t="str">
        <x:v>Dagny's Coffee · 2010 tarihli fotoğraf</x:v>
      </x:c>
      <x:c r="F83" s="29" t="str">
        <x:v>Julie Jordan Scott</x:v>
      </x:c>
      <x:c r="G83" s="29" t="str">
        <x:v>CC BY 2.0</x:v>
      </x:c>
      <x:c r="H83" s="29" t="str">
        <x:v>https://creativecommons.org/licenses/by/2.0/</x:v>
      </x:c>
      <x:c r="I83" s="29" t="str">
        <x:v>CC BY 2.0</x:v>
      </x:c>
      <x:c r="J83" s="29" t="str">
        <x:v>Dagny's Coffee · 2010 tarihli fotoğraf · Julie Jordan Scott · CC BY 2.0 · https://www.flickr.com/photos/98609821@N00/5012101495/</x:v>
      </x:c>
      <x:c r="K8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3" s="31" t="d">
        <x:v>2026-10-24T00:00:00.000Z</x:v>
      </x:c>
      <x:c r="M83" s="29" t="str">
        <x:v>Doğrulandı</x:v>
      </x:c>
      <x:c r="N83" s="29" t="str">
        <x:v>Doğrulandı</x:v>
      </x:c>
      <x:c r="O83" s="29" t="str">
        <x:v>Fotoğraflar/bk-b805d5921a66be80a0d5bec0.webp</x:v>
      </x:c>
      <x:c r="P83" s="29" t="str">
        <x:v>Dagny's Coffee · 2010 tarihli fotoğraf · İndirilen kare temas sayfasında görüldü; kaynak mekân kimliğiyle eşleştirildi. Seçim kaydı final-pixel-review.json.</x:v>
      </x:c>
      <x:c r="Q83" s="29" t="str">
        <x:v>Bu kare için uygun</x:v>
      </x:c>
      <x:c r="R8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3" s="29" t="str">
        <x:v>Lisans kanıtları/bk-b805d5921a66be80a0d5bec0.source-evidence.json</x:v>
      </x:c>
      <x:c r="T83" s="29" t="str">
        <x:v>1483a2379da3dc59331de23ada9a668e32a7724975246ba0ef5939815504db67</x:v>
      </x:c>
      <x:c r="U83" s="29" t="str">
        <x:v>Lisans kanıtları/bk-b805d5921a66be80a0d5bec0.license-record.json</x:v>
      </x:c>
      <x:c r="V83" s="29" t="str">
        <x:v>83fe05923a05e7fc977cce2466f1fdacb5ff8cf03c9fa231587c483037062a82</x:v>
      </x:c>
      <x:c r="W83" s="29" t="str">
        <x:v>{"file":"bk-b805d5921a66be80a0d5bec0.webp","width":768,"author":"Julie Jordan Scott","height":1024,"sha256":"b805d5921a66be80a0d5bec00e213a065cc717ddbef84c4a303da65b2c2d53c5","status":"reviewed-selected","license":"CC BY 2.0","provider":"Flickr","review_id":"X30","source_id":"5012101495","author_url":"https://www.flickr.com/photos/98609821@N00/","date_texts":["Uploaded on September 21, 2010 Taken on September 21, 2010","Taken on September 21, 2010","Uploaded on September 21, 2010 Taken on September 21, 2010","Taken on September 21, 2010"],"source_url":"https://www.flickr.com/photos/98609821@N00/5012101495/","description":"","license_url":"https://creativecommons.org/licenses/by/2.0/","review_note":"İç mekân oturma alanı ve penceresi.","reviewed_on":"2026-10-24","source_text":"Sitting at a table at Dagny's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Sitting at a table at Dagny's Done 333 views 0 faves 0 comments Uploaded on September 21, 2010 Taken on September 21, 2010 Julie Jordan Scott By: Julie Jordan Scott Sitting at a table at Dagny's Done 333 views 0 faves 0 comments Uploaded on September 21, 2010 Taken on September 21,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photography.","capture_date":"2010-09-21","download_url":"https://live.staticflickr.com/4090/5012101495_af71fe6514_b.jpg","original_url":"https://live.staticflickr.com/4090/5012101495_e7c5906ff7_4k.jpg","pixel_review":{"method":"İndirilen kare temas sayfasında görüldü; kaynak mekân kimliğiyle eşleştirildi. Seçim kaydı final-pixel-review.json.","status":"verified","caption":"Dagny's Coffee · 2010 tarihli fotoğraf","reviewer":"Codex (AI)","review_id":"X30"},"source_title":"Sitting at a table at Dagny's","downloaded_at":"2026-10-23T21:22:28.059999+00:00","download_sha256":"19f1e9ab923dfea7666645ba9a17b1306b2db452c8d4aa3761b2254e6f37ec08","downloaded_file":"downloads/19f1e9ab923dfea7666645ba9a17b1306b2db452c8d4aa3761b2254e6f37ec08.jpg","public_metadata":{"photo-models":[{"data":{"id":"5012101495","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4090/5012101495_af71fe6514_c.jpg","width":600,"height":800,"displayUrl":"//live.staticflickr.com/4090/5012101495_af71fe6514_c.jpg"},"exportMetaType":"pojo"},"h":{"data":{"url":"//live.staticflickr.com/4090/5012101495_70547fa28b_h.jpg","width":1200,"height":1600,"displayUrl":"//live.staticflickr.com/4090/5012101495_70547fa28b_h.jpg"},"exportMetaType":"pojo"},"k":{"data":{"url":"//live.staticflickr.com/4090/5012101495_90b0584cbe_k.jpg","width":1536,"height":2048,"displayUrl":"//live.staticflickr.com/4090/5012101495_90b0584cbe_k.jpg"},"exportMetaType":"pojo"},"l":{"data":{"url":"//live.staticflickr.com/4090/5012101495_af71fe6514_b.jpg","width":768,"height":1024,"displayUrl":"//live.staticflickr.com/4090/5012101495_af71fe6514_b.jpg"},"exportMetaType":"pojo"},"m":{"data":{"url":"//live.staticflickr.com/4090/5012101495_af71fe6514.jpg","width":375,"height":500,"displayUrl":"//live.staticflickr.com/4090/5012101495_af71fe6514.jpg"},"exportMetaType":"pojo"},"n":{"data":{"url":"//live.staticflickr.com/4090/5012101495_af71fe6514_n.jpg","width":240,"height":320,"displayUrl":"//live.staticflickr.com/4090/5012101495_af71fe6514_n.jpg"},"exportMetaType":"pojo"},"o":{"data":{"url":"//live.staticflickr.com/4090/5012101495_b4a4fa6be7_o.jpg","width":4000,"height":3000,"displayUrl":"//live.staticflickr.com/4090/5012101495_b4a4fa6be7_o.jpg"},"exportMetaType":"pojo"},"q":{"data":{"url":"//live.staticflickr.com/4090/5012101495_af71fe6514_q.jpg","width":150,"height":150,"displayUrl":"//live.staticflickr.com/4090/5012101495_af71fe6514_q.jpg"},"exportMetaType":"pojo"},"s":{"data":{"url":"//live.staticflickr.com/4090/5012101495_af71fe6514_m.jpg","width":180,"height":240,"displayUrl":"//live.staticflickr.com/4090/5012101495_af71fe6514_m.jpg"},"exportMetaType":"pojo"},"t":{"data":{"url":"//live.staticflickr.com/4090/5012101495_af71fe6514_t.jpg","width":75,"height":100,"displayUrl":"//live.staticflickr.com/4090/5012101495_af71fe6514_t.jpg"},"exportMetaType":"pojo"},"w":{"data":{"url":"//live.staticflickr.com/4090/5012101495_af71fe6514_w.jpg","width":300,"height":400,"displayUrl":"//live.staticflickr.com/4090/5012101495_af71fe6514_w.jpg"},"exportMetaType":"pojo"},"z":{"data":{"url":"//live.staticflickr.com/4090/5012101495_af71fe6514_z.jpg","width":480,"height":640,"displayUrl":"//live.staticflickr.com/4090/5012101495_af71fe6514_z.jpg"},"exportMetaType":"pojo"},"3k":{"data":{"url":"//live.staticflickr.com/4090/5012101495_13be294f36_3k.jpg","width":2304,"height":3072,"displayUrl":"//live.staticflickr.com/4090/5012101495_13be294f36_3k.jpg"},"exportMetaType":"pojo"},"4k":{"data":{"url":"//live.staticflickr.com/4090/5012101495_e7c5906ff7_4k.jpg","width":3000,"height":4000,"displayUrl":"//live.staticflickr.com/4090/5012101495_e7c5906ff7_4k.jpg"},"exportMetaType":"pojo"},"sq":{"data":{"url":"//live.staticflickr.com/4090/5012101495_af71fe6514_s.jpg","width":75,"height":75,"displayUrl":"//live.staticflickr.com/4090/5012101495_af71fe6514_s.jpg"},"exportMetaType":"pojo"}},"exportMetaType":"pojo"},"title":"Sitting at a table at Dagny's","oWidth":4000,"secret":"af71fe6514","license":4,"oHeight":3000,"rotation":90,"canAddMeta":false,"canComment":false,"engagement":{"data":{"id":"5012101495","canShare":true,"ownerNsid":"98609821@N00","reactions":{"data":{"like":{"data":{"id":"like","count":5,"canReact":true,"didViewerReact":true},"exportMetaType":"pojo"},"someOtherReaction":{"data":{"id":"someOtherReaction","count":3,"canReact":true,"didViewerReact":false},"exportMetaType":"pojo"}},"exportMetaType":"pojo"},"viewCount":333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5012101495","_flickrModelRegistry":"photo-geo-models"},"exportMetaType":"model"}],"photo-location-models":[{"data":{"id":"5012101495","geo":{"data":"~2","exportMetaType":"model"},"text":"","levels":{"data":{},"exportMetaType":"pojo"},"staticMaps":{"data":{},"exportMetaType":"pojo"},"_flickrModelRegistry":"photo-location-models"},"exportMetaType":"model"}],"photo-head-meta-models":[{"data":{"id":"5012101495","title":"Sitting at a table at Dagny's","og:url":"https://www.flickr.com/photos/juliejordanscott/5012101495/","og:type":"article","keywords":"bakersfield, dagnys, fgr, flickrgrouproulette, downtownbakersfield, september2010photochallenges","og:image":"https://live.staticflickr.com/4090/5012101495_af71fe6514_b.jpg","og:title":"Sitting at a table at Dagny's","twitter:card":"summary_large_image","twitter:image":"https://live.staticflickr.com/4090/5012101495_af71fe6514_b.jpg","og:description":"","og:image:width":768,"og:image:height":1024,"twitter:creator":"@juliejordanscot","twitter:description":"Explore juliejordanscott's 67408 photos on Flickr!","_flickrModelRegistry":"photo-head-meta-models","twitter:app:url:ipad":"flickr://flickr.com/photos/juliejordanscott/5012101495/","twitter:app:url:iphone":"flickr://flickr.com/photos/juliejordanscott/5012101495/","twitter:app:url:googleplay":"https://www.flickr.com/photos/juliejordanscott/5012101495/"},"exportMetaType":"model"}],"photo-license-history-models":[]},"acquisition_file":"fl-5012101495.webp","source_html_file":"/Users/atincakcayoz/corteqs/output/bakersfield-completion-20261024/flickr-source-pages/5012101495.html","original_file_url":"https://live.staticflickr.com/4090/5012101495_e7c5906ff7_4k.jpg","proposed_identity":"Dagny’s Coffee","source_html_sha256":"4471db1cb077878ad4f6f737daa312d3598e63b6ba2856b07391da3fa47f68e3","third_party_rights_review":{"basis":"Kaynakta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dönüştürüldü.","original_file_url":"https://live.staticflickr.com/4090/5012101495_e7c5906ff7_4k.jpg"},"metadata_reviewed_on":"2026-10-24","metadata_review_status":"verified"}}</x:v>
      </x:c>
    </x:row>
    <x:row r="84" ht="300" customHeight="1">
      <x:c r="A84" s="29" t="str">
        <x:v>bakersfield:evidence:venue-22049</x:v>
      </x:c>
      <x:c r="B84" s="29" t="str">
        <x:v>bakersfield</x:v>
      </x:c>
      <x:c r="C84" s="29" t="str">
        <x:v>bakersfield:photo:venue-22049</x:v>
      </x:c>
      <x:c r="D84" s="29" t="str">
        <x:v>https://www.flickr.com/photos/98609821@N00/5012104459/</x:v>
      </x:c>
      <x:c r="E84" s="29" t="str">
        <x:v>Dagny's Coffee · 2010 tarihli fotoğraf</x:v>
      </x:c>
      <x:c r="F84" s="29" t="str">
        <x:v>Julie Jordan Scott</x:v>
      </x:c>
      <x:c r="G84" s="29" t="str">
        <x:v>CC BY 2.0</x:v>
      </x:c>
      <x:c r="H84" s="29" t="str">
        <x:v>https://creativecommons.org/licenses/by/2.0/</x:v>
      </x:c>
      <x:c r="I84" s="29" t="str">
        <x:v>CC BY 2.0</x:v>
      </x:c>
      <x:c r="J84" s="29" t="str">
        <x:v>Dagny's Coffee · 2010 tarihli fotoğraf · Julie Jordan Scott · CC BY 2.0 · https://www.flickr.com/photos/98609821@N00/5012104459/</x:v>
      </x:c>
      <x:c r="K8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4" s="31" t="d">
        <x:v>2026-10-24T00:00:00.000Z</x:v>
      </x:c>
      <x:c r="M84" s="29" t="str">
        <x:v>Doğrulandı</x:v>
      </x:c>
      <x:c r="N84" s="29" t="str">
        <x:v>Doğrulandı</x:v>
      </x:c>
      <x:c r="O84" s="29" t="str">
        <x:v>Fotoğraflar/bk-b57e48d200932f712b7521a4.webp</x:v>
      </x:c>
      <x:c r="P84" s="29" t="str">
        <x:v>Dagny's Coffee · 2010 tarihli fotoğraf · İndirilen kare temas sayfasında görüldü; kaynak mekân kimliğiyle eşleştirildi. Seçim kaydı final-pixel-review.json.</x:v>
      </x:c>
      <x:c r="Q84" s="29" t="str">
        <x:v>Bu kare için uygun</x:v>
      </x:c>
      <x:c r="R8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4" s="29" t="str">
        <x:v>Lisans kanıtları/bk-b57e48d200932f712b7521a4.source-evidence.json</x:v>
      </x:c>
      <x:c r="T84" s="29" t="str">
        <x:v>08c5d35e58e3cca506416d91021ae698514b503ff4619d948285b19038769e8d</x:v>
      </x:c>
      <x:c r="U84" s="29" t="str">
        <x:v>Lisans kanıtları/bk-b57e48d200932f712b7521a4.license-record.json</x:v>
      </x:c>
      <x:c r="V84" s="29" t="str">
        <x:v>0789cd7ed3363c653ed5c5455dd80a5f52335e32bf1c76118edfac7feec40c53</x:v>
      </x:c>
      <x:c r="W84" s="29" t="str">
        <x:v>{"file":"bk-b57e48d200932f712b7521a4.webp","width":768,"author":"Julie Jordan Scott","height":1024,"sha256":"b57e48d200932f712b7521a400c43b210dccf5276c447fe0b5dee3b731412479","status":"reviewed-selected","license":"CC BY 2.0","provider":"Flickr","review_id":"X31","source_id":"5012104459","author_url":"https://www.flickr.com/photos/98609821@N00/","date_texts":["Uploaded on September 21, 2010 Taken on September 21, 2010","Taken on September 21, 2010","Uploaded on September 21, 2010 Taken on September 21, 2010","Taken on September 21, 2010"],"source_url":"https://www.flickr.com/photos/98609821@N00/5012104459/","description":"","license_url":"https://creativecommons.org/licenses/by/2.0/","review_note":"Kafe masasında kahvaltı ve dizüstü; arka planda oturma alanı.","reviewed_on":"2026-10-24","source_text":"Bagel and Notebook at Dagny's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Bagel and Notebook at Dagny's Done 533 views 0 faves 0 comments Uploaded on September 21, 2010 Taken on September 21, 2010 Julie Jordan Scott By: Julie Jordan Scott Bagel and Notebook at Dagny's Done 533 views 0 faves 0 comments Uploaded on September 21, 2010 Taken on September 21,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photography.","capture_date":"2010-09-21","download_url":"https://live.staticflickr.com/4089/5012104459_b6a43ac9ce_b.jpg","original_url":"https://live.staticflickr.com/4089/5012104459_687f5128c0_4k.jpg","pixel_review":{"method":"İndirilen kare temas sayfasında görüldü; kaynak mekân kimliğiyle eşleştirildi. Seçim kaydı final-pixel-review.json.","status":"verified","caption":"Dagny's Coffee · 2010 tarihli fotoğraf","reviewer":"Codex (AI)","review_id":"X31"},"source_title":"Bagel and Notebook at Dagny's","downloaded_at":"2026-10-23T21:22:28.552712+00:00","download_sha256":"751da2dc88d9fd04ef3f7787b6d2212f636aa44ee3bed073b74bcee6b4933656","downloaded_file":"downloads/751da2dc88d9fd04ef3f7787b6d2212f636aa44ee3bed073b74bcee6b4933656.jpg","public_metadata":{"photo-models":[{"data":{"id":"5012104459","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4089/5012104459_b6a43ac9ce_c.jpg","width":600,"height":800,"displayUrl":"//live.staticflickr.com/4089/5012104459_b6a43ac9ce_c.jpg"},"exportMetaType":"pojo"},"h":{"data":{"url":"//live.staticflickr.com/4089/5012104459_edefddee45_h.jpg","width":1200,"height":1600,"displayUrl":"//live.staticflickr.com/4089/5012104459_edefddee45_h.jpg"},"exportMetaType":"pojo"},"k":{"data":{"url":"//live.staticflickr.com/4089/5012104459_e45bd676e1_k.jpg","width":1536,"height":2048,"displayUrl":"//live.staticflickr.com/4089/5012104459_e45bd676e1_k.jpg"},"exportMetaType":"pojo"},"l":{"data":{"url":"//live.staticflickr.com/4089/5012104459_b6a43ac9ce_b.jpg","width":768,"height":1024,"displayUrl":"//live.staticflickr.com/4089/5012104459_b6a43ac9ce_b.jpg"},"exportMetaType":"pojo"},"m":{"data":{"url":"//live.staticflickr.com/4089/5012104459_b6a43ac9ce.jpg","width":375,"height":500,"displayUrl":"//live.staticflickr.com/4089/5012104459_b6a43ac9ce.jpg"},"exportMetaType":"pojo"},"n":{"data":{"url":"//live.staticflickr.com/4089/5012104459_b6a43ac9ce_n.jpg","width":240,"height":320,"displayUrl":"//live.staticflickr.com/4089/5012104459_b6a43ac9ce_n.jpg"},"exportMetaType":"pojo"},"o":{"data":{"url":"//live.staticflickr.com/4089/5012104459_866697c3e7_o.jpg","width":4000,"height":3000,"displayUrl":"//live.staticflickr.com/4089/5012104459_866697c3e7_o.jpg"},"exportMetaType":"pojo"},"q":{"data":{"url":"//live.staticflickr.com/4089/5012104459_b6a43ac9ce_q.jpg","width":150,"height":150,"displayUrl":"//live.staticflickr.com/4089/5012104459_b6a43ac9ce_q.jpg"},"exportMetaType":"pojo"},"s":{"data":{"url":"//live.staticflickr.com/4089/5012104459_b6a43ac9ce_m.jpg","width":180,"height":240,"displayUrl":"//live.staticflickr.com/4089/5012104459_b6a43ac9ce_m.jpg"},"exportMetaType":"pojo"},"t":{"data":{"url":"//live.staticflickr.com/4089/5012104459_b6a43ac9ce_t.jpg","width":75,"height":100,"displayUrl":"//live.staticflickr.com/4089/5012104459_b6a43ac9ce_t.jpg"},"exportMetaType":"pojo"},"w":{"data":{"url":"//live.staticflickr.com/4089/5012104459_b6a43ac9ce_w.jpg","width":300,"height":400,"displayUrl":"//live.staticflickr.com/4089/5012104459_b6a43ac9ce_w.jpg"},"exportMetaType":"pojo"},"z":{"data":{"url":"//live.staticflickr.com/4089/5012104459_b6a43ac9ce_z.jpg","width":480,"height":640,"displayUrl":"//live.staticflickr.com/4089/5012104459_b6a43ac9ce_z.jpg"},"exportMetaType":"pojo"},"3k":{"data":{"url":"//live.staticflickr.com/4089/5012104459_c105d6fef2_3k.jpg","width":2304,"height":3072,"displayUrl":"//live.staticflickr.com/4089/5012104459_c105d6fef2_3k.jpg"},"exportMetaType":"pojo"},"4k":{"data":{"url":"//live.staticflickr.com/4089/5012104459_687f5128c0_4k.jpg","width":3000,"height":4000,"displayUrl":"//live.staticflickr.com/4089/5012104459_687f5128c0_4k.jpg"},"exportMetaType":"pojo"},"sq":{"data":{"url":"//live.staticflickr.com/4089/5012104459_b6a43ac9ce_s.jpg","width":75,"height":75,"displayUrl":"//live.staticflickr.com/4089/5012104459_b6a43ac9ce_s.jpg"},"exportMetaType":"pojo"}},"exportMetaType":"pojo"},"title":"Bagel and Notebook at Dagny's","oWidth":4000,"secret":"b6a43ac9ce","license":4,"oHeight":3000,"rotation":90,"canAddMeta":false,"canComment":false,"engagement":{"data":{"id":"5012104459","canShare":true,"ownerNsid":"98609821@N00","reactions":{"data":{"like":{"data":{"id":"like","count":5,"canReact":true,"didViewerReact":true},"exportMetaType":"pojo"},"someOtherReaction":{"data":{"id":"someOtherReaction","count":3,"canReact":true,"didViewerReact":false},"exportMetaType":"pojo"}},"exportMetaType":"pojo"},"viewCount":533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5012104459","_flickrModelRegistry":"photo-geo-models"},"exportMetaType":"model"}],"photo-location-models":[{"data":{"id":"5012104459","geo":{"data":"~2","exportMetaType":"model"},"text":"","levels":{"data":{},"exportMetaType":"pojo"},"staticMaps":{"data":{},"exportMetaType":"pojo"},"_flickrModelRegistry":"photo-location-models"},"exportMetaType":"model"}],"photo-head-meta-models":[{"data":{"id":"5012104459","title":"Bagel and Notebook at Dagny's","og:url":"https://www.flickr.com/photos/juliejordanscott/5012104459/","og:type":"article","keywords":"notebook, bagel, bakersfield, dagnys, fgr, flickrgrouproulette, downtownbakersfield, september2010photochallenges, sagecohen","og:image":"https://live.staticflickr.com/4089/5012104459_b6a43ac9ce_b.jpg","og:title":"Bagel and Notebook at Dagny's","twitter:card":"summary_large_image","twitter:image":"https://live.staticflickr.com/4089/5012104459_b6a43ac9ce_b.jpg","og:description":"","og:image:width":768,"og:image:height":1024,"twitter:creator":"@juliejordanscot","twitter:description":"Explore juliejordanscott's 67408 photos on Flickr!","_flickrModelRegistry":"photo-head-meta-models","twitter:app:url:ipad":"flickr://flickr.com/photos/juliejordanscott/5012104459/","twitter:app:url:iphone":"flickr://flickr.com/photos/juliejordanscott/5012104459/","twitter:app:url:googleplay":"https://www.flickr.com/photos/juliejordanscott/5012104459/"},"exportMetaType":"model"}],"photo-license-history-models":[]},"acquisition_file":"fl-5012104459.webp","source_html_file":"/Users/atincakcayoz/corteqs/output/bakersfield-completion-20261024/flickr-source-pages/5012104459.html","original_file_url":"https://live.staticflickr.com/4089/5012104459_687f5128c0_4k.jpg","proposed_identity":"Dagny’s Coffee","source_html_sha256":"5d4875b858d6637f0d896676c998eb2d23a31284e5cd5fc1ca5ef48a2c399d08","third_party_rights_review":{"basis":"Kaynakta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dönüştürüldü.","original_file_url":"https://live.staticflickr.com/4089/5012104459_687f5128c0_4k.jpg"},"metadata_reviewed_on":"2026-10-24","metadata_review_status":"verified"}}</x:v>
      </x:c>
    </x:row>
    <x:row r="85" ht="300" customHeight="1">
      <x:c r="A85" s="29" t="str">
        <x:v>bakersfield:evidence:venue-22050</x:v>
      </x:c>
      <x:c r="B85" s="29" t="str">
        <x:v>bakersfield</x:v>
      </x:c>
      <x:c r="C85" s="29" t="str">
        <x:v>bakersfield:photo:venue-22050</x:v>
      </x:c>
      <x:c r="D85" s="29" t="str">
        <x:v>https://commons.wikimedia.org/wiki/File:Trail_of_100_Giants_Porterville.jpg</x:v>
      </x:c>
      <x:c r="E85" s="29" t="str">
        <x:v>Trail of 100 Giants Porterville.jpg</x:v>
      </x:c>
      <x:c r="F85" s="29" t="str">
        <x:v>Ragnar1470</x:v>
      </x:c>
      <x:c r="G85" s="29" t="str">
        <x:v>CC BY-SA 4.0</x:v>
      </x:c>
      <x:c r="H85" s="29" t="str">
        <x:v>https://creativecommons.org/licenses/by-sa/4.0</x:v>
      </x:c>
      <x:c r="I85" s="29" t="str">
        <x:v>Creative Commons Attribution-Share Alike 4.0</x:v>
      </x:c>
      <x:c r="J85" s="29" t="str">
        <x:v>Trail of 100 Giants Porterville.jpg · Ragnar1470 · CC BY-SA 4.0 · https://commons.wikimedia.org/wiki/File:Trail_of_100_Giants_Porterville.jpg</x:v>
      </x:c>
      <x:c r="K8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5" s="31" t="d">
        <x:v>2026-10-24T00:00:00.000Z</x:v>
      </x:c>
      <x:c r="M85" s="29" t="str">
        <x:v>Doğrulandı</x:v>
      </x:c>
      <x:c r="N85" s="29" t="str">
        <x:v>Doğrulandı</x:v>
      </x:c>
      <x:c r="O85" s="29" t="str">
        <x:v>Fotoğraflar/bk-908f64a9a26471b447f97648.webp</x:v>
      </x:c>
      <x:c r="P85" s="29" t="str">
        <x:v>Trail of 100 Giants · 2021 tarihli fotoğraf · İndirilen kare temas sayfasında görüldü; kaynak mekân kimliğiyle eşleştirildi. Seçim kaydı final-pixel-review.json.</x:v>
      </x:c>
      <x:c r="Q85" s="29" t="str">
        <x:v>Bu kare için uygun</x:v>
      </x:c>
      <x:c r="R8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5" s="29" t="str">
        <x:v>Lisans kanıtları/bk-908f64a9a26471b447f97648.source-evidence.json</x:v>
      </x:c>
      <x:c r="T85" s="29" t="str">
        <x:v>fb6cefafe6a279ae683d4e6d94c0278ebef85c6d58ed2c703871cbdedd0794e6</x:v>
      </x:c>
      <x:c r="U85" s="29" t="str">
        <x:v>Lisans kanıtları/bk-908f64a9a26471b447f97648.license-record.json</x:v>
      </x:c>
      <x:c r="V85" s="29" t="str">
        <x:v>908ad968f6e84d29d696d0da8d51d3774341d70de30924391ce9be455131a479</x:v>
      </x:c>
      <x:c r="W85" s="29" t="str">
        <x:v>{"file":"bk-908f64a9a26471b447f97648.webp","width":1080,"author":"Ragnar1470","height":1440,"sha256":"908f64a9a26471b447f9764847e05a70995b884baf6d75a80ef39d2f67c88c53","license":"CC BY-SA 4.0","imageinfo":{"url":"https://upload.wikimedia.org/wikipedia/commons/2/20/Trail_of_100_Giants_Porterville.jpg?utm_source=commons.wikimedia.org&amp;utm_campaign=imageinfo&amp;utm_content=original","mime":"image/jpeg","sha1":"6b889d55b902769a215245278d1b58313c262c7c","size":6135934,"width":3024,"height":4032,"pageid":136854612,"thumburl":"https://thumb.wikimedia.org/wikipedia/commons/thumb/2/20/Trail_of_100_Giants_Porterville.jpg/1280px-Trail_of_100_Giants_Porterville.jpg?utm_source=commons.wikimedia.org&amp;utm_campaign=imageinfo&amp;utm_content=thumbnail","timestamp":"2023-09-03T00:38:17Z","thumbwidth":1280,"extmetadata":{"Artist":{"value":"&lt;a href=\"//commons.wikimedia.org/w/index.php?title=User:Ragnar1470&amp;amp;action=edit&amp;amp;redlink=1\" class=\"new\" title=\"User:Ragnar1470 (page does not exist)\"&gt;Ragnar1470&lt;/a&gt;","source":"commons-desc-page"},"Credit":{"value":"&lt;span class=\"int-own-work\" lang=\"en\"&gt;Own work&lt;/span&gt;","source":"commons-desc-page"},"License":{"value":"cc-by-sa-4.0","hidden":"","source":"commons-templates"},"DateTime":{"value":"2023-09-03 00:38:17","hidden":"","source":"mediawiki-metadata"},"Categories":{"value":"Sequoiadendron giganteum|Long Meadow Grove|May 2021 in California|Self-published work|Taken with iPhone 12","hidden":"","source":"commons-categories"},"LicenseUrl":{"value":"https://creativecommons.org/licenses/by-sa/4.0","source":"commons-desc-page"},"ObjectName":{"value":"Trail of 100 Giants Porterville","source":"mediawiki-metadata"},"UsageTerms":{"value":"Creative Commons Attribution-Share Alike 4.0","source":"commons-desc-page"},"Assessments":{"value":"","hidden":"","source":"commons-categories"},"Copyrighted":{"value":"True","hidden":"","source":"commons-desc-page"},"Restrictions":{"value":"","hidden":"","source":"commons-desc-page"},"DateTimeOriginal":{"value":"2021-05-01","source":"commons-desc-page"},"ImageDescription":{"value":"Trail of 100 Giants Porterville 2020","source":"commons-desc-page"},"LicenseShortName":{"value":"CC BY-SA 4.0","hidden":"","source":"commons-desc-page"},"AttributionRequired":{"value":"true","hidden":"","source":"commons-desc-page"},"CommonsMetadataExtension":{"value":1.2,"hidden":"","source":"extension"}},"thumbheight":1707,"thumbattribs":{"src":"https://thumb.wikimedia.org/wikipedia/commons/thumb/2/20/Trail_of_100_Giants_Porterville.jpg/1280px-Trail_of_100_Giants_Porterville.jpg?utm_source=commons.wikimedia.org&amp;utm_campaign=imageinfo&amp;utm_content=thumbnail","width":1280,"height":1707,"srcset":"https://upload.wikimedia.org/wikipedia/commons/2/20/Trail_of_100_Giants_Porterville.jpg?utm_source=commons.wikimedia.org&amp;utm_campaign=imageinfo&amp;utm_content=thumbnail_unscaled 2x","loading":"lazy","decoding":"async"},"descriptionurl":"https://commons.wikimedia.org/wiki/File:Trail_of_100_Giants_Porterville.jpg","responsiveUrls":{"2":"https://upload.wikimedia.org/wikipedia/commons/2/20/Trail_of_100_Giants_Porterville.jpg?utm_source=commons.wikimedia.org&amp;utm_campaign=imageinfo&amp;utm_content=thumbnail_unscaled"},"descriptionshorturl":"https://commons.wikimedia.org/w/index.php?curid=136854612"},"selection":{"qid":"pending","kind":"candidate","title":"Bakersfield alternatives"},"author_url":"","derivative":"Wikimedia thumbnail decoded; EXIF orientation applied; converted to WebP quality 86; no generated pixels, no cropping.","source_url":"https://commons.wikimedia.org/wiki/File:Trail_of_100_Giants_Porterville.jpg","author_urls":[],"description":"Trail of 100 Giants Porterville 2020","license_url":"https://creativecommons.org/licenses/by-sa/4.0","reviewed_on":"2026-10-24","capture_date":"2021-05-01","download_url":"https://thumb.wikimedia.org/wikipedia/commons/thumb/2/20/Trail_of_100_Giants_Porterville.jpg/1280px-Trail_of_100_Giants_Porterville.jpg?utm_source=commons.wikimedia.org&amp;utm_campaign=imageinfo&amp;utm_content=thumbnail","original_url":"https://upload.wikimedia.org/wikipedia/commons/2/20/Trail_of_100_Giants_Porterville.jpg?utm_source=commons.wikimedia.org&amp;utm_campaign=imageinfo&amp;utm_content=original","pixel_review":{"method":"İndirilen kare temas sayfasında görüldü; kaynak mekân kimliğiyle eşleştirildi. Seçim kaydı final-pixel-review.json.","status":"verified","caption":"Trail of 100 Giants · 2021 tarihli fotoğraf","reviewer":"Codex (AI)","review_id":"T39"},"downloaded_at":"2026-10-23T21:29:08.145323+00:00","download_sha256":"16bef3929eb6e127fab504d93742ae6fdb6e38400f0c5d0374658dc3f065f87b","downloaded_file":"downloads/16bef3929eb6e127fab504d93742ae6fdb6e38400f0c5d0374658dc3f065f87b.jpg","acquisition_file":"cd5a5dd0f9950b7cf6482dd2.webp","commons_filename":"Trail of 100 Giants Porterville.jpg","original_file_url":"https://upload.wikimedia.org/wikipedia/commons/2/20/Trail_of_100_Giants_Portervill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2/20/Trail_of_100_Giants_Porterville.jpg?utm_source=commons.wikimedia.org&amp;utm_campaign=imageinfo&amp;utm_content=original"},"metadata_reviewed_on":"2026-10-24","metadata_review_status":"verified"}}</x:v>
      </x:c>
    </x:row>
    <x:row r="86" ht="300" customHeight="1">
      <x:c r="A86" s="29" t="str">
        <x:v>bakersfield:evidence:venue-22051</x:v>
      </x:c>
      <x:c r="B86" s="29" t="str">
        <x:v>bakersfield</x:v>
      </x:c>
      <x:c r="C86" s="29" t="str">
        <x:v>bakersfield:photo:venue-22051</x:v>
      </x:c>
      <x:c r="D86" s="29" t="str">
        <x:v>https://commons.wikimedia.org/wiki/File:Trail_of_100_Giants_Thanksgiving_-_24793508988.jpg</x:v>
      </x:c>
      <x:c r="E86" s="29" t="str">
        <x:v>Trail of 100 Giants Thanksgiving - 24793508988.jpg</x:v>
      </x:c>
      <x:c r="F86" s="29" t="str">
        <x:v>reverendlukewarm</x:v>
      </x:c>
      <x:c r="G86" s="29" t="str">
        <x:v>CC BY-SA 2.0</x:v>
      </x:c>
      <x:c r="H86" s="29" t="str">
        <x:v>https://creativecommons.org/licenses/by-sa/2.0</x:v>
      </x:c>
      <x:c r="I86" s="29" t="str">
        <x:v>Creative Commons Attribution-Share Alike 2.0</x:v>
      </x:c>
      <x:c r="J86" s="29" t="str">
        <x:v>Trail of 100 Giants Thanksgiving - 24793508988.jpg · reverendlukewarm · CC BY-SA 2.0 · https://commons.wikimedia.org/wiki/File:Trail_of_100_Giants_Thanksgiving_-_24793508988.jpg</x:v>
      </x:c>
      <x:c r="K8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6" s="31" t="d">
        <x:v>2026-10-24T00:00:00.000Z</x:v>
      </x:c>
      <x:c r="M86" s="29" t="str">
        <x:v>Doğrulandı</x:v>
      </x:c>
      <x:c r="N86" s="29" t="str">
        <x:v>Doğrulandı</x:v>
      </x:c>
      <x:c r="O86" s="29" t="str">
        <x:v>Fotoğraflar/bk-e3cb25bbf3e51da773b8cb31.webp</x:v>
      </x:c>
      <x:c r="P86" s="29" t="str">
        <x:v>Trail of 100 Giants · 2017 tarihli fotoğraf · İndirilen kare temas sayfasında görüldü; kaynak mekân kimliğiyle eşleştirildi. Seçim kaydı final-pixel-review.json.</x:v>
      </x:c>
      <x:c r="Q86" s="29" t="str">
        <x:v>Bu kare için uygun</x:v>
      </x:c>
      <x:c r="R8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6" s="29" t="str">
        <x:v>Lisans kanıtları/bk-e3cb25bbf3e51da773b8cb31.source-evidence.json</x:v>
      </x:c>
      <x:c r="T86" s="29" t="str">
        <x:v>d8f18191ea1258311af40e1187d69cd208ac671c76569259848ed32235787fba</x:v>
      </x:c>
      <x:c r="U86" s="29" t="str">
        <x:v>Lisans kanıtları/bk-e3cb25bbf3e51da773b8cb31.license-record.json</x:v>
      </x:c>
      <x:c r="V86" s="29" t="str">
        <x:v>689ed6c961cbc27937aa7c097164e0353d7a2b6fe7e917f2f8d01d1e46a95eec</x:v>
      </x:c>
      <x:c r="W86" s="29" t="str">
        <x:v>{"file":"bk-e3cb25bbf3e51da773b8cb31.webp","width":960,"author":"reverendlukewarm","height":1440,"sha256":"e3cb25bbf3e51da773b8cb31dbe9a2d04e076f3d4d52ce014b2c500bc18f1e67","license":"CC BY-SA 2.0","imageinfo":{"url":"https://upload.wikimedia.org/wikipedia/commons/a/ae/Trail_of_100_Giants_Thanksgiving_-_24793508988.jpg?utm_source=commons.wikimedia.org&amp;utm_campaign=imageinfo&amp;utm_content=original","mime":"image/jpeg","sha1":"4aad48bc24b4d41bd66843200022891f8feab796","size":6298478,"width":4000,"height":6000,"pageid":105084535,"thumburl":"https://thumb.wikimedia.org/wikipedia/commons/thumb/a/ae/Trail_of_100_Giants_Thanksgiving_-_24793508988.jpg/1280px-Trail_of_100_Giants_Thanksgiving_-_24793508988.jpg?utm_source=commons.wikimedia.org&amp;utm_campaign=imageinfo&amp;utm_content=thumbnail","timestamp":"2021-05-09T03:09:42Z","thumbwidth":1280,"extmetadata":{"Artist":{"value":"reverendlukewarm","source":"commons-desc-page"},"Credit":{"value":"&lt;a rel=\"nofollow\" class=\"external free\" href=\"https://www.flickr.com/photos/reverendlukewarm/24793508988/\"&gt;https://www.flickr.com/photos/reverendlukewarm/24793508988/&lt;/a&gt;","source":"commons-desc-page"},"License":{"value":"cc-by-sa-2.0","hidden":"","source":"commons-templates"},"DateTime":{"value":"2021-05-09 03:09:42","hidden":"","source":"mediawiki-metadata"},"Categories":{"value":"Long Meadow Grove|Flickr images reviewed by FlickreviewR 2","hidden":"","source":"commons-categories"},"LicenseUrl":{"value":"https://creativecommons.org/licenses/by-sa/2.0","source":"commons-desc-page"},"ObjectName":{"value":"Trail of 100 Giants Thanksgiving - 24793508988","source":"mediawiki-metadata"},"UsageTerms":{"value":"Creative Commons Attribution-Share Alike 2.0","source":"commons-desc-page"},"Assessments":{"value":"","hidden":"","source":"commons-categories"},"Copyrighted":{"value":"True","hidden":"","source":"commons-desc-page"},"Restrictions":{"value":"","hidden":"","source":"commons-desc-page"},"DateTimeOriginal":{"value":"2017-11-24 15:25:33","source":"commons-desc-page"},"ImageDescription":{"value":"Trail of 100 Giants at Long Meadow Grove, Sequoia National Monument, California","source":"commons-desc-page"},"LicenseShortName":{"value":"CC BY-SA 2.0","hidden":"","source":"commons-desc-page"},"AttributionRequired":{"value":"true","hidden":"","source":"commons-desc-page"},"CommonsMetadataExtension":{"value":1.2,"hidden":"","source":"extension"}},"thumbheight":1920,"thumbattribs":{"src":"https://thumb.wikimedia.org/wikipedia/commons/thumb/a/ae/Trail_of_100_Giants_Thanksgiving_-_24793508988.jpg/1280px-Trail_of_100_Giants_Thanksgiving_-_24793508988.jpg?utm_source=commons.wikimedia.org&amp;utm_campaign=imageinfo&amp;utm_content=thumbnail","width":1280,"height":1920,"srcset":"https://thumb.wikimedia.org/wikipedia/commons/thumb/a/ae/Trail_of_100_Giants_Thanksgiving_-_24793508988.jpg/3840px-Trail_of_100_Giants_Thanksgiving_-_24793508988.jpg?utm_source=commons.wikimedia.org&amp;utm_campaign=imageinfo&amp;utm_content=thumbnail 2x","loading":"lazy","decoding":"async"},"descriptionurl":"https://commons.wikimedia.org/wiki/File:Trail_of_100_Giants_Thanksgiving_-_24793508988.jpg","responsiveUrls":{"2":"https://thumb.wikimedia.org/wikipedia/commons/thumb/a/ae/Trail_of_100_Giants_Thanksgiving_-_24793508988.jpg/3840px-Trail_of_100_Giants_Thanksgiving_-_24793508988.jpg?utm_source=commons.wikimedia.org&amp;utm_campaign=imageinfo&amp;utm_content=thumbnail"},"descriptionshorturl":"https://commons.wikimedia.org/w/index.php?curid=105084535"},"selection":{"qid":"pending","kind":"candidate","title":"Bakersfield alternatives"},"author_url":"","derivative":"Wikimedia thumbnail decoded; EXIF orientation applied; converted to WebP quality 86; no generated pixels, no cropping.","source_url":"https://commons.wikimedia.org/wiki/File:Trail_of_100_Giants_Thanksgiving_-_24793508988.jpg","author_urls":[],"description":"Trail of 100 Giants at Long Meadow Grove, Sequoia National Monument, California","license_url":"https://creativecommons.org/licenses/by-sa/2.0","reviewed_on":"2026-10-24","capture_date":"2017-11-24 15:25:33","download_url":"https://thumb.wikimedia.org/wikipedia/commons/thumb/a/ae/Trail_of_100_Giants_Thanksgiving_-_24793508988.jpg/1280px-Trail_of_100_Giants_Thanksgiving_-_24793508988.jpg?utm_source=commons.wikimedia.org&amp;utm_campaign=imageinfo&amp;utm_content=thumbnail","original_url":"https://upload.wikimedia.org/wikipedia/commons/a/ae/Trail_of_100_Giants_Thanksgiving_-_24793508988.jpg?utm_source=commons.wikimedia.org&amp;utm_campaign=imageinfo&amp;utm_content=original","pixel_review":{"method":"İndirilen kare temas sayfasında görüldü; kaynak mekân kimliğiyle eşleştirildi. Seçim kaydı final-pixel-review.json.","status":"verified","caption":"Trail of 100 Giants · 2017 tarihli fotoğraf","reviewer":"Codex (AI)","review_id":"T40"},"downloaded_at":"2026-10-23T21:29:13.566347+00:00","download_sha256":"0bbf5891a15b56322e6c028cdae4e1730b63b170714a0903a52dc9eb001675fe","downloaded_file":"downloads/0bbf5891a15b56322e6c028cdae4e1730b63b170714a0903a52dc9eb001675fe.jpg","acquisition_file":"ece9dc11fb66528515263ae4.webp","commons_filename":"Trail of 100 Giants Thanksgiving - 24793508988.jpg","original_file_url":"https://upload.wikimedia.org/wikipedia/commons/a/ae/Trail_of_100_Giants_Thanksgiving_-_24793508988.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a/ae/Trail_of_100_Giants_Thanksgiving_-_24793508988.jpg?utm_source=commons.wikimedia.org&amp;utm_campaign=imageinfo&amp;utm_content=original"},"metadata_reviewed_on":"2026-10-24","metadata_review_status":"verified"}}</x:v>
      </x:c>
    </x:row>
    <x:row r="87" ht="300" customHeight="1">
      <x:c r="A87" s="29" t="str">
        <x:v>bakersfield:evidence:venue-22052</x:v>
      </x:c>
      <x:c r="B87" s="29" t="str">
        <x:v>bakersfield</x:v>
      </x:c>
      <x:c r="C87" s="29" t="str">
        <x:v>bakersfield:photo:venue-22052</x:v>
      </x:c>
      <x:c r="D87" s="29" t="str">
        <x:v>https://commons.wikimedia.org/wiki/File:Trail_of_100_Giants_Thanksgiving_-_37778357435.jpg</x:v>
      </x:c>
      <x:c r="E87" s="29" t="str">
        <x:v>Trail of 100 Giants Thanksgiving - 37778357435.jpg</x:v>
      </x:c>
      <x:c r="F87" s="29" t="str">
        <x:v>reverendlukewarm</x:v>
      </x:c>
      <x:c r="G87" s="29" t="str">
        <x:v>CC BY-SA 2.0</x:v>
      </x:c>
      <x:c r="H87" s="29" t="str">
        <x:v>https://creativecommons.org/licenses/by-sa/2.0</x:v>
      </x:c>
      <x:c r="I87" s="29" t="str">
        <x:v>Creative Commons Attribution-Share Alike 2.0</x:v>
      </x:c>
      <x:c r="J87" s="29" t="str">
        <x:v>Trail of 100 Giants Thanksgiving - 37778357435.jpg · reverendlukewarm · CC BY-SA 2.0 · https://commons.wikimedia.org/wiki/File:Trail_of_100_Giants_Thanksgiving_-_37778357435.jpg</x:v>
      </x:c>
      <x:c r="K8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7" s="31" t="d">
        <x:v>2026-10-24T00:00:00.000Z</x:v>
      </x:c>
      <x:c r="M87" s="29" t="str">
        <x:v>Doğrulandı</x:v>
      </x:c>
      <x:c r="N87" s="29" t="str">
        <x:v>Doğrulandı</x:v>
      </x:c>
      <x:c r="O87" s="29" t="str">
        <x:v>Fotoğraflar/bk-3d44f784012dfb5e4d9fb770.webp</x:v>
      </x:c>
      <x:c r="P87" s="29" t="str">
        <x:v>Trail of 100 Giants · 2017 tarihli fotoğraf · İndirilen kare temas sayfasında görüldü; kaynak mekân kimliğiyle eşleştirildi. Seçim kaydı final-pixel-review.json.</x:v>
      </x:c>
      <x:c r="Q87" s="29" t="str">
        <x:v>Bu kare için uygun</x:v>
      </x:c>
      <x:c r="R8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7" s="29" t="str">
        <x:v>Lisans kanıtları/bk-3d44f784012dfb5e4d9fb770.source-evidence.json</x:v>
      </x:c>
      <x:c r="T87" s="29" t="str">
        <x:v>bf73f219971d87d7818b48323d2910d6452a529d00bd1faf2adc12e4fcaf3105</x:v>
      </x:c>
      <x:c r="U87" s="29" t="str">
        <x:v>Lisans kanıtları/bk-3d44f784012dfb5e4d9fb770.license-record.json</x:v>
      </x:c>
      <x:c r="V87" s="29" t="str">
        <x:v>9c593a4e5a76532fe8fe576a3b58d8bbc79e154555021ad63212e5fe0f729291</x:v>
      </x:c>
      <x:c r="W87" s="29" t="str">
        <x:v>{"file":"bk-3d44f784012dfb5e4d9fb770.webp","width":1280,"author":"reverendlukewarm","height":853,"sha256":"3d44f784012dfb5e4d9fb770af0a80621b5bdbef3730008992d808c1d8f264f5","license":"CC BY-SA 2.0","imageinfo":{"url":"https://upload.wikimedia.org/wikipedia/commons/8/81/Trail_of_100_Giants_Thanksgiving_-_37778357435.jpg?utm_source=commons.wikimedia.org&amp;utm_campaign=imageinfo&amp;utm_content=original","mime":"image/jpeg","sha1":"53de3a5d8edfd88d8ede6a3a1daf34396e09db62","size":5786752,"width":6000,"height":4000,"pageid":105084533,"thumburl":"https://thumb.wikimedia.org/wikipedia/commons/thumb/8/81/Trail_of_100_Giants_Thanksgiving_-_37778357435.jpg/1280px-Trail_of_100_Giants_Thanksgiving_-_37778357435.jpg?utm_source=commons.wikimedia.org&amp;utm_campaign=imageinfo&amp;utm_content=thumbnail","timestamp":"2021-05-09T03:09:41Z","thumbwidth":1280,"extmetadata":{"Artist":{"value":"reverendlukewarm","source":"commons-desc-page"},"Credit":{"value":"&lt;a rel=\"nofollow\" class=\"external free\" href=\"https://www.flickr.com/photos/reverendlukewarm/37778357435/\"&gt;https://www.flickr.com/photos/reverendlukewarm/37778357435/&lt;/a&gt;","source":"commons-desc-page"},"License":{"value":"cc-by-sa-2.0","hidden":"","source":"commons-templates"},"DateTime":{"value":"2021-05-09 03:09:41","hidden":"","source":"mediawiki-metadata"},"Categories":{"value":"Long Meadow Grove|Flickr images reviewed by FlickreviewR 2","hidden":"","source":"commons-categories"},"LicenseUrl":{"value":"https://creativecommons.org/licenses/by-sa/2.0","source":"commons-desc-page"},"ObjectName":{"value":"Trail of 100 Giants Thanksgiving - 37778357435","source":"mediawiki-metadata"},"UsageTerms":{"value":"Creative Commons Attribution-Share Alike 2.0","source":"commons-desc-page"},"Assessments":{"value":"","hidden":"","source":"commons-categories"},"Copyrighted":{"value":"True","hidden":"","source":"commons-desc-page"},"Restrictions":{"value":"","hidden":"","source":"commons-desc-page"},"DateTimeOriginal":{"value":"2017-11-24 15:22:21","source":"commons-desc-page"},"ImageDescription":{"value":"Trail of 100 Giants at Long Meadow Grove, Sequoia National Monument, California","source":"commons-desc-page"},"LicenseShortName":{"value":"CC BY-SA 2.0","hidden":"","source":"commons-desc-page"},"AttributionRequired":{"value":"true","hidden":"","source":"commons-desc-page"},"CommonsMetadataExtension":{"value":1.2,"hidden":"","source":"extension"}},"thumbheight":853,"thumbattribs":{"src":"https://thumb.wikimedia.org/wikipedia/commons/thumb/8/81/Trail_of_100_Giants_Thanksgiving_-_37778357435.jpg/1280px-Trail_of_100_Giants_Thanksgiving_-_37778357435.jpg?utm_source=commons.wikimedia.org&amp;utm_campaign=imageinfo&amp;utm_content=thumbnail","width":1280,"height":853,"srcset":"https://thumb.wikimedia.org/wikipedia/commons/thumb/8/81/Trail_of_100_Giants_Thanksgiving_-_37778357435.jpg/3840px-Trail_of_100_Giants_Thanksgiving_-_37778357435.jpg?utm_source=commons.wikimedia.org&amp;utm_campaign=imageinfo&amp;utm_content=thumbnail 2x","loading":"lazy","decoding":"async"},"descriptionurl":"https://commons.wikimedia.org/wiki/File:Trail_of_100_Giants_Thanksgiving_-_37778357435.jpg","responsiveUrls":{"2":"https://thumb.wikimedia.org/wikipedia/commons/thumb/8/81/Trail_of_100_Giants_Thanksgiving_-_37778357435.jpg/3840px-Trail_of_100_Giants_Thanksgiving_-_37778357435.jpg?utm_source=commons.wikimedia.org&amp;utm_campaign=imageinfo&amp;utm_content=thumbnail"},"descriptionshorturl":"https://commons.wikimedia.org/w/index.php?curid=105084533"},"selection":{"qid":"pending","kind":"candidate","title":"Bakersfield alternatives"},"author_url":"","derivative":"Wikimedia thumbnail decoded; EXIF orientation applied; converted to WebP quality 86; no generated pixels, no cropping.","source_url":"https://commons.wikimedia.org/wiki/File:Trail_of_100_Giants_Thanksgiving_-_37778357435.jpg","author_urls":[],"description":"Trail of 100 Giants at Long Meadow Grove, Sequoia National Monument, California","license_url":"https://creativecommons.org/licenses/by-sa/2.0","reviewed_on":"2026-10-24","capture_date":"2017-11-24 15:22:21","download_url":"https://thumb.wikimedia.org/wikipedia/commons/thumb/8/81/Trail_of_100_Giants_Thanksgiving_-_37778357435.jpg/1280px-Trail_of_100_Giants_Thanksgiving_-_37778357435.jpg?utm_source=commons.wikimedia.org&amp;utm_campaign=imageinfo&amp;utm_content=thumbnail","original_url":"https://upload.wikimedia.org/wikipedia/commons/8/81/Trail_of_100_Giants_Thanksgiving_-_37778357435.jpg?utm_source=commons.wikimedia.org&amp;utm_campaign=imageinfo&amp;utm_content=original","pixel_review":{"method":"İndirilen kare temas sayfasında görüldü; kaynak mekân kimliğiyle eşleştirildi. Seçim kaydı final-pixel-review.json.","status":"verified","caption":"Trail of 100 Giants · 2017 tarihli fotoğraf","reviewer":"Codex (AI)","review_id":"T41"},"downloaded_at":"2026-10-23T21:29:09.632177+00:00","download_sha256":"ba703aed53c3ce3817626556b265fcc283fbd85cf00aef7448dc1d1c5841e4e3","downloaded_file":"downloads/ba703aed53c3ce3817626556b265fcc283fbd85cf00aef7448dc1d1c5841e4e3.jpg","acquisition_file":"e6b40e164a0e5c0b99985025.webp","commons_filename":"Trail of 100 Giants Thanksgiving - 37778357435.jpg","original_file_url":"https://upload.wikimedia.org/wikipedia/commons/8/81/Trail_of_100_Giants_Thanksgiving_-_37778357435.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8/81/Trail_of_100_Giants_Thanksgiving_-_37778357435.jpg?utm_source=commons.wikimedia.org&amp;utm_campaign=imageinfo&amp;utm_content=original"},"metadata_reviewed_on":"2026-10-24","metadata_review_status":"verified"}}</x:v>
      </x:c>
    </x:row>
    <x:row r="88" ht="300" customHeight="1">
      <x:c r="A88" s="29" t="str">
        <x:v>bakersfield:evidence:venue-22053</x:v>
      </x:c>
      <x:c r="B88" s="29" t="str">
        <x:v>bakersfield</x:v>
      </x:c>
      <x:c r="C88" s="29" t="str">
        <x:v>bakersfield:photo:venue-22053</x:v>
      </x:c>
      <x:c r="D88" s="29" t="str">
        <x:v>https://commons.wikimedia.org/wiki/File:Trail_of_100_Giants_Thanksgiving_-_38665719421.jpg</x:v>
      </x:c>
      <x:c r="E88" s="29" t="str">
        <x:v>Trail of 100 Giants Thanksgiving - 38665719421.jpg</x:v>
      </x:c>
      <x:c r="F88" s="29" t="str">
        <x:v>reverendlukewarm</x:v>
      </x:c>
      <x:c r="G88" s="29" t="str">
        <x:v>CC BY-SA 2.0</x:v>
      </x:c>
      <x:c r="H88" s="29" t="str">
        <x:v>https://creativecommons.org/licenses/by-sa/2.0</x:v>
      </x:c>
      <x:c r="I88" s="29" t="str">
        <x:v>Creative Commons Attribution-Share Alike 2.0</x:v>
      </x:c>
      <x:c r="J88" s="29" t="str">
        <x:v>Trail of 100 Giants Thanksgiving - 38665719421.jpg · reverendlukewarm · CC BY-SA 2.0 · https://commons.wikimedia.org/wiki/File:Trail_of_100_Giants_Thanksgiving_-_38665719421.jpg</x:v>
      </x:c>
      <x:c r="K8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8" s="31" t="d">
        <x:v>2026-10-24T00:00:00.000Z</x:v>
      </x:c>
      <x:c r="M88" s="29" t="str">
        <x:v>Doğrulandı</x:v>
      </x:c>
      <x:c r="N88" s="29" t="str">
        <x:v>Doğrulandı</x:v>
      </x:c>
      <x:c r="O88" s="29" t="str">
        <x:v>Fotoğraflar/bk-49d9fb7fac0e6473c564df2f.webp</x:v>
      </x:c>
      <x:c r="P88" s="29" t="str">
        <x:v>Trail of 100 Giants · 2017 tarihli fotoğraf · İndirilen kare temas sayfasında görüldü; kaynak mekân kimliğiyle eşleştirildi. Seçim kaydı final-pixel-review.json.</x:v>
      </x:c>
      <x:c r="Q88" s="29" t="str">
        <x:v>Bu kare için uygun</x:v>
      </x:c>
      <x:c r="R8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8" s="29" t="str">
        <x:v>Lisans kanıtları/bk-49d9fb7fac0e6473c564df2f.source-evidence.json</x:v>
      </x:c>
      <x:c r="T88" s="29" t="str">
        <x:v>da511e87e7bf5b39abe9367f8d33f0ac5b5551d7818d3d14c22e79a797beffcf</x:v>
      </x:c>
      <x:c r="U88" s="29" t="str">
        <x:v>Lisans kanıtları/bk-49d9fb7fac0e6473c564df2f.license-record.json</x:v>
      </x:c>
      <x:c r="V88" s="29" t="str">
        <x:v>4c4332b376744ff322fae8d53702309dbcbee525cd47b0e380de1e085fc65604</x:v>
      </x:c>
      <x:c r="W88" s="29" t="str">
        <x:v>{"file":"bk-49d9fb7fac0e6473c564df2f.webp","width":960,"author":"reverendlukewarm","height":1440,"sha256":"49d9fb7fac0e6473c564df2fe3310d386f9c42e6360d1b6876f3f97d46e237f4","license":"CC BY-SA 2.0","imageinfo":{"url":"https://upload.wikimedia.org/wikipedia/commons/4/4b/Trail_of_100_Giants_Thanksgiving_-_38665719421.jpg?utm_source=commons.wikimedia.org&amp;utm_campaign=imageinfo&amp;utm_content=original","mime":"image/jpeg","sha1":"6474bd99ded4c2bcf487ee8a080f284442e30613","size":4992384,"width":4000,"height":6000,"pageid":105084537,"thumburl":"https://thumb.wikimedia.org/wikipedia/commons/thumb/4/4b/Trail_of_100_Giants_Thanksgiving_-_38665719421.jpg/1280px-Trail_of_100_Giants_Thanksgiving_-_38665719421.jpg?utm_source=commons.wikimedia.org&amp;utm_campaign=imageinfo&amp;utm_content=thumbnail","timestamp":"2021-05-09T03:09:46Z","thumbwidth":1280,"extmetadata":{"Artist":{"value":"reverendlukewarm","source":"commons-desc-page"},"Credit":{"value":"&lt;a rel=\"nofollow\" class=\"external free\" href=\"https://www.flickr.com/photos/reverendlukewarm/38665719421/\"&gt;https://www.flickr.com/photos/reverendlukewarm/38665719421/&lt;/a&gt;","source":"commons-desc-page"},"License":{"value":"cc-by-sa-2.0","hidden":"","source":"commons-templates"},"DateTime":{"value":"2021-05-09 03:09:46","hidden":"","source":"mediawiki-metadata"},"Categories":{"value":"Long Meadow Grove|Flickr images reviewed by FlickreviewR 2","hidden":"","source":"commons-categories"},"LicenseUrl":{"value":"https://creativecommons.org/licenses/by-sa/2.0","source":"commons-desc-page"},"ObjectName":{"value":"Trail of 100 Giants Thanksgiving - 38665719421","source":"mediawiki-metadata"},"UsageTerms":{"value":"Creative Commons Attribution-Share Alike 2.0","source":"commons-desc-page"},"Assessments":{"value":"","hidden":"","source":"commons-categories"},"Copyrighted":{"value":"True","hidden":"","source":"commons-desc-page"},"Restrictions":{"value":"","hidden":"","source":"commons-desc-page"},"DateTimeOriginal":{"value":"2017-11-24 15:00:44","source":"commons-desc-page"},"ImageDescription":{"value":"Trail of 100 Giants at Long Meadow Grove, Sequoia National Monument, California","source":"commons-desc-page"},"LicenseShortName":{"value":"CC BY-SA 2.0","hidden":"","source":"commons-desc-page"},"AttributionRequired":{"value":"true","hidden":"","source":"commons-desc-page"},"CommonsMetadataExtension":{"value":1.2,"hidden":"","source":"extension"}},"thumbheight":1920,"thumbattribs":{"src":"https://thumb.wikimedia.org/wikipedia/commons/thumb/4/4b/Trail_of_100_Giants_Thanksgiving_-_38665719421.jpg/1280px-Trail_of_100_Giants_Thanksgiving_-_38665719421.jpg?utm_source=commons.wikimedia.org&amp;utm_campaign=imageinfo&amp;utm_content=thumbnail","width":1280,"height":1920,"srcset":"https://thumb.wikimedia.org/wikipedia/commons/thumb/4/4b/Trail_of_100_Giants_Thanksgiving_-_38665719421.jpg/3840px-Trail_of_100_Giants_Thanksgiving_-_38665719421.jpg?utm_source=commons.wikimedia.org&amp;utm_campaign=imageinfo&amp;utm_content=thumbnail 2x","loading":"lazy","decoding":"async"},"descriptionurl":"https://commons.wikimedia.org/wiki/File:Trail_of_100_Giants_Thanksgiving_-_38665719421.jpg","responsiveUrls":{"2":"https://thumb.wikimedia.org/wikipedia/commons/thumb/4/4b/Trail_of_100_Giants_Thanksgiving_-_38665719421.jpg/3840px-Trail_of_100_Giants_Thanksgiving_-_38665719421.jpg?utm_source=commons.wikimedia.org&amp;utm_campaign=imageinfo&amp;utm_content=thumbnail"},"descriptionshorturl":"https://commons.wikimedia.org/w/index.php?curid=105084537"},"selection":{"qid":"pending","kind":"candidate","title":"Bakersfield alternatives"},"author_url":"","derivative":"Wikimedia thumbnail decoded; EXIF orientation applied; converted to WebP quality 86; no generated pixels, no cropping.","source_url":"https://commons.wikimedia.org/wiki/File:Trail_of_100_Giants_Thanksgiving_-_38665719421.jpg","author_urls":[],"description":"Trail of 100 Giants at Long Meadow Grove, Sequoia National Monument, California","license_url":"https://creativecommons.org/licenses/by-sa/2.0","reviewed_on":"2026-10-24","capture_date":"2017-11-24 15:00:44","download_url":"https://thumb.wikimedia.org/wikipedia/commons/thumb/4/4b/Trail_of_100_Giants_Thanksgiving_-_38665719421.jpg/1280px-Trail_of_100_Giants_Thanksgiving_-_38665719421.jpg?utm_source=commons.wikimedia.org&amp;utm_campaign=imageinfo&amp;utm_content=thumbnail","original_url":"https://upload.wikimedia.org/wikipedia/commons/4/4b/Trail_of_100_Giants_Thanksgiving_-_38665719421.jpg?utm_source=commons.wikimedia.org&amp;utm_campaign=imageinfo&amp;utm_content=original","pixel_review":{"method":"İndirilen kare temas sayfasında görüldü; kaynak mekân kimliğiyle eşleştirildi. Seçim kaydı final-pixel-review.json.","status":"verified","caption":"Trail of 100 Giants · 2017 tarihli fotoğraf","reviewer":"Codex (AI)","review_id":"T42"},"downloaded_at":"2026-10-23T21:29:10.882016+00:00","download_sha256":"3602d75b6acaa42aeaacb694275b5cc1a5d22c984677cca968e44ba27bf0d7a0","downloaded_file":"downloads/3602d75b6acaa42aeaacb694275b5cc1a5d22c984677cca968e44ba27bf0d7a0.jpg","acquisition_file":"13db77fb12efde3d6d708d4f.webp","commons_filename":"Trail of 100 Giants Thanksgiving - 38665719421.jpg","original_file_url":"https://upload.wikimedia.org/wikipedia/commons/4/4b/Trail_of_100_Giants_Thanksgiving_-_38665719421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4/4b/Trail_of_100_Giants_Thanksgiving_-_38665719421.jpg?utm_source=commons.wikimedia.org&amp;utm_campaign=imageinfo&amp;utm_content=original"},"metadata_reviewed_on":"2026-10-24","metadata_review_status":"verified"}}</x:v>
      </x:c>
    </x:row>
    <x:row r="89" ht="300" customHeight="1">
      <x:c r="A89" s="29" t="str">
        <x:v>bakersfield:evidence:venue-22054</x:v>
      </x:c>
      <x:c r="B89" s="29" t="str">
        <x:v>bakersfield</x:v>
      </x:c>
      <x:c r="C89" s="29" t="str">
        <x:v>bakersfield:photo:venue-22054</x:v>
      </x:c>
      <x:c r="D89" s="29" t="str">
        <x:v>https://commons.wikimedia.org/wiki/File:Willow_Springs_-_Big_Track_-_Turn_4.jpg</x:v>
      </x:c>
      <x:c r="E89" s="29" t="str">
        <x:v>Willow Springs - Big Track - Turn 4.jpg</x:v>
      </x:c>
      <x:c r="F89" s="29" t="str">
        <x:v>Smsteve</x:v>
      </x:c>
      <x:c r="G89" s="29" t="str">
        <x:v>CC BY-SA 3.0</x:v>
      </x:c>
      <x:c r="H89" s="29" t="str">
        <x:v>https://creativecommons.org/licenses/by-sa/3.0</x:v>
      </x:c>
      <x:c r="I89" s="29" t="str">
        <x:v>Creative Commons Attribution-Share Alike 3.0</x:v>
      </x:c>
      <x:c r="J89" s="29" t="str">
        <x:v>Willow Springs - Big Track - Turn 4.jpg · Smsteve · CC BY-SA 3.0 · https://commons.wikimedia.org/wiki/File:Willow_Springs_-_Big_Track_-_Turn_4.jpg</x:v>
      </x:c>
      <x:c r="K8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89" s="31" t="d">
        <x:v>2026-10-24T00:00:00.000Z</x:v>
      </x:c>
      <x:c r="M89" s="29" t="str">
        <x:v>Doğrulandı</x:v>
      </x:c>
      <x:c r="N89" s="29" t="str">
        <x:v>Doğrulandı</x:v>
      </x:c>
      <x:c r="O89" s="29" t="str">
        <x:v>Fotoğraflar/bk-aa9ad922d6aa7ce6981304fb.webp</x:v>
      </x:c>
      <x:c r="P89" s="29" t="str">
        <x:v>Willow Springs International Raceway · İndirilen kare temas sayfasında görüldü; kaynak mekân kimliğiyle eşleştirildi. Seçim kaydı final-pixel-review.json.</x:v>
      </x:c>
      <x:c r="Q89" s="29" t="str">
        <x:v>Bu kare için uygun</x:v>
      </x:c>
      <x:c r="R8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89" s="29" t="str">
        <x:v>Lisans kanıtları/bk-aa9ad922d6aa7ce6981304fb.source-evidence.json</x:v>
      </x:c>
      <x:c r="T89" s="29" t="str">
        <x:v>23f38c4191b0578ba6b5e8be00f7b18715eca42b393f25c8034e1077d2d3ba90</x:v>
      </x:c>
      <x:c r="U89" s="29" t="str">
        <x:v>Lisans kanıtları/bk-aa9ad922d6aa7ce6981304fb.license-record.json</x:v>
      </x:c>
      <x:c r="V89" s="29" t="str">
        <x:v>9ff7e460b8cb5fc2f008e8e67b8398fce0de7c7396a2fce4714bb7ddb60cba2a</x:v>
      </x:c>
      <x:c r="W89" s="29" t="str">
        <x:v>{"file":"bk-aa9ad922d6aa7ce6981304fb.webp","width":1280,"author":"Smsteve","height":989,"sha256":"aa9ad922d6aa7ce6981304fbd57ec855d37b04a4156b3761ac80d0cb64f8baed","license":"CC BY-SA 3.0","imageinfo":{"url":"https://upload.wikimedia.org/wikipedia/commons/d/d7/Willow_Springs_-_Big_Track_-_Turn_4.jpg?utm_source=commons.wikimedia.org&amp;utm_campaign=imageinfo&amp;utm_content=original","mime":"image/jpeg","sha1":"b317795a9375f5a88781e89cd53c1557b8b26121","size":3214982,"width":4400,"height":3400,"pageid":12807463,"thumburl":"https://thumb.wikimedia.org/wikipedia/commons/thumb/d/d7/Willow_Springs_-_Big_Track_-_Turn_4.jpg/1280px-Willow_Springs_-_Big_Track_-_Turn_4.jpg?utm_source=commons.wikimedia.org&amp;utm_campaign=imageinfo&amp;utm_content=thumbnail","timestamp":"2011-01-25T20:57:47Z","thumbwidth":1280,"extmetadata":{"Artist":{"value":"&lt;a href=\"//commons.wikimedia.org/w/index.php?title=User:Smsteve&amp;amp;action=edit&amp;amp;redlink=1\" class=\"new\" title=\"User:Smsteve (page does not exist)\"&gt;Smsteve&lt;/a&gt;","source":"commons-desc-page"},"Credit":{"value":"&lt;span class=\"int-own-work\" lang=\"en\"&gt;Own work&lt;/span&gt;","source":"commons-desc-page"},"License":{"value":"cc-by-sa-3.0","hidden":"","source":"commons-templates"},"DateTime":{"value":"2011-01-25 20:57:47","hidden":"","source":"mediawiki-metadata"},"Categories":{"value":"GFDL|License migration redundant|Willow Springs International Motorsports Park|Self-published work|Ford Mustang III in competition","hidden":"","source":"commons-categories"},"LicenseUrl":{"value":"https://creativecommons.org/licenses/by-sa/3.0","source":"commons-desc-page"},"ObjectName":{"value":"Willow Springs - Big Track - Turn 4","source":"mediawiki-metadata"},"UsageTerms":{"value":"Creative Commons Attribution-Share Alike 3.0","source":"commons-desc-page"},"Assessments":{"value":"","hidden":"","source":"commons-categories"},"Copyrighted":{"value":"True","hidden":"","source":"commons-desc-page"},"Restrictions":{"value":"","hidden":"","source":"commons-desc-page"},"ImageDescription":{"value":"Willow Springs Raceway - Big Track - Turn 4 - Open track day in Mustang","source":"commons-desc-page"},"LicenseShortName":{"value":"CC BY-SA 3.0","hidden":"","source":"commons-desc-page"},"AttributionRequired":{"value":"true","hidden":"","source":"commons-desc-page"},"CommonsMetadataExtension":{"value":1.2,"hidden":"","source":"extension"}},"thumbheight":989,"thumbattribs":{"src":"https://thumb.wikimedia.org/wikipedia/commons/thumb/d/d7/Willow_Springs_-_Big_Track_-_Turn_4.jpg/1280px-Willow_Springs_-_Big_Track_-_Turn_4.jpg?utm_source=commons.wikimedia.org&amp;utm_campaign=imageinfo&amp;utm_content=thumbnail","width":1280,"height":989,"srcset":"https://thumb.wikimedia.org/wikipedia/commons/thumb/d/d7/Willow_Springs_-_Big_Track_-_Turn_4.jpg/3840px-Willow_Springs_-_Big_Track_-_Turn_4.jpg?utm_source=commons.wikimedia.org&amp;utm_campaign=imageinfo&amp;utm_content=thumbnail 2x","loading":"lazy","decoding":"async"},"descriptionurl":"https://commons.wikimedia.org/wiki/File:Willow_Springs_-_Big_Track_-_Turn_4.jpg","responsiveUrls":{"2":"https://thumb.wikimedia.org/wikipedia/commons/thumb/d/d7/Willow_Springs_-_Big_Track_-_Turn_4.jpg/3840px-Willow_Springs_-_Big_Track_-_Turn_4.jpg?utm_source=commons.wikimedia.org&amp;utm_campaign=imageinfo&amp;utm_content=thumbnail"},"descriptionshorturl":"https://commons.wikimedia.org/w/index.php?curid=12807463"},"selection":{"qid":"pending","kind":"candidate","title":"Bakersfield alternatives"},"author_url":"","derivative":"Wikimedia thumbnail decoded; EXIF orientation applied; converted to WebP quality 86; no generated pixels, no cropping.","source_url":"https://commons.wikimedia.org/wiki/File:Willow_Springs_-_Big_Track_-_Turn_4.jpg","author_urls":[],"description":"Willow Springs Raceway - Big Track - Turn 4 - Open track day in Mustang","license_url":"https://creativecommons.org/licenses/by-sa/3.0","reviewed_on":"2026-10-24","capture_date":"","download_url":"https://thumb.wikimedia.org/wikipedia/commons/thumb/d/d7/Willow_Springs_-_Big_Track_-_Turn_4.jpg/1280px-Willow_Springs_-_Big_Track_-_Turn_4.jpg?utm_source=commons.wikimedia.org&amp;utm_campaign=imageinfo&amp;utm_content=thumbnail","original_url":"https://upload.wikimedia.org/wikipedia/commons/d/d7/Willow_Springs_-_Big_Track_-_Turn_4.jpg?utm_source=commons.wikimedia.org&amp;utm_campaign=imageinfo&amp;utm_content=original","pixel_review":{"method":"İndirilen kare temas sayfasında görüldü; kaynak mekân kimliğiyle eşleştirildi. Seçim kaydı final-pixel-review.json.","status":"verified","caption":"Willow Springs International Raceway","reviewer":"Codex (AI)","review_id":"T46"},"downloaded_at":"2026-10-23T19:10:42.819082+00:00","download_sha256":"daf2b33bc10f06a3af235d387ccfa7e501e8fbf46fb84b4022bc642fd45a7827","downloaded_file":"downloads/daf2b33bc10f06a3af235d387ccfa7e501e8fbf46fb84b4022bc642fd45a7827.jpg","acquisition_file":"98a6ae3ca5771a9fdce8b665.webp","commons_filename":"Willow Springs - Big Track - Turn 4.jpg","original_file_url":"https://upload.wikimedia.org/wikipedia/commons/d/d7/Willow_Springs_-_Big_Track_-_Turn_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d/d7/Willow_Springs_-_Big_Track_-_Turn_4.jpg?utm_source=commons.wikimedia.org&amp;utm_campaign=imageinfo&amp;utm_content=original"},"metadata_reviewed_on":"2026-10-24","metadata_review_status":"verified"}}</x:v>
      </x:c>
    </x:row>
    <x:row r="90" ht="300" customHeight="1">
      <x:c r="A90" s="29" t="str">
        <x:v>bakersfield:evidence:venue-22055</x:v>
      </x:c>
      <x:c r="B90" s="29" t="str">
        <x:v>bakersfield</x:v>
      </x:c>
      <x:c r="C90" s="29" t="str">
        <x:v>bakersfield:photo:venue-22055</x:v>
      </x:c>
      <x:c r="D90" s="29" t="str">
        <x:v>https://commons.wikimedia.org/wiki/File:Willow_Springs_-_Porsche_in_motion_(cropped).jpg</x:v>
      </x:c>
      <x:c r="E90" s="29" t="str">
        <x:v>Willow Springs - Porsche in motion (cropped).jpg</x:v>
      </x:c>
      <x:c r="F90" s="29" t="str">
        <x:v>Darren765</x:v>
      </x:c>
      <x:c r="G90" s="29" t="str">
        <x:v>CC BY 2.0</x:v>
      </x:c>
      <x:c r="H90" s="29" t="str">
        <x:v>https://creativecommons.org/licenses/by/2.0</x:v>
      </x:c>
      <x:c r="I90" s="29" t="str">
        <x:v>Creative Commons Attribution 2.0</x:v>
      </x:c>
      <x:c r="J90" s="29" t="str">
        <x:v>Willow Springs - Porsche in motion (cropped).jpg · Darren765 · CC BY 2.0 · https://commons.wikimedia.org/wiki/File:Willow_Springs_-_Porsche_in_motion_(cropped).jpg</x:v>
      </x:c>
      <x:c r="K9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0" s="31" t="d">
        <x:v>2026-10-24T00:00:00.000Z</x:v>
      </x:c>
      <x:c r="M90" s="29" t="str">
        <x:v>Doğrulandı</x:v>
      </x:c>
      <x:c r="N90" s="29" t="str">
        <x:v>Doğrulandı</x:v>
      </x:c>
      <x:c r="O90" s="29" t="str">
        <x:v>Fotoğraflar/bk-a522d0e88fd01bb697ed2fe5.webp</x:v>
      </x:c>
      <x:c r="P90" s="29" t="str">
        <x:v>Willow Springs International Raceway · Take tarihli fotoğraf · İndirilen kare temas sayfasında görüldü; kaynak mekân kimliğiyle eşleştirildi. Seçim kaydı final-pixel-review.json.</x:v>
      </x:c>
      <x:c r="Q90" s="29" t="str">
        <x:v>Bu kare için uygun</x:v>
      </x:c>
      <x:c r="R9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0" s="29" t="str">
        <x:v>Lisans kanıtları/bk-a522d0e88fd01bb697ed2fe5.source-evidence.json</x:v>
      </x:c>
      <x:c r="T90" s="29" t="str">
        <x:v>329bfb51fae37da141c91f3ed7fb78ddb56aeb0d95af7ef6ad8cf57b0ccd88f5</x:v>
      </x:c>
      <x:c r="U90" s="29" t="str">
        <x:v>Lisans kanıtları/bk-a522d0e88fd01bb697ed2fe5.license-record.json</x:v>
      </x:c>
      <x:c r="V90" s="29" t="str">
        <x:v>44a969763e4045bd2e2ab21702817aafca0e291503752c40cded5f8c47913efe</x:v>
      </x:c>
      <x:c r="W90" s="29" t="str">
        <x:v>{"file":"bk-a522d0e88fd01bb697ed2fe5.webp","width":1280,"author":"Darren765","height":745,"sha256":"a522d0e88fd01bb697ed2fe50277b4391fa433130a7a8cc83647f4d45d32aa7f","license":"CC BY 2.0","imageinfo":{"url":"https://upload.wikimedia.org/wikipedia/commons/c/c3/Willow_Springs_-_Porsche_in_motion_%28cropped%29.jpg?utm_source=commons.wikimedia.org&amp;utm_campaign=imageinfo&amp;utm_content=original","mime":"image/jpeg","sha1":"ae12ee137a836a77090c7b82e3e6eda9d2effdca","size":827715,"width":3974,"height":2312,"pageid":149642895,"thumburl":"https://thumb.wikimedia.org/wikipedia/commons/thumb/c/c3/Willow_Springs_-_Porsche_in_motion_%28cropped%29.jpg/1280px-Willow_Springs_-_Porsche_in_motion_%28cropped%29.jpg?utm_source=commons.wikimedia.org&amp;utm_campaign=imageinfo&amp;utm_content=thumbnail","timestamp":"2024-06-23T11:43:09Z","thumbwidth":1280,"extmetadata":{"Artist":{"value":"Darren765","source":"commons-desc-page"},"Credit":{"value":"&lt;a rel=\"nofollow\" class=\"external free\" href=\"https://www.flickr.com/photos/darrencole/16180627633/\"&gt;https://www.flickr.com/photos/darrencole/16180627633/&lt;/a&gt;","source":"commons-desc-page"},"License":{"value":"cc-by-2.0","hidden":"","source":"commons-templates"},"DateTime":{"value":"2024-06-23 11:43:09","hidden":"","source":"mediawiki-metadata"},"Categories":{"value":"Taken with Canon EOS 70D|Willow Springs International Motorsports Park|March 2015 in California|Red automobiles in California|Extracted images|Red Porsche automobiles|United States photographs taken on 2015-03-09|Porsche automobiles in California","hidden":"","source":"commons-categories"},"LicenseUrl":{"value":"https://creativecommons.org/licenses/by/2.0","source":"commons-desc-page"},"ObjectName":{"value":"Willow Springs - Porsche in motion (cropped)","source":"mediawiki-metadata"},"UsageTerms":{"value":"Creative Commons Attribution 2.0","source":"commons-desc-page"},"Assessments":{"value":"","hidden":"","source":"commons-categories"},"Copyrighted":{"value":"True","hidden":"","source":"commons-desc-page"},"Restrictions":{"value":"","hidden":"","source":"commons-desc-page"},"DateTimeOriginal":{"value":"Taken on 9 March 2015, 15:00:18","source":"commons-desc-page"},"ImageDescription":{"value":"Willow Springs - Porsche","source":"commons-desc-page"},"LicenseShortName":{"value":"CC BY 2.0","hidden":"","source":"commons-desc-page"},"AttributionRequired":{"value":"true","hidden":"","source":"commons-desc-page"},"CommonsMetadataExtension":{"value":1.2,"hidden":"","source":"extension"}},"thumbheight":745,"thumbattribs":{"src":"https://thumb.wikimedia.org/wikipedia/commons/thumb/c/c3/Willow_Springs_-_Porsche_in_motion_%28cropped%29.jpg/1280px-Willow_Springs_-_Porsche_in_motion_%28cropped%29.jpg?utm_source=commons.wikimedia.org&amp;utm_campaign=imageinfo&amp;utm_content=thumbnail","width":1280,"height":745,"srcset":"https://thumb.wikimedia.org/wikipedia/commons/thumb/c/c3/Willow_Springs_-_Porsche_in_motion_%28cropped%29.jpg/3840px-Willow_Springs_-_Porsche_in_motion_%28cropped%29.jpg?utm_source=commons.wikimedia.org&amp;utm_campaign=imageinfo&amp;utm_content=thumbnail 2x","loading":"lazy","decoding":"async"},"descriptionurl":"https://commons.wikimedia.org/wiki/File:Willow_Springs_-_Porsche_in_motion_(cropped).jpg","responsiveUrls":{"2":"https://thumb.wikimedia.org/wikipedia/commons/thumb/c/c3/Willow_Springs_-_Porsche_in_motion_%28cropped%29.jpg/3840px-Willow_Springs_-_Porsche_in_motion_%28cropped%29.jpg?utm_source=commons.wikimedia.org&amp;utm_campaign=imageinfo&amp;utm_content=thumbnail"},"descriptionshorturl":"https://commons.wikimedia.org/w/index.php?curid=149642895"},"selection":{"qid":"pending","kind":"candidate","title":"Willow Springs International Motorsports Park"},"author_url":"","derivative":"Wikimedia thumbnail decoded; EXIF orientation applied; converted to WebP quality 86; no generated pixels, no cropping.","source_url":"https://commons.wikimedia.org/wiki/File:Willow_Springs_-_Porsche_in_motion_(cropped).jpg","author_urls":[],"description":"Willow Springs - Porsche","license_url":"https://creativecommons.org/licenses/by/2.0","reviewed_on":"2026-10-24","capture_date":"Taken on 9 March 2015, 15:00:18","download_url":"https://thumb.wikimedia.org/wikipedia/commons/thumb/c/c3/Willow_Springs_-_Porsche_in_motion_%28cropped%29.jpg/1280px-Willow_Springs_-_Porsche_in_motion_%28cropped%29.jpg?utm_source=commons.wikimedia.org&amp;utm_campaign=imageinfo&amp;utm_content=thumbnail","original_url":"https://upload.wikimedia.org/wikipedia/commons/c/c3/Willow_Springs_-_Porsche_in_motion_%28cropped%29.jpg?utm_source=commons.wikimedia.org&amp;utm_campaign=imageinfo&amp;utm_content=original","pixel_review":{"method":"İndirilen kare temas sayfasında görüldü; kaynak mekân kimliğiyle eşleştirildi. Seçim kaydı final-pixel-review.json.","status":"verified","caption":"Willow Springs International Raceway · Take tarihli fotoğraf","reviewer":"Codex (AI)","review_id":"C258"},"downloaded_at":"2026-10-23T19:10:43.660013+00:00","download_sha256":"f8c02e0197f8fe36639968a9d679efe136ff6cc7ce1126295ff5f067745c85d5","downloaded_file":"downloads/f8c02e0197f8fe36639968a9d679efe136ff6cc7ce1126295ff5f067745c85d5.jpg","acquisition_file":"0e093fca39290344887de859.webp","commons_filename":"Willow Springs - Porsche in motion (cropped).jpg","original_file_url":"https://upload.wikimedia.org/wikipedia/commons/c/c3/Willow_Springs_-_Porsche_in_motion_%28cropped%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c/c3/Willow_Springs_-_Porsche_in_motion_%28cropped%29.jpg?utm_source=commons.wikimedia.org&amp;utm_campaign=imageinfo&amp;utm_content=original"},"metadata_reviewed_on":"2026-10-24","metadata_review_status":"verified"}}</x:v>
      </x:c>
    </x:row>
    <x:row r="91" ht="300" customHeight="1">
      <x:c r="A91" s="29" t="str">
        <x:v>bakersfield:evidence:venue-22056</x:v>
      </x:c>
      <x:c r="B91" s="29" t="str">
        <x:v>bakersfield</x:v>
      </x:c>
      <x:c r="C91" s="29" t="str">
        <x:v>bakersfield:photo:venue-22056</x:v>
      </x:c>
      <x:c r="D91" s="29" t="str">
        <x:v>https://www.flickr.com/photos/135553449@N08/26665716213/</x:v>
      </x:c>
      <x:c r="E91" s="29" t="str">
        <x:v>Temblor Brewing Company önündeki motosiklet buluşması · 2016</x:v>
      </x:c>
      <x:c r="F91" s="29" t="str">
        <x:v>Steve Ginn</x:v>
      </x:c>
      <x:c r="G91" s="29" t="str">
        <x:v>CC0 1.0</x:v>
      </x:c>
      <x:c r="H91" s="29" t="str">
        <x:v>https://creativecommons.org/publicdomain/zero/1.0/</x:v>
      </x:c>
      <x:c r="I91" s="29" t="str">
        <x:v>CC0 1.0</x:v>
      </x:c>
      <x:c r="J91" s="29" t="str">
        <x:v>Temblor Brewing Company önündeki motosiklet buluşması · 2016 · Steve Ginn · CC0 1.0 · https://www.flickr.com/photos/135553449@N08/26665716213/</x:v>
      </x:c>
      <x:c r="K9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1" s="31" t="d">
        <x:v>2026-10-24T00:00:00.000Z</x:v>
      </x:c>
      <x:c r="M91" s="29" t="str">
        <x:v>Doğrulandı</x:v>
      </x:c>
      <x:c r="N91" s="29" t="str">
        <x:v>Doğrulandı</x:v>
      </x:c>
      <x:c r="O91" s="29" t="str">
        <x:v>Fotoğraflar/bk-0cd0c6cad84877b197d47c9b.webp</x:v>
      </x:c>
      <x:c r="P91" s="29" t="str">
        <x:v>Temblor Brewing Company önündeki motosiklet buluşması · 2016 · İndirilen kare temas sayfasında görüldü; kaynak mekân kimliğiyle eşleştirildi. Seçim kaydı final-pixel-review.json.</x:v>
      </x:c>
      <x:c r="Q91" s="29" t="str">
        <x:v>Bu kare için uygun</x:v>
      </x:c>
      <x:c r="R9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1" s="29" t="str">
        <x:v>Lisans kanıtları/bk-0cd0c6cad84877b197d47c9b.source-evidence.json</x:v>
      </x:c>
      <x:c r="T91" s="29" t="str">
        <x:v>09a2ea7070f38b3db51a5ef12c78bc6f5586e49b1b8cd94681fd350feba7eda4</x:v>
      </x:c>
      <x:c r="U91" s="29" t="str">
        <x:v>Lisans kanıtları/bk-0cd0c6cad84877b197d47c9b.license-record.json</x:v>
      </x:c>
      <x:c r="V91" s="29" t="str">
        <x:v>e392e376fbc3f17062a98d95d587e407125ad6206e255e3a70b6a1166bd81edd</x:v>
      </x:c>
      <x:c r="W91" s="29" t="str">
        <x:v>{"file":"bk-0cd0c6cad84877b197d47c9b.webp","width":1024,"author":"Steve Ginn","height":683,"sha256":"0cd0c6cad84877b197d47c9b8e9a78b2a8fbdb4b5b43bfa6303743f910095479","status":"reviewed-selected","license":"CC0 1.0","provider":"Flickr","review_id":"Y21","source_id":"26665716213","author_url":"https://www.flickr.com/photos/135553449@N08/","date_texts":["Uploaded on May 26, 2016 Taken on April 11, 2016","Taken on April 11, 2016","Uploaded on May 26, 2016 Taken on April 11, 2016","Taken on April 11, 2016"],"source_url":"https://www.flickr.com/photos/135553449@N08/26665716213/","description":"Euro Bike Night Bakersfield BSA","license_url":"https://creativecommons.org/publicdomain/zero/1.0/","review_note":"Motosikletli etkinlik bağlamında arka plandaki Temblor binası; belirgin portre yok.","reviewed_on":"2026-10-24","source_text":"DSC04898 | Euro Bike Night Bakersfield BSA | Steve Ginn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Steve Ginn oldsport500 DSC04898 Euro Bike Night Bakersfield BSA Done 853 views 3 faves 0 comments Uploaded on May 26, 2016 Taken on April 11, 2016 Steve Ginn By: Steve Ginn DSC04898 Euro Bike Night Bakersfield BSA Done 853 views 3 faves 0 comments Uploaded on May 26, 2016 Taken on April 11, 2016 Public domain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photography.","capture_date":"2016-04-11","download_url":"https://live.staticflickr.com/7138/26665716213_b234a55979_b.jpg","original_url":"https://live.staticflickr.com/7138/26665716213_89904c5e48_o.jpg","pixel_review":{"method":"İndirilen kare temas sayfasında görüldü; kaynak mekân kimliğiyle eşleştirildi. Seçim kaydı final-pixel-review.json.","status":"verified","caption":"Temblor Brewing Company önündeki motosiklet buluşması · 2016","reviewer":"Codex (AI)","review_id":"Y21"},"source_title":"DSC04898","downloaded_at":"2026-10-23T21:35:32.193900+00:00","download_sha256":"695fd4623e769654e577d8155b4411e19beb9c60437191b180fabb8509704c5e","downloaded_file":"downloads/695fd4623e769654e577d8155b4411e19beb9c60437191b180fabb8509704c5e.jpg","public_metadata":{"photo-models":[{"data":{"id":"26665716213","owner":{"data":{"id":"135553449@N08","isPro":false,"newFlow":true,"isAdFree":false,"location":"Ventura California, United States","realname":"Steve Ginn","segments":{"data":[],"exportMetaType":"array"},"username":"oldsport500","buddyicon":{"data":{"large":"//live.staticflickr.com/8630/buddyicons/135553449@N08_l.jpg?1474066961#135553449@N08","small":"//live.staticflickr.com/8630/buddyicons/135553449@N08_s.jpg?1474066961#135553449@N08","medium":"//live.staticflickr.com/8630/buddyicons/135553449@N08_m.jpg?1474066961#135553449@N08","retina":"//live.staticflickr.com/8630/buddyicons/135553449@N08_r.jpg?1474066961#135553449@N08","default":"//live.staticflickr.com/8630/buddyicons/135553449@N08.jpg?1474066961#135553449@N08"},"exportMetaType":"pojo"},"dateCreated":{"data":"1439837171","exportMetaType":"serializeFunction"},"subscription":{"data":{"isPro":false,"isClosed":false,"isPastDue":false},"exportMetaType":"pojo"},"eligibleGifts":{"data":["year","month","week"],"exportMetaType":"array"},"isEligibleForGifts":true,"_flickrModelRegistry":"person-models"},"exportMetaType":"model"},"sizes":{"data":{"c":{"data":{"url":"//live.staticflickr.com/7138/26665716213_b234a55979_c.jpg","width":800,"height":533,"displayUrl":"//live.staticflickr.com/7138/26665716213_b234a55979_c.jpg"},"exportMetaType":"pojo"},"h":{"data":{"url":"//live.staticflickr.com/7138/26665716213_899696f1d0_h.jpg","width":1600,"height":1067,"displayUrl":"//live.staticflickr.com/7138/26665716213_899696f1d0_h.jpg"},"exportMetaType":"pojo"},"k":{"data":{"url":"//live.staticflickr.com/7138/26665716213_ff01b0ce0e_k.jpg","width":2048,"height":1365,"displayUrl":"//live.staticflickr.com/7138/26665716213_ff01b0ce0e_k.jpg"},"exportMetaType":"pojo"},"l":{"data":{"url":"//live.staticflickr.com/7138/26665716213_b234a55979_b.jpg","width":1024,"height":683,"displayUrl":"//live.staticflickr.com/7138/26665716213_b234a55979_b.jpg"},"exportMetaType":"pojo"},"m":{"data":{"url":"//live.staticflickr.com/7138/26665716213_b234a55979.jpg","width":500,"height":333,"displayUrl":"//live.staticflickr.com/7138/26665716213_b234a55979.jpg"},"exportMetaType":"pojo"},"n":{"data":{"url":"//live.staticflickr.com/7138/26665716213_b234a55979_n.jpg","width":320,"height":213,"displayUrl":"//live.staticflickr.com/7138/26665716213_b234a55979_n.jpg"},"exportMetaType":"pojo"},"o":{"data":{"url":"//live.staticflickr.com/7138/26665716213_89904c5e48_o.jpg","width":5693,"height":3795,"displayUrl":"//live.staticflickr.com/7138/26665716213_89904c5e48_o.jpg"},"exportMetaType":"pojo"},"q":{"data":{"url":"//live.staticflickr.com/7138/26665716213_b234a55979_q.jpg","width":150,"height":150,"displayUrl":"//live.staticflickr.com/7138/26665716213_b234a55979_q.jpg"},"exportMetaType":"pojo"},"s":{"data":{"url":"//live.staticflickr.com/7138/26665716213_b234a55979_m.jpg","width":240,"height":160,"displayUrl":"//live.staticflickr.com/7138/26665716213_b234a55979_m.jpg"},"exportMetaType":"pojo"},"t":{"data":{"url":"//live.staticflickr.com/7138/26665716213_b234a55979_t.jpg","width":100,"height":67,"displayUrl":"//live.staticflickr.com/7138/26665716213_b234a55979_t.jpg"},"exportMetaType":"pojo"},"w":{"data":{"url":"//live.staticflickr.com/7138/26665716213_b234a55979_w.jpg","width":400,"height":267,"displayUrl":"//live.staticflickr.com/7138/26665716213_b234a55979_w.jpg"},"exportMetaType":"pojo"},"z":{"data":{"url":"//live.staticflickr.com/7138/26665716213_b234a55979_z.jpg","width":640,"height":427,"displayUrl":"//live.staticflickr.com/7138/26665716213_b234a55979_z.jpg"},"exportMetaType":"pojo"},"sq":{"data":{"url":"//live.staticflickr.com/7138/26665716213_b234a55979_s.jpg","width":75,"height":75,"displayUrl":"//live.staticflickr.com/7138/26665716213_b234a55979_s.jpg"},"exportMetaType":"pojo"}},"exportMetaType":"pojo"},"title":"DSC04898","oWidth":5693,"secret":"b234a55979","license":9,"oHeight":3795,"rotation":0,"canAddMeta":false,"canComment":false,"engagement":{"data":{"id":"26665716213","canShare":true,"faveCount":3,"ownerNsid":"135553449@N08","reactions":{"data":{"like":{"data":{"id":"like","count":5,"canReact":true,"didViewerReact":true},"exportMetaType":"pojo"},"someOtherReaction":{"data":{"id":"someOtherReaction","count":3,"canReact":true,"didViewerReact":false},"exportMetaType":"pojo"}},"exportMetaType":"pojo"},"viewCount":853,"canDownload":true,"_flickrModelRegistry":"photo-engagement-models"},"exportMetaType":"model"},"description":"Euro Bike Night Bakersfield BSA","safetyLevel":0,"upgradeSizes":{"data":[],"exportMetaType":"array"},"adEligibility":{"data":{"lane":1,"labels":{"data":["SafeAutotags"],"exportMetaType":"array"},"isAdEligible":true,"highScoreLabels":{"data":[],"exportMetaType":"array"}},"exportMetaType":"pojo"},"canPublicComment":true,"_flickrModelRegistry":"photo-models"},"exportMetaType":"model"}],"photo-geo-models":[{"data":{"id":"26665716213","_flickrModelRegistry":"photo-geo-models"},"exportMetaType":"model"}],"photo-location-models":[{"data":{"id":"26665716213","geo":{"data":"~2","exportMetaType":"model"},"text":"","levels":{"data":{},"exportMetaType":"pojo"},"staticMaps":{"data":{},"exportMetaType":"pojo"},"_flickrModelRegistry":"photo-location-models"},"exportMetaType":"model"}],"photo-head-meta-models":[{"data":{"id":"26665716213","title":"DSC04898","og:url":"https://www.flickr.com/photos/135553449@N08/26665716213/","og:type":"article","keywords":"motorcycle, bakersfield, bsa, temblor","og:image":"https://live.staticflickr.com/7138/26665716213_b234a55979_b.jpg","og:title":"DSC04898","twitter:card":"summary_large_image","twitter:image":"https://live.staticflickr.com/7138/26665716213_b234a55979_b.jpg","og:description":"Euro Bike Night Bakersfield BSA","og:image:width":1024,"og:image:height":683,"twitter:description":"Euro Bike Night Bakersfield BSA","_flickrModelRegistry":"photo-head-meta-models","twitter:app:url:ipad":"flickr://flickr.com/photos/135553449@N08/26665716213/","twitter:app:url:iphone":"flickr://flickr.com/photos/135553449@N08/26665716213/","twitter:app:url:googleplay":"https://www.flickr.com/photos/135553449@N08/26665716213/"},"exportMetaType":"model"}],"photo-license-history-models":[]},"acquisition_file":"fl-26665716213.webp","source_html_file":"/Users/atincakcayoz/corteqs/output/bakersfield-completion-20261024/flickr-source-pages/26665716213.html","original_file_url":"https://live.staticflickr.com/7138/26665716213_89904c5e48_o.jpg","proposed_identity":"Temblor Brewing Company","source_html_sha256":"bb931f92fd578a9da97376fdfee1667427b20a56008d770cdb2daf5f0df187dc","third_party_rights_review":{"basis":"Kaynakta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dönüştürüldü.","photo_attribution":{"author_url":"https://www.flickr.com/photos/135553449@N08/","modifications":"EXIF yönü uygulandı; boyut küçültülüp WebP biçimine dönüştürüldü.","original_file_url":"https://live.staticflickr.com/7138/26665716213_89904c5e48_o.jpg"},"metadata_reviewed_on":"2026-10-24","metadata_review_status":"verified"}}</x:v>
      </x:c>
    </x:row>
    <x:row r="92" ht="300" customHeight="1">
      <x:c r="A92" s="29" t="str">
        <x:v>bakersfield:evidence:venue-22057</x:v>
      </x:c>
      <x:c r="B92" s="29" t="str">
        <x:v>bakersfield</x:v>
      </x:c>
      <x:c r="C92" s="29" t="str">
        <x:v>bakersfield:photo:venue-22057</x:v>
      </x:c>
      <x:c r="D92" s="29" t="str">
        <x:v>https://commons.wikimedia.org/wiki/File:Frog_Meadow,_Sequoia_National_Forest.jpg</x:v>
      </x:c>
      <x:c r="E92" s="29" t="str">
        <x:v>Frog Meadow, Sequoia National Forest.jpg</x:v>
      </x:c>
      <x:c r="F92" s="29" t="str">
        <x:v>BurtMcMinnar</x:v>
      </x:c>
      <x:c r="G92" s="29" t="str">
        <x:v>CC BY-SA 4.0</x:v>
      </x:c>
      <x:c r="H92" s="29" t="str">
        <x:v>https://creativecommons.org/licenses/by-sa/4.0</x:v>
      </x:c>
      <x:c r="I92" s="29" t="str">
        <x:v>Creative Commons Attribution-Share Alike 4.0</x:v>
      </x:c>
      <x:c r="J92" s="29" t="str">
        <x:v>Frog Meadow, Sequoia National Forest.jpg · BurtMcMinnar · CC BY-SA 4.0 · https://commons.wikimedia.org/wiki/File:Frog_Meadow,_Sequoia_National_Forest.jpg</x:v>
      </x:c>
      <x:c r="K9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2" s="31" t="d">
        <x:v>2026-10-24T00:00:00.000Z</x:v>
      </x:c>
      <x:c r="M92" s="29" t="str">
        <x:v>Doğrulandı</x:v>
      </x:c>
      <x:c r="N92" s="29" t="str">
        <x:v>Doğrulandı</x:v>
      </x:c>
      <x:c r="O92" s="29" t="str">
        <x:v>Fotoğraflar/bk-f9f3f0c224010c0188bb8135.webp</x:v>
      </x:c>
      <x:c r="P92" s="29" t="str">
        <x:v>Frog Meadow · Take tarihli fotoğraf · İndirilen kare temas sayfasında görüldü; kaynak mekân kimliğiyle eşleştirildi. Seçim kaydı final-pixel-review.json.</x:v>
      </x:c>
      <x:c r="Q92" s="29" t="str">
        <x:v>Bu kare için uygun</x:v>
      </x:c>
      <x:c r="R9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2" s="29" t="str">
        <x:v>Lisans kanıtları/bk-f9f3f0c224010c0188bb8135.source-evidence.json</x:v>
      </x:c>
      <x:c r="T92" s="29" t="str">
        <x:v>82ec955aadced310f45194158d6852b67051b4910dc74cff1a8bb52cbd97e188</x:v>
      </x:c>
      <x:c r="U92" s="29" t="str">
        <x:v>Lisans kanıtları/bk-f9f3f0c224010c0188bb8135.license-record.json</x:v>
      </x:c>
      <x:c r="V92" s="29" t="str">
        <x:v>7b31954b050fd4947cda4cfa779cc1bc34b42280f7f7a4402b9bb8deecd59963</x:v>
      </x:c>
      <x:c r="W92" s="29" t="str">
        <x:v>{"file":"bk-f9f3f0c224010c0188bb8135.webp","width":1280,"author":"BurtMcMinnar","height":960,"sha256":"f9f3f0c224010c0188bb81353a30d6bfd2d3abfb34c2ca86dc5855a1a9beb283","license":"CC BY-SA 4.0","imageinfo":{"url":"https://upload.wikimedia.org/wikipedia/commons/a/a8/Frog_Meadow%2C_Sequoia_National_Forest.jpg?utm_source=commons.wikimedia.org&amp;utm_campaign=imageinfo&amp;utm_content=original","mime":"image/jpeg","sha1":"f312b1e189989c0167edf45c08097678146f522c","size":3446850,"width":3264,"height":2448,"pageid":39309486,"thumburl":"https://thumb.wikimedia.org/wikipedia/commons/thumb/a/a8/Frog_Meadow%2C_Sequoia_National_Forest.jpg/1280px-Frog_Meadow%2C_Sequoia_National_Forest.jpg?utm_source=commons.wikimedia.org&amp;utm_campaign=imageinfo&amp;utm_content=thumbnail","timestamp":"2015-03-31T03:18:30Z","thumbwidth":1280,"extmetadata":{"Artist":{"value":"&lt;a href=\"//commons.wikimedia.org/w/index.php?title=User:BurtMcMinnar&amp;amp;action=edit&amp;amp;redlink=1\" class=\"new\" title=\"User:BurtMcMinnar (page does not exist)\"&gt;BurtMcMinnar&lt;/a&gt;","source":"commons-desc-page"},"Credit":{"value":"&lt;span class=\"int-own-work\" lang=\"en\"&gt;Own work&lt;/span&gt;","source":"commons-desc-page"},"License":{"value":"cc-by-sa-4.0","hidden":"","source":"commons-templates"},"DateTime":{"value":"2015-03-31 03:18:30","hidden":"","source":"mediawiki-metadata"},"Categories":{"value":"Sequoia National Forest|March 2015 in California|Self-published work|Files with coordinates missing SDC location of creation|United States photographs taken on 2015-03-28","hidden":"","source":"commons-categories"},"LicenseUrl":{"value":"https://creativecommons.org/licenses/by-sa/4.0","source":"commons-desc-page"},"ObjectName":{"value":"Frog Meadow, Sequoia National Forest","source":"mediawiki-metadata"},"UsageTerms":{"value":"Creative Commons Attribution-Share Alike 4.0","source":"commons-desc-page"},"Assessments":{"value":"","hidden":"","source":"commons-categories"},"Copyrighted":{"value":"True","hidden":"","source":"commons-desc-page"},"GPSLatitude":{"value":"35.873497","source":"commons-desc-page"},"GPSMapDatum":{"value":"WGS-84","hidden":"","source":"commons-desc-page"},"GPSLongitude":{"value":"-118.579277","source":"commons-desc-page"},"Restrictions":{"value":"","hidden":"","source":"commons-desc-page"},"DateTimeOriginal":{"value":"Taken on 28 March 2015, 13:12:04","source":"commons-desc-page"},"ImageDescription":{"value":"Looking East from just below the campground shelter.","source":"commons-desc-page"},"LicenseShortName":{"value":"CC BY-SA 4.0","hidden":"","source":"commons-desc-page"},"AttributionRequired":{"value":"true","hidden":"","source":"commons-desc-page"},"CommonsMetadataExtension":{"value":1.2,"hidden":"","source":"extension"}},"thumbheight":960,"thumbattribs":{"src":"https://thumb.wikimedia.org/wikipedia/commons/thumb/a/a8/Frog_Meadow%2C_Sequoia_National_Forest.jpg/1280px-Frog_Meadow%2C_Sequoia_National_Forest.jpg?utm_source=commons.wikimedia.org&amp;utm_campaign=imageinfo&amp;utm_content=thumbnail","width":1280,"height":960,"srcset":"https://upload.wikimedia.org/wikipedia/commons/a/a8/Frog_Meadow%2C_Sequoia_National_Forest.jpg?utm_source=commons.wikimedia.org&amp;utm_campaign=imageinfo&amp;utm_content=thumbnail_unscaled 2x","loading":"lazy","decoding":"async"},"descriptionurl":"https://commons.wikimedia.org/wiki/File:Frog_Meadow,_Sequoia_National_Forest.jpg","responsiveUrls":{"2":"https://upload.wikimedia.org/wikipedia/commons/a/a8/Frog_Meadow%2C_Sequoia_National_Forest.jpg?utm_source=commons.wikimedia.org&amp;utm_campaign=imageinfo&amp;utm_content=thumbnail_unscaled"},"descriptionshorturl":"https://commons.wikimedia.org/w/index.php?curid=39309486"},"selection":{"qid":"pending","kind":"candidate","title":"Sequoia National Forest"},"author_url":"","derivative":"Wikimedia thumbnail decoded; EXIF orientation applied; converted to WebP quality 86; no generated pixels, no cropping.","source_url":"https://commons.wikimedia.org/wiki/File:Frog_Meadow,_Sequoia_National_Forest.jpg","author_urls":[],"description":"Looking East from just below the campground shelter.","license_url":"https://creativecommons.org/licenses/by-sa/4.0","reviewed_on":"2026-10-24","capture_date":"Taken on 28 March 2015, 13:12:04","download_url":"https://thumb.wikimedia.org/wikipedia/commons/thumb/a/a8/Frog_Meadow%2C_Sequoia_National_Forest.jpg/1280px-Frog_Meadow%2C_Sequoia_National_Forest.jpg?utm_source=commons.wikimedia.org&amp;utm_campaign=imageinfo&amp;utm_content=thumbnail","original_url":"https://upload.wikimedia.org/wikipedia/commons/a/a8/Frog_Meadow%2C_Sequoia_National_Forest.jpg?utm_source=commons.wikimedia.org&amp;utm_campaign=imageinfo&amp;utm_content=original","pixel_review":{"method":"İndirilen kare temas sayfasında görüldü; kaynak mekân kimliğiyle eşleştirildi. Seçim kaydı final-pixel-review.json.","status":"verified","caption":"Frog Meadow · Take tarihli fotoğraf","reviewer":"Codex (AI)","review_id":"C136"},"downloaded_at":"2026-10-23T19:10:33.400071+00:00","download_sha256":"8fd9b84f95c80bd021410905753b4b3db4a8ad3775949495687dca6e0c283c05","downloaded_file":"downloads/8fd9b84f95c80bd021410905753b4b3db4a8ad3775949495687dca6e0c283c05.jpg","acquisition_file":"b21b2127dac61f03656f4599.webp","commons_filename":"Frog Meadow, Sequoia National Forest.jpg","original_file_url":"https://upload.wikimedia.org/wikipedia/commons/a/a8/Frog_Meadow%2C_Sequoia_National_Forest.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a/a8/Frog_Meadow%2C_Sequoia_National_Forest.jpg?utm_source=commons.wikimedia.org&amp;utm_campaign=imageinfo&amp;utm_content=original"},"metadata_reviewed_on":"2026-10-24","metadata_review_status":"verified"}}</x:v>
      </x:c>
    </x:row>
    <x:row r="93" ht="300" customHeight="1">
      <x:c r="A93" s="29" t="str">
        <x:v>bakersfield:evidence:venue-22058</x:v>
      </x:c>
      <x:c r="B93" s="29" t="str">
        <x:v>bakersfield</x:v>
      </x:c>
      <x:c r="C93" s="29" t="str">
        <x:v>bakersfield:photo:venue-22058</x:v>
      </x:c>
      <x:c r="D93" s="29" t="str">
        <x:v>https://commons.wikimedia.org/wiki/File:Owens_Peak_Wilderness,_Onyx,_United_States_(Unsplash).jpg</x:v>
      </x:c>
      <x:c r="E93" s="29" t="str">
        <x:v>Owens Peak Wilderness, Onyx, United States (Unsplash).jpg</x:v>
      </x:c>
      <x:c r="F93" s="29" t="str">
        <x:v>Denys Nevozhai dnevozhai</x:v>
      </x:c>
      <x:c r="G93" s="29" t="str">
        <x:v>CC0 1.0</x:v>
      </x:c>
      <x:c r="H93" s="29" t="str">
        <x:v>https://creativecommons.org/publicdomain/zero/1.0/</x:v>
      </x:c>
      <x:c r="I93" s="29" t="str">
        <x:v>Creative Commons Zero, Public Domain Dedication</x:v>
      </x:c>
      <x:c r="J93" s="29" t="str">
        <x:v>Owens Peak Wilderness, Onyx, United States (Unsplash).jpg · Denys Nevozhai dnevozhai · CC0 1.0 · https://commons.wikimedia.org/wiki/File:Owens_Peak_Wilderness,_Onyx,_United_States_(Unsplash).jpg</x:v>
      </x:c>
      <x:c r="K9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3" s="31" t="d">
        <x:v>2026-10-24T00:00:00.000Z</x:v>
      </x:c>
      <x:c r="M93" s="29" t="str">
        <x:v>Doğrulandı</x:v>
      </x:c>
      <x:c r="N93" s="29" t="str">
        <x:v>Doğrulandı</x:v>
      </x:c>
      <x:c r="O93" s="29" t="str">
        <x:v>Fotoğraflar/bk-1d4f0ecb2061155d837f3e53.webp</x:v>
      </x:c>
      <x:c r="P93" s="29" t="str">
        <x:v>Owens Peak Wilderness – Short Canyon çevresi · 2017 tarihli fotoğraf · İndirilen kare temas sayfasında görüldü; kaynak mekân kimliğiyle eşleştirildi. Seçim kaydı final-pixel-review.json.</x:v>
      </x:c>
      <x:c r="Q93" s="29" t="str">
        <x:v>Bu kare için uygun</x:v>
      </x:c>
      <x:c r="R9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3" s="29" t="str">
        <x:v>Lisans kanıtları/bk-1d4f0ecb2061155d837f3e53.source-evidence.json</x:v>
      </x:c>
      <x:c r="T93" s="29" t="str">
        <x:v>bab415193a65ab37ba589a06daca3efb9677c19a98a78d3cad162222c8176069</x:v>
      </x:c>
      <x:c r="U93" s="29" t="str">
        <x:v>Lisans kanıtları/bk-1d4f0ecb2061155d837f3e53.license-record.json</x:v>
      </x:c>
      <x:c r="V93" s="29" t="str">
        <x:v>ae368abbb6a29511d329e868e4526b66e3290c5fe8aa471a3556a45e3f0aee14</x:v>
      </x:c>
      <x:c r="W93" s="29" t="str">
        <x:v>{"file":"bk-1d4f0ecb2061155d837f3e53.webp","width":1280,"author":"Denys Nevozhai dnevozhai","height":853,"sha256":"1d4f0ecb2061155d837f3e5398147e90090dd5f81e8e482191f599ec6f74221a","license":"CC0 1.0","imageinfo":{"url":"https://upload.wikimedia.org/wikipedia/commons/a/aa/Owens_Peak_Wilderness%2C_Onyx%2C_United_States_%28Unsplash%29.jpg?utm_source=commons.wikimedia.org&amp;utm_campaign=imageinfo&amp;utm_content=original","mime":"image/jpeg","sha1":"24568480d430bf8964e63b8c33db52a53860a13f","size":2642897,"width":4012,"height":2675,"pageid":61895771,"thumburl":"https://thumb.wikimedia.org/wikipedia/commons/thumb/a/aa/Owens_Peak_Wilderness%2C_Onyx%2C_United_States_%28Unsplash%29.jpg/1280px-Owens_Peak_Wilderness%2C_Onyx%2C_United_States_%28Unsplash%29.jpg?utm_source=commons.wikimedia.org&amp;utm_campaign=imageinfo&amp;utm_content=thumbnail","timestamp":"2017-08-23T22:10:30Z","thumbwidth":1280,"extmetadata":{"Artist":{"value":"Denys Nevozhai &lt;a rel=\"nofollow\" class=\"external text\" href=\"https://unsplash.com/@dnevozhai\"&gt;dnevozhai&lt;/a&gt;","source":"commons-desc-page"},"Credit":{"value":"&lt;p&gt;&lt;a rel=\"nofollow\" class=\"external free\" href=\"https://unsplash.com/photos/7fOU7gCulR4\"&gt;https://unsplash.com/photos/7fOU7gCulR4&lt;/a&gt;\n&lt;bdi lang=\"en\" dir=\"ltr\" title=\"archived on 24 April 2017 at the Wayback Machine\"&gt;&lt;a rel=\"nofollow\" class=\"external text\" href=\"https://web.archive.org/web/20170424085936/https%3A//images.unsplash.com/photo-1486189611905-d51f12cbe71f\"&gt;Image&lt;/a&gt; at the &lt;span lang=\"en\" dir=\"ltr\"&gt;&lt;a href=\"https://en.wikipedia.org/wiki/Wayback_Machine\" class=\"extiw\" title=\"en:Wayback Machine\"&gt;&lt;span lang=\"en\" dir=\"ltr\"&gt;Wayback Machine&lt;/span&gt;&lt;/a&gt;&lt;/span&gt;&lt;/bdi&gt;\n&lt;/p&gt;\n&lt;bdi lang=\"en\" dir=\"ltr\" title=\"archived on 24 April 2017 at the Wayback Machine\"&gt;&lt;a rel=\"nofollow\" class=\"external text\" href=\"https://web.archive.org/web/20170424085940/https%3A//unsplash.com/photos/7fOU7gCulR4\"&gt;Gallery&lt;/a&gt; at the &lt;span lang=\"en\" dir=\"ltr\"&gt;&lt;a href=\"https://en.wikipedia.org/wiki/Wayback_Machine\" class=\"extiw\" title=\"en:Wayback Machine\"&gt;&lt;span lang=\"en\" dir=\"ltr\"&gt;Wayback Machine&lt;/span&gt;&lt;/a&gt;&lt;/span&gt;&lt;/bdi&gt;","source":"commons-desc-page"},"License":{"value":"cc0","hidden":"","source":"commons-templates"},"DateTime":{"value":"2017-08-23 22:10:30","hidden":"","source":"mediawiki-metadata"},"Categories":{"value":"CC-Zero|Owens Peak Wilderness|Images uploaded by Fæ|Images from Unsplash|Images from Unsplash (review needed)|Files with coordinates missing SDC location of creation","hidden":"","source":"commons-categories"},"LicenseUrl":{"value":"http://creativecommons.org/publicdomain/zero/1.0/deed.en","source":"commons-desc-page"},"ObjectName":{"value":"Owens Peak Wilderness, Onyx, United States (Unsplash)","source":"mediawiki-metadata"},"UsageTerms":{"value":"Creative Commons Zero, Public Domain Dedication","source":"commons-desc-page"},"Assessments":{"value":"","hidden":"","source":"commons-categories"},"Copyrighted":{"value":"True","hidden":"","source":"commons-desc-page"},"GPSLatitude":{"value":"35.741062","source":"commons-desc-page"},"GPSMapDatum":{"value":"WGS-84","hidden":"","source":"commons-desc-page"},"GPSLongitude":{"value":"-117.982018","source":"commons-desc-page"},"Restrictions":{"value":"","hidden":"","source":"commons-desc-page"},"DateTimeOriginal":{"value":"2017-02-04","source":"commons-desc-page"},"ImageDescription":{"value":"Owens Peak Wilderness, Onyx, United States","source":"commons-desc-page"},"LicenseShortName":{"value":"CC0","hidden":"","source":"commons-desc-page"},"AttributionRequired":{"value":"false","hidden":"","source":"commons-desc-page"},"CommonsMetadataExtension":{"value":1.2,"hidden":"","source":"extension"}},"thumbheight":853,"thumbattribs":{"src":"https://thumb.wikimedia.org/wikipedia/commons/thumb/a/aa/Owens_Peak_Wilderness%2C_Onyx%2C_United_States_%28Unsplash%29.jpg/1280px-Owens_Peak_Wilderness%2C_Onyx%2C_United_States_%28Unsplash%29.jpg?utm_source=commons.wikimedia.org&amp;utm_campaign=imageinfo&amp;utm_content=thumbnail","width":1280,"height":853,"srcset":"https://thumb.wikimedia.org/wikipedia/commons/thumb/a/aa/Owens_Peak_Wilderness%2C_Onyx%2C_United_States_%28Unsplash%29.jpg/3840px-Owens_Peak_Wilderness%2C_Onyx%2C_United_States_%28Unsplash%29.jpg?utm_source=commons.wikimedia.org&amp;utm_campaign=imageinfo&amp;utm_content=thumbnail 2x","loading":"lazy","decoding":"async"},"descriptionurl":"https://commons.wikimedia.org/wiki/File:Owens_Peak_Wilderness,_Onyx,_United_States_(Unsplash).jpg","responsiveUrls":{"2":"https://thumb.wikimedia.org/wikipedia/commons/thumb/a/aa/Owens_Peak_Wilderness%2C_Onyx%2C_United_States_%28Unsplash%29.jpg/3840px-Owens_Peak_Wilderness%2C_Onyx%2C_United_States_%28Unsplash%29.jpg?utm_source=commons.wikimedia.org&amp;utm_campaign=imageinfo&amp;utm_content=thumbnail"},"descriptionshorturl":"https://commons.wikimedia.org/w/index.php?curid=61895771"},"selection":{"qid":"pending","kind":"candidate","title":"Owens Peak Wilderness"},"author_url":"https://unsplash.com/@dnevozhai","derivative":"Wikimedia thumbnail decoded; EXIF orientation applied; converted to WebP quality 86; no generated pixels, no cropping.","source_url":"https://commons.wikimedia.org/wiki/File:Owens_Peak_Wilderness,_Onyx,_United_States_(Unsplash).jpg","author_urls":["https://unsplash.com/@dnevozhai"],"description":"Owens Peak Wilderness, Onyx, United States","license_url":"https://creativecommons.org/publicdomain/zero/1.0/","reviewed_on":"2026-10-24","capture_date":"2017-02-04","download_url":"https://thumb.wikimedia.org/wikipedia/commons/thumb/a/aa/Owens_Peak_Wilderness%2C_Onyx%2C_United_States_%28Unsplash%29.jpg/1280px-Owens_Peak_Wilderness%2C_Onyx%2C_United_States_%28Unsplash%29.jpg?utm_source=commons.wikimedia.org&amp;utm_campaign=imageinfo&amp;utm_content=thumbnail","original_url":"https://upload.wikimedia.org/wikipedia/commons/a/aa/Owens_Peak_Wilderness%2C_Onyx%2C_United_States_%28Unsplash%29.jpg?utm_source=commons.wikimedia.org&amp;utm_campaign=imageinfo&amp;utm_content=original","pixel_review":{"method":"İndirilen kare temas sayfasında görüldü; kaynak mekân kimliğiyle eşleştirildi. Seçim kaydı final-pixel-review.json.","status":"verified","caption":"Owens Peak Wilderness – Short Canyon çevresi · 2017 tarihli fotoğraf","reviewer":"Codex (AI)","review_id":"C226"},"downloaded_at":"2026-10-23T19:10:45.951268+00:00","download_sha256":"8b7a36d6ce15cb0052ee2e0dc01955f55a3ec0b1f98c0a3d890aed624002331b","downloaded_file":"downloads/8b7a36d6ce15cb0052ee2e0dc01955f55a3ec0b1f98c0a3d890aed624002331b.jpg","acquisition_file":"8097347d558715aa6453d58b.webp","commons_filename":"Owens Peak Wilderness, Onyx, United States (Unsplash).jpg","original_file_url":"https://upload.wikimedia.org/wikipedia/commons/a/aa/Owens_Peak_Wilderness%2C_Onyx%2C_United_States_%28Unsplash%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dönüştürüldü.","photo_attribution":{"author_url":"https://unsplash.com/@dnevozhai","modifications":"EXIF yönü uygulandı; boyut küçültülüp WebP biçimine dönüştürüldü.","original_file_url":"https://upload.wikimedia.org/wikipedia/commons/a/aa/Owens_Peak_Wilderness%2C_Onyx%2C_United_States_%28Unsplash%29.jpg?utm_source=commons.wikimedia.org&amp;utm_campaign=imageinfo&amp;utm_content=original"},"metadata_reviewed_on":"2026-10-24","metadata_review_status":"verified"}}</x:v>
      </x:c>
    </x:row>
    <x:row r="94" ht="300" customHeight="1">
      <x:c r="A94" s="29" t="str">
        <x:v>bakersfield:evidence:venue-22059</x:v>
      </x:c>
      <x:c r="B94" s="29" t="str">
        <x:v>bakersfield</x:v>
      </x:c>
      <x:c r="C94" s="29" t="str">
        <x:v>bakersfield:photo:venue-22059</x:v>
      </x:c>
      <x:c r="D94" s="29" t="str">
        <x:v>https://commons.wikimedia.org/wiki/File:South_end_of_Last_Chance_Canyon.JPG</x:v>
      </x:c>
      <x:c r="E94" s="29" t="str">
        <x:v>South end of Last Chance Canyon.JPG</x:v>
      </x:c>
      <x:c r="F94" s="29" t="str">
        <x:v>Kurtis Clark</x:v>
      </x:c>
      <x:c r="G94" s="29" t="str">
        <x:v>CC BY-SA 3.0</x:v>
      </x:c>
      <x:c r="H94" s="29" t="str">
        <x:v>https://creativecommons.org/licenses/by-sa/3.0</x:v>
      </x:c>
      <x:c r="I94" s="29" t="str">
        <x:v>Creative Commons Attribution-Share Alike 3.0</x:v>
      </x:c>
      <x:c r="J94" s="29" t="str">
        <x:v>South end of Last Chance Canyon.JPG · Kurtis Clark · CC BY-SA 3.0 · https://commons.wikimedia.org/wiki/File:South_end_of_Last_Chance_Canyon.JPG</x:v>
      </x:c>
      <x:c r="K9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4" s="31" t="d">
        <x:v>2026-10-24T00:00:00.000Z</x:v>
      </x:c>
      <x:c r="M94" s="29" t="str">
        <x:v>Doğrulandı</x:v>
      </x:c>
      <x:c r="N94" s="29" t="str">
        <x:v>Doğrulandı</x:v>
      </x:c>
      <x:c r="O94" s="29" t="str">
        <x:v>Fotoğraflar/bk-13b142ba44ad1b1d24490aa9.webp</x:v>
      </x:c>
      <x:c r="P94" s="29" t="str">
        <x:v>Last Chance Canyon · 2007 tarihli fotoğraf · İndirilen kare temas sayfasında görüldü; kaynak mekân kimliğiyle eşleştirildi. Seçim kaydı final-pixel-review.json.</x:v>
      </x:c>
      <x:c r="Q94" s="29" t="str">
        <x:v>Bu kare için uygun</x:v>
      </x:c>
      <x:c r="R9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4" s="29" t="str">
        <x:v>Lisans kanıtları/bk-13b142ba44ad1b1d24490aa9.source-evidence.json</x:v>
      </x:c>
      <x:c r="T94" s="29" t="str">
        <x:v>82f79967e22e10d1dc63489288e507878bfcd68c07252f8b22a61f912aa621e0</x:v>
      </x:c>
      <x:c r="U94" s="29" t="str">
        <x:v>Lisans kanıtları/bk-13b142ba44ad1b1d24490aa9.license-record.json</x:v>
      </x:c>
      <x:c r="V94" s="29" t="str">
        <x:v>4c646ce1ce0fdfa53bc40fa5e4117c47d51eb65105a97e5d027e98dead6959dc</x:v>
      </x:c>
      <x:c r="W94" s="29" t="str">
        <x:v>{"file":"bk-13b142ba44ad1b1d24490aa9.webp","width":1280,"author":"Kurtis Clark","height":960,"sha256":"13b142ba44ad1b1d24490aa947085e20b0339916e9e0b5e95286eb2d9465ceda","license":"CC BY-SA 3.0","imageinfo":{"url":"https://upload.wikimedia.org/wikipedia/commons/7/7b/South_end_of_Last_Chance_Canyon.JPG?utm_source=commons.wikimedia.org&amp;utm_campaign=imageinfo&amp;utm_content=original","mime":"image/jpeg","sha1":"26561dde42f34a0b236f1ecab7068f671543de0c","size":1996508,"width":2048,"height":1536,"pageid":35298824,"thumburl":"https://thumb.wikimedia.org/wikipedia/commons/thumb/7/7b/South_end_of_Last_Chance_Canyon.JPG/1280px-South_end_of_Last_Chance_Canyon.JPG?utm_source=commons.wikimedia.org&amp;utm_campaign=imageinfo&amp;utm_content=thumbnail","timestamp":"2014-09-11T16:16:39Z","thumbwidth":1280,"extmetadata":{"Artist":{"value":"&lt;a href=\"//commons.wikimedia.org/w/index.php?title=User:Kurtis2014&amp;amp;action=edit&amp;amp;redlink=1\" class=\"new\" title=\"User:Kurtis2014 (page does not exist)\"&gt;Kurtis Clark&lt;/a&gt;","source":"commons-desc-page"},"Credit":{"value":"&lt;span class=\"int-own-work\" lang=\"en\"&gt;Own work&lt;/span&gt;","source":"commons-desc-page"},"License":{"value":"cc-by-sa-3.0","hidden":"","source":"commons-templates"},"DateTime":{"value":"2014-09-11 16:16:39","hidden":"","source":"mediawiki-metadata"},"Categories":{"value":"Taken with Canon PowerShot S1 IS|National Register of Historic Places in Kern County, California|Self-published work|National Register of Historic Places with known IDs|Images from Wikipedia Summer of Monuments|Uploaded via Campaign:wsm","hidden":"","source":"commons-categories"},"LicenseUrl":{"value":"https://creativecommons.org/licenses/by-sa/3.0","source":"commons-desc-page"},"ObjectName":{"value":"South end of Last Chance Canyon","source":"mediawiki-metadata"},"UsageTerms":{"value":"Creative Commons Attribution-Share Alike 3.0","source":"commons-desc-page"},"Assessments":{"value":"","hidden":"","source":"commons-categories"},"Copyrighted":{"value":"True","hidden":"","source":"commons-desc-page"},"Restrictions":{"value":"","hidden":"","source":"commons-desc-page"},"DateTimeOriginal":{"value":"2007-10-14 09:44:41","source":"commons-desc-page"},"ImageDescription":{"value":"Photo was taken from the ridge above the canyon. Water exits and flows south towards Koehn Lake","source":"commons-desc-page"},"LicenseShortName":{"value":"CC BY-SA 3.0","hidden":"","source":"commons-desc-page"},"AttributionRequired":{"value":"true","hidden":"","source":"commons-desc-page"},"CommonsMetadataExtension":{"value":1.2,"hidden":"","source":"extension"}},"thumbheight":960,"thumbattribs":{"src":"https://thumb.wikimedia.org/wikipedia/commons/thumb/7/7b/South_end_of_Last_Chance_Canyon.JPG/1280px-South_end_of_Last_Chance_Canyon.JPG?utm_source=commons.wikimedia.org&amp;utm_campaign=imageinfo&amp;utm_content=thumbnail","width":1280,"height":960,"srcset":"https://upload.wikimedia.org/wikipedia/commons/7/7b/South_end_of_Last_Chance_Canyon.JPG?utm_source=commons.wikimedia.org&amp;utm_campaign=imageinfo&amp;utm_content=thumbnail_unscaled 2x","loading":"lazy","decoding":"async"},"descriptionurl":"https://commons.wikimedia.org/wiki/File:South_end_of_Last_Chance_Canyon.JPG","responsiveUrls":{"2":"https://upload.wikimedia.org/wikipedia/commons/7/7b/South_end_of_Last_Chance_Canyon.JPG?utm_source=commons.wikimedia.org&amp;utm_campaign=imageinfo&amp;utm_content=thumbnail_unscaled"},"descriptionshorturl":"https://commons.wikimedia.org/w/index.php?curid=35298824"},"selection":{"qid":"pending","kind":"candidate","title":"National Register of Historic Places in Kern County, California"},"author_url":"","derivative":"Wikimedia thumbnail decoded; EXIF orientation applied; converted to WebP quality 86; no generated pixels, no cropping.","source_url":"https://commons.wikimedia.org/wiki/File:South_end_of_Last_Chance_Canyon.JPG","author_urls":[],"description":"Photo was taken from the ridge above the canyon. Water exits and flows south towards Koehn Lake","license_url":"https://creativecommons.org/licenses/by-sa/3.0","reviewed_on":"2026-10-24","capture_date":"2007-10-14 09:44:41","download_url":"https://thumb.wikimedia.org/wikipedia/commons/thumb/7/7b/South_end_of_Last_Chance_Canyon.JPG/1280px-South_end_of_Last_Chance_Canyon.JPG?utm_source=commons.wikimedia.org&amp;utm_campaign=imageinfo&amp;utm_content=thumbnail","original_url":"https://upload.wikimedia.org/wikipedia/commons/7/7b/South_end_of_Last_Chance_Canyon.JPG?utm_source=commons.wikimedia.org&amp;utm_campaign=imageinfo&amp;utm_content=original","pixel_review":{"method":"İndirilen kare temas sayfasında görüldü; kaynak mekân kimliğiyle eşleştirildi. Seçim kaydı final-pixel-review.json.","status":"verified","caption":"Last Chance Canyon · 2007 tarihli fotoğraf","reviewer":"Codex (AI)","review_id":"C235"},"downloaded_at":"2026-10-23T19:10:32.568126+00:00","download_sha256":"e400858f27f6e9a4ebd2d95dcc10376dd242825d9a6b85bcb9e884b9543b4f39","downloaded_file":"downloads/e400858f27f6e9a4ebd2d95dcc10376dd242825d9a6b85bcb9e884b9543b4f39.jpg","acquisition_file":"c4f430601cf0fbb32a698e6b.webp","commons_filename":"South end of Last Chance Canyon.JPG","original_file_url":"https://upload.wikimedia.org/wikipedia/commons/7/7b/South_end_of_Last_Chance_Canyo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7/7b/South_end_of_Last_Chance_Canyon.JPG?utm_source=commons.wikimedia.org&amp;utm_campaign=imageinfo&amp;utm_content=original"},"metadata_reviewed_on":"2026-10-24","metadata_review_status":"verified"}}</x:v>
      </x:c>
    </x:row>
    <x:row r="95" ht="300" customHeight="1">
      <x:c r="A95" s="29" t="str">
        <x:v>bakersfield:evidence:venue-22060</x:v>
      </x:c>
      <x:c r="B95" s="29" t="str">
        <x:v>bakersfield</x:v>
      </x:c>
      <x:c r="C95" s="29" t="str">
        <x:v>bakersfield:photo:venue-22060</x:v>
      </x:c>
      <x:c r="D95" s="29" t="str">
        <x:v>https://commons.wikimedia.org/wiki/File:Guthrie%27s_Alley_Cat_-_March_2022_-_Sarah_Stierch_01.jpg</x:v>
      </x:c>
      <x:c r="E95" s="29" t="str">
        <x:v>Guthrie's Alley Cat - March 2022 - Sarah Stierch 01.jpg</x:v>
      </x:c>
      <x:c r="F95" s="29" t="str">
        <x:v>Missvain</x:v>
      </x:c>
      <x:c r="G95" s="29" t="str">
        <x:v>CC BY 4.0</x:v>
      </x:c>
      <x:c r="H95" s="29" t="str">
        <x:v>https://creativecommons.org/licenses/by/4.0</x:v>
      </x:c>
      <x:c r="I95" s="29" t="str">
        <x:v>Creative Commons Attribution 4.0</x:v>
      </x:c>
      <x:c r="J95" s="29" t="str">
        <x:v>Guthrie's Alley Cat - March 2022 - Sarah Stierch 01.jpg · Missvain · CC BY 4.0 · https://commons.wikimedia.org/wiki/File:Guthrie%27s_Alley_Cat_-_March_2022_-_Sarah_Stierch_01.jpg</x:v>
      </x:c>
      <x:c r="K9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5" s="31" t="d">
        <x:v>2026-10-24T00:00:00.000Z</x:v>
      </x:c>
      <x:c r="M95" s="29" t="str">
        <x:v>Doğrulandı</x:v>
      </x:c>
      <x:c r="N95" s="29" t="str">
        <x:v>Doğrulandı</x:v>
      </x:c>
      <x:c r="O95" s="29" t="str">
        <x:v>Fotoğraflar/bk-827031f7a705bfb83d7410e1.webp</x:v>
      </x:c>
      <x:c r="P95" s="29" t="str">
        <x:v>Guthrie's Alley Cat · 2022 tarihli fotoğraf · İndirilen kare temas sayfasında görüldü; kaynak mekân kimliğiyle eşleştirildi. Seçim kaydı final-pixel-review.json.</x:v>
      </x:c>
      <x:c r="Q95" s="29" t="str">
        <x:v>Bu kare için uygun</x:v>
      </x:c>
      <x:c r="R9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5" s="29" t="str">
        <x:v>Lisans kanıtları/bk-827031f7a705bfb83d7410e1.source-evidence.json</x:v>
      </x:c>
      <x:c r="T95" s="29" t="str">
        <x:v>fc0d749bc0943cd2915380beced43fb91df338591a53a775f2fcbc2df943ed4d</x:v>
      </x:c>
      <x:c r="U95" s="29" t="str">
        <x:v>Lisans kanıtları/bk-827031f7a705bfb83d7410e1.license-record.json</x:v>
      </x:c>
      <x:c r="V95" s="29" t="str">
        <x:v>f1926f4b6d0cc40d9af55dfd38ee962ff09f0399f7ead984dff58935df918e9e</x:v>
      </x:c>
      <x:c r="W95" s="29" t="str">
        <x:v>{"file":"bk-827031f7a705bfb83d7410e1.webp","width":1080,"author":"Missvain","height":1440,"sha256":"827031f7a705bfb83d7410e1e4c566a29805396d27cfcd4e27837ec79c1bf587","license":"CC BY 4.0","imageinfo":{"url":"https://upload.wikimedia.org/wikipedia/commons/b/b7/Guthrie%27s_Alley_Cat_-_March_2022_-_Sarah_Stierch_01.jpg?utm_source=commons.wikimedia.org&amp;utm_campaign=imageinfo&amp;utm_content=original","mime":"image/jpeg","sha1":"fe324dd78877a3ee697beec82a206ea7f62be4f3","size":7136218,"width":3024,"height":4032,"pageid":116602741,"thumburl":"https://thumb.wikimedia.org/wikipedia/commons/thumb/b/b7/Guthrie%27s_Alley_Cat_-_March_2022_-_Sarah_Stierch_01.jpg/1280px-Guthrie%27s_Alley_Cat_-_March_2022_-_Sarah_Stierch_01.jpg?utm_source=commons.wikimedia.org&amp;utm_campaign=imageinfo&amp;utm_content=thumbnail","timestamp":"2022-04-02T14:45:28Z","thumbwidth":1280,"extmetadata":{"Artist":{"value":"&lt;a href=\"//commons.wikimedia.org/wiki/User:Missvain\" title=\"User:Missvain\"&gt;Missvain&lt;/a&gt;","source":"commons-desc-page"},"Credit":{"value":"&lt;span class=\"int-own-work\" lang=\"en\"&gt;Own work&lt;/span&gt;","source":"commons-desc-page"},"License":{"value":"cc-by-4.0","hidden":"","source":"commons-templates"},"DateTime":{"value":"2022-04-02 14:45:28","hidden":"","source":"mediawiki-metadata"},"Categories":{"value":"Guthrie's Alley Cat|Night in California|Alleys in California|March 2022 in California|Self-published work|Photos by Sarah Stierch|Files with coordinates missing SDC location of creation|2022 in Bakersfield, California","hidden":"","source":"commons-categories"},"LicenseUrl":{"value":"https://creativecommons.org/licenses/by/4.0","source":"commons-desc-page"},"ObjectName":{"value":"Guthrie's Alley Cat - March 2022 - Sarah Stierch 01","source":"mediawiki-metadata"},"UsageTerms":{"value":"Creative Commons Attribution 4.0","source":"commons-desc-page"},"Assessments":{"value":"","hidden":"","source":"commons-categories"},"Copyrighted":{"value":"True","hidden":"","source":"commons-desc-page"},"GPSLatitude":{"value":"35.375769","source":"commons-desc-page"},"GPSMapDatum":{"value":"WGS-84","hidden":"","source":"commons-desc-page"},"GPSLongitude":{"value":"-119.019897","source":"commons-desc-page"},"Restrictions":{"value":"","hidden":"","source":"commons-desc-page"},"DateTimeOriginal":{"value":"2022-03-09 21:50:39","source":"commons-desc-page"},"ImageDescription":{"value":"Guthrie's Alley Cat, Bakersfield, California","source":"commons-desc-page"},"LicenseShortName":{"value":"CC BY 4.0","hidden":"","source":"commons-desc-page"},"AttributionRequired":{"value":"true","hidden":"","source":"commons-desc-page"},"CommonsMetadataExtension":{"value":1.2,"hidden":"","source":"extension"}},"thumbheight":1707,"thumbattribs":{"src":"https://thumb.wikimedia.org/wikipedia/commons/thumb/b/b7/Guthrie%27s_Alley_Cat_-_March_2022_-_Sarah_Stierch_01.jpg/1280px-Guthrie%27s_Alley_Cat_-_March_2022_-_Sarah_Stierch_01.jpg?utm_source=commons.wikimedia.org&amp;utm_campaign=imageinfo&amp;utm_content=thumbnail","width":1280,"height":1707,"srcset":"https://upload.wikimedia.org/wikipedia/commons/b/b7/Guthrie%27s_Alley_Cat_-_March_2022_-_Sarah_Stierch_01.jpg?utm_source=commons.wikimedia.org&amp;utm_campaign=imageinfo&amp;utm_content=thumbnail_unscaled 2x","loading":"lazy","decoding":"async"},"descriptionurl":"https://commons.wikimedia.org/wiki/File:Guthrie%27s_Alley_Cat_-_March_2022_-_Sarah_Stierch_01.jpg","responsiveUrls":{"2":"https://upload.wikimedia.org/wikipedia/commons/b/b7/Guthrie%27s_Alley_Cat_-_March_2022_-_Sarah_Stierch_01.jpg?utm_source=commons.wikimedia.org&amp;utm_campaign=imageinfo&amp;utm_content=thumbnail_unscaled"},"descriptionshorturl":"https://commons.wikimedia.org/w/index.php?curid=116602741"},"selection":{"qid":"pending","kind":"candidate","title":"Bakersfield local buildings"},"author_url":"https://commons.wikimedia.org/wiki/User:Missvain","derivative":"Wikimedia thumbnail decoded; EXIF orientation applied; converted to WebP quality 86; no generated pixels, no cropping.","source_url":"https://commons.wikimedia.org/wiki/File:Guthrie%27s_Alley_Cat_-_March_2022_-_Sarah_Stierch_01.jpg","author_urls":["https://commons.wikimedia.org/wiki/User:Missvain"],"description":"Guthrie's Alley Cat, Bakersfield, California","license_url":"https://creativecommons.org/licenses/by/4.0","reviewed_on":"2026-10-24","capture_date":"2022-03-09 21:50:39","download_url":"https://thumb.wikimedia.org/wikipedia/commons/thumb/b/b7/Guthrie%27s_Alley_Cat_-_March_2022_-_Sarah_Stierch_01.jpg/1280px-Guthrie%27s_Alley_Cat_-_March_2022_-_Sarah_Stierch_01.jpg?utm_source=commons.wikimedia.org&amp;utm_campaign=imageinfo&amp;utm_content=thumbnail","original_url":"https://upload.wikimedia.org/wikipedia/commons/b/b7/Guthrie%27s_Alley_Cat_-_March_2022_-_Sarah_Stierch_01.jpg?utm_source=commons.wikimedia.org&amp;utm_campaign=imageinfo&amp;utm_content=original","pixel_review":{"method":"İndirilen kare temas sayfasında görüldü; kaynak mekân kimliğiyle eşleştirildi. Seçim kaydı final-pixel-review.json.","status":"verified","caption":"Guthrie's Alley Cat · 2022 tarihli fotoğraf","reviewer":"Codex (AI)","review_id":"C145"},"downloaded_at":"2026-10-23T19:08:30.620770+00:00","download_sha256":"7aa8a2916e08c0263159feb8e78e1a171f3e656ffe58db1e2eddeb617447c7d6","downloaded_file":"downloads/7aa8a2916e08c0263159feb8e78e1a171f3e656ffe58db1e2eddeb617447c7d6.jpg","acquisition_file":"a9225f6b1605cafc9f5d5a46.webp","commons_filename":"Guthrie's Alley Cat - March 2022 - Sarah Stierch 01.jpg","original_file_url":"https://upload.wikimedia.org/wikipedia/commons/b/b7/Guthrie%27s_Alley_Cat_-_March_2022_-_Sarah_Stierch_01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b/b7/Guthrie%27s_Alley_Cat_-_March_2022_-_Sarah_Stierch_01.jpg?utm_source=commons.wikimedia.org&amp;utm_campaign=imageinfo&amp;utm_content=original"},"metadata_reviewed_on":"2026-10-24","metadata_review_status":"verified"}}</x:v>
      </x:c>
    </x:row>
    <x:row r="96" ht="300" customHeight="1">
      <x:c r="A96" s="29" t="str">
        <x:v>bakersfield:evidence:venue-22061</x:v>
      </x:c>
      <x:c r="B96" s="29" t="str">
        <x:v>bakersfield</x:v>
      </x:c>
      <x:c r="C96" s="29" t="str">
        <x:v>bakersfield:photo:venue-22061</x:v>
      </x:c>
      <x:c r="D96" s="29" t="str">
        <x:v>https://www.flickr.com/photos/32693718@N07/54744729666/</x:v>
      </x:c>
      <x:c r="E96" s="29" t="str">
        <x:v>Guthrie's Alley Cat · 2024 tarihli fotoğraf</x:v>
      </x:c>
      <x:c r="F96" s="29" t="str">
        <x:v>David Wilson</x:v>
      </x:c>
      <x:c r="G96" s="29" t="str">
        <x:v>CC BY 4.0</x:v>
      </x:c>
      <x:c r="H96" s="29" t="str">
        <x:v>https://creativecommons.org/licenses/by/4.0/</x:v>
      </x:c>
      <x:c r="I96" s="29" t="str">
        <x:v>CC BY 4.0</x:v>
      </x:c>
      <x:c r="J96" s="29" t="str">
        <x:v>Guthrie's Alley Cat · 2024 tarihli fotoğraf · David Wilson · CC BY 4.0 · https://www.flickr.com/photos/32693718@N07/54744729666/</x:v>
      </x:c>
      <x:c r="K9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6" s="31" t="d">
        <x:v>2026-10-24T00:00:00.000Z</x:v>
      </x:c>
      <x:c r="M96" s="29" t="str">
        <x:v>Doğrulandı</x:v>
      </x:c>
      <x:c r="N96" s="29" t="str">
        <x:v>Doğrulandı</x:v>
      </x:c>
      <x:c r="O96" s="29" t="str">
        <x:v>Fotoğraflar/bk-4e5eeefd299a05be85944b2e.webp</x:v>
      </x:c>
      <x:c r="P96" s="29" t="str">
        <x:v>Guthrie's Alley Cat · 2024 tarihli fotoğraf · İndirilen kare temas sayfasında görüldü; kaynak mekân kimliğiyle eşleştirildi. Seçim kaydı final-pixel-review.json.</x:v>
      </x:c>
      <x:c r="Q96" s="29" t="str">
        <x:v>Bu kare için uygun</x:v>
      </x:c>
      <x:c r="R9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6" s="29" t="str">
        <x:v>Lisans kanıtları/bk-4e5eeefd299a05be85944b2e.source-evidence.json</x:v>
      </x:c>
      <x:c r="T96" s="29" t="str">
        <x:v>ab4fb53e89a59d0ce3c13a8aceab0f2b2459f37ade27bce8fa93b19003871514</x:v>
      </x:c>
      <x:c r="U96" s="29" t="str">
        <x:v>Lisans kanıtları/bk-4e5eeefd299a05be85944b2e.license-record.json</x:v>
      </x:c>
      <x:c r="V96" s="29" t="str">
        <x:v>4acc3f95030fbbe631a771f5179de197952c1f600f2f1039cb0bc67355951b96</x:v>
      </x:c>
      <x:c r="W96" s="29" t="str">
        <x:v>{"file":"bk-4e5eeefd299a05be85944b2e.webp","width":768,"author":"David Wilson","height":1024,"sha256":"4e5eeefd299a05be85944b2ed629afd474a0cbe712783976e58f33d9b529c900","status":"reviewed-selected","license":"CC BY 4.0","provider":"Flickr","review_id":"F41","source_id":"54744729666","author_url":"https://www.flickr.com/photos/32693718@N07/","date_texts":["Uploaded on August 25, 2025 Taken on September 16, 2024","Taken on September 16, 2024","Uploaded on August 25, 2025 Taken on September 16, 2024","Taken on September 16, 2024"],"source_url":"https://www.flickr.com/photos/32693718@N07/54744729666/","description":"","license_url":"https://creativecommons.org/licenses/by/4.0/","review_note":"Tabela ve bina birlikte; 2024.","reviewed_on":"2026-10-24","source_text":"20240916 1454 Bakersfield, California | David Wilson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Wilson davidwilson1949 20240916 1454 Bakersfield, California Done 444 views 3 faves 1 comment Uploaded on August 25, 2025 Taken on September 16, 2024 David Wilson By: David Wilson 20240916 1454 Bakersfield, California Done 444 views 3 faves 1 comment Uploaded on August 25, 2025 Taken on September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photography.","capture_date":"2024-09-16","download_url":"https://live.staticflickr.com/65535/54744729666_aaf972f22a_b.jpg","original_url":"https://live.staticflickr.com/65535/54744729666_b38d3c95ba_4k.jpg","pixel_review":{"method":"İndirilen kare temas sayfasında görüldü; kaynak mekân kimliğiyle eşleştirildi. Seçim kaydı final-pixel-review.json.","status":"verified","caption":"Guthrie's Alley Cat · 2024 tarihli fotoğraf","reviewer":"Codex (AI)","review_id":"F41"},"source_title":"20240916 1454 Bakersfield, California","downloaded_at":"2026-10-23T19:50:05.481692+00:00","download_sha256":"fca73543fa374a2c31bf6ed1d904e7b90d486a26c8f188826eb7cbcda19b2af7","downloaded_file":"downloads/fca73543fa374a2c31bf6ed1d904e7b90d486a26c8f188826eb7cbcda19b2af7.jpg","public_metadata":{"photo-models":[{"data":{"id":"54744729666","owner":{"data":{"id":"32693718@N07","isPro":true,"newFlow":true,"isAdFree":false,"location":"Oak Park, Illinois, USA","proBadge":"standard","realname":"David Wilson","segments":{"data":[],"exportMetaType":"array"},"username":"davidwilson1949","buddyicon":{"data":{"large":"//farm66.staticflickr.com/65535/buddyicons/32693718@N07_l.jpg?1662413977#32693718@N07","small":"//farm66.staticflickr.com/65535/buddyicons/32693718@N07_s.jpg?1662413977#32693718@N07","medium":"//farm66.staticflickr.com/65535/buddyicons/32693718@N07_m.jpg?1662413977#32693718@N07","retina":"//farm66.staticflickr.com/65535/buddyicons/32693718@N07_r.jpg?1662413977#32693718@N07","default":"//farm66.staticflickr.com/65535/buddyicons/32693718@N07.jpg?1662413977#32693718@N07"},"exportMetaType":"pojo"},"pathAlias":"davidwilson1949","dateCreated":{"data":"1227455693","exportMetaType":"serializeFunction"},"subscription":{"data":{"isPro":false,"isClosed":false,"isPastDue":false},"exportMetaType":"pojo"},"eligibleGifts":{"data":["year","month","week"],"exportMetaType":"array"},"isEligibleForGifts":true,"_flickrModelRegistry":"person-models"},"exportMetaType":"model"},"sizes":{"data":{"c":{"data":{"url":"//live.staticflickr.com/65535/54744729666_aaf972f22a_c.jpg","width":600,"height":800,"displayUrl":"//live.staticflickr.com/65535/54744729666_aaf972f22a_c.jpg"},"exportMetaType":"pojo"},"h":{"data":{"url":"//live.staticflickr.com/65535/54744729666_ddce85ddda_h.jpg","width":1200,"height":1600,"displayUrl":"//live.staticflickr.com/65535/54744729666_ddce85ddda_h.jpg"},"exportMetaType":"pojo"},"k":{"data":{"url":"//live.staticflickr.com/65535/54744729666_4979d89d16_k.jpg","width":1536,"height":2048,"displayUrl":"//live.staticflickr.com/65535/54744729666_4979d89d16_k.jpg"},"exportMetaType":"pojo"},"l":{"data":{"url":"//live.staticflickr.com/65535/54744729666_aaf972f22a_b.jpg","width":768,"height":1024,"displayUrl":"//live.staticflickr.com/65535/54744729666_aaf972f22a_b.jpg"},"exportMetaType":"pojo"},"m":{"data":{"url":"//live.staticflickr.com/65535/54744729666_aaf972f22a.jpg","width":375,"height":500,"displayUrl":"//live.staticflickr.com/65535/54744729666_aaf972f22a.jpg"},"exportMetaType":"pojo"},"n":{"data":{"url":"//live.staticflickr.com/65535/54744729666_aaf972f22a_n.jpg","width":240,"height":320,"displayUrl":"//live.staticflickr.com/65535/54744729666_aaf972f22a_n.jpg"},"exportMetaType":"pojo"},"o":{"data":{"url":"//live.staticflickr.com/65535/54744729666_95122181dc_o.jpg","width":3648,"height":2736,"displayUrl":"//live.staticflickr.com/65535/54744729666_95122181dc_o.jpg"},"exportMetaType":"pojo"},"q":{"data":{"url":"//live.staticflickr.com/65535/54744729666_aaf972f22a_q.jpg","width":150,"height":150,"displayUrl":"//live.staticflickr.com/65535/54744729666_aaf972f22a_q.jpg"},"exportMetaType":"pojo"},"s":{"data":{"url":"//live.staticflickr.com/65535/54744729666_aaf972f22a_m.jpg","width":180,"height":240,"displayUrl":"//live.staticflickr.com/65535/54744729666_aaf972f22a_m.jpg"},"exportMetaType":"pojo"},"t":{"data":{"url":"//live.staticflickr.com/65535/54744729666_aaf972f22a_t.jpg","width":75,"height":100,"displayUrl":"//live.staticflickr.com/65535/54744729666_aaf972f22a_t.jpg"},"exportMetaType":"pojo"},"w":{"data":{"url":"//live.staticflickr.com/65535/54744729666_aaf972f22a_w.jpg","width":300,"height":400,"displayUrl":"//live.staticflickr.com/65535/54744729666_aaf972f22a_w.jpg"},"exportMetaType":"pojo"},"z":{"data":{"url":"//live.staticflickr.com/65535/54744729666_aaf972f22a_z.jpg","width":480,"height":640,"displayUrl":"//live.staticflickr.com/65535/54744729666_aaf972f22a_z.jpg"},"exportMetaType":"pojo"},"3k":{"data":{"url":"//live.staticflickr.com/65535/54744729666_7ccbbaba12_3k.jpg","width":2304,"height":3072,"displayUrl":"//live.staticflickr.com/65535/54744729666_7ccbbaba12_3k.jpg"},"exportMetaType":"pojo"},"4k":{"data":{"url":"//live.staticflickr.com/65535/54744729666_b38d3c95ba_4k.jpg","width":2736,"height":3648,"displayUrl":"//live.staticflickr.com/65535/54744729666_b38d3c95ba_4k.jpg"},"exportMetaType":"pojo"},"sq":{"data":{"url":"//live.staticflickr.com/65535/54744729666_aaf972f22a_s.jpg","width":75,"height":75,"displayUrl":"//live.staticflickr.com/65535/54744729666_aaf972f22a_s.jpg"},"exportMetaType":"pojo"}},"exportMetaType":"pojo"},"title":"20240916 1454 Bakersfield, California","oWidth":3648,"secret":"aaf972f22a","license":11,"oHeight":2736,"rotation":90,"canAddMeta":false,"canComment":false,"engagement":{"data":{"id":"54744729666","canShare":true,"faveCount":3,"ownerNsid":"32693718@N07","reactions":{"data":{"like":{"data":{"id":"like","count":5,"canReact":true,"didViewerReact":true},"exportMetaType":"pojo"},"someOtherReaction":{"data":{"id":"someOtherReaction","count":3,"canReact":true,"didViewerReact":false},"exportMetaType":"pojo"}},"exportMetaType":"pojo"},"viewCount":444,"canDownload":true,"commentCount":1,"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54744729666","hasGeo":true,"accuracy":16,"isPublic":true,"latitude":35.375754,"longitude":-119.019809,"_flickrModelRegistry":"photo-geo-models"},"exportMetaType":"model"}],"photo-location-models":[{"data":{"id":"54744729666","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54744729666","title":"20240916 1454 Bakersfield, California","og:url":"https://www.flickr.com/photos/davidwilson1949/54744729666/","og:type":"article","keywords":"bakersfield, california","og:image":"https://live.staticflickr.com/65535/54744729666_aaf972f22a_b.jpg","og:title":"20240916 1454 Bakersfield, California","twitter:card":"summary_large_image","twitter:image":"https://live.staticflickr.com/65535/54744729666_aaf972f22a_b.jpg","og:description":"","og:image:width":768,"og:image:height":1024,"twitter:description":"Explore davidwilson1949's 41972 photos on Flickr!","_flickrModelRegistry":"photo-head-meta-models","twitter:app:url:ipad":"flickr://flickr.com/photos/davidwilson1949/54744729666/","twitter:app:url:iphone":"flickr://flickr.com/photos/davidwilson1949/54744729666/","twitter:app:url:googleplay":"https://www.flickr.com/photos/davidwilson1949/54744729666/"},"exportMetaType":"model"}],"photo-license-history-models":[]},"acquisition_file":"fl-54744729666.webp","source_html_file":"/Users/atincakcayoz/corteqs/output/bakersfield-production-20261023/flickr-source-pages/54744729666.html","original_file_url":"https://live.staticflickr.com/65535/54744729666_b38d3c95ba_4k.jpg","proposed_identity":"Guthrie's Alley Cat","source_html_sha256":"52193035c345837df626f6d16586d707df7fa0cf3076e162f0348e81bce0d872","third_party_rights_review":{"basis":"Kaynakta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dönüştürüldü.","photo_attribution":{"author_url":"https://www.flickr.com/photos/32693718@N07/","modifications":"EXIF yönü uygulandı; boyut küçültülüp WebP biçimine dönüştürüldü.","original_file_url":"https://live.staticflickr.com/65535/54744729666_b38d3c95ba_4k.jpg"},"metadata_reviewed_on":"2026-10-24","metadata_review_status":"verified"}}</x:v>
      </x:c>
    </x:row>
    <x:row r="97" ht="300" customHeight="1">
      <x:c r="A97" s="29" t="str">
        <x:v>bakersfield:evidence:venue-22062</x:v>
      </x:c>
      <x:c r="B97" s="29" t="str">
        <x:v>bakersfield</x:v>
      </x:c>
      <x:c r="C97" s="29" t="str">
        <x:v>bakersfield:photo:venue-22062</x:v>
      </x:c>
      <x:c r="D97" s="29" t="str">
        <x:v>https://www.flickr.com/photos/84469314@N00/3422883064/</x:v>
      </x:c>
      <x:c r="E97" s="29" t="str">
        <x:v>Wool Growers Restaurant · 2009 tarihli fotoğraf</x:v>
      </x:c>
      <x:c r="F97" s="29" t="str">
        <x:v>Egan Snow</x:v>
      </x:c>
      <x:c r="G97" s="29" t="str">
        <x:v>CC BY-SA 2.0</x:v>
      </x:c>
      <x:c r="H97" s="29" t="str">
        <x:v>https://creativecommons.org/licenses/by-sa/2.0/</x:v>
      </x:c>
      <x:c r="I97" s="29" t="str">
        <x:v>CC BY-SA 2.0</x:v>
      </x:c>
      <x:c r="J97" s="29" t="str">
        <x:v>Wool Growers Restaurant · 2009 tarihli fotoğraf · Egan Snow · CC BY-SA 2.0 · https://www.flickr.com/photos/84469314@N00/3422883064/</x:v>
      </x:c>
      <x:c r="K9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7" s="31" t="d">
        <x:v>2026-10-24T00:00:00.000Z</x:v>
      </x:c>
      <x:c r="M97" s="29" t="str">
        <x:v>Doğrulandı</x:v>
      </x:c>
      <x:c r="N97" s="29" t="str">
        <x:v>Doğrulandı</x:v>
      </x:c>
      <x:c r="O97" s="29" t="str">
        <x:v>Fotoğraflar/bk-08dd57ee9deb0fd3cfdd0e84.webp</x:v>
      </x:c>
      <x:c r="P97" s="29" t="str">
        <x:v>Wool Growers Restaurant · 2009 tarihli fotoğraf · İndirilen kare temas sayfasında görüldü; kaynak mekân kimliğiyle eşleştirildi. Seçim kaydı final-pixel-review.json.</x:v>
      </x:c>
      <x:c r="Q97" s="29" t="str">
        <x:v>Bu kare için uygun</x:v>
      </x:c>
      <x:c r="R9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7" s="29" t="str">
        <x:v>Lisans kanıtları/bk-08dd57ee9deb0fd3cfdd0e84.source-evidence.json</x:v>
      </x:c>
      <x:c r="T97" s="29" t="str">
        <x:v>f001b71ece99514bd3e3415438577a688c09063ba4369c9630c13726a6aa1334</x:v>
      </x:c>
      <x:c r="U97" s="29" t="str">
        <x:v>Lisans kanıtları/bk-08dd57ee9deb0fd3cfdd0e84.license-record.json</x:v>
      </x:c>
      <x:c r="V97" s="29" t="str">
        <x:v>858339b315c62d725679487e534a8a2f5cb78d43a2681ad1d64eb83a6934764e</x:v>
      </x:c>
      <x:c r="W97" s="29" t="str">
        <x:v>{"file":"bk-08dd57ee9deb0fd3cfdd0e84.webp","width":1024,"author":"Egan Snow","height":747,"sha256":"08dd57ee9deb0fd3cfdd0e8410727b5f7f79d29d7210e5a50a796f5e645eb562","status":"reviewed-selected","license":"CC BY-SA 2.0","provider":"Flickr","review_id":"F175","source_id":"3422883064","author_url":"https://www.flickr.com/photos/84469314@N00/","date_texts":["Uploaded on April 8, 2009 Taken on April 4, 2009","Taken on April 4, 2009","Uploaded on April 8, 2009 Taken on April 4, 2009","Taken on April 4, 2009"],"source_url":"https://www.flickr.com/photos/84469314@N00/3422883064/","description":"Cocktails","license_url":"https://creativecommons.org/licenses/by-sa/2.0/","review_note":"Neon tabela ayrıntısı; kaynak ve güncel işletme kimliği kontrolü.","reviewed_on":"2026-10-24","source_text":"Wool Growers Restaurant | Cocktails | Egan Snow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Egan Snow Egan Snow Wool Growers Restaurant Cocktails Done 413 views 0 faves 0 comments Uploaded on April 8, 2009 Taken on April 4, 2009 Egan Snow By: Egan Snow Wool Growers Restaurant Cocktails Done 413 views 0 faves 0 comments Uploaded on April 8, 2009 Taken on April 4,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photography.","capture_date":"2009-04-04","download_url":"https://live.staticflickr.com/3375/3422883064_fcf12c1a35_b.jpg","original_url":"https://live.staticflickr.com/3375/3422883064_5fb066ddb9_k.jpg","pixel_review":{"method":"İndirilen kare temas sayfasında görüldü; kaynak mekân kimliğiyle eşleştirildi. Seçim kaydı final-pixel-review.json.","status":"verified","caption":"Wool Growers Restaurant · 2009 tarihli fotoğraf","reviewer":"Codex (AI)","review_id":"F175"},"source_title":"Wool Growers Restaurant","downloaded_at":"2026-10-23T19:50:14.556844+00:00","download_sha256":"bb51d3221fcaa8512d39ac6962e7ffdd48637942d39309c87506590b86d7f427","downloaded_file":"downloads/bb51d3221fcaa8512d39ac6962e7ffdd48637942d39309c87506590b86d7f427.jpg","public_metadata":{"photo-models":[{"data":{"id":"3422883064","owner":{"data":{"id":"84469314@N00","isPro":false,"newFlow":true,"isAdFree":false,"location":"Someplace, Yes","realname":"Egan Snow","segments":{"data":[],"exportMetaType":"array"},"username":"Egan Snow","buddyicon":{"data":{"large":"//live.staticflickr.com/3679/buddyicons/84469314@N00_l.jpg?1369483755#84469314@N00","small":"//live.staticflickr.com/3679/buddyicons/84469314@N00_s.jpg?1369483755#84469314@N00","medium":"//live.staticflickr.com/3679/buddyicons/84469314@N00_m.jpg?1369483755#84469314@N00","retina":"//live.staticflickr.com/3679/buddyicons/84469314@N00_r.jpg?1369483755#84469314@N00","default":"//live.staticflickr.com/3679/buddyicons/84469314@N00.jpg?1369483755#84469314@N00"},"exportMetaType":"pojo"},"pathAlias":"egansnow","dateCreated":{"data":"1127839550","exportMetaType":"serializeFunction"},"subscription":{"data":{"isPro":false,"isClosed":false,"isPastDue":false},"exportMetaType":"pojo"},"eligibleGifts":{"data":["year","month","week"],"exportMetaType":"array"},"isEligibleForGifts":true,"_flickrModelRegistry":"person-models"},"exportMetaType":"model"},"sizes":{"data":{"c":{"data":{"url":"//live.staticflickr.com/3375/3422883064_fcf12c1a35_c.jpg","width":800,"height":583,"displayUrl":"//live.staticflickr.com/3375/3422883064_fcf12c1a35_c.jpg"},"exportMetaType":"pojo"},"h":{"data":{"url":"//live.staticflickr.com/3375/3422883064_f1a5adb0d6_h.jpg","width":1600,"height":1166,"displayUrl":"//live.staticflickr.com/3375/3422883064_f1a5adb0d6_h.jpg"},"exportMetaType":"pojo"},"k":{"data":{"url":"//live.staticflickr.com/3375/3422883064_5fb066ddb9_k.jpg","width":2048,"height":1493,"displayUrl":"//live.staticflickr.com/3375/3422883064_5fb066ddb9_k.jpg"},"exportMetaType":"pojo"},"l":{"data":{"url":"//live.staticflickr.com/3375/3422883064_fcf12c1a35_b.jpg","width":1024,"height":747,"displayUrl":"//live.staticflickr.com/3375/3422883064_fcf12c1a35_b.jpg"},"exportMetaType":"pojo"},"m":{"data":{"url":"//live.staticflickr.com/3375/3422883064_fcf12c1a35.jpg","width":500,"height":365,"displayUrl":"//live.staticflickr.com/3375/3422883064_fcf12c1a35.jpg"},"exportMetaType":"pojo"},"n":{"data":{"url":"//live.staticflickr.com/3375/3422883064_fcf12c1a35_n.jpg","width":320,"height":233,"displayUrl":"//live.staticflickr.com/3375/3422883064_fcf12c1a35_n.jpg"},"exportMetaType":"pojo"},"o":{"data":{"url":"//live.staticflickr.com/3375/3422883064_0146fe0127_o.jpg","width":2048,"height":1493,"displayUrl":"//live.staticflickr.com/3375/3422883064_0146fe0127_o.jpg"},"exportMetaType":"pojo"},"q":{"data":{"url":"//live.staticflickr.com/3375/3422883064_fcf12c1a35_q.jpg","width":150,"height":150,"displayUrl":"//live.staticflickr.com/3375/3422883064_fcf12c1a35_q.jpg"},"exportMetaType":"pojo"},"s":{"data":{"url":"//live.staticflickr.com/3375/3422883064_fcf12c1a35_m.jpg","width":240,"height":175,"displayUrl":"//live.staticflickr.com/3375/3422883064_fcf12c1a35_m.jpg"},"exportMetaType":"pojo"},"t":{"data":{"url":"//live.staticflickr.com/3375/3422883064_fcf12c1a35_t.jpg","width":100,"height":73,"displayUrl":"//live.staticflickr.com/3375/3422883064_fcf12c1a35_t.jpg"},"exportMetaType":"pojo"},"w":{"data":{"url":"//live.staticflickr.com/3375/3422883064_fcf12c1a35_w.jpg","width":400,"height":292,"displayUrl":"//live.staticflickr.com/3375/3422883064_fcf12c1a35_w.jpg"},"exportMetaType":"pojo"},"z":{"data":{"url":"//live.staticflickr.com/3375/3422883064_fcf12c1a35_z.jpg","width":640,"height":467,"displayUrl":"//live.staticflickr.com/3375/3422883064_fcf12c1a35_z.jpg"},"exportMetaType":"pojo"},"sq":{"data":{"url":"//live.staticflickr.com/3375/3422883064_fcf12c1a35_s.jpg","width":75,"height":75,"displayUrl":"//live.staticflickr.com/3375/3422883064_fcf12c1a35_s.jpg"},"exportMetaType":"pojo"}},"exportMetaType":"pojo"},"title":"Wool Growers Restaurant","oWidth":2048,"secret":"fcf12c1a35","license":5,"oHeight":1493,"rotation":0,"canAddMeta":false,"canComment":false,"engagement":{"data":{"id":"3422883064","canShare":true,"ownerNsid":"84469314@N00","reactions":{"data":{"like":{"data":{"id":"like","count":5,"canReact":true,"didViewerReact":true},"exportMetaType":"pojo"},"someOtherReaction":{"data":{"id":"someOtherReaction","count":3,"canReact":true,"didViewerReact":false},"exportMetaType":"pojo"}},"exportMetaType":"pojo"},"viewCount":413,"canDownload":true,"_flickrModelRegistry":"photo-engagement-models"},"exportMetaType":"model"},"description":"Cocktails","safetyLevel":0,"upgradeSizes":{"data":[],"exportMetaType":"array"},"adEligibility":{"data":{"lane":1,"labels":{"data":[],"exportMetaType":"array"},"isAdEligible":true,"highScoreLabels":{"data":[],"exportMetaType":"array"}},"exportMetaType":"pojo"},"canPublicComment":true,"_flickrModelRegistry":"photo-models"},"exportMetaType":"model"}],"photo-geo-models":[{"data":{"id":"3422883064","_flickrModelRegistry":"photo-geo-models"},"exportMetaType":"model"}],"photo-location-models":[{"data":{"id":"3422883064","geo":{"data":"~2","exportMetaType":"model"},"text":"","levels":{"data":{},"exportMetaType":"pojo"},"staticMaps":{"data":{},"exportMetaType":"pojo"},"_flickrModelRegistry":"photo-location-models"},"exportMetaType":"model"}],"photo-head-meta-models":[{"data":{"id":"3422883064","title":"Wool Growers Restaurant","og:url":"https://www.flickr.com/photos/egansnow/3422883064/","og:type":"article","keywords":"california, restaurant, bakersfield, woolgrowers","og:image":"https://live.staticflickr.com/3375/3422883064_fcf12c1a35_b.jpg","og:title":"Wool Growers Restaurant","twitter:card":"summary_large_image","twitter:image":"https://live.staticflickr.com/3375/3422883064_fcf12c1a35_b.jpg","og:description":"Cocktails","og:image:width":1024,"og:image:height":747,"twitter:description":"Cocktails","_flickrModelRegistry":"photo-head-meta-models","twitter:app:url:ipad":"flickr://flickr.com/photos/egansnow/3422883064/","twitter:app:url:iphone":"flickr://flickr.com/photos/egansnow/3422883064/","twitter:app:url:googleplay":"https://www.flickr.com/photos/egansnow/3422883064/"},"exportMetaType":"model"}],"photo-license-history-models":[]},"acquisition_file":"fl-3422883064.webp","source_html_file":"/Users/atincakcayoz/corteqs/output/bakersfield-production-20261023/flickr-source-pages/3422883064.html","original_file_url":"https://live.staticflickr.com/3375/3422883064_5fb066ddb9_k.jpg","proposed_identity":"Wool Growers","source_html_sha256":"b24275d8f38e0c3a2ca34b0327e09efe816ae4a164e4c50e5ab4e75ab1d51a33","third_party_rights_review":{"basis":"Kaynakta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dönüştürüldü.","photo_attribution":{"author_url":"https://www.flickr.com/photos/84469314@N00/","modifications":"EXIF yönü uygulandı; boyut küçültülüp WebP biçimine dönüştürüldü.","original_file_url":"https://live.staticflickr.com/3375/3422883064_5fb066ddb9_k.jpg"},"metadata_reviewed_on":"2026-10-24","metadata_review_status":"verified"}}</x:v>
      </x:c>
    </x:row>
    <x:row r="98" ht="300" customHeight="1">
      <x:c r="A98" s="29" t="str">
        <x:v>bakersfield:evidence:venue-22063</x:v>
      </x:c>
      <x:c r="B98" s="29" t="str">
        <x:v>bakersfield</x:v>
      </x:c>
      <x:c r="C98" s="29" t="str">
        <x:v>bakersfield:photo:venue-22063</x:v>
      </x:c>
      <x:c r="D98" s="29" t="str">
        <x:v>https://www.flickr.com/photos/49025781@N00/2375477975/</x:v>
      </x:c>
      <x:c r="E98" s="29" t="str">
        <x:v>Dewar's Candy Shop – Eye Street · 2008 tarihli fotoğraf</x:v>
      </x:c>
      <x:c r="F98" s="29" t="str">
        <x:v>David Steele</x:v>
      </x:c>
      <x:c r="G98" s="29" t="str">
        <x:v>CC BY 2.0</x:v>
      </x:c>
      <x:c r="H98" s="29" t="str">
        <x:v>https://creativecommons.org/licenses/by/2.0/</x:v>
      </x:c>
      <x:c r="I98" s="29" t="str">
        <x:v>CC BY 2.0</x:v>
      </x:c>
      <x:c r="J98" s="29" t="str">
        <x:v>Dewar's Candy Shop – Eye Street · 2008 tarihli fotoğraf · David Steele · CC BY 2.0 · https://www.flickr.com/photos/49025781@N00/2375477975/</x:v>
      </x:c>
      <x:c r="K9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8" s="31" t="d">
        <x:v>2026-10-24T00:00:00.000Z</x:v>
      </x:c>
      <x:c r="M98" s="29" t="str">
        <x:v>Doğrulandı</x:v>
      </x:c>
      <x:c r="N98" s="29" t="str">
        <x:v>Doğrulandı</x:v>
      </x:c>
      <x:c r="O98" s="29" t="str">
        <x:v>Fotoğraflar/bk-bbadd314ba659b58029982cb.webp</x:v>
      </x:c>
      <x:c r="P98" s="29" t="str">
        <x:v>Oleander–Sunset / Eye Street çevresi · 2008 tarihli fotoğraf · İndirilen kare temas sayfasında görüldü; kaynak mekân kimliğiyle eşleştirildi. Seçim kaydı final-pixel-review.json.</x:v>
      </x:c>
      <x:c r="Q98" s="29" t="str">
        <x:v>Bu kare için uygun</x:v>
      </x:c>
      <x:c r="R9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8" s="29" t="str">
        <x:v>Lisans kanıtları/bk-bbadd314ba659b58029982cb.source-evidence.json</x:v>
      </x:c>
      <x:c r="T98" s="29" t="str">
        <x:v>62d05920f7ea7445c3bb720d2b41767f14e50e6697ca5013b2a8faacc9d2e18c</x:v>
      </x:c>
      <x:c r="U98" s="29" t="str">
        <x:v>Lisans kanıtları/bk-bbadd314ba659b58029982cb.license-record.json</x:v>
      </x:c>
      <x:c r="V98" s="29" t="str">
        <x:v>be6943f2d2d9b4fcd8a5a90907603d96fd284c71f7985ecc5e78247e6aca9bca</x:v>
      </x:c>
      <x:c r="W98" s="29" t="str">
        <x:v>{"file":"bk-bbadd314ba659b58029982cb.webp","width":1023,"author":"David Steele","height":699,"sha256":"bbadd314ba659b58029982cba5ee2bbe0221cc42df5151fb978d91c18f66d628","status":"reviewed-selected","license":"CC BY 2.0","provider":"Flickr","review_id":"E46","source_id":"2375477975","author_url":"https://www.flickr.com/photos/49025781@N00/","date_texts":["Uploaded on March 31, 2008 Taken on February 18, 2008","Taken on February 18, 2008","Uploaded on March 31, 2008 Taken on February 18, 2008","Taken on February 18, 2008"],"source_url":"https://www.flickr.com/photos/49025781@N00/2375477975/","description":"It looks like a dive, but OMG, the ice cream and candy chews are unbelievable!","license_url":"https://creativecommons.org/licenses/by/2.0/","review_note":"Original shop facade; compare against previous production source IDs.","reviewed_on":"2026-10-24","source_text":"Dewar's - Bakersfield, California | It looks like a dive, bu…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Steele hombre de Steele Dewar's - Bakersfield, California It looks like a dive, but OMG, the ice cream and candy chews are unbelievable! Done 501 views 0 faves 3 comments Uploaded on March 31, 2008 Taken on February 18, 2008 David Steele By: David Steele Dewar's - Bakersfield, California It looks like a dive, but OMG, the ice cream and candy chews are unbelievable! Done 501 views 0 faves 3 comments Uploaded on March 31, 2008 Taken on February 18,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photography.","capture_date":"2008-02-18","download_url":"https://live.staticflickr.com/3004/2375477975_35102b8390_b.jpg","original_url":"https://live.staticflickr.com/3004/2375477975_9bd607e72b_o.jpg","pixel_review":{"method":"İndirilen kare temas sayfasında görüldü; kaynak mekân kimliğiyle eşleştirildi. Seçim kaydı final-pixel-review.json.","status":"verified","caption":"Oleander–Sunset / Eye Street çevresi · 2008 tarihli fotoğraf","reviewer":"Codex (AI)","review_id":"E46"},"source_title":"Dewar's - Bakersfield, California","downloaded_at":"2026-10-23T19:50:34.239939+00:00","download_sha256":"ca514684f40910a5d41c8235e7735153fa048c2067ca5a46f78be174952e2cca","downloaded_file":"downloads/ca514684f40910a5d41c8235e7735153fa048c2067ca5a46f78be174952e2cca.jpg","public_metadata":{"photo-models":[{"data":{"id":"2375477975","owner":{"data":{"id":"49025781@N00","isPro":true,"newFlow":true,"isAdFree":false,"location":"Palmdale, California, United States of America","proBadge":"legacy","realname":"David Steele","segments":{"data":[],"exportMetaType":"array"},"username":"hombre de Steele","buddyicon":{"data":{"large":"//farm66.staticflickr.com/65535/buddyicons/49025781@N00_l.jpg?1614900151#49025781@N00","small":"//farm66.staticflickr.com/65535/buddyicons/49025781@N00_s.jpg?1614900151#49025781@N00","medium":"//farm66.staticflickr.com/65535/buddyicons/49025781@N00_m.jpg?1614900151#49025781@N00","retina":"//farm66.staticflickr.com/65535/buddyicons/49025781@N00_r.jpg?1614900151#49025781@N00","default":"//farm66.staticflickr.com/65535/buddyicons/49025781@N00.jpg?1614900151#49025781@N00"},"exportMetaType":"pojo"},"pathAlias":"hombredesteele","dateCreated":{"data":"1137267001","exportMetaType":"serializeFunction"},"subscription":{"data":{"isPro":false,"isClosed":false,"isPastDue":false},"exportMetaType":"pojo"},"eligibleGifts":{"data":["year","month","week"],"exportMetaType":"array"},"isEligibleForGifts":true,"_flickrModelRegistry":"person-models"},"exportMetaType":"model"},"sizes":{"data":{"c":{"data":{"url":"//live.staticflickr.com/3004/2375477975_35102b8390_c.jpg","width":800,"height":546,"displayUrl":"//live.staticflickr.com/3004/2375477975_35102b8390_c.jpg"},"exportMetaType":"pojo"},"h":{"data":{"url":"//live.staticflickr.com/3004/2375477975_ceff59dbf8_h.jpg","width":1600,"height":1093,"displayUrl":"//live.staticflickr.com/3004/2375477975_ceff59dbf8_h.jpg"},"exportMetaType":"pojo"},"k":{"data":{"url":"//live.staticflickr.com/3004/2375477975_6072c0325c_k.jpg","width":2048,"height":1399,"displayUrl":"//live.staticflickr.com/3004/2375477975_6072c0325c_k.jpg"},"exportMetaType":"pojo"},"l":{"data":{"url":"//live.staticflickr.com/3004/2375477975_35102b8390_b.jpg","width":1024,"height":699,"displayUrl":"//live.staticflickr.com/3004/2375477975_35102b8390_b.jpg"},"exportMetaType":"pojo"},"m":{"data":{"url":"//live.staticflickr.com/3004/2375477975_35102b8390.jpg","width":500,"height":342,"displayUrl":"//live.staticflickr.com/3004/2375477975_35102b8390.jpg"},"exportMetaType":"pojo"},"n":{"data":{"url":"//live.staticflickr.com/3004/2375477975_35102b8390_n.jpg","width":320,"height":219,"displayUrl":"//live.staticflickr.com/3004/2375477975_35102b8390_n.jpg"},"exportMetaType":"pojo"},"o":{"data":{"url":"//live.staticflickr.com/3004/2375477975_9bd607e72b_o.jpg","width":2265,"height":1547,"displayUrl":"//live.staticflickr.com/3004/2375477975_9bd607e72b_o.jpg"},"exportMetaType":"pojo"},"q":{"data":{"url":"//live.staticflickr.com/3004/2375477975_35102b8390_q.jpg","width":150,"height":150,"displayUrl":"//live.staticflickr.com/3004/2375477975_35102b8390_q.jpg"},"exportMetaType":"pojo"},"s":{"data":{"url":"//live.staticflickr.com/3004/2375477975_35102b8390_m.jpg","width":240,"height":164,"displayUrl":"//live.staticflickr.com/3004/2375477975_35102b8390_m.jpg"},"exportMetaType":"pojo"},"t":{"data":{"url":"//live.staticflickr.com/3004/2375477975_35102b8390_t.jpg","width":100,"height":68,"displayUrl":"//live.staticflickr.com/3004/2375477975_35102b8390_t.jpg"},"exportMetaType":"pojo"},"w":{"data":{"url":"//live.staticflickr.com/3004/2375477975_35102b8390_w.jpg","width":400,"height":273,"displayUrl":"//live.staticflickr.com/3004/2375477975_35102b8390_w.jpg"},"exportMetaType":"pojo"},"z":{"data":{"url":"//live.staticflickr.com/3004/2375477975_35102b8390_z.jpg","width":640,"height":437,"displayUrl":"//live.staticflickr.com/3004/2375477975_35102b8390_z.jpg"},"exportMetaType":"pojo"},"sq":{"data":{"url":"//live.staticflickr.com/3004/2375477975_35102b8390_s.jpg","width":75,"height":75,"displayUrl":"//live.staticflickr.com/3004/2375477975_35102b8390_s.jpg"},"exportMetaType":"pojo"}},"exportMetaType":"pojo"},"title":"Dewar's - Bakersfield, California","oWidth":2265,"secret":"35102b8390","license":4,"oHeight":1547,"rotation":0,"canAddMeta":false,"canComment":false,"engagement":{"data":{"id":"2375477975","canShare":true,"ownerNsid":"49025781@N00","reactions":{"data":{"like":{"data":{"id":"like","count":5,"canReact":true,"didViewerReact":true},"exportMetaType":"pojo"},"someOtherReaction":{"data":{"id":"someOtherReaction","count":3,"canReact":true,"didViewerReact":false},"exportMetaType":"pojo"}},"exportMetaType":"pojo"},"viewCount":501,"canDownload":true,"commentCount":3,"_flickrModelRegistry":"photo-engagement-models"},"exportMetaType":"model"},"description":"It looks like a dive, but OMG, the ice cream and candy chews are unbelievable!","safetyLevel":0,"upgradeSizes":{"data":[],"exportMetaType":"array"},"adEligibility":{"data":{"lane":1,"labels":{"data":["ProOwner"],"exportMetaType":"array"},"isAdEligible":false,"highScoreLabels":{"data":["ProOwner"],"exportMetaType":"array"}},"exportMetaType":"pojo"},"canPublicComment":true,"_flickrModelRegistry":"photo-models"},"exportMetaType":"model"}],"photo-geo-models":[{"data":{"id":"2375477975","hasGeo":true,"accuracy":14,"isPublic":true,"latitude":35.367915,"longitude":-119.01987,"_flickrModelRegistry":"photo-geo-models"},"exportMetaType":"model"}],"photo-location-models":[{"data":{"id":"2375477975","geo":{"data":"~2","exportMetaType":"model"},"text":"Kayandee, California, United States","levels":{"data":{"county":{"data":{"name":"Kern","woeId":12587684},"exportMetaType":"pojo"},"region":{"data":{"name":"California","woeId":2347563},"exportMetaType":"pojo"},"country":{"data":{"name":"United States","woeId":23424977},"exportMetaType":"pojo"},"locality":{"data":{"name":"Kayandee","woeId":2430890},"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2375477975","title":"Dewar's - Bakersfield, California","og:url":"https://www.flickr.com/photos/hombredesteele/2375477975/","og:type":"article","og:image":"https://live.staticflickr.com/3004/2375477975_35102b8390_b.jpg","og:title":"Dewar's - Bakersfield, California","twitter:card":"summary_large_image","twitter:image":"https://live.staticflickr.com/3004/2375477975_35102b8390_b.jpg","og:description":"It looks like a dive, but OMG, the ice cream and candy chews are unbelievable!","og:image:width":1024,"og:image:height":699,"twitter:description":"It looks like a dive, but OMG, the ice cream and candy chews are unbelievable!","_flickrModelRegistry":"photo-head-meta-models","twitter:app:url:ipad":"flickr://flickr.com/photos/hombredesteele/2375477975/","twitter:app:url:iphone":"flickr://flickr.com/photos/hombredesteele/2375477975/","twitter:app:url:googleplay":"https://www.flickr.com/photos/hombredesteele/2375477975/"},"exportMetaType":"model"}],"photo-license-history-models":[]},"acquisition_file":"fl-2375477975.webp","source_html_file":"/Users/atincakcayoz/corteqs/output/bakersfield-production-20261023/flickr-source-pages/2375477975.html","original_file_url":"https://live.staticflickr.com/3004/2375477975_9bd607e72b_o.jpg","proposed_identity":"Dewar’s Eye Street","source_html_sha256":"de1abe0de1ed0f94226a2e6e5ec5a7b1df87a63e222be6809d2a83fd5c81ba55","third_party_rights_review":{"basis":"Kaynakta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dönüştürüldü.","photo_attribution":{"author_url":"https://www.flickr.com/photos/49025781@N00/","modifications":"EXIF yönü uygulandı; boyut küçültülüp WebP biçimine dönüştürüldü.","original_file_url":"https://live.staticflickr.com/3004/2375477975_9bd607e72b_o.jpg"},"metadata_reviewed_on":"2026-10-24","metadata_review_status":"verified"}}</x:v>
      </x:c>
    </x:row>
    <x:row r="99" ht="300" customHeight="1">
      <x:c r="A99" s="29" t="str">
        <x:v>bakersfield:evidence:venue-22064</x:v>
      </x:c>
      <x:c r="B99" s="29" t="str">
        <x:v>bakersfield</x:v>
      </x:c>
      <x:c r="C99" s="29" t="str">
        <x:v>bakersfield:photo:venue-22064</x:v>
      </x:c>
      <x:c r="D99" s="29" t="str">
        <x:v>https://commons.wikimedia.org/wiki/File:2011_Bakersfield_Conventions_Visitors_Building.JPG</x:v>
      </x:c>
      <x:c r="E99" s="29" t="str">
        <x:v>2011 Bakersfield Conventions Visitors Building.JPG</x:v>
      </x:c>
      <x:c r="F99" s="29" t="str">
        <x:v>Skyman9999.
Skyman9999</x:v>
      </x:c>
      <x:c r="G99" s="29" t="str">
        <x:v>CC0 1.0</x:v>
      </x:c>
      <x:c r="H99" s="29" t="str">
        <x:v>https://creativecommons.org/publicdomain/zero/1.0/</x:v>
      </x:c>
      <x:c r="I99" s="29" t="str">
        <x:v>Creative Commons Zero, Public Domain Dedication</x:v>
      </x:c>
      <x:c r="J99" s="29" t="str">
        <x:v>2011 Bakersfield Conventions Visitors Building.JPG · Skyman9999.
Skyman9999 · CC0 1.0 · https://commons.wikimedia.org/wiki/File:2011_Bakersfield_Conventions_Visitors_Building.JPG</x:v>
      </x:c>
      <x:c r="K9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99" s="31" t="d">
        <x:v>2026-10-24T00:00:00.000Z</x:v>
      </x:c>
      <x:c r="M99" s="29" t="str">
        <x:v>Doğrulandı</x:v>
      </x:c>
      <x:c r="N99" s="29" t="str">
        <x:v>Doğrulandı</x:v>
      </x:c>
      <x:c r="O99" s="29" t="str">
        <x:v>Fotoğraflar/bk-59398d1809139d41697090e4.webp</x:v>
      </x:c>
      <x:c r="P99" s="29" t="str">
        <x:v>Bakersfield Ziyaretçi Bilgi Merkezi · 04-0 tarihli fotoğraf · İndirilen kare temas sayfasında görüldü; kaynak mekân kimliğiyle eşleştirildi. Seçim kaydı final-pixel-review.json.</x:v>
      </x:c>
      <x:c r="Q99" s="29" t="str">
        <x:v>Bu kare için uygun</x:v>
      </x:c>
      <x:c r="R9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99" s="29" t="str">
        <x:v>Lisans kanıtları/bk-59398d1809139d41697090e4.source-evidence.json</x:v>
      </x:c>
      <x:c r="T99" s="29" t="str">
        <x:v>43f180e49166a5a250172a25ef7d355f558f332f280ff45f44117afaf0243103</x:v>
      </x:c>
      <x:c r="U99" s="29" t="str">
        <x:v>Lisans kanıtları/bk-59398d1809139d41697090e4.license-record.json</x:v>
      </x:c>
      <x:c r="V99" s="29" t="str">
        <x:v>124d879df0423bab152d241e6fe0527cf4eeac2f39276955261e1911bc556997</x:v>
      </x:c>
      <x:c r="W99" s="29" t="str">
        <x:v>{"file":"bk-59398d1809139d41697090e4.webp","width":1280,"author":"Skyman9999.\n\nSkyman9999","height":851,"sha256":"59398d1809139d41697090e43e7ff879f7bc9ddc55a54f23e864bba10550e34e","license":"CC0 1.0","imageinfo":{"url":"https://upload.wikimedia.org/wikipedia/commons/9/97/2011_Bakersfield_Conventions_Visitors_Building.JPG?utm_source=commons.wikimedia.org&amp;utm_campaign=imageinfo&amp;utm_content=original","mime":"image/jpeg","sha1":"e4f918093e760d26ea641d39b92abbc4a4115932","size":2795757,"width":3008,"height":2000,"pageid":14762380,"thumburl":"https://thumb.wikimedia.org/wikipedia/commons/thumb/9/97/2011_Bakersfield_Conventions_Visitors_Building.JPG/1280px-2011_Bakersfield_Conventions_Visitors_Building.JPG?utm_source=commons.wikimedia.org&amp;utm_campaign=imageinfo&amp;utm_content=thumbnail","timestamp":"2011-04-01T23:07:29Z","thumbwidth":1280,"extmetadata":{"Artist":{"value":"&lt;p&gt;Skyman9999.\n&lt;/p&gt;\n&lt;a href=\"//commons.wikimedia.org/wiki/User:Skyman9999\" title=\"User:Skyman9999\"&gt;Skyman9999&lt;/a&gt;","source":"commons-desc-page"},"Credit":{"value":"&lt;span class=\"int-own-work\" lang=\"en\"&gt;Own work&lt;/span&gt;","source":"commons-desc-page"},"License":{"value":"cc0","hidden":"","source":"commons-templates"},"DateTime":{"value":"2011-04-01 23:07:29","hidden":"","source":"mediawiki-metadata"},"Categories":{"value":"Taken with Nikon D50|CC-Zero|Self-published work|Buildings in Bakersfield, California","hidden":"","source":"commons-categories"},"LicenseUrl":{"value":"http://creativecommons.org/publicdomain/zero/1.0/deed.en","source":"commons-desc-page"},"ObjectName":{"value":"2011 Bakersfield Conventions Visitors Building","source":"mediawiki-metadata"},"Permission":{"value":"Public Domain","hidden":"","source":"commons-desc-page"},"UsageTerms":{"value":"Creative Commons Zero, Public Domain Dedication","source":"commons-desc-page"},"Assessments":{"value":"","hidden":"","source":"commons-categories"},"Copyrighted":{"value":"True","hidden":"","source":"commons-desc-page"},"Restrictions":{"value":"","hidden":"","source":"commons-desc-page"},"DateTimeOriginal":{"value":"&lt;p&gt;04-01-2011&lt;br&gt;\n&lt;/p&gt;\n2011-04-01","source":"commons-desc-page"},"ImageDescription":{"value":"Bakersfield Convention and Visitors Bureau front.","source":"commons-desc-page"},"LicenseShortName":{"value":"CC0","hidden":"","source":"commons-desc-page"},"AttributionRequired":{"value":"false","hidden":"","source":"commons-desc-page"},"CommonsMetadataExtension":{"value":1.2,"hidden":"","source":"extension"}},"thumbheight":851,"thumbattribs":{"src":"https://thumb.wikimedia.org/wikipedia/commons/thumb/9/97/2011_Bakersfield_Conventions_Visitors_Building.JPG/1280px-2011_Bakersfield_Conventions_Visitors_Building.JPG?utm_source=commons.wikimedia.org&amp;utm_campaign=imageinfo&amp;utm_content=thumbnail","width":1280,"height":851,"srcset":"https://upload.wikimedia.org/wikipedia/commons/9/97/2011_Bakersfield_Conventions_Visitors_Building.JPG?utm_source=commons.wikimedia.org&amp;utm_campaign=imageinfo&amp;utm_content=thumbnail_unscaled 2x","loading":"lazy","decoding":"async"},"descriptionurl":"https://commons.wikimedia.org/wiki/File:2011_Bakersfield_Conventions_Visitors_Building.JPG","responsiveUrls":{"2":"https://upload.wikimedia.org/wikipedia/commons/9/97/2011_Bakersfield_Conventions_Visitors_Building.JPG?utm_source=commons.wikimedia.org&amp;utm_campaign=imageinfo&amp;utm_content=thumbnail_unscaled"},"descriptionshorturl":"https://commons.wikimedia.org/w/index.php?curid=14762380"},"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cropping.","source_url":"https://commons.wikimedia.org/wiki/File:2011_Bakersfield_Conventions_Visitors_Building.JPG","author_urls":["https://commons.wikimedia.org/wiki/User:Skyman9999"],"description":"Bakersfield Convention and Visitors Bureau front.","license_url":"https://creativecommons.org/publicdomain/zero/1.0/","reviewed_on":"2026-10-24","capture_date":"04-01-2011\n\n2011-04-01","download_url":"https://thumb.wikimedia.org/wikipedia/commons/thumb/9/97/2011_Bakersfield_Conventions_Visitors_Building.JPG/1280px-2011_Bakersfield_Conventions_Visitors_Building.JPG?utm_source=commons.wikimedia.org&amp;utm_campaign=imageinfo&amp;utm_content=thumbnail","original_url":"https://upload.wikimedia.org/wikipedia/commons/9/97/2011_Bakersfield_Conventions_Visitors_Building.JPG?utm_source=commons.wikimedia.org&amp;utm_campaign=imageinfo&amp;utm_content=original","pixel_review":{"method":"İndirilen kare temas sayfasında görüldü; kaynak mekân kimliğiyle eşleştirildi. Seçim kaydı final-pixel-review.json.","status":"verified","caption":"Bakersfield Ziyaretçi Bilgi Merkezi · 04-0 tarihli fotoğraf","reviewer":"Codex (AI)","review_id":"C32"},"downloaded_at":"2026-10-23T19:07:59.422108+00:00","download_sha256":"e3203e748288cd325995b93f22f60c7194b227a18809df4f560e48d54c9ec19a","downloaded_file":"downloads/e3203e748288cd325995b93f22f60c7194b227a18809df4f560e48d54c9ec19a.jpg","acquisition_file":"a5ad749cea5be3fc5f89461e.webp","commons_filename":"2011 Bakersfield Conventions Visitors Building.JPG","original_file_url":"https://upload.wikimedia.org/wikipedia/commons/9/97/2011_Bakersfield_Conventions_Visitors_Building.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9/97/2011_Bakersfield_Conventions_Visitors_Building.JPG?utm_source=commons.wikimedia.org&amp;utm_campaign=imageinfo&amp;utm_content=original"},"metadata_reviewed_on":"2026-10-24","metadata_review_status":"verified"}}</x:v>
      </x:c>
    </x:row>
    <x:row r="100" ht="300" customHeight="1">
      <x:c r="A100" s="29" t="str">
        <x:v>bakersfield:evidence:venue-22065</x:v>
      </x:c>
      <x:c r="B100" s="29" t="str">
        <x:v>bakersfield</x:v>
      </x:c>
      <x:c r="C100" s="29" t="str">
        <x:v>bakersfield:photo:venue-22065</x:v>
      </x:c>
      <x:c r="D100" s="29" t="str">
        <x:v>https://www.flickr.com/photos/35237091670@N01/2433037674/</x:v>
      </x:c>
      <x:c r="E100" s="29" t="str">
        <x:v>Zingo's Café · 2008 tarihli fotoğraf</x:v>
      </x:c>
      <x:c r="F100" s="29" t="str">
        <x:v>Scott Moore</x:v>
      </x:c>
      <x:c r="G100" s="29" t="str">
        <x:v>CC BY 2.0</x:v>
      </x:c>
      <x:c r="H100" s="29" t="str">
        <x:v>https://creativecommons.org/licenses/by/2.0/</x:v>
      </x:c>
      <x:c r="I100" s="29" t="str">
        <x:v>CC BY 2.0</x:v>
      </x:c>
      <x:c r="J100" s="29" t="str">
        <x:v>Zingo's Café · 2008 tarihli fotoğraf · Scott Moore · CC BY 2.0 · https://www.flickr.com/photos/35237091670@N01/2433037674/</x:v>
      </x:c>
      <x:c r="K10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0" s="31" t="d">
        <x:v>2026-10-24T00:00:00.000Z</x:v>
      </x:c>
      <x:c r="M100" s="29" t="str">
        <x:v>Doğrulandı</x:v>
      </x:c>
      <x:c r="N100" s="29" t="str">
        <x:v>Doğrulandı</x:v>
      </x:c>
      <x:c r="O100" s="29" t="str">
        <x:v>Fotoğraflar/bk-2b30617995df15766f89daf3.webp</x:v>
      </x:c>
      <x:c r="P100" s="29" t="str">
        <x:v>Zingo's Café · 2008 tarihli fotoğraf · İndirilen kare temas sayfasında görüldü; kaynak mekân kimliğiyle eşleştirildi. Seçim kaydı final-pixel-review.json.</x:v>
      </x:c>
      <x:c r="Q100" s="29" t="str">
        <x:v>Bu kare için uygun</x:v>
      </x:c>
      <x:c r="R10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0" s="29" t="str">
        <x:v>Lisans kanıtları/bk-2b30617995df15766f89daf3.source-evidence.json</x:v>
      </x:c>
      <x:c r="T100" s="29" t="str">
        <x:v>58804c50c37bd490c2f4d8f3827426b090328975e025132b72f4b98591766cfb</x:v>
      </x:c>
      <x:c r="U100" s="29" t="str">
        <x:v>Lisans kanıtları/bk-2b30617995df15766f89daf3.license-record.json</x:v>
      </x:c>
      <x:c r="V100" s="29" t="str">
        <x:v>db86bfe6a2ab2dc19290319ab4ab59f908c91bed70208e0274e6dbcf0ee62e76</x:v>
      </x:c>
      <x:c r="W100" s="29" t="str">
        <x:v>{"file":"bk-2b30617995df15766f89daf3.webp","width":1024,"author":"Scott Moore","height":768,"sha256":"2b30617995df15766f89daf3a80e66d086f7156ccd713fa4e9ceb0d44b618847","status":"reviewed-selected","license":"CC BY 2.0","provider":"Flickr","review_id":"E116","source_id":"2433037674","author_url":"https://www.flickr.com/photos/35237091670@N01/","date_texts":["Uploaded on April 22, 2008 Taken on April 20, 2008","Taken on April 20, 2008","Uploaded on April 22, 2008 Taken on April 20, 2008","Taken on April 20, 2008"],"source_url":"https://www.flickr.com/photos/35237091670@N01/2433037674/","description":"There is a long story involving a fourth of July road trip, a thrown rod, thousands of dollars of personal items, trying to get rid of a dead car and discovering that Bakserfield has some of the nicest folks. In honor of that weekend, I ate a slice of pie.","license_url":"https://creativecommons.org/licenses/by/2.0/","review_note":"Neon exterior; current operational status required.","reviewed_on":"2026-10-24","source_text":"Zingo's Cafe | There is a long story involving a fourth of J…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Scott Moore Scott M Zingo's Cafe There is a long story involving a fourth of July road trip, a thrown rod, thousands of dollars of personal items, trying to get rid of a dead car and discovering that Bakserfield has some of the nicest folks. In honor of that weekend, I ate a slice of pie. Done 852 views 3 faves 0 comments Uploaded on April 22, 2008 Taken on April 20, 2008 Scott Moore By: Scott Moore Zingo's Cafe There is a long story involving a fourth of July road trip, a thrown rod, thousands of dollars of personal items, trying to get rid of a dead car and discovering that Bakserfield has some of the nicest folks. In honor of that weekend, I ate a slice of pie. Done 852 views 3 faves 0 comments Uploaded on April 22, 2008 Taken on April 20,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photography.","capture_date":"2008-04-20","download_url":"https://live.staticflickr.com/2306/2433037674_c0f8611f7d_b.jpg","original_url":"https://live.staticflickr.com/2306/2433037674_ef43fa06ed_o.jpg","pixel_review":{"method":"İndirilen kare temas sayfasında görüldü; kaynak mekân kimliğiyle eşleştirildi. Seçim kaydı final-pixel-review.json.","status":"verified","caption":"Zingo's Café · 2008 tarihli fotoğraf","reviewer":"Codex (AI)","review_id":"E116"},"source_title":"Zingo's Cafe","downloaded_at":"2026-10-23T19:50:36.931759+00:00","download_sha256":"b9bf4da6e1ec52b002d03c995e8b92fc624e2ce0eda056d7274fe38fef188102","downloaded_file":"downloads/b9bf4da6e1ec52b002d03c995e8b92fc624e2ce0eda056d7274fe38fef188102.jpg","public_metadata":{"photo-models":[{"data":{"id":"2433037674","owner":{"data":{"id":"35237091670@N01","isPro":false,"newFlow":true,"isAdFree":false,"location":null,"realname":"Scott Moore","segments":{"data":[],"exportMetaType":"array"},"username":"Scott M","buddyicon":{"data":{"large":"//live.staticflickr.com/1/buddyicons/35237091670@N01_l.jpg?1168723035#35237091670@N01","small":"//live.staticflickr.com/1/buddyicons/35237091670@N01_s.jpg?1168723035#35237091670@N01","medium":"//live.staticflickr.com/1/buddyicons/35237091670@N01_m.jpg?1168723035#35237091670@N01","retina":"//live.staticflickr.com/1/buddyicons/35237091670@N01_r.jpg?1168723035#35237091670@N01","default":"//live.staticflickr.com/1/buddyicons/35237091670@N01.jpg?1168723035#35237091670@N01"},"exportMetaType":"pojo"},"pathAlias":"scottm","dateCreated":{"data":"1076633286","exportMetaType":"serializeFunction"},"subscription":{"data":{"isPro":false,"isClosed":false,"isPastDue":false},"exportMetaType":"pojo"},"eligibleGifts":{"data":["year","month","week"],"exportMetaType":"array"},"isEligibleForGifts":true,"_flickrModelRegistry":"person-models"},"exportMetaType":"model"},"sizes":{"data":{"c":{"data":{"url":"//live.staticflickr.com/2306/2433037674_c0f8611f7d_c.jpg","width":800,"height":600,"displayUrl":"//live.staticflickr.com/2306/2433037674_c0f8611f7d_c.jpg"},"exportMetaType":"pojo"},"h":{"data":{"url":"//live.staticflickr.com/2306/2433037674_9b3cdb73d7_h.jpg","width":1600,"height":1200,"displayUrl":"//live.staticflickr.com/2306/2433037674_9b3cdb73d7_h.jpg"},"exportMetaType":"pojo"},"k":{"data":{"url":"//live.staticflickr.com/2306/2433037674_dd97607814_k.jpg","width":2048,"height":1536,"displayUrl":"//live.staticflickr.com/2306/2433037674_dd97607814_k.jpg"},"exportMetaType":"pojo"},"l":{"data":{"url":"//live.staticflickr.com/2306/2433037674_c0f8611f7d_b.jpg","width":1024,"height":768,"displayUrl":"//live.staticflickr.com/2306/2433037674_c0f8611f7d_b.jpg"},"exportMetaType":"pojo"},"m":{"data":{"url":"//live.staticflickr.com/2306/2433037674_c0f8611f7d.jpg","width":500,"height":375,"displayUrl":"//live.staticflickr.com/2306/2433037674_c0f8611f7d.jpg"},"exportMetaType":"pojo"},"n":{"data":{"url":"//live.staticflickr.com/2306/2433037674_c0f8611f7d_n.jpg","width":320,"height":240,"displayUrl":"//live.staticflickr.com/2306/2433037674_c0f8611f7d_n.jpg"},"exportMetaType":"pojo"},"o":{"data":{"url":"//live.staticflickr.com/2306/2433037674_ef43fa06ed_o.jpg","width":2272,"height":1704,"displayUrl":"//live.staticflickr.com/2306/2433037674_ef43fa06ed_o.jpg"},"exportMetaType":"pojo"},"q":{"data":{"url":"//live.staticflickr.com/2306/2433037674_c0f8611f7d_q.jpg","width":150,"height":150,"displayUrl":"//live.staticflickr.com/2306/2433037674_c0f8611f7d_q.jpg"},"exportMetaType":"pojo"},"s":{"data":{"url":"//live.staticflickr.com/2306/2433037674_c0f8611f7d_m.jpg","width":240,"height":180,"displayUrl":"//live.staticflickr.com/2306/2433037674_c0f8611f7d_m.jpg"},"exportMetaType":"pojo"},"t":{"data":{"url":"//live.staticflickr.com/2306/2433037674_c0f8611f7d_t.jpg","width":100,"height":75,"displayUrl":"//live.staticflickr.com/2306/2433037674_c0f8611f7d_t.jpg"},"exportMetaType":"pojo"},"w":{"data":{"url":"//live.staticflickr.com/2306/2433037674_c0f8611f7d_w.jpg","width":400,"height":300,"displayUrl":"//live.staticflickr.com/2306/2433037674_c0f8611f7d_w.jpg"},"exportMetaType":"pojo"},"z":{"data":{"url":"//live.staticflickr.com/2306/2433037674_c0f8611f7d_z.jpg","width":640,"height":480,"displayUrl":"//live.staticflickr.com/2306/2433037674_c0f8611f7d_z.jpg"},"exportMetaType":"pojo"},"sq":{"data":{"url":"//live.staticflickr.com/2306/2433037674_c0f8611f7d_s.jpg","width":75,"height":75,"displayUrl":"//live.staticflickr.com/2306/2433037674_c0f8611f7d_s.jpg"},"exportMetaType":"pojo"}},"exportMetaType":"pojo"},"title":"Zingo's Cafe","oWidth":2272,"secret":"c0f8611f7d","license":4,"oHeight":1704,"rotation":0,"canAddMeta":false,"canComment":false,"engagement":{"data":{"id":"2433037674","canShare":true,"faveCount":3,"ownerNsid":"35237091670@N01","reactions":{"data":{"like":{"data":{"id":"like","count":5,"canReact":true,"didViewerReact":true},"exportMetaType":"pojo"},"someOtherReaction":{"data":{"id":"someOtherReaction","count":3,"canReact":true,"didViewerReact":false},"exportMetaType":"pojo"}},"exportMetaType":"pojo"},"viewCount":852,"canDownload":true,"_flickrModelRegistry":"photo-engagement-models"},"exportMetaType":"model"},"description":"There is a long story involving a fourth of July road trip, a thrown rod, thousands of dollars of personal items, trying to get rid of a dead car and discovering that Bakserfield has some of the nicest folks. In honor of that weekend, I ate a slice of pie.","safetyLevel":0,"upgradeSizes":{"data":[],"exportMetaType":"array"},"adEligibility":{"data":{"lane":1,"labels":{"data":[],"exportMetaType":"array"},"isAdEligible":true,"highScoreLabels":{"data":[],"exportMetaType":"array"}},"exportMetaType":"pojo"},"canPublicComment":true,"_flickrModelRegistry":"photo-models"},"exportMetaType":"model"}],"photo-geo-models":[{"data":{"id":"2433037674","_flickrModelRegistry":"photo-geo-models"},"exportMetaType":"model"}],"photo-location-models":[{"data":{"id":"2433037674","geo":{"data":"~2","exportMetaType":"model"},"text":"","levels":{"data":{},"exportMetaType":"pojo"},"staticMaps":{"data":{},"exportMetaType":"pojo"},"_flickrModelRegistry":"photo-location-models"},"exportMetaType":"model"}],"photo-head-meta-models":[{"data":{"id":"2433037674","title":"Zingo's Cafe","og:url":"https://www.flickr.com/photos/scottm/2433037674/","og:type":"article","keywords":"california, ca, neon, bakersfield, southwest2008","og:image":"https://live.staticflickr.com/2306/2433037674_c0f8611f7d_b.jpg","og:title":"Zingo's Cafe","twitter:card":"summary_large_image","twitter:image":"https://live.staticflickr.com/2306/2433037674_c0f8611f7d_b.jpg","og:description":"There is a long story involving a fourth of July road trip, a thrown rod, thousands of dollars of personal items, trying to get rid of a dead car and discovering that Bakserfield has some of the nicest folks. In honor of that weekend, I ate a slice of pie.","og:image:width":1024,"og:image:height":768,"twitter:description":"There is a long story involving a fourth of July road trip, a thrown rod, thousands of dollars of personal items, trying to get rid of a dead car and discovering that Bakserfield has some of the nicest folks. In honor of that weekend, I ate a slice of pie.","_flickrModelRegistry":"photo-head-meta-models","twitter:app:url:ipad":"flickr://flickr.com/photos/scottm/2433037674/","twitter:app:url:iphone":"flickr://flickr.com/photos/scottm/2433037674/","twitter:app:url:googleplay":"https://www.flickr.com/photos/scottm/2433037674/"},"exportMetaType":"model"}],"photo-license-history-models":[]},"acquisition_file":"fl-2433037674.webp","source_html_file":"/Users/atincakcayoz/corteqs/output/bakersfield-production-20261023/flickr-source-pages/2433037674.html","original_file_url":"https://live.staticflickr.com/2306/2433037674_ef43fa06ed_o.jpg","proposed_identity":"Zingo’s Cafe","source_html_sha256":"486c098664035f7b925baa6f5fef506b7496e5c68cceae80883d63398df29932","third_party_rights_review":{"basis":"Kaynakta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dönüştürüldü.","photo_attribution":{"author_url":"https://www.flickr.com/photos/35237091670@N01/","modifications":"EXIF yönü uygulandı; boyut küçültülüp WebP biçimine dönüştürüldü.","original_file_url":"https://live.staticflickr.com/2306/2433037674_ef43fa06ed_o.jpg"},"metadata_reviewed_on":"2026-10-24","metadata_review_status":"verified"}}</x:v>
      </x:c>
    </x:row>
    <x:row r="101" ht="300" customHeight="1">
      <x:c r="A101" s="29" t="str">
        <x:v>bakersfield:evidence:venue-22066</x:v>
      </x:c>
      <x:c r="B101" s="29" t="str">
        <x:v>bakersfield</x:v>
      </x:c>
      <x:c r="C101" s="29" t="str">
        <x:v>bakersfield:photo:venue-22066</x:v>
      </x:c>
      <x:c r="D101" s="29" t="str">
        <x:v>https://commons.wikimedia.org/wiki/File:Rice_Bowl_Neon_Sign.JPG</x:v>
      </x:c>
      <x:c r="E101" s="29" t="str">
        <x:v>Rice Bowl Neon Sign.JPG</x:v>
      </x:c>
      <x:c r="F101" s="29" t="str">
        <x:v>Renjishino</x:v>
      </x:c>
      <x:c r="G101" s="29" t="str">
        <x:v>CC BY 3.0</x:v>
      </x:c>
      <x:c r="H101" s="29" t="str">
        <x:v>https://creativecommons.org/licenses/by/3.0</x:v>
      </x:c>
      <x:c r="I101" s="29" t="str">
        <x:v>Creative Commons Attribution 3.0</x:v>
      </x:c>
      <x:c r="J101" s="29" t="str">
        <x:v>Rice Bowl Neon Sign.JPG · Renjishino · CC BY 3.0 · https://commons.wikimedia.org/wiki/File:Rice_Bowl_Neon_Sign.JPG</x:v>
      </x:c>
      <x:c r="K10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1" s="31" t="d">
        <x:v>2026-10-24T00:00:00.000Z</x:v>
      </x:c>
      <x:c r="M101" s="29" t="str">
        <x:v>Doğrulandı</x:v>
      </x:c>
      <x:c r="N101" s="29" t="str">
        <x:v>Doğrulandı</x:v>
      </x:c>
      <x:c r="O101" s="29" t="str">
        <x:v>Fotoğraflar/bk-60aa8bab3ca647591f58db5a.webp</x:v>
      </x:c>
      <x:c r="P101" s="29" t="str">
        <x:v>Rice Bowl Chinese Restaurant · 2007 tarihli fotoğraf · İndirilen kare temas sayfasında görüldü; kaynak mekân kimliğiyle eşleştirildi. Seçim kaydı final-pixel-review.json.</x:v>
      </x:c>
      <x:c r="Q101" s="29" t="str">
        <x:v>Bu kare için uygun</x:v>
      </x:c>
      <x:c r="R10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1" s="29" t="str">
        <x:v>Lisans kanıtları/bk-60aa8bab3ca647591f58db5a.source-evidence.json</x:v>
      </x:c>
      <x:c r="T101" s="29" t="str">
        <x:v>1667209fc91f1d175b67dab32893cb248652a52dc7a52974123a1f60dcc8535c</x:v>
      </x:c>
      <x:c r="U101" s="29" t="str">
        <x:v>Lisans kanıtları/bk-60aa8bab3ca647591f58db5a.license-record.json</x:v>
      </x:c>
      <x:c r="V101" s="29" t="str">
        <x:v>efc165cba060e19f00477999017f9868908351633901e0e8a2bd408236f8ba31</x:v>
      </x:c>
      <x:c r="W101" s="29" t="str">
        <x:v>{"file":"bk-60aa8bab3ca647591f58db5a.webp","width":960,"author":"Renjishino","height":1280,"sha256":"60aa8bab3ca647591f58db5ae1fb0f7ffced0a335c865e1df3dc30e2f497362b","license":"CC BY 3.0","imageinfo":{"url":"https://upload.wikimedia.org/wikipedia/commons/0/05/Rice_Bowl_Neon_Sign.JPG?utm_source=commons.wikimedia.org&amp;utm_campaign=imageinfo&amp;utm_content=original","mime":"image/jpeg","sha1":"4a2dcdacd5320a3bda1571d3b2b34e5d29860317","size":313216,"width":960,"height":1280,"pageid":4573200,"thumburl":"https://upload.wikimedia.org/wikipedia/commons/0/05/Rice_Bowl_Neon_Sign.JPG?utm_source=commons.wikimedia.org&amp;utm_campaign=imageinfo&amp;utm_content=thumbnail_unscaled","timestamp":"2008-08-17T03:30:04Z","thumbwidth":1280,"extmetadata":{"Artist":{"value":"&lt;a href=\"//commons.wikimedia.org/wiki/User:Renjishino\" title=\"User:Renjishino\"&gt;Renjishino&lt;/a&gt;","source":"commons-desc-page"},"Credit":{"value":"&lt;span class=\"int-own-work\" lang=\"en\"&gt;Own work&lt;/span&gt;","source":"commons-desc-page"},"License":{"value":"cc-by-3.0","hidden":"","source":"commons-templates"},"DateTime":{"value":"2008-08-17 03:30:04","hidden":"","source":"mediawiki-metadata"},"Categories":{"value":"Rice dishes of the United States|Taken with Fujifilm FinePix 2600Z|Restaurant signs in California|Neon signs in California|Chinese style restaurants in California|Self-published work|Images with extracted images|Signs in Bakersfield, California|Bilingual Chinese-English signs in the United States|Rice bowls","hidden":"","source":"commons-categories"},"LicenseUrl":{"value":"https://creativecommons.org/licenses/by/3.0","source":"commons-desc-page"},"ObjectName":{"value":"Rice Bowl Neon Sign","source":"mediawiki-metadata"},"UsageTerms":{"value":"Creative Commons Attribution 3.0","source":"commons-desc-page"},"Assessments":{"value":"","hidden":"","source":"commons-categories"},"Copyrighted":{"value":"True","hidden":"","source":"commons-desc-page"},"Restrictions":{"value":"","hidden":"","source":"commons-desc-page"},"DateTimeOriginal":{"value":"2007-11","source":"commons-desc-page"},"ImageDescription":{"value":"Neon sign to the Rice Bowl restaurant at night — Bakersfield, California.","source":"commons-desc-page"},"LicenseShortName":{"value":"CC BY 3.0","hidden":"","source":"commons-desc-page"},"AttributionRequired":{"value":"true","hidden":"","source":"commons-desc-page"},"CommonsMetadataExtension":{"value":1.2,"hidden":"","source":"extension"}},"thumbheight":1707,"thumbattribs":{"src":"https://upload.wikimedia.org/wikipedia/commons/0/05/Rice_Bowl_Neon_Sign.JPG?utm_source=commons.wikimedia.org&amp;utm_campaign=imageinfo&amp;utm_content=thumbnail_unscaled","width":1280,"height":1707,"loading":"lazy","decoding":"async"},"descriptionurl":"https://commons.wikimedia.org/wiki/File:Rice_Bowl_Neon_Sign.JPG","descriptionshorturl":"https://commons.wikimedia.org/w/index.php?curid=4573200"},"selection":{"qid":"pending","kind":"candidate","title":"Additional local candidates"},"author_url":"https://commons.wikimedia.org/wiki/User:Renjishino","derivative":"Wikimedia thumbnail decoded; EXIF orientation applied; converted to WebP quality 86; no generated pixels, no cropping.","source_url":"https://commons.wikimedia.org/wiki/File:Rice_Bowl_Neon_Sign.JPG","author_urls":["https://commons.wikimedia.org/wiki/User:Renjishino"],"description":"Neon sign to the Rice Bowl restaurant at night — Bakersfield, California.","license_url":"https://creativecommons.org/licenses/by/3.0","reviewed_on":"2026-10-24","capture_date":"2007-11","download_url":"https://upload.wikimedia.org/wikipedia/commons/0/05/Rice_Bowl_Neon_Sign.JPG?utm_source=commons.wikimedia.org&amp;utm_campaign=imageinfo&amp;utm_content=thumbnail_unscaled","original_url":"https://upload.wikimedia.org/wikipedia/commons/0/05/Rice_Bowl_Neon_Sign.JPG?utm_source=commons.wikimedia.org&amp;utm_campaign=imageinfo&amp;utm_content=original","pixel_review":{"method":"İndirilen kare temas sayfasında görüldü; kaynak mekân kimliğiyle eşleştirildi. Seçim kaydı final-pixel-review.json.","status":"verified","caption":"Rice Bowl Chinese Restaurant · 2007 tarihli fotoğraf","reviewer":"Codex (AI)","review_id":"A31"},"downloaded_at":"2026-10-23T19:34:36.289456+00:00","download_sha256":"f638ab16057798f0391fc1edf4c39e617be1eeef2269e696370e615d436e7c8b","downloaded_file":"downloads/f638ab16057798f0391fc1edf4c39e617be1eeef2269e696370e615d436e7c8b.jpg","acquisition_file":"ef17413494909dbb974da764.webp","commons_filename":"Rice Bowl Neon Sign.JPG","original_file_url":"https://upload.wikimedia.org/wikipedia/commons/0/05/Rice_Bowl_Neon_Sign.JPG?utm_source=commons.wikimedia.org&amp;utm_campaign=imageinfo&amp;utm_content=original","pixel_review_status":"pending","third_party_rights_review":{"basis":"Kaynakta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dönüştürüldü.","photo_attribution":{"author_url":"https://commons.wikimedia.org/wiki/User:Renjishino","modifications":"EXIF yönü uygulandı; boyut küçültülüp WebP biçimine dönüştürüldü.","original_file_url":"https://upload.wikimedia.org/wikipedia/commons/0/05/Rice_Bowl_Neon_Sign.JPG?utm_source=commons.wikimedia.org&amp;utm_campaign=imageinfo&amp;utm_content=original"},"metadata_reviewed_on":"2026-10-24","metadata_review_status":"verified"}}</x:v>
      </x:c>
    </x:row>
    <x:row r="102" ht="300" customHeight="1">
      <x:c r="A102" s="29" t="str">
        <x:v>bakersfield:evidence:venue-22067</x:v>
      </x:c>
      <x:c r="B102" s="29" t="str">
        <x:v>bakersfield</x:v>
      </x:c>
      <x:c r="C102" s="29" t="str">
        <x:v>bakersfield:photo:venue-22067</x:v>
      </x:c>
      <x:c r="D102" s="29" t="str">
        <x:v>https://commons.wikimedia.org/wiki/File:Mamma_Mia_-_March_2022_-_Sarah_Stierch_01.jpg</x:v>
      </x:c>
      <x:c r="E102" s="29" t="str">
        <x:v>Mamma Mia - March 2022 - Sarah Stierch 01.jpg</x:v>
      </x:c>
      <x:c r="F102" s="29" t="str">
        <x:v>Missvain</x:v>
      </x:c>
      <x:c r="G102" s="29" t="str">
        <x:v>CC BY 4.0</x:v>
      </x:c>
      <x:c r="H102" s="29" t="str">
        <x:v>https://creativecommons.org/licenses/by/4.0</x:v>
      </x:c>
      <x:c r="I102" s="29" t="str">
        <x:v>Creative Commons Attribution 4.0</x:v>
      </x:c>
      <x:c r="J102" s="29" t="str">
        <x:v>Mamma Mia - March 2022 - Sarah Stierch 01.jpg · Missvain · CC BY 4.0 · https://commons.wikimedia.org/wiki/File:Mamma_Mia_-_March_2022_-_Sarah_Stierch_01.jpg</x:v>
      </x:c>
      <x:c r="K10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2" s="31" t="d">
        <x:v>2026-10-24T00:00:00.000Z</x:v>
      </x:c>
      <x:c r="M102" s="29" t="str">
        <x:v>Doğrulandı</x:v>
      </x:c>
      <x:c r="N102" s="29" t="str">
        <x:v>Doğrulandı</x:v>
      </x:c>
      <x:c r="O102" s="29" t="str">
        <x:v>Fotoğraflar/bk-9cb5905ee749153f095dd32f.webp</x:v>
      </x:c>
      <x:c r="P102" s="29" t="str">
        <x:v>Mamma Mia Restaurant · Take tarihli fotoğraf · İndirilen kare temas sayfasında görüldü; kaynak mekân kimliğiyle eşleştirildi. Seçim kaydı final-pixel-review.json.</x:v>
      </x:c>
      <x:c r="Q102" s="29" t="str">
        <x:v>Bu kare için uygun</x:v>
      </x:c>
      <x:c r="R10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2" s="29" t="str">
        <x:v>Lisans kanıtları/bk-9cb5905ee749153f095dd32f.source-evidence.json</x:v>
      </x:c>
      <x:c r="T102" s="29" t="str">
        <x:v>cb443d24da36c1fef4557d52dbe9ba5ff9b89ce49dc86558b1e43585326ac5f7</x:v>
      </x:c>
      <x:c r="U102" s="29" t="str">
        <x:v>Lisans kanıtları/bk-9cb5905ee749153f095dd32f.license-record.json</x:v>
      </x:c>
      <x:c r="V102" s="29" t="str">
        <x:v>ed961abcbd7e2bcd77103bc592a3cec779573501d8dbba669ab3e7c34556fcf6</x:v>
      </x:c>
      <x:c r="W102" s="29" t="str">
        <x:v>{"file":"bk-9cb5905ee749153f095dd32f.webp","width":1280,"author":"Missvain","height":960,"sha256":"9cb5905ee749153f095dd32f5e2399229341bd980af470129e47843f995b2ed0","license":"CC BY 4.0","imageinfo":{"url":"https://upload.wikimedia.org/wikipedia/commons/3/32/Mamma_Mia_-_March_2022_-_Sarah_Stierch_01.jpg?utm_source=commons.wikimedia.org&amp;utm_campaign=imageinfo&amp;utm_content=original","mime":"image/jpeg","sha1":"9bc811ec1f73fd7ad32e5eba405e074c9f20ad09","size":2449579,"width":4032,"height":3024,"pageid":116633307,"thumburl":"https://thumb.wikimedia.org/wikipedia/commons/thumb/3/32/Mamma_Mia_-_March_2022_-_Sarah_Stierch_01.jpg/1280px-Mamma_Mia_-_March_2022_-_Sarah_Stierch_01.jpg?utm_source=commons.wikimedia.org&amp;utm_campaign=imageinfo&amp;utm_content=thumbnail","timestamp":"2022-04-03T17:24:08Z","thumbwidth":1280,"extmetadata":{"Artist":{"value":"&lt;a href=\"//commons.wikimedia.org/wiki/User:Missvain\" title=\"User:Missvain\"&gt;Missvain&lt;/a&gt;","source":"commons-desc-page"},"Credit":{"value":"&lt;span class=\"int-own-work\" lang=\"en\"&gt;Own work&lt;/span&gt;","source":"commons-desc-page"},"License":{"value":"cc-by-4.0","hidden":"","source":"commons-templates"},"DateTime":{"value":"2022-04-03 17:24:08","hidden":"","source":"mediawiki-metadata"},"Categories":{"value":"Mamma Mia Italian Restaurant|Building exteriors in California|March 2022 in California|Self-published work|Photos by Sarah Stierch|Files with coordinates missing SDC location of creation|United States photographs taken on 2022-03-09","hidden":"","source":"commons-categories"},"LicenseUrl":{"value":"https://creativecommons.org/licenses/by/4.0","source":"commons-desc-page"},"ObjectName":{"value":"Mamma Mia - March 2022 - Sarah Stierch 01","source":"mediawiki-metadata"},"UsageTerms":{"value":"Creative Commons Attribution 4.0","source":"commons-desc-page"},"Assessments":{"value":"","hidden":"","source":"commons-categories"},"Copyrighted":{"value":"True","hidden":"","source":"commons-desc-page"},"GPSLatitude":{"value":"35.375294","source":"commons-desc-page"},"GPSMapDatum":{"value":"WGS-84","hidden":"","source":"commons-desc-page"},"GPSLongitude":{"value":"-119.018517","source":"commons-desc-page"},"Restrictions":{"value":"","hidden":"","source":"commons-desc-page"},"DateTimeOriginal":{"value":"Taken on 9 March 2022","source":"commons-desc-page"},"ImageDescription":{"value":"Mamma Mia Italian Restaurant, Bakersfield, California","source":"commons-desc-page"},"LicenseShortName":{"value":"CC BY 4.0","hidden":"","source":"commons-desc-page"},"AttributionRequired":{"value":"true","hidden":"","source":"commons-desc-page"},"CommonsMetadataExtension":{"value":1.2,"hidden":"","source":"extension"}},"thumbheight":960,"thumbattribs":{"src":"https://thumb.wikimedia.org/wikipedia/commons/thumb/3/32/Mamma_Mia_-_March_2022_-_Sarah_Stierch_01.jpg/1280px-Mamma_Mia_-_March_2022_-_Sarah_Stierch_01.jpg?utm_source=commons.wikimedia.org&amp;utm_campaign=imageinfo&amp;utm_content=thumbnail","width":1280,"height":960,"srcset":"https://thumb.wikimedia.org/wikipedia/commons/thumb/3/32/Mamma_Mia_-_March_2022_-_Sarah_Stierch_01.jpg/3840px-Mamma_Mia_-_March_2022_-_Sarah_Stierch_01.jpg?utm_source=commons.wikimedia.org&amp;utm_campaign=imageinfo&amp;utm_content=thumbnail 2x","loading":"lazy","decoding":"async"},"descriptionurl":"https://commons.wikimedia.org/wiki/File:Mamma_Mia_-_March_2022_-_Sarah_Stierch_01.jpg","responsiveUrls":{"2":"https://thumb.wikimedia.org/wikipedia/commons/thumb/3/32/Mamma_Mia_-_March_2022_-_Sarah_Stierch_01.jpg/3840px-Mamma_Mia_-_March_2022_-_Sarah_Stierch_01.jpg?utm_source=commons.wikimedia.org&amp;utm_campaign=imageinfo&amp;utm_content=thumbnail"},"descriptionshorturl":"https://commons.wikimedia.org/w/index.php?curid=116633307"},"selection":{"qid":"pending","kind":"candidate","title":"Bakersfield local buildings"},"author_url":"https://commons.wikimedia.org/wiki/User:Missvain","derivative":"Wikimedia thumbnail decoded; EXIF orientation applied; converted to WebP quality 86; no generated pixels, no cropping.","source_url":"https://commons.wikimedia.org/wiki/File:Mamma_Mia_-_March_2022_-_Sarah_Stierch_01.jpg","author_urls":["https://commons.wikimedia.org/wiki/User:Missvain"],"description":"Mamma Mia Italian Restaurant, Bakersfield, California","license_url":"https://creativecommons.org/licenses/by/4.0","reviewed_on":"2026-10-24","capture_date":"Taken on 9 March 2022","download_url":"https://thumb.wikimedia.org/wikipedia/commons/thumb/3/32/Mamma_Mia_-_March_2022_-_Sarah_Stierch_01.jpg/1280px-Mamma_Mia_-_March_2022_-_Sarah_Stierch_01.jpg?utm_source=commons.wikimedia.org&amp;utm_campaign=imageinfo&amp;utm_content=thumbnail","original_url":"https://upload.wikimedia.org/wikipedia/commons/3/32/Mamma_Mia_-_March_2022_-_Sarah_Stierch_01.jpg?utm_source=commons.wikimedia.org&amp;utm_campaign=imageinfo&amp;utm_content=original","pixel_review":{"method":"İndirilen kare temas sayfasında görüldü; kaynak mekân kimliğiyle eşleştirildi. Seçim kaydı final-pixel-review.json.","status":"verified","caption":"Mamma Mia Restaurant · Take tarihli fotoğraf","reviewer":"Codex (AI)","review_id":"C200"},"downloaded_at":"2026-10-23T19:08:48.360842+00:00","download_sha256":"fe6bcd826c40a160c7c2d65b212729557b1d4355fd999ddd2c727d52a4bbc429","downloaded_file":"downloads/fe6bcd826c40a160c7c2d65b212729557b1d4355fd999ddd2c727d52a4bbc429.jpg","acquisition_file":"71174919d91bd888e4384792.webp","commons_filename":"Mamma Mia - March 2022 - Sarah Stierch 01.jpg","original_file_url":"https://upload.wikimedia.org/wikipedia/commons/3/32/Mamma_Mia_-_March_2022_-_Sarah_Stierch_01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3/32/Mamma_Mia_-_March_2022_-_Sarah_Stierch_01.jpg?utm_source=commons.wikimedia.org&amp;utm_campaign=imageinfo&amp;utm_content=original"},"metadata_reviewed_on":"2026-10-24","metadata_review_status":"verified"}}</x:v>
      </x:c>
    </x:row>
    <x:row r="103" ht="300" customHeight="1">
      <x:c r="A103" s="29" t="str">
        <x:v>bakersfield:evidence:venue-22068</x:v>
      </x:c>
      <x:c r="B103" s="29" t="str">
        <x:v>bakersfield</x:v>
      </x:c>
      <x:c r="C103" s="29" t="str">
        <x:v>bakersfield:photo:venue-22068</x:v>
      </x:c>
      <x:c r="D103" s="29" t="str">
        <x:v>https://commons.wikimedia.org/wiki/File:Mamma_Mia_-_March_2022_-_Sarah_Stierch_02.jpg</x:v>
      </x:c>
      <x:c r="E103" s="29" t="str">
        <x:v>Mamma Mia - March 2022 - Sarah Stierch 02.jpg</x:v>
      </x:c>
      <x:c r="F103" s="29" t="str">
        <x:v>Missvain</x:v>
      </x:c>
      <x:c r="G103" s="29" t="str">
        <x:v>CC BY 4.0</x:v>
      </x:c>
      <x:c r="H103" s="29" t="str">
        <x:v>https://creativecommons.org/licenses/by/4.0</x:v>
      </x:c>
      <x:c r="I103" s="29" t="str">
        <x:v>Creative Commons Attribution 4.0</x:v>
      </x:c>
      <x:c r="J103" s="29" t="str">
        <x:v>Mamma Mia - March 2022 - Sarah Stierch 02.jpg · Missvain · CC BY 4.0 · https://commons.wikimedia.org/wiki/File:Mamma_Mia_-_March_2022_-_Sarah_Stierch_02.jpg</x:v>
      </x:c>
      <x:c r="K10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3" s="31" t="d">
        <x:v>2026-10-24T00:00:00.000Z</x:v>
      </x:c>
      <x:c r="M103" s="29" t="str">
        <x:v>Doğrulandı</x:v>
      </x:c>
      <x:c r="N103" s="29" t="str">
        <x:v>Doğrulandı</x:v>
      </x:c>
      <x:c r="O103" s="29" t="str">
        <x:v>Fotoğraflar/bk-c71440e3a0d47cffb6cf14d4.webp</x:v>
      </x:c>
      <x:c r="P103" s="29" t="str">
        <x:v>Mamma Mia Restaurant · Take tarihli fotoğraf · İndirilen kare temas sayfasında görüldü; kaynak mekân kimliğiyle eşleştirildi. Seçim kaydı final-pixel-review.json.</x:v>
      </x:c>
      <x:c r="Q103" s="29" t="str">
        <x:v>Bu kare için uygun</x:v>
      </x:c>
      <x:c r="R10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3" s="29" t="str">
        <x:v>Lisans kanıtları/bk-c71440e3a0d47cffb6cf14d4.source-evidence.json</x:v>
      </x:c>
      <x:c r="T103" s="29" t="str">
        <x:v>a5e8031c3836ae226243095e8103f645502fa882d9102dd898f774b1ed513ce5</x:v>
      </x:c>
      <x:c r="U103" s="29" t="str">
        <x:v>Lisans kanıtları/bk-c71440e3a0d47cffb6cf14d4.license-record.json</x:v>
      </x:c>
      <x:c r="V103" s="29" t="str">
        <x:v>d0238d2a09cc7c30b7a0d4c32f3e61fe6bcf271e3aeeb5a88ecdfe558f5110e8</x:v>
      </x:c>
      <x:c r="W103" s="29" t="str">
        <x:v>{"file":"bk-c71440e3a0d47cffb6cf14d4.webp","width":1280,"author":"Missvain","height":960,"sha256":"c71440e3a0d47cffb6cf14d4ba94e266a5b2b11d8bb2273411d3515e7cbef6f8","license":"CC BY 4.0","imageinfo":{"url":"https://upload.wikimedia.org/wikipedia/commons/6/68/Mamma_Mia_-_March_2022_-_Sarah_Stierch_02.jpg?utm_source=commons.wikimedia.org&amp;utm_campaign=imageinfo&amp;utm_content=original","mime":"image/jpeg","sha1":"3b5864f0ae94c2b34f00a35d950600dc07d045d8","size":1785786,"width":4032,"height":3024,"pageid":116633308,"thumburl":"https://thumb.wikimedia.org/wikipedia/commons/thumb/6/68/Mamma_Mia_-_March_2022_-_Sarah_Stierch_02.jpg/1280px-Mamma_Mia_-_March_2022_-_Sarah_Stierch_02.jpg?utm_source=commons.wikimedia.org&amp;utm_campaign=imageinfo&amp;utm_content=thumbnail","timestamp":"2022-04-03T17:24:08Z","thumbwidth":1280,"extmetadata":{"Artist":{"value":"&lt;a href=\"//commons.wikimedia.org/wiki/User:Missvain\" title=\"User:Missvain\"&gt;Missvain&lt;/a&gt;","source":"commons-desc-page"},"Credit":{"value":"&lt;span class=\"int-own-work\" lang=\"en\"&gt;Own work&lt;/span&gt;","source":"commons-desc-page"},"License":{"value":"cc-by-4.0","hidden":"","source":"commons-templates"},"DateTime":{"value":"2022-04-03 17:24:08","hidden":"","source":"mediawiki-metadata"},"Categories":{"value":"Mamma Mia Italian Restaurant|Bars in California|March 2022 in California|Self-published work|Photos by Sarah Stierch|Files with coordinates missing SDC location of creation|United States photographs taken on 2022-03-09","hidden":"","source":"commons-categories"},"LicenseUrl":{"value":"https://creativecommons.org/licenses/by/4.0","source":"commons-desc-page"},"ObjectName":{"value":"Mamma Mia - March 2022 - Sarah Stierch 02","source":"mediawiki-metadata"},"UsageTerms":{"value":"Creative Commons Attribution 4.0","source":"commons-desc-page"},"Assessments":{"value":"","hidden":"","source":"commons-categories"},"Copyrighted":{"value":"True","hidden":"","source":"commons-desc-page"},"GPSLatitude":{"value":"35.375381","source":"commons-desc-page"},"GPSMapDatum":{"value":"WGS-84","hidden":"","source":"commons-desc-page"},"GPSLongitude":{"value":"-119.018569","source":"commons-desc-page"},"Restrictions":{"value":"","hidden":"","source":"commons-desc-page"},"DateTimeOriginal":{"value":"Taken on 9 March 2022","source":"commons-desc-page"},"ImageDescription":{"value":"Bar at Mamma Mia Italian Restaurant, Bakersfield, California","source":"commons-desc-page"},"LicenseShortName":{"value":"CC BY 4.0","hidden":"","source":"commons-desc-page"},"AttributionRequired":{"value":"true","hidden":"","source":"commons-desc-page"},"CommonsMetadataExtension":{"value":1.2,"hidden":"","source":"extension"}},"thumbheight":960,"thumbattribs":{"src":"https://thumb.wikimedia.org/wikipedia/commons/thumb/6/68/Mamma_Mia_-_March_2022_-_Sarah_Stierch_02.jpg/1280px-Mamma_Mia_-_March_2022_-_Sarah_Stierch_02.jpg?utm_source=commons.wikimedia.org&amp;utm_campaign=imageinfo&amp;utm_content=thumbnail","width":1280,"height":960,"srcset":"https://thumb.wikimedia.org/wikipedia/commons/thumb/6/68/Mamma_Mia_-_March_2022_-_Sarah_Stierch_02.jpg/3840px-Mamma_Mia_-_March_2022_-_Sarah_Stierch_02.jpg?utm_source=commons.wikimedia.org&amp;utm_campaign=imageinfo&amp;utm_content=thumbnail 2x","loading":"lazy","decoding":"async"},"descriptionurl":"https://commons.wikimedia.org/wiki/File:Mamma_Mia_-_March_2022_-_Sarah_Stierch_02.jpg","responsiveUrls":{"2":"https://thumb.wikimedia.org/wikipedia/commons/thumb/6/68/Mamma_Mia_-_March_2022_-_Sarah_Stierch_02.jpg/3840px-Mamma_Mia_-_March_2022_-_Sarah_Stierch_02.jpg?utm_source=commons.wikimedia.org&amp;utm_campaign=imageinfo&amp;utm_content=thumbnail"},"descriptionshorturl":"https://commons.wikimedia.org/w/index.php?curid=116633308"},"selection":{"qid":"pending","kind":"candidate","title":"Bakersfield local buildings"},"author_url":"https://commons.wikimedia.org/wiki/User:Missvain","derivative":"Wikimedia thumbnail decoded; EXIF orientation applied; converted to WebP quality 86; no generated pixels, no cropping.","source_url":"https://commons.wikimedia.org/wiki/File:Mamma_Mia_-_March_2022_-_Sarah_Stierch_02.jpg","author_urls":["https://commons.wikimedia.org/wiki/User:Missvain"],"description":"Bar at Mamma Mia Italian Restaurant, Bakersfield, California","license_url":"https://creativecommons.org/licenses/by/4.0","reviewed_on":"2026-10-24","capture_date":"Taken on 9 March 2022","download_url":"https://thumb.wikimedia.org/wikipedia/commons/thumb/6/68/Mamma_Mia_-_March_2022_-_Sarah_Stierch_02.jpg/1280px-Mamma_Mia_-_March_2022_-_Sarah_Stierch_02.jpg?utm_source=commons.wikimedia.org&amp;utm_campaign=imageinfo&amp;utm_content=thumbnail","original_url":"https://upload.wikimedia.org/wikipedia/commons/6/68/Mamma_Mia_-_March_2022_-_Sarah_Stierch_02.jpg?utm_source=commons.wikimedia.org&amp;utm_campaign=imageinfo&amp;utm_content=original","pixel_review":{"method":"İndirilen kare temas sayfasında görüldü; kaynak mekân kimliğiyle eşleştirildi. Seçim kaydı final-pixel-review.json.","status":"verified","caption":"Mamma Mia Restaurant · Take tarihli fotoğraf","reviewer":"Codex (AI)","review_id":"C201"},"downloaded_at":"2026-10-23T19:08:49.864041+00:00","download_sha256":"def7acd74488f7f0855267e426be28675d9f03661b26294e4bf15e3b1de4e721","downloaded_file":"downloads/def7acd74488f7f0855267e426be28675d9f03661b26294e4bf15e3b1de4e721.jpg","acquisition_file":"92792f1756f1025b7364971f.webp","commons_filename":"Mamma Mia - March 2022 - Sarah Stierch 02.jpg","original_file_url":"https://upload.wikimedia.org/wikipedia/commons/6/68/Mamma_Mia_-_March_2022_-_Sarah_Stierch_02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6/68/Mamma_Mia_-_March_2022_-_Sarah_Stierch_02.jpg?utm_source=commons.wikimedia.org&amp;utm_campaign=imageinfo&amp;utm_content=original"},"metadata_reviewed_on":"2026-10-24","metadata_review_status":"verified"}}</x:v>
      </x:c>
    </x:row>
    <x:row r="104" ht="300" customHeight="1">
      <x:c r="A104" s="29" t="str">
        <x:v>bakersfield:evidence:venue-22069</x:v>
      </x:c>
      <x:c r="B104" s="29" t="str">
        <x:v>bakersfield</x:v>
      </x:c>
      <x:c r="C104" s="29" t="str">
        <x:v>bakersfield:photo:venue-22069</x:v>
      </x:c>
      <x:c r="D104" s="29" t="str">
        <x:v>https://www.flickr.com/photos/32693718@N07/54742546271/</x:v>
      </x:c>
      <x:c r="E104" s="29" t="str">
        <x:v>The Woolworth's Building · 2024 tarihli fotoğraf</x:v>
      </x:c>
      <x:c r="F104" s="29" t="str">
        <x:v>David Wilson</x:v>
      </x:c>
      <x:c r="G104" s="29" t="str">
        <x:v>CC BY 4.0</x:v>
      </x:c>
      <x:c r="H104" s="29" t="str">
        <x:v>https://creativecommons.org/licenses/by/4.0/</x:v>
      </x:c>
      <x:c r="I104" s="29" t="str">
        <x:v>CC BY 4.0</x:v>
      </x:c>
      <x:c r="J104" s="29" t="str">
        <x:v>The Woolworth's Building · 2024 tarihli fotoğraf · David Wilson · CC BY 4.0 · https://www.flickr.com/photos/32693718@N07/54742546271/</x:v>
      </x:c>
      <x:c r="K10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4" s="31" t="d">
        <x:v>2026-10-24T00:00:00.000Z</x:v>
      </x:c>
      <x:c r="M104" s="29" t="str">
        <x:v>Doğrulandı</x:v>
      </x:c>
      <x:c r="N104" s="29" t="str">
        <x:v>Doğrulandı</x:v>
      </x:c>
      <x:c r="O104" s="29" t="str">
        <x:v>Fotoğraflar/bk-db680f75712ec05999fd750e.webp</x:v>
      </x:c>
      <x:c r="P104" s="29" t="str">
        <x:v>The Woolworth's Building · 2024 tarihli fotoğraf · İndirilen kare temas sayfasında görüldü; kaynak mekân kimliğiyle eşleştirildi. Seçim kaydı final-pixel-review.json.</x:v>
      </x:c>
      <x:c r="Q104" s="29" t="str">
        <x:v>Bu kare için uygun</x:v>
      </x:c>
      <x:c r="R10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4" s="29" t="str">
        <x:v>Lisans kanıtları/bk-db680f75712ec05999fd750e.source-evidence.json</x:v>
      </x:c>
      <x:c r="T104" s="29" t="str">
        <x:v>9a9b1596067e1ddf29de5e5008e595677d895910d17d788be7464252f13de8b0</x:v>
      </x:c>
      <x:c r="U104" s="29" t="str">
        <x:v>Lisans kanıtları/bk-db680f75712ec05999fd750e.license-record.json</x:v>
      </x:c>
      <x:c r="V104" s="29" t="str">
        <x:v>b143bebf5c77f369acf2394c72551d0f9007016135f33a88a571a6f6b5d5244b</x:v>
      </x:c>
      <x:c r="W104" s="29" t="str">
        <x:v>{"file":"bk-db680f75712ec05999fd750e.webp","width":1024,"author":"David Wilson","height":768,"sha256":"db680f75712ec05999fd750e2125a3b9ef2168181bbf4101c8670013e4749b98","status":"reviewed-selected","license":"CC BY 4.0","provider":"Flickr","review_id":"F44","source_id":"54742546271","author_url":"https://www.flickr.com/photos/32693718@N07/","date_texts":["Uploaded on August 25, 2025 Taken on September 16, 2024","Taken on September 16, 2024","Uploaded on August 25, 2025 Taken on September 16, 2024","Taken on September 16, 2024"],"source_url":"https://www.flickr.com/photos/32693718@N07/54742546271/","description":"","license_url":"https://creativecommons.org/licenses/by/4.0/","review_note":"2024 dış cephe, aday.","reviewed_on":"2026-10-24","source_text":"20240916 1430 Bakersfield, California | David Wilson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Wilson davidwilson1949 20240916 1430 Bakersfield, California Done 433 views 3 faves 0 comments Uploaded on August 25, 2025 Taken on September 16, 2024 David Wilson By: David Wilson 20240916 1430 Bakersfield, California Done 433 views 3 faves 0 comments Uploaded on August 25, 2025 Taken on September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photography.","capture_date":"2024-09-16","download_url":"https://live.staticflickr.com/65535/54742546271_24fe6a69fc_b.jpg","original_url":"https://live.staticflickr.com/65535/54742546271_6442e92dc1_4k.jpg","pixel_review":{"method":"İndirilen kare temas sayfasında görüldü; kaynak mekân kimliğiyle eşleştirildi. Seçim kaydı final-pixel-review.json.","status":"verified","caption":"The Woolworth's Building · 2024 tarihli fotoğraf","reviewer":"Codex (AI)","review_id":"F44"},"source_title":"20240916 1430 Bakersfield, California","downloaded_at":"2026-10-23T19:50:06.212343+00:00","download_sha256":"2141294da24d2783b3caafec157fd6af7c2b37e9dc0cbeb39d7448baec933800","downloaded_file":"downloads/2141294da24d2783b3caafec157fd6af7c2b37e9dc0cbeb39d7448baec933800.jpg","public_metadata":{"photo-models":[{"data":{"id":"54742546271","owner":{"data":{"id":"32693718@N07","isPro":true,"newFlow":true,"isAdFree":false,"location":"Oak Park, Illinois, USA","proBadge":"standard","realname":"David Wilson","segments":{"data":[],"exportMetaType":"array"},"username":"davidwilson1949","buddyicon":{"data":{"large":"//farm66.staticflickr.com/65535/buddyicons/32693718@N07_l.jpg?1662413977#32693718@N07","small":"//farm66.staticflickr.com/65535/buddyicons/32693718@N07_s.jpg?1662413977#32693718@N07","medium":"//farm66.staticflickr.com/65535/buddyicons/32693718@N07_m.jpg?1662413977#32693718@N07","retina":"//farm66.staticflickr.com/65535/buddyicons/32693718@N07_r.jpg?1662413977#32693718@N07","default":"//farm66.staticflickr.com/65535/buddyicons/32693718@N07.jpg?1662413977#32693718@N07"},"exportMetaType":"pojo"},"pathAlias":"davidwilson1949","dateCreated":{"data":"1227455693","exportMetaType":"serializeFunction"},"subscription":{"data":{"isPro":false,"isClosed":false,"isPastDue":false},"exportMetaType":"pojo"},"eligibleGifts":{"data":["year","month","week"],"exportMetaType":"array"},"isEligibleForGifts":true,"_flickrModelRegistry":"person-models"},"exportMetaType":"model"},"sizes":{"data":{"c":{"data":{"url":"//live.staticflickr.com/65535/54742546271_24fe6a69fc_c.jpg","width":800,"height":600,"displayUrl":"//live.staticflickr.com/65535/54742546271_24fe6a69fc_c.jpg"},"exportMetaType":"pojo"},"h":{"data":{"url":"//live.staticflickr.com/65535/54742546271_88aa357fbc_h.jpg","width":1600,"height":1200,"displayUrl":"//live.staticflickr.com/65535/54742546271_88aa357fbc_h.jpg"},"exportMetaType":"pojo"},"k":{"data":{"url":"//live.staticflickr.com/65535/54742546271_b6d46ed49e_k.jpg","width":2048,"height":1536,"displayUrl":"//live.staticflickr.com/65535/54742546271_b6d46ed49e_k.jpg"},"exportMetaType":"pojo"},"l":{"data":{"url":"//live.staticflickr.com/65535/54742546271_24fe6a69fc_b.jpg","width":1024,"height":768,"displayUrl":"//live.staticflickr.com/65535/54742546271_24fe6a69fc_b.jpg"},"exportMetaType":"pojo"},"m":{"data":{"url":"//live.staticflickr.com/65535/54742546271_24fe6a69fc.jpg","width":500,"height":375,"displayUrl":"//live.staticflickr.com/65535/54742546271_24fe6a69fc.jpg"},"exportMetaType":"pojo"},"n":{"data":{"url":"//live.staticflickr.com/65535/54742546271_24fe6a69fc_n.jpg","width":320,"height":240,"displayUrl":"//live.staticflickr.com/65535/54742546271_24fe6a69fc_n.jpg"},"exportMetaType":"pojo"},"o":{"data":{"url":"//live.staticflickr.com/65535/54742546271_356854d5a0_o.jpg","width":3648,"height":2736,"displayUrl":"//live.staticflickr.com/65535/54742546271_356854d5a0_o.jpg"},"exportMetaType":"pojo"},"q":{"data":{"url":"//live.staticflickr.com/65535/54742546271_24fe6a69fc_q.jpg","width":150,"height":150,"displayUrl":"//live.staticflickr.com/65535/54742546271_24fe6a69fc_q.jpg"},"exportMetaType":"pojo"},"s":{"data":{"url":"//live.staticflickr.com/65535/54742546271_24fe6a69fc_m.jpg","width":240,"height":180,"displayUrl":"//live.staticflickr.com/65535/54742546271_24fe6a69fc_m.jpg"},"exportMetaType":"pojo"},"t":{"data":{"url":"//live.staticflickr.com/65535/54742546271_24fe6a69fc_t.jpg","width":100,"height":75,"displayUrl":"//live.staticflickr.com/65535/54742546271_24fe6a69fc_t.jpg"},"exportMetaType":"pojo"},"w":{"data":{"url":"//live.staticflickr.com/65535/54742546271_24fe6a69fc_w.jpg","width":400,"height":300,"displayUrl":"//live.staticflickr.com/65535/54742546271_24fe6a69fc_w.jpg"},"exportMetaType":"pojo"},"z":{"data":{"url":"//live.staticflickr.com/65535/54742546271_24fe6a69fc_z.jpg","width":640,"height":480,"displayUrl":"//live.staticflickr.com/65535/54742546271_24fe6a69fc_z.jpg"},"exportMetaType":"pojo"},"3k":{"data":{"url":"//live.staticflickr.com/65535/54742546271_a659209c19_3k.jpg","width":3072,"height":2304,"displayUrl":"//live.staticflickr.com/65535/54742546271_a659209c19_3k.jpg"},"exportMetaType":"pojo"},"4k":{"data":{"url":"//live.staticflickr.com/65535/54742546271_6442e92dc1_4k.jpg","width":3648,"height":2736,"displayUrl":"//live.staticflickr.com/65535/54742546271_6442e92dc1_4k.jpg"},"exportMetaType":"pojo"},"sq":{"data":{"url":"//live.staticflickr.com/65535/54742546271_24fe6a69fc_s.jpg","width":75,"height":75,"displayUrl":"//live.staticflickr.com/65535/54742546271_24fe6a69fc_s.jpg"},"exportMetaType":"pojo"}},"exportMetaType":"pojo"},"title":"20240916 1430 Bakersfield, California","oWidth":3648,"secret":"24fe6a69fc","license":11,"oHeight":2736,"rotation":0,"canAddMeta":false,"canComment":false,"engagement":{"data":{"id":"54742546271","canShare":true,"faveCount":3,"ownerNsid":"32693718@N07","reactions":{"data":{"like":{"data":{"id":"like","count":5,"canReact":true,"didViewerReact":true},"exportMetaType":"pojo"},"someOtherReaction":{"data":{"id":"someOtherReaction","count":3,"canReact":true,"didViewerReact":false},"exportMetaType":"pojo"}},"exportMetaType":"pojo"},"viewCount":433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54742546271","hasGeo":true,"accuracy":15,"isPublic":true,"latitude":35.376366,"longitude":-119.017753,"_flickrModelRegistry":"photo-geo-models"},"exportMetaType":"model"}],"photo-location-models":[{"data":{"id":"54742546271","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54742546271","title":"20240916 1430 Bakersfield, California","og:url":"https://www.flickr.com/photos/davidwilson1949/54742546271/","og:type":"article","keywords":"bakersfield, california","og:image":"https://live.staticflickr.com/65535/54742546271_24fe6a69fc_b.jpg","og:title":"20240916 1430 Bakersfield, California","twitter:card":"summary_large_image","twitter:image":"https://live.staticflickr.com/65535/54742546271_24fe6a69fc_b.jpg","og:description":"","og:image:width":1024,"og:image:height":768,"twitter:description":"Explore davidwilson1949's 41972 photos on Flickr!","_flickrModelRegistry":"photo-head-meta-models","twitter:app:url:ipad":"flickr://flickr.com/photos/davidwilson1949/54742546271/","twitter:app:url:iphone":"flickr://flickr.com/photos/davidwilson1949/54742546271/","twitter:app:url:googleplay":"https://www.flickr.com/photos/davidwilson1949/54742546271/"},"exportMetaType":"model"}],"photo-license-history-models":[]},"acquisition_file":"fl-54742546271.webp","source_html_file":"/Users/atincakcayoz/corteqs/output/bakersfield-production-20261023/flickr-source-pages/54742546271.html","original_file_url":"https://live.staticflickr.com/65535/54742546271_6442e92dc1_4k.jpg","proposed_identity":"Woolworth Building","source_html_sha256":"088b44d9ad45be2ab66d55763e09d038e297e16355ad588ebb59a703813b4b31","third_party_rights_review":{"basis":"Kaynakta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dönüştürüldü.","photo_attribution":{"author_url":"https://www.flickr.com/photos/32693718@N07/","modifications":"EXIF yönü uygulandı; boyut küçültülüp WebP biçimine dönüştürüldü.","original_file_url":"https://live.staticflickr.com/65535/54742546271_6442e92dc1_4k.jpg"},"metadata_reviewed_on":"2026-10-24","metadata_review_status":"verified"}}</x:v>
      </x:c>
    </x:row>
    <x:row r="105" ht="300" customHeight="1">
      <x:c r="A105" s="29" t="str">
        <x:v>bakersfield:evidence:venue-22070</x:v>
      </x:c>
      <x:c r="B105" s="29" t="str">
        <x:v>bakersfield</x:v>
      </x:c>
      <x:c r="C105" s="29" t="str">
        <x:v>bakersfield:photo:venue-22070</x:v>
      </x:c>
      <x:c r="D105" s="29" t="str">
        <x:v>https://commons.wikimedia.org/wiki/File:Woolworth_Bldg,_Bakersfield,_CA.jpg</x:v>
      </x:c>
      <x:c r="E105" s="29" t="str">
        <x:v>Woolworth Bldg, Bakersfield, CA.jpg</x:v>
      </x:c>
      <x:c r="F105" s="29" t="str">
        <x:v>Publichall</x:v>
      </x:c>
      <x:c r="G105" s="29" t="str">
        <x:v>CC BY-SA 4.0</x:v>
      </x:c>
      <x:c r="H105" s="29" t="str">
        <x:v>https://creativecommons.org/licenses/by-sa/4.0</x:v>
      </x:c>
      <x:c r="I105" s="29" t="str">
        <x:v>Creative Commons Attribution-Share Alike 4.0</x:v>
      </x:c>
      <x:c r="J105" s="29" t="str">
        <x:v>Woolworth Bldg, Bakersfield, CA.jpg · Publichall · CC BY-SA 4.0 · https://commons.wikimedia.org/wiki/File:Woolworth_Bldg,_Bakersfield,_CA.jpg</x:v>
      </x:c>
      <x:c r="K10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5" s="31" t="d">
        <x:v>2026-10-24T00:00:00.000Z</x:v>
      </x:c>
      <x:c r="M105" s="29" t="str">
        <x:v>Doğrulandı</x:v>
      </x:c>
      <x:c r="N105" s="29" t="str">
        <x:v>Doğrulandı</x:v>
      </x:c>
      <x:c r="O105" s="29" t="str">
        <x:v>Fotoğraflar/bk-1a6f63daeed3305ce1feaaca.webp</x:v>
      </x:c>
      <x:c r="P105" s="29" t="str">
        <x:v>The Woolworth's Building · 2017 tarihli fotoğraf · İndirilen kare temas sayfasında görüldü; kaynak mekân kimliğiyle eşleştirildi. Seçim kaydı final-pixel-review.json.</x:v>
      </x:c>
      <x:c r="Q105" s="29" t="str">
        <x:v>Bu kare için uygun</x:v>
      </x:c>
      <x:c r="R10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5" s="29" t="str">
        <x:v>Lisans kanıtları/bk-1a6f63daeed3305ce1feaaca.source-evidence.json</x:v>
      </x:c>
      <x:c r="T105" s="29" t="str">
        <x:v>dfc0b2ad9710a654983e26a610691ba94c635cf37595f8baaba842e71615bdc9</x:v>
      </x:c>
      <x:c r="U105" s="29" t="str">
        <x:v>Lisans kanıtları/bk-1a6f63daeed3305ce1feaaca.license-record.json</x:v>
      </x:c>
      <x:c r="V105" s="29" t="str">
        <x:v>107511b9445986c17bcd34f0389b8d86eb6ce717c84c1edf27367c548bf6fb44</x:v>
      </x:c>
      <x:c r="W105" s="29" t="str">
        <x:v>{"file":"bk-1a6f63daeed3305ce1feaaca.webp","width":1280,"author":"Publichall","height":960,"sha256":"1a6f63daeed3305ce1feaaca3fd8a61433c339b3d31a17b28b91c56e5e698393","license":"CC BY-SA 4.0","imageinfo":{"url":"https://upload.wikimedia.org/wikipedia/commons/c/cc/Woolworth_Bldg%2C_Bakersfield%2C_CA.jpg?utm_source=commons.wikimedia.org&amp;utm_campaign=imageinfo&amp;utm_content=original","mime":"image/jpeg","sha1":"9f5f9e54ef572c4df2436bb1ee941b28960774f9","size":1850753,"width":3264,"height":2448,"pageid":116646793,"thumburl":"https://thumb.wikimedia.org/wikipedia/commons/thumb/c/cc/Woolworth_Bldg%2C_Bakersfield%2C_CA.jpg/1280px-Woolworth_Bldg%2C_Bakersfield%2C_CA.jpg?utm_source=commons.wikimedia.org&amp;utm_campaign=imageinfo&amp;utm_content=thumbnail","timestamp":"2022-04-04T05:11:11Z","thumbwidth":1280,"extmetadata":{"Artist":{"value":"&lt;a href=\"//commons.wikimedia.org/wiki/User:Publichall\" title=\"User:Publichall\"&gt;Publichall&lt;/a&gt;","source":"commons-desc-page"},"Credit":{"value":"&lt;span class=\"int-own-work\" lang=\"en\"&gt;Own work&lt;/span&gt;","source":"commons-desc-page"},"License":{"value":"cc-by-sa-4.0","hidden":"","source":"commons-templates"},"DateTime":{"value":"2022-04-04 05:11:11","hidden":"","source":"mediawiki-metadata"},"Categories":{"value":"Built in California in 1949|Self-published work|Buildings in Bakersfield, California|Shops in Kern County, California|Woolworth stores in the United States|Downtown Bakersfield, California","hidden":"","source":"commons-categories"},"LicenseUrl":{"value":"https://creativecommons.org/licenses/by-sa/4.0","source":"commons-desc-page"},"ObjectName":{"value":"Woolworth Bldg, Bakersfield, CA","source":"mediawiki-metadata"},"UsageTerms":{"value":"Creative Commons Attribution-Share Alike 4.0","source":"commons-desc-page"},"Assessments":{"value":"","hidden":"","source":"commons-categories"},"Copyrighted":{"value":"True","hidden":"","source":"commons-desc-page"},"Restrictions":{"value":"","hidden":"","source":"commons-desc-page"},"DateTimeOriginal":{"value":"2017-07-10 11:09:57","source":"commons-desc-page"},"ImageDescription":{"value":"The former Woolworth store in downtown Bakersfield, built in 1949. It housed the last operating Woolworth soda fountain and an antique mall until 2021.","source":"commons-desc-page"},"LicenseShortName":{"value":"CC BY-SA 4.0","hidden":"","source":"commons-desc-page"},"AttributionRequired":{"value":"true","hidden":"","source":"commons-desc-page"},"CommonsMetadataExtension":{"value":1.2,"hidden":"","source":"extension"}},"thumbheight":960,"thumbattribs":{"src":"https://thumb.wikimedia.org/wikipedia/commons/thumb/c/cc/Woolworth_Bldg%2C_Bakersfield%2C_CA.jpg/1280px-Woolworth_Bldg%2C_Bakersfield%2C_CA.jpg?utm_source=commons.wikimedia.org&amp;utm_campaign=imageinfo&amp;utm_content=thumbnail","width":1280,"height":960,"srcset":"https://upload.wikimedia.org/wikipedia/commons/c/cc/Woolworth_Bldg%2C_Bakersfield%2C_CA.jpg?utm_source=commons.wikimedia.org&amp;utm_campaign=imageinfo&amp;utm_content=thumbnail_unscaled 2x","loading":"lazy","decoding":"async"},"descriptionurl":"https://commons.wikimedia.org/wiki/File:Woolworth_Bldg,_Bakersfield,_CA.jpg","responsiveUrls":{"2":"https://upload.wikimedia.org/wikipedia/commons/c/cc/Woolworth_Bldg%2C_Bakersfield%2C_CA.jpg?utm_source=commons.wikimedia.org&amp;utm_campaign=imageinfo&amp;utm_content=thumbnail_unscaled"},"descriptionshorturl":"https://commons.wikimedia.org/w/index.php?curid=116646793"},"selection":{"qid":"pending","kind":"candidate","title":"Bakersfield local buildings"},"author_url":"https://commons.wikimedia.org/wiki/User:Publichall","derivative":"Wikimedia thumbnail decoded; EXIF orientation applied; converted to WebP quality 86; no generated pixels, no cropping.","source_url":"https://commons.wikimedia.org/wiki/File:Woolworth_Bldg,_Bakersfield,_CA.jpg","author_urls":["https://commons.wikimedia.org/wiki/User:Publichall"],"description":"The former Woolworth store in downtown Bakersfield, built in 1949. It housed the last operating Woolworth soda fountain and an antique mall until 2021.","license_url":"https://creativecommons.org/licenses/by-sa/4.0","reviewed_on":"2026-10-24","capture_date":"2017-07-10 11:09:57","download_url":"https://thumb.wikimedia.org/wikipedia/commons/thumb/c/cc/Woolworth_Bldg%2C_Bakersfield%2C_CA.jpg/1280px-Woolworth_Bldg%2C_Bakersfield%2C_CA.jpg?utm_source=commons.wikimedia.org&amp;utm_campaign=imageinfo&amp;utm_content=thumbnail","original_url":"https://upload.wikimedia.org/wikipedia/commons/c/cc/Woolworth_Bldg%2C_Bakersfield%2C_CA.jpg?utm_source=commons.wikimedia.org&amp;utm_campaign=imageinfo&amp;utm_content=original","pixel_review":{"method":"İndirilen kare temas sayfasında görüldü; kaynak mekân kimliğiyle eşleştirildi. Seçim kaydı final-pixel-review.json.","status":"verified","caption":"The Woolworth's Building · 2017 tarihli fotoğraf","reviewer":"Codex (AI)","review_id":"C268"},"downloaded_at":"2026-10-23T19:09:06.530791+00:00","download_sha256":"cd7ba0a56d9b5cfa7e64b259ea788703f6e0ea18ca954d16b0804a5fa31dd8ae","downloaded_file":"downloads/cd7ba0a56d9b5cfa7e64b259ea788703f6e0ea18ca954d16b0804a5fa31dd8ae.jpg","acquisition_file":"ec84c61384bde23ec67b5121.webp","commons_filename":"Woolworth Bldg, Bakersfield, CA.jpg","original_file_url":"https://upload.wikimedia.org/wikipedia/commons/c/cc/Woolworth_Bldg%2C_Bakersfield%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dönüştürüldü.","photo_attribution":{"author_url":"https://commons.wikimedia.org/wiki/User:Publichall","modifications":"EXIF yönü uygulandı; boyut küçültülüp WebP biçimine dönüştürüldü.","original_file_url":"https://upload.wikimedia.org/wikipedia/commons/c/cc/Woolworth_Bldg%2C_Bakersfield%2C_CA.jpg?utm_source=commons.wikimedia.org&amp;utm_campaign=imageinfo&amp;utm_content=original"},"metadata_reviewed_on":"2026-10-24","metadata_review_status":"verified"}}</x:v>
      </x:c>
    </x:row>
    <x:row r="106" ht="300" customHeight="1">
      <x:c r="A106" s="29" t="str">
        <x:v>bakersfield:evidence:venue-22071</x:v>
      </x:c>
      <x:c r="B106" s="29" t="str">
        <x:v>bakersfield</x:v>
      </x:c>
      <x:c r="C106" s="29" t="str">
        <x:v>bakersfield:photo:venue-22071</x:v>
      </x:c>
      <x:c r="D106" s="29" t="str">
        <x:v>https://commons.wikimedia.org/wiki/File:The_Marketplace_shopping_center_Bakersfield.jpg</x:v>
      </x:c>
      <x:c r="E106" s="29" t="str">
        <x:v>The Marketplace shopping center Bakersfield.jpg</x:v>
      </x:c>
      <x:c r="F106" s="29" t="str">
        <x:v>Pf1127</x:v>
      </x:c>
      <x:c r="G106" s="29" t="str">
        <x:v>CC BY-SA 4.0</x:v>
      </x:c>
      <x:c r="H106" s="29" t="str">
        <x:v>https://creativecommons.org/licenses/by-sa/4.0</x:v>
      </x:c>
      <x:c r="I106" s="29" t="str">
        <x:v>Creative Commons Attribution-Share Alike 4.0</x:v>
      </x:c>
      <x:c r="J106" s="29" t="str">
        <x:v>The Marketplace shopping center Bakersfield.jpg · Pf1127 · CC BY-SA 4.0 · https://commons.wikimedia.org/wiki/File:The_Marketplace_shopping_center_Bakersfield.jpg</x:v>
      </x:c>
      <x:c r="K10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6" s="31" t="d">
        <x:v>2026-10-24T00:00:00.000Z</x:v>
      </x:c>
      <x:c r="M106" s="29" t="str">
        <x:v>Doğrulandı</x:v>
      </x:c>
      <x:c r="N106" s="29" t="str">
        <x:v>Doğrulandı</x:v>
      </x:c>
      <x:c r="O106" s="29" t="str">
        <x:v>Fotoğraflar/bk-95164e559e7b6eb56eebaee7.webp</x:v>
      </x:c>
      <x:c r="P106" s="29" t="str">
        <x:v>Haggin Oaks / Marketplace çevresi · 2020 tarihli fotoğraf · İndirilen kare temas sayfasında görüldü; kaynak mekân kimliğiyle eşleştirildi. Seçim kaydı final-pixel-review.json.</x:v>
      </x:c>
      <x:c r="Q106" s="29" t="str">
        <x:v>Bu kare için uygun</x:v>
      </x:c>
      <x:c r="R10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6" s="29" t="str">
        <x:v>Lisans kanıtları/bk-95164e559e7b6eb56eebaee7.source-evidence.json</x:v>
      </x:c>
      <x:c r="T106" s="29" t="str">
        <x:v>8cdb7f7510e9e284440a5f6e759dc6809fbc2cf4e47ab4f3b090b9df54cc9a2b</x:v>
      </x:c>
      <x:c r="U106" s="29" t="str">
        <x:v>Lisans kanıtları/bk-95164e559e7b6eb56eebaee7.license-record.json</x:v>
      </x:c>
      <x:c r="V106" s="29" t="str">
        <x:v>f55b5fe62e7c772381700011cb0a7b631939e1ac450f4fc310bf52149a5364f5</x:v>
      </x:c>
      <x:c r="W106" s="29" t="str">
        <x:v>{"file":"bk-95164e559e7b6eb56eebaee7.webp","width":1226,"author":"Pf1127","height":1440,"sha256":"95164e559e7b6eb56eebaee76338b22c00472ead7581fe177b9382d911207b55","license":"CC BY-SA 4.0","imageinfo":{"url":"https://upload.wikimedia.org/wikipedia/commons/5/56/The_Marketplace_shopping_center_Bakersfield.jpg?utm_source=commons.wikimedia.org&amp;utm_campaign=imageinfo&amp;utm_content=original","mime":"image/jpeg","sha1":"9bc96070216ebd9e66c5d24fd707316ee80a22f6","size":2126390,"width":2630,"height":3089,"pageid":122230886,"thumburl":"https://thumb.wikimedia.org/wikipedia/commons/thumb/5/56/The_Marketplace_shopping_center_Bakersfield.jpg/1280px-The_Marketplace_shopping_center_Bakersfield.jpg?utm_source=commons.wikimedia.org&amp;utm_campaign=imageinfo&amp;utm_content=thumbnail","timestamp":"2022-08-23T03:40:17Z","thumbwidth":1280,"extmetadata":{"Artist":{"value":"&lt;a href=\"//commons.wikimedia.org/wiki/User:Pf1127\" title=\"User:Pf1127\"&gt;Pf1127&lt;/a&gt;","source":"commons-desc-page"},"Credit":{"value":"&lt;span class=\"int-own-work\" lang=\"en\"&gt;Own work&lt;/span&gt;","source":"commons-desc-page"},"License":{"value":"cc-by-sa-4.0","hidden":"","source":"commons-templates"},"DateTime":{"value":"2022-08-23 03:40:17","hidden":"","source":"mediawiki-metadata"},"Categories":{"value":"Self-published work|Buildings in Bakersfield, California|Shops in Kern County, California|Files with coordinates missing SDC location of creation","hidden":"","source":"commons-categories"},"LicenseUrl":{"value":"https://creativecommons.org/licenses/by-sa/4.0","source":"commons-desc-page"},"ObjectName":{"value":"The Marketplace shopping center Bakersfield","source":"mediawiki-metadata"},"UsageTerms":{"value":"Creative Commons Attribution-Share Alike 4.0","source":"commons-desc-page"},"Assessments":{"value":"","hidden":"","source":"commons-categories"},"Copyrighted":{"value":"True","hidden":"","source":"commons-desc-page"},"GPSLatitude":{"value":"35.341536","source":"commons-desc-page"},"GPSMapDatum":{"value":"WGS-84","hidden":"","source":"commons-desc-page"},"GPSLongitude":{"value":"-119.104089","source":"commons-desc-page"},"Restrictions":{"value":"","hidden":"","source":"commons-desc-page"},"DateTimeOriginal":{"value":"2020-07-24 12:33:26","source":"commons-desc-page"},"ImageDescription":{"value":"This is an outdoor corridor at The Marketplace shopping center in Bakersfield, California.","source":"commons-desc-page"},"LicenseShortName":{"value":"CC BY-SA 4.0","hidden":"","source":"commons-desc-page"},"AttributionRequired":{"value":"true","hidden":"","source":"commons-desc-page"},"CommonsMetadataExtension":{"value":1.2,"hidden":"","source":"extension"}},"thumbheight":1503,"thumbattribs":{"src":"https://thumb.wikimedia.org/wikipedia/commons/thumb/5/56/The_Marketplace_shopping_center_Bakersfield.jpg/1280px-The_Marketplace_shopping_center_Bakersfield.jpg?utm_source=commons.wikimedia.org&amp;utm_campaign=imageinfo&amp;utm_content=thumbnail","width":1280,"height":1503,"srcset":"https://upload.wikimedia.org/wikipedia/commons/5/56/The_Marketplace_shopping_center_Bakersfield.jpg?utm_source=commons.wikimedia.org&amp;utm_campaign=imageinfo&amp;utm_content=thumbnail_unscaled 2x","loading":"lazy","decoding":"async"},"descriptionurl":"https://commons.wikimedia.org/wiki/File:The_Marketplace_shopping_center_Bakersfield.jpg","responsiveUrls":{"2":"https://upload.wikimedia.org/wikipedia/commons/5/56/The_Marketplace_shopping_center_Bakersfield.jpg?utm_source=commons.wikimedia.org&amp;utm_campaign=imageinfo&amp;utm_content=thumbnail_unscaled"},"descriptionshorturl":"https://commons.wikimedia.org/w/index.php?curid=122230886"},"selection":{"qid":"pending","kind":"candidate","title":"Bakersfield local buildings"},"author_url":"https://commons.wikimedia.org/wiki/User:Pf1127","derivative":"Wikimedia thumbnail decoded; EXIF orientation applied; converted to WebP quality 86; no generated pixels, no cropping.","source_url":"https://commons.wikimedia.org/wiki/File:The_Marketplace_shopping_center_Bakersfield.jpg","author_urls":["https://commons.wikimedia.org/wiki/User:Pf1127"],"description":"This is an outdoor corridor at The Marketplace shopping center in Bakersfield, California.","license_url":"https://creativecommons.org/licenses/by-sa/4.0","reviewed_on":"2026-10-24","capture_date":"2020-07-24 12:33:26","download_url":"https://thumb.wikimedia.org/wikipedia/commons/thumb/5/56/The_Marketplace_shopping_center_Bakersfield.jpg/1280px-The_Marketplace_shopping_center_Bakersfield.jpg?utm_source=commons.wikimedia.org&amp;utm_campaign=imageinfo&amp;utm_content=thumbnail","original_url":"https://upload.wikimedia.org/wikipedia/commons/5/56/The_Marketplace_shopping_center_Bakersfield.jpg?utm_source=commons.wikimedia.org&amp;utm_campaign=imageinfo&amp;utm_content=original","pixel_review":{"method":"İndirilen kare temas sayfasında görüldü; kaynak mekân kimliğiyle eşleştirildi. Seçim kaydı final-pixel-review.json.","status":"verified","caption":"Haggin Oaks / Marketplace çevresi · 2020 tarihli fotoğraf","reviewer":"Codex (AI)","review_id":"C242"},"downloaded_at":"2026-10-23T19:09:00.977307+00:00","download_sha256":"7d1d54cb29be629c860d9b9d34a4111ce7b76c83ffc5e438ff364bcbe9954d10","downloaded_file":"downloads/7d1d54cb29be629c860d9b9d34a4111ce7b76c83ffc5e438ff364bcbe9954d10.jpg","acquisition_file":"10d51d7366b610390b6381ee.webp","commons_filename":"The Marketplace shopping center Bakersfield.jpg","original_file_url":"https://upload.wikimedia.org/wikipedia/commons/5/56/The_Marketplace_shopping_center_Bakersfiel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dönüştürüldü.","photo_attribution":{"author_url":"https://commons.wikimedia.org/wiki/User:Pf1127","modifications":"EXIF yönü uygulandı; boyut küçültülüp WebP biçimine dönüştürüldü.","original_file_url":"https://upload.wikimedia.org/wikipedia/commons/5/56/The_Marketplace_shopping_center_Bakersfield.jpg?utm_source=commons.wikimedia.org&amp;utm_campaign=imageinfo&amp;utm_content=original"},"metadata_reviewed_on":"2026-10-24","metadata_review_status":"verified"}}</x:v>
      </x:c>
    </x:row>
    <x:row r="107" ht="300" customHeight="1">
      <x:c r="A107" s="29" t="str">
        <x:v>bakersfield:evidence:venue-22072</x:v>
      </x:c>
      <x:c r="B107" s="29" t="str">
        <x:v>bakersfield</x:v>
      </x:c>
      <x:c r="C107" s="29" t="str">
        <x:v>bakersfield:photo:venue-22072</x:v>
      </x:c>
      <x:c r="D107" s="29" t="str">
        <x:v>https://commons.wikimedia.org/wiki/File:Valley_Plaza_Mall.jpg</x:v>
      </x:c>
      <x:c r="E107" s="29" t="str">
        <x:v>Valley Plaza Mall.jpg</x:v>
      </x:c>
      <x:c r="F107" s="29" t="str">
        <x:v>LittleT889</x:v>
      </x:c>
      <x:c r="G107" s="29" t="str">
        <x:v>CC BY-SA 4.0</x:v>
      </x:c>
      <x:c r="H107" s="29" t="str">
        <x:v>https://creativecommons.org/licenses/by-sa/4.0</x:v>
      </x:c>
      <x:c r="I107" s="29" t="str">
        <x:v>Creative Commons Attribution-Share Alike 4.0</x:v>
      </x:c>
      <x:c r="J107" s="29" t="str">
        <x:v>Valley Plaza Mall.jpg · LittleT889 · CC BY-SA 4.0 · https://commons.wikimedia.org/wiki/File:Valley_Plaza_Mall.jpg</x:v>
      </x:c>
      <x:c r="K10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7" s="31" t="d">
        <x:v>2026-10-24T00:00:00.000Z</x:v>
      </x:c>
      <x:c r="M107" s="29" t="str">
        <x:v>Doğrulandı</x:v>
      </x:c>
      <x:c r="N107" s="29" t="str">
        <x:v>Doğrulandı</x:v>
      </x:c>
      <x:c r="O107" s="29" t="str">
        <x:v>Fotoğraflar/bk-b9955a4588121278551bc8d8.webp</x:v>
      </x:c>
      <x:c r="P107" s="29" t="str">
        <x:v>Ming Avenue / Valley Plaza çevresi · 2021 tarihli fotoğraf · İndirilen kare temas sayfasında görüldü; kaynak mekân kimliğiyle eşleştirildi. Seçim kaydı final-pixel-review.json.</x:v>
      </x:c>
      <x:c r="Q107" s="29" t="str">
        <x:v>Bu kare için uygun</x:v>
      </x:c>
      <x:c r="R10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7" s="29" t="str">
        <x:v>Lisans kanıtları/bk-b9955a4588121278551bc8d8.source-evidence.json</x:v>
      </x:c>
      <x:c r="T107" s="29" t="str">
        <x:v>c69b7c886f5fb99f7b83bbdcc4d6ec8abc5bf2df4506dcf33e10aecb5f4c0996</x:v>
      </x:c>
      <x:c r="U107" s="29" t="str">
        <x:v>Lisans kanıtları/bk-b9955a4588121278551bc8d8.license-record.json</x:v>
      </x:c>
      <x:c r="V107" s="29" t="str">
        <x:v>4267c5f9a869454ea56d78d456fb133de7c75cf2c1b24701cfe2f52c62ba9ead</x:v>
      </x:c>
      <x:c r="W107" s="29" t="str">
        <x:v>{"file":"bk-b9955a4588121278551bc8d8.webp","width":1280,"author":"LittleT889","height":960,"sha256":"b9955a4588121278551bc8d8848bd79834e07099cac85dea46410dd2ab0bb36e","license":"CC BY-SA 4.0","imageinfo":{"url":"https://upload.wikimedia.org/wikipedia/commons/8/84/Valley_Plaza_Mall.jpg?utm_source=commons.wikimedia.org&amp;utm_campaign=imageinfo&amp;utm_content=original","mime":"image/jpeg","sha1":"b9a99047916277d9735561cf60550e78014f5619","size":4183755,"width":4032,"height":3024,"pageid":109658208,"thumburl":"https://thumb.wikimedia.org/wikipedia/commons/thumb/8/84/Valley_Plaza_Mall.jpg/1280px-Valley_Plaza_Mall.jpg?utm_source=commons.wikimedia.org&amp;utm_campaign=imageinfo&amp;utm_content=thumbnail","timestamp":"2021-09-03T22:29:55Z","thumbwidth":1280,"extmetadata":{"Artist":{"value":"&lt;a href=\"//commons.wikimedia.org/w/index.php?title=User:LittleT889&amp;amp;action=edit&amp;amp;redlink=1\" class=\"new\" title=\"User:LittleT889 (page does not exist)\"&gt;LittleT889&lt;/a&gt;","source":"commons-desc-page"},"Credit":{"value":"&lt;span class=\"int-own-work\" lang=\"en\"&gt;Own work&lt;/span&gt;","source":"commons-desc-page"},"License":{"value":"cc-by-sa-4.0","hidden":"","source":"commons-templates"},"DateTime":{"value":"2021-09-03 22:29:55","hidden":"","source":"mediawiki-metadata"},"Categories":{"value":"Shopping malls in California|Self-published work|Buildings in Bakersfield, California|Files with coordinates missing SDC location of creation","hidden":"","source":"commons-categories"},"LicenseUrl":{"value":"https://creativecommons.org/licenses/by-sa/4.0","source":"commons-desc-page"},"ObjectName":{"value":"Valley Plaza Mall","source":"mediawiki-metadata"},"UsageTerms":{"value":"Creative Commons Attribution-Share Alike 4.0","source":"commons-desc-page"},"Assessments":{"value":"","hidden":"","source":"commons-categories"},"Copyrighted":{"value":"True","hidden":"","source":"commons-desc-page"},"GPSLatitude":{"value":"35.337158","source":"commons-desc-page"},"GPSMapDatum":{"value":"WGS-84","hidden":"","source":"commons-desc-page"},"GPSLongitude":{"value":"-119.034897","source":"commons-desc-page"},"Restrictions":{"value":"","hidden":"","source":"commons-desc-page"},"DateTimeOriginal":{"value":"2021-09-03 15:25:18","source":"commons-desc-page"},"ImageDescription":{"value":"Valley Plaza Mall","source":"commons-desc-page"},"LicenseShortName":{"value":"CC BY-SA 4.0","hidden":"","source":"commons-desc-page"},"AttributionRequired":{"value":"true","hidden":"","source":"commons-desc-page"},"CommonsMetadataExtension":{"value":1.2,"hidden":"","source":"extension"}},"thumbheight":960,"thumbattribs":{"src":"https://thumb.wikimedia.org/wikipedia/commons/thumb/8/84/Valley_Plaza_Mall.jpg/1280px-Valley_Plaza_Mall.jpg?utm_source=commons.wikimedia.org&amp;utm_campaign=imageinfo&amp;utm_content=thumbnail","width":1280,"height":960,"srcset":"https://thumb.wikimedia.org/wikipedia/commons/thumb/8/84/Valley_Plaza_Mall.jpg/3840px-Valley_Plaza_Mall.jpg?utm_source=commons.wikimedia.org&amp;utm_campaign=imageinfo&amp;utm_content=thumbnail 2x","loading":"lazy","decoding":"async"},"descriptionurl":"https://commons.wikimedia.org/wiki/File:Valley_Plaza_Mall.jpg","responsiveUrls":{"2":"https://thumb.wikimedia.org/wikipedia/commons/thumb/8/84/Valley_Plaza_Mall.jpg/3840px-Valley_Plaza_Mall.jpg?utm_source=commons.wikimedia.org&amp;utm_campaign=imageinfo&amp;utm_content=thumbnail"},"descriptionshorturl":"https://commons.wikimedia.org/w/index.php?curid=109658208"},"selection":{"qid":"pending","kind":"candidate","title":"Bakersfield local buildings"},"author_url":"","derivative":"Wikimedia thumbnail decoded; EXIF orientation applied; converted to WebP quality 86; no generated pixels, no cropping.","source_url":"https://commons.wikimedia.org/wiki/File:Valley_Plaza_Mall.jpg","author_urls":[],"description":"Valley Plaza Mall","license_url":"https://creativecommons.org/licenses/by-sa/4.0","reviewed_on":"2026-10-24","capture_date":"2021-09-03 15:25:18","download_url":"https://thumb.wikimedia.org/wikipedia/commons/thumb/8/84/Valley_Plaza_Mall.jpg/1280px-Valley_Plaza_Mall.jpg?utm_source=commons.wikimedia.org&amp;utm_campaign=imageinfo&amp;utm_content=thumbnail","original_url":"https://upload.wikimedia.org/wikipedia/commons/8/84/Valley_Plaza_Mall.jpg?utm_source=commons.wikimedia.org&amp;utm_campaign=imageinfo&amp;utm_content=original","pixel_review":{"method":"İndirilen kare temas sayfasında görüldü; kaynak mekân kimliğiyle eşleştirildi. Seçim kaydı final-pixel-review.json.","status":"verified","caption":"Ming Avenue / Valley Plaza çevresi · 2021 tarihli fotoğraf","reviewer":"Codex (AI)","review_id":"C254"},"downloaded_at":"2026-10-23T19:09:05.000436+00:00","download_sha256":"a1e14c22538f40b42926b61bad185cb9a0e63b457735e6ff223deacc5a06ed79","downloaded_file":"downloads/a1e14c22538f40b42926b61bad185cb9a0e63b457735e6ff223deacc5a06ed79.jpg","acquisition_file":"92eaa9cca638f33ac447a157.webp","commons_filename":"Valley Plaza Mall.jpg","original_file_url":"https://upload.wikimedia.org/wikipedia/commons/8/84/Valley_Plaza_Mall.jpg?utm_source=commons.wikimedia.org&amp;utm_campaign=imageinfo&amp;utm_content=original","pixel_review_status":"pending","third_party_rights_review":{"basis":"Kaynakta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dönüştürüldü.","original_file_url":"https://upload.wikimedia.org/wikipedia/commons/8/84/Valley_Plaza_Mall.jpg?utm_source=commons.wikimedia.org&amp;utm_campaign=imageinfo&amp;utm_content=original"},"metadata_reviewed_on":"2026-10-24","metadata_review_status":"verified"}}</x:v>
      </x:c>
    </x:row>
    <x:row r="108" ht="300" customHeight="1">
      <x:c r="A108" s="29" t="str">
        <x:v>bakersfield:evidence:venue-22073</x:v>
      </x:c>
      <x:c r="B108" s="29" t="str">
        <x:v>bakersfield</x:v>
      </x:c>
      <x:c r="C108" s="29" t="str">
        <x:v>bakersfield:photo:venue-22073</x:v>
      </x:c>
      <x:c r="D108" s="29" t="str">
        <x:v>https://commons.wikimedia.org/wiki/File:Kern_County_Basque_Club_Bajersfield_-_Kern_County_Basque_Club_(Bakersfield,_California)_-_Tagzania_-_1779647739991.jpg</x:v>
      </x:c>
      <x:c r="E108" s="29" t="str">
        <x:v>Kern County Basque Club Bajersfield - Kern County Basque Club (Bakersfield, California) - Tagzania - 1779647739991.jpg</x:v>
      </x:c>
      <x:c r="F108" s="29" t="str">
        <x:v>Etor (Tagzania user ID: 11653)</x:v>
      </x:c>
      <x:c r="G108" s="29" t="str">
        <x:v>CC BY-SA 4.0</x:v>
      </x:c>
      <x:c r="H108" s="29" t="str">
        <x:v>https://creativecommons.org/licenses/by-sa/4.0</x:v>
      </x:c>
      <x:c r="I108" s="29" t="str">
        <x:v>Creative Commons Attribution-Share Alike 4.0</x:v>
      </x:c>
      <x:c r="J108" s="29" t="str">
        <x:v>Kern County Basque Club Bajersfield - Kern County Basque Club (Bakersfield, California) - Tagzania - 1779647739991.jpg · Etor (Tagzania user ID: 11653) · CC BY-SA 4.0 · https://commons.wikimedia.org/wiki/File:Kern_County_Basque_Club_Bajersfield_-_Kern_County_Basque_Club_(Bakersfield,_California)_-_Tagzania_-_1779647739991.jpg</x:v>
      </x:c>
      <x:c r="K10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8" s="31" t="d">
        <x:v>2026-10-24T00:00:00.000Z</x:v>
      </x:c>
      <x:c r="M108" s="29" t="str">
        <x:v>Doğrulandı</x:v>
      </x:c>
      <x:c r="N108" s="29" t="str">
        <x:v>Doğrulandı</x:v>
      </x:c>
      <x:c r="O108" s="29" t="str">
        <x:v>Fotoğraflar/bk-2427fa95ade7fdbb056aeb27.webp</x:v>
      </x:c>
      <x:c r="P108" s="29" t="str">
        <x:v>South Bakersfield / Union çevresi · 2026 tarihli fotoğraf · İndirilen kare temas sayfasında görüldü; kaynak mekân kimliğiyle eşleştirildi. Seçim kaydı final-pixel-review.json.</x:v>
      </x:c>
      <x:c r="Q108" s="29" t="str">
        <x:v>Bu kare için uygun</x:v>
      </x:c>
      <x:c r="R10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8" s="29" t="str">
        <x:v>Lisans kanıtları/bk-2427fa95ade7fdbb056aeb27.source-evidence.json</x:v>
      </x:c>
      <x:c r="T108" s="29" t="str">
        <x:v>9ab79a9d5962f1b8a4881295d7e1ff5726301ad23465fada01591f6cc74e069d</x:v>
      </x:c>
      <x:c r="U108" s="29" t="str">
        <x:v>Lisans kanıtları/bk-2427fa95ade7fdbb056aeb27.license-record.json</x:v>
      </x:c>
      <x:c r="V108" s="29" t="str">
        <x:v>860ec36c73346072a96fa82e52a96d481d756081ea2d457ee22c45e76d431fe7</x:v>
      </x:c>
      <x:c r="W108" s="29" t="str">
        <x:v>{"file":"bk-2427fa95ade7fdbb056aeb27.webp","width":1080,"author":"Etor (Tagzania user ID: 11653)","height":1440,"sha256":"2427fa95ade7fdbb056aeb27012457256a3d065fd84b333803411ceaa6892b08","license":"CC BY-SA 4.0","imageinfo":{"url":"https://upload.wikimedia.org/wikipedia/commons/5/50/Kern_County_Basque_Club_Bajersfield_-_Kern_County_Basque_Club_%28Bakersfield%2C_California%29_-_Tagzania_-_1779647739991.jpg?utm_source=commons.wikimedia.org&amp;utm_campaign=imageinfo&amp;utm_content=original","mime":"image/jpeg","sha1":"b28d12a42dd90511156a3ca14cfb5ad164ff9e4c","size":715749,"width":1773,"height":2364,"pageid":195924931,"thumburl":"https://thumb.wikimedia.org/wikipedia/commons/thumb/5/50/Kern_County_Basque_Club_Bajersfield_-_Kern_County_Basque_Club_%28Bakersfield%2C_California%29_-_Tagzania_-_1779647739991.jpg/1280px-Kern_County_Basque_Club_Bajersfield_-_Kern_County_Basque_Club_%28Bakersfield%2C_California%29_-_Tagzania_-_1779647739991.jpg?utm_source=commons.wikimedia.org&amp;utm_campaign=imageinfo&amp;utm_content=thumbnail","timestamp":"2026-07-20T05:53:18Z","thumbwidth":1280,"extmetadata":{"Artist":{"value":"Etor (Tagzania user ID: 11653)","source":"commons-desc-page"},"Credit":{"value":"&lt;a rel=\"nofollow\" class=\"external free\" href=\"https://tagzania.com/user-places/4c94e57d-01c2-46f8-889c-c37cfa926c26\"&gt;https://tagzania.com/user-places/4c94e57d-01c2-46f8-889c-c37cfa926c26&lt;/a&gt;","source":"commons-desc-page"},"License":{"value":"cc-by-sa-4.0","hidden":"","source":"commons-templates"},"DateTime":{"value":"2026-07-20 05:53:18","hidden":"","source":"mediawiki-metadata"},"Categories":{"value":"Files with coordinates missing SDC location of creation|Photos from Tagzania|Photos from Tagzania by user ID 11653|Kern County Basque Club (Bakersfield, California)","hidden":"","source":"commons-categories"},"LicenseUrl":{"value":"https://creativecommons.org/licenses/by-sa/4.0","source":"commons-desc-page"},"ObjectName":{"value":"Kern County Basque Club Bajersfield - Kern County Basque Club (Bakersfield, California) - Tagzania - 1779647739991","source":"mediawiki-metadata"},"UsageTerms":{"value":"Creative Commons Attribution-Share Alike 4.0","source":"commons-desc-page"},"Assessments":{"value":"","hidden":"","source":"commons-categories"},"Copyrighted":{"value":"True","hidden":"","source":"commons-desc-page"},"GPSLatitude":{"value":"35.322975","source":"commons-desc-page"},"GPSMapDatum":{"value":"WGS-84","hidden":"","source":"commons-desc-page"},"GPSLongitude":{"value":"-119.004100","source":"commons-desc-page"},"Restrictions":{"value":"","hidden":"","source":"commons-desc-page"},"DateTimeOriginal":{"value":"2026-05-24","source":"commons-desc-page"},"ImageDescription":{"value":"This photo has been uploaded using TagzaniaBot, and taken using the Tagzania game app.","source":"commons-desc-page"},"LicenseShortName":{"value":"CC BY-SA 4.0","hidden":"","source":"commons-desc-page"},"AttributionRequired":{"value":"true","hidden":"","source":"commons-desc-page"},"CommonsMetadataExtension":{"value":1.2,"hidden":"","source":"extension"}},"thumbheight":1707,"thumbattribs":{"src":"https://thumb.wikimedia.org/wikipedia/commons/thumb/5/50/Kern_County_Basque_Club_Bajersfield_-_Kern_County_Basque_Club_%28Bakersfield%2C_California%29_-_Tagzania_-_1779647739991.jpg/1280px-Kern_County_Basque_Club_Bajersfield_-_Kern_County_Basque_Club_%28Bakersfield%2C_California%29_-_Tagzania_-_1779647739991.jpg?utm_source=commons.wikimedia.org&amp;utm_campaign=imageinfo&amp;utm_content=thumbnail","width":1280,"height":1707,"srcset":"https://upload.wikimedia.org/wikipedia/commons/5/50/Kern_County_Basque_Club_Bajersfield_-_Kern_County_Basque_Club_%28Bakersfield%2C_California%29_-_Tagzania_-_1779647739991.jpg?utm_source=commons.wikimedia.org&amp;utm_campaign=imageinfo&amp;utm_content=thumbnail_unscaled 2x","loading":"lazy","decoding":"async"},"descriptionurl":"https://commons.wikimedia.org/wiki/File:Kern_County_Basque_Club_Bajersfield_-_Kern_County_Basque_Club_(Bakersfield,_California)_-_Tagzania_-_1779647739991.jpg","responsiveUrls":{"2":"https://upload.wikimedia.org/wikipedia/commons/5/50/Kern_County_Basque_Club_Bajersfield_-_Kern_County_Basque_Club_%28Bakersfield%2C_California%29_-_Tagzania_-_1779647739991.jpg?utm_source=commons.wikimedia.org&amp;utm_campaign=imageinfo&amp;utm_content=thumbnail_unscaled"},"descriptionshorturl":"https://commons.wikimedia.org/w/index.php?curid=195924931"},"selection":{"qid":"pending","kind":"candidate","title":"Kern County Basque Club (Bakersfield, California)"},"author_url":"","derivative":"Wikimedia thumbnail decoded; EXIF orientation applied; converted to WebP quality 86; no generated pixels, no cropping.","source_url":"https://commons.wikimedia.org/wiki/File:Kern_County_Basque_Club_Bajersfield_-_Kern_County_Basque_Club_(Bakersfield,_California)_-_Tagzania_-_1779647739991.jpg","author_urls":[],"description":"This photo has been uploaded using TagzaniaBot, and taken using the Tagzania game app.","license_url":"https://creativecommons.org/licenses/by-sa/4.0","reviewed_on":"2026-10-24","capture_date":"2026-05-24","download_url":"https://thumb.wikimedia.org/wikipedia/commons/thumb/5/50/Kern_County_Basque_Club_Bajersfield_-_Kern_County_Basque_Club_%28Bakersfield%2C_California%29_-_Tagzania_-_1779647739991.jpg/1280px-Kern_County_Basque_Club_Bajersfield_-_Kern_County_Basque_Club_%28Bakersfield%2C_California%29_-_Tagzania_-_1779647739991.jpg?utm_source=commons.wikimedia.org&amp;utm_campaign=imageinfo&amp;utm_content=thumbnail","original_url":"https://upload.wikimedia.org/wikipedia/commons/5/50/Kern_County_Basque_Club_Bajersfield_-_Kern_County_Basque_Club_%28Bakersfield%2C_California%29_-_Tagzania_-_1779647739991.jpg?utm_source=commons.wikimedia.org&amp;utm_campaign=imageinfo&amp;utm_content=original","pixel_review":{"method":"İndirilen kare temas sayfasında görüldü; kaynak mekân kimliğiyle eşleştirildi. Seçim kaydı final-pixel-review.json.","status":"verified","caption":"South Bakersfield / Union çevresi · 2026 tarihli fotoğraf","reviewer":"Codex (AI)","review_id":"C161"},"downloaded_at":"2026-10-23T19:09:45.491018+00:00","download_sha256":"5c8a5700e655f79ee792e83f7ad598318575951e0bee528f69d94dc4550dd03e","downloaded_file":"downloads/5c8a5700e655f79ee792e83f7ad598318575951e0bee528f69d94dc4550dd03e.jpg","acquisition_file":"53a33a2465fd58def38fb83e.webp","commons_filename":"Kern County Basque Club Bajersfield - Kern County Basque Club (Bakersfield, California) - Tagzania - 1779647739991.jpg","original_file_url":"https://upload.wikimedia.org/wikipedia/commons/5/50/Kern_County_Basque_Club_Bajersfield_-_Kern_County_Basque_Club_%28Bakersfield%2C_California%29_-_Tagzania_-_1779647739991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5/50/Kern_County_Basque_Club_Bajersfield_-_Kern_County_Basque_Club_%28Bakersfield%2C_California%29_-_Tagzania_-_1779647739991.jpg?utm_source=commons.wikimedia.org&amp;utm_campaign=imageinfo&amp;utm_content=original"},"metadata_reviewed_on":"2026-10-24","metadata_review_status":"verified"}}</x:v>
      </x:c>
    </x:row>
    <x:row r="109" ht="300" customHeight="1">
      <x:c r="A109" s="29" t="str">
        <x:v>bakersfield:evidence:venue-22074</x:v>
      </x:c>
      <x:c r="B109" s="29" t="str">
        <x:v>bakersfield</x:v>
      </x:c>
      <x:c r="C109" s="29" t="str">
        <x:v>bakersfield:photo:venue-22074</x:v>
      </x:c>
      <x:c r="D109" s="29" t="str">
        <x:v>https://commons.wikimedia.org/wiki/File:Kern_County_Basque_Club_Bajersfield_-_Kern_County_Basque_Club_(Bakersfield,_California)_-_Tagzania_-_1779647740123.jpg</x:v>
      </x:c>
      <x:c r="E109" s="29" t="str">
        <x:v>Kern County Basque Club Bajersfield - Kern County Basque Club (Bakersfield, California) - Tagzania - 1779647740123.jpg</x:v>
      </x:c>
      <x:c r="F109" s="29" t="str">
        <x:v>Etor (Tagzania user ID: 11653)</x:v>
      </x:c>
      <x:c r="G109" s="29" t="str">
        <x:v>CC BY-SA 4.0</x:v>
      </x:c>
      <x:c r="H109" s="29" t="str">
        <x:v>https://creativecommons.org/licenses/by-sa/4.0</x:v>
      </x:c>
      <x:c r="I109" s="29" t="str">
        <x:v>Creative Commons Attribution-Share Alike 4.0</x:v>
      </x:c>
      <x:c r="J109" s="29" t="str">
        <x:v>Kern County Basque Club Bajersfield - Kern County Basque Club (Bakersfield, California) - Tagzania - 1779647740123.jpg · Etor (Tagzania user ID: 11653) · CC BY-SA 4.0 · https://commons.wikimedia.org/wiki/File:Kern_County_Basque_Club_Bajersfield_-_Kern_County_Basque_Club_(Bakersfield,_California)_-_Tagzania_-_1779647740123.jpg</x:v>
      </x:c>
      <x:c r="K10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09" s="31" t="d">
        <x:v>2026-10-24T00:00:00.000Z</x:v>
      </x:c>
      <x:c r="M109" s="29" t="str">
        <x:v>Doğrulandı</x:v>
      </x:c>
      <x:c r="N109" s="29" t="str">
        <x:v>Doğrulandı</x:v>
      </x:c>
      <x:c r="O109" s="29" t="str">
        <x:v>Fotoğraflar/bk-1db0e3ad7cd1d8511f5b3256.webp</x:v>
      </x:c>
      <x:c r="P109" s="29" t="str">
        <x:v>Kern County Basque Club · 2026 tarihli fotoğraf · İndirilen kare temas sayfasında görüldü; kaynak mekân kimliğiyle eşleştirildi. Seçim kaydı final-pixel-review.json.</x:v>
      </x:c>
      <x:c r="Q109" s="29" t="str">
        <x:v>Bu kare için uygun</x:v>
      </x:c>
      <x:c r="R10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09" s="29" t="str">
        <x:v>Lisans kanıtları/bk-1db0e3ad7cd1d8511f5b3256.source-evidence.json</x:v>
      </x:c>
      <x:c r="T109" s="29" t="str">
        <x:v>e785d57a28cdcb266c9b2573581bdbe4779efb8ea85fc0024367e1d51d982a52</x:v>
      </x:c>
      <x:c r="U109" s="29" t="str">
        <x:v>Lisans kanıtları/bk-1db0e3ad7cd1d8511f5b3256.license-record.json</x:v>
      </x:c>
      <x:c r="V109" s="29" t="str">
        <x:v>582c7e786d82fea31bf7c68966eb1c4ba9cf44b0c423278842f5384d2dfcbb81</x:v>
      </x:c>
      <x:c r="W109" s="29" t="str">
        <x:v>{"file":"bk-1db0e3ad7cd1d8511f5b3256.webp","width":1080,"author":"Etor (Tagzania user ID: 11653)","height":1440,"sha256":"1db0e3ad7cd1d8511f5b32568ff285abb742161bfd554126109dda452057440f","license":"CC BY-SA 4.0","imageinfo":{"url":"https://upload.wikimedia.org/wikipedia/commons/f/fb/Kern_County_Basque_Club_Bajersfield_-_Kern_County_Basque_Club_%28Bakersfield%2C_California%29_-_Tagzania_-_1779647740123.jpg?utm_source=commons.wikimedia.org&amp;utm_campaign=imageinfo&amp;utm_content=original","mime":"image/jpeg","sha1":"0e86ae6c71b098cc41fad048f0d3b1651f66655d","size":738385,"width":1773,"height":2364,"pageid":195924932,"thumburl":"https://thumb.wikimedia.org/wikipedia/commons/thumb/f/fb/Kern_County_Basque_Club_Bajersfield_-_Kern_County_Basque_Club_%28Bakersfield%2C_California%29_-_Tagzania_-_1779647740123.jpg/1280px-Kern_County_Basque_Club_Bajersfield_-_Kern_County_Basque_Club_%28Bakersfield%2C_California%29_-_Tagzania_-_1779647740123.jpg?utm_source=commons.wikimedia.org&amp;utm_campaign=imageinfo&amp;utm_content=thumbnail","timestamp":"2026-07-20T05:53:20Z","thumbwidth":1280,"extmetadata":{"Artist":{"value":"Etor (Tagzania user ID: 11653)","source":"commons-desc-page"},"Credit":{"value":"&lt;a rel=\"nofollow\" class=\"external free\" href=\"https://tagzania.com/user-places/4c94e57d-01c2-46f8-889c-c37cfa926c26\"&gt;https://tagzania.com/user-places/4c94e57d-01c2-46f8-889c-c37cfa926c26&lt;/a&gt;","source":"commons-desc-page"},"License":{"value":"cc-by-sa-4.0","hidden":"","source":"commons-templates"},"DateTime":{"value":"2026-07-20 05:53:20","hidden":"","source":"mediawiki-metadata"},"Categories":{"value":"Files with coordinates missing SDC location of creation|Photos from Tagzania|Photos from Tagzania by user ID 11653|Kern County Basque Club (Bakersfield, California)","hidden":"","source":"commons-categories"},"LicenseUrl":{"value":"https://creativecommons.org/licenses/by-sa/4.0","source":"commons-desc-page"},"ObjectName":{"value":"Kern County Basque Club Bajersfield - Kern County Basque Club (Bakersfield, California) - Tagzania - 1779647740123","source":"mediawiki-metadata"},"UsageTerms":{"value":"Creative Commons Attribution-Share Alike 4.0","source":"commons-desc-page"},"Assessments":{"value":"","hidden":"","source":"commons-categories"},"Copyrighted":{"value":"True","hidden":"","source":"commons-desc-page"},"GPSLatitude":{"value":"35.322957","source":"commons-desc-page"},"GPSMapDatum":{"value":"WGS-84","hidden":"","source":"commons-desc-page"},"GPSLongitude":{"value":"-119.004151","source":"commons-desc-page"},"Restrictions":{"value":"","hidden":"","source":"commons-desc-page"},"DateTimeOriginal":{"value":"2026-05-24","source":"commons-desc-page"},"ImageDescription":{"value":"This photo has been uploaded using TagzaniaBot, and taken using the Tagzania game app.","source":"commons-desc-page"},"LicenseShortName":{"value":"CC BY-SA 4.0","hidden":"","source":"commons-desc-page"},"AttributionRequired":{"value":"true","hidden":"","source":"commons-desc-page"},"CommonsMetadataExtension":{"value":1.2,"hidden":"","source":"extension"}},"thumbheight":1707,"thumbattribs":{"src":"https://thumb.wikimedia.org/wikipedia/commons/thumb/f/fb/Kern_County_Basque_Club_Bajersfield_-_Kern_County_Basque_Club_%28Bakersfield%2C_California%29_-_Tagzania_-_1779647740123.jpg/1280px-Kern_County_Basque_Club_Bajersfield_-_Kern_County_Basque_Club_%28Bakersfield%2C_California%29_-_Tagzania_-_1779647740123.jpg?utm_source=commons.wikimedia.org&amp;utm_campaign=imageinfo&amp;utm_content=thumbnail","width":1280,"height":1707,"srcset":"https://upload.wikimedia.org/wikipedia/commons/f/fb/Kern_County_Basque_Club_Bajersfield_-_Kern_County_Basque_Club_%28Bakersfield%2C_California%29_-_Tagzania_-_1779647740123.jpg?utm_source=commons.wikimedia.org&amp;utm_campaign=imageinfo&amp;utm_content=thumbnail_unscaled 2x","loading":"lazy","decoding":"async"},"descriptionurl":"https://commons.wikimedia.org/wiki/File:Kern_County_Basque_Club_Bajersfield_-_Kern_County_Basque_Club_(Bakersfield,_California)_-_Tagzania_-_1779647740123.jpg","responsiveUrls":{"2":"https://upload.wikimedia.org/wikipedia/commons/f/fb/Kern_County_Basque_Club_Bajersfield_-_Kern_County_Basque_Club_%28Bakersfield%2C_California%29_-_Tagzania_-_1779647740123.jpg?utm_source=commons.wikimedia.org&amp;utm_campaign=imageinfo&amp;utm_content=thumbnail_unscaled"},"descriptionshorturl":"https://commons.wikimedia.org/w/index.php?curid=195924932"},"selection":{"qid":"pending","kind":"candidate","title":"Kern County Basque Club (Bakersfield, California)"},"author_url":"","derivative":"Wikimedia thumbnail decoded; EXIF orientation applied; converted to WebP quality 86; no generated pixels, no cropping.","source_url":"https://commons.wikimedia.org/wiki/File:Kern_County_Basque_Club_Bajersfield_-_Kern_County_Basque_Club_(Bakersfield,_California)_-_Tagzania_-_1779647740123.jpg","author_urls":[],"description":"This photo has been uploaded using TagzaniaBot, and taken using the Tagzania game app.","license_url":"https://creativecommons.org/licenses/by-sa/4.0","reviewed_on":"2026-10-24","capture_date":"2026-05-24","download_url":"https://thumb.wikimedia.org/wikipedia/commons/thumb/f/fb/Kern_County_Basque_Club_Bajersfield_-_Kern_County_Basque_Club_%28Bakersfield%2C_California%29_-_Tagzania_-_1779647740123.jpg/1280px-Kern_County_Basque_Club_Bajersfield_-_Kern_County_Basque_Club_%28Bakersfield%2C_California%29_-_Tagzania_-_1779647740123.jpg?utm_source=commons.wikimedia.org&amp;utm_campaign=imageinfo&amp;utm_content=thumbnail","original_url":"https://upload.wikimedia.org/wikipedia/commons/f/fb/Kern_County_Basque_Club_Bajersfield_-_Kern_County_Basque_Club_%28Bakersfield%2C_California%29_-_Tagzania_-_1779647740123.jpg?utm_source=commons.wikimedia.org&amp;utm_campaign=imageinfo&amp;utm_content=original","pixel_review":{"method":"İndirilen kare temas sayfasında görüldü; kaynak mekân kimliğiyle eşleştirildi. Seçim kaydı final-pixel-review.json.","status":"verified","caption":"Kern County Basque Club · 2026 tarihli fotoğraf","reviewer":"Codex (AI)","review_id":"C162"},"downloaded_at":"2026-10-23T19:09:46.037026+00:00","download_sha256":"d69838729a48b29b4b3a786d7062625ad97940cb46adefc5d4ff439ea97a47f5","downloaded_file":"downloads/d69838729a48b29b4b3a786d7062625ad97940cb46adefc5d4ff439ea97a47f5.jpg","acquisition_file":"935f149fa517df01b98710c5.webp","commons_filename":"Kern County Basque Club Bajersfield - Kern County Basque Club (Bakersfield, California) - Tagzania - 1779647740123.jpg","original_file_url":"https://upload.wikimedia.org/wikipedia/commons/f/fb/Kern_County_Basque_Club_Bajersfield_-_Kern_County_Basque_Club_%28Bakersfield%2C_California%29_-_Tagzania_-_1779647740123.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f/fb/Kern_County_Basque_Club_Bajersfield_-_Kern_County_Basque_Club_%28Bakersfield%2C_California%29_-_Tagzania_-_1779647740123.jpg?utm_source=commons.wikimedia.org&amp;utm_campaign=imageinfo&amp;utm_content=original"},"metadata_reviewed_on":"2026-10-24","metadata_review_status":"verified"}}</x:v>
      </x:c>
    </x:row>
    <x:row r="110" ht="300" customHeight="1">
      <x:c r="A110" s="29" t="str">
        <x:v>bakersfield:evidence:venue-22075</x:v>
      </x:c>
      <x:c r="B110" s="29" t="str">
        <x:v>bakersfield</x:v>
      </x:c>
      <x:c r="C110" s="29" t="str">
        <x:v>bakersfield:photo:venue-22075</x:v>
      </x:c>
      <x:c r="D110" s="29" t="str">
        <x:v>https://commons.wikimedia.org/wiki/File:Kern_County_Basque_Club_Bajersfield_-_Kern_County_Basque_Club_(Bakersfield,_California)_-_Tagzania_-_1779647740270.jpg</x:v>
      </x:c>
      <x:c r="E110" s="29" t="str">
        <x:v>Kern County Basque Club Bajersfield - Kern County Basque Club (Bakersfield, California) - Tagzania - 1779647740270.jpg</x:v>
      </x:c>
      <x:c r="F110" s="29" t="str">
        <x:v>Etor (Tagzania user ID: 11653)</x:v>
      </x:c>
      <x:c r="G110" s="29" t="str">
        <x:v>CC BY-SA 4.0</x:v>
      </x:c>
      <x:c r="H110" s="29" t="str">
        <x:v>https://creativecommons.org/licenses/by-sa/4.0</x:v>
      </x:c>
      <x:c r="I110" s="29" t="str">
        <x:v>Creative Commons Attribution-Share Alike 4.0</x:v>
      </x:c>
      <x:c r="J110" s="29" t="str">
        <x:v>Kern County Basque Club Bajersfield - Kern County Basque Club (Bakersfield, California) - Tagzania - 1779647740270.jpg · Etor (Tagzania user ID: 11653) · CC BY-SA 4.0 · https://commons.wikimedia.org/wiki/File:Kern_County_Basque_Club_Bajersfield_-_Kern_County_Basque_Club_(Bakersfield,_California)_-_Tagzania_-_1779647740270.jpg</x:v>
      </x:c>
      <x:c r="K11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0" s="31" t="d">
        <x:v>2026-10-24T00:00:00.000Z</x:v>
      </x:c>
      <x:c r="M110" s="29" t="str">
        <x:v>Doğrulandı</x:v>
      </x:c>
      <x:c r="N110" s="29" t="str">
        <x:v>Doğrulandı</x:v>
      </x:c>
      <x:c r="O110" s="29" t="str">
        <x:v>Fotoğraflar/bk-e20b490817849c6b7ef8f6bd.webp</x:v>
      </x:c>
      <x:c r="P110" s="29" t="str">
        <x:v>Kern County Basque Club · 2026 tarihli fotoğraf · İndirilen kare temas sayfasında görüldü; kaynak mekân kimliğiyle eşleştirildi. Seçim kaydı final-pixel-review.json.</x:v>
      </x:c>
      <x:c r="Q110" s="29" t="str">
        <x:v>Bu kare için uygun</x:v>
      </x:c>
      <x:c r="R11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0" s="29" t="str">
        <x:v>Lisans kanıtları/bk-e20b490817849c6b7ef8f6bd.source-evidence.json</x:v>
      </x:c>
      <x:c r="T110" s="29" t="str">
        <x:v>3ee56281646c2f28c95c3b3d58b68a749652b200f8bf5b26fa496247763442f5</x:v>
      </x:c>
      <x:c r="U110" s="29" t="str">
        <x:v>Lisans kanıtları/bk-e20b490817849c6b7ef8f6bd.license-record.json</x:v>
      </x:c>
      <x:c r="V110" s="29" t="str">
        <x:v>67c0293d602d9c84bcd0a8da1649a6d325af614e1c872312414aed0686d4f5b8</x:v>
      </x:c>
      <x:c r="W110" s="29" t="str">
        <x:v>{"file":"bk-e20b490817849c6b7ef8f6bd.webp","width":1080,"author":"Etor (Tagzania user ID: 11653)","height":1440,"sha256":"e20b490817849c6b7ef8f6bdc99c2d5d39aceba6bbe11ce96b3514536eb1ea0a","license":"CC BY-SA 4.0","imageinfo":{"url":"https://upload.wikimedia.org/wikipedia/commons/a/a9/Kern_County_Basque_Club_Bajersfield_-_Kern_County_Basque_Club_%28Bakersfield%2C_California%29_-_Tagzania_-_1779647740270.jpg?utm_source=commons.wikimedia.org&amp;utm_campaign=imageinfo&amp;utm_content=original","mime":"image/jpeg","sha1":"fb467541e3cf22207334c6f05560a572d1ba3923","size":812956,"width":1773,"height":2364,"pageid":195924933,"thumburl":"https://thumb.wikimedia.org/wikipedia/commons/thumb/a/a9/Kern_County_Basque_Club_Bajersfield_-_Kern_County_Basque_Club_%28Bakersfield%2C_California%29_-_Tagzania_-_1779647740270.jpg/1280px-Kern_County_Basque_Club_Bajersfield_-_Kern_County_Basque_Club_%28Bakersfield%2C_California%29_-_Tagzania_-_1779647740270.jpg?utm_source=commons.wikimedia.org&amp;utm_campaign=imageinfo&amp;utm_content=thumbnail","timestamp":"2026-07-20T05:53:23Z","thumbwidth":1280,"extmetadata":{"Artist":{"value":"Etor (Tagzania user ID: 11653)","source":"commons-desc-page"},"Credit":{"value":"&lt;a rel=\"nofollow\" class=\"external free\" href=\"https://tagzania.com/user-places/4c94e57d-01c2-46f8-889c-c37cfa926c26\"&gt;https://tagzania.com/user-places/4c94e57d-01c2-46f8-889c-c37cfa926c26&lt;/a&gt;","source":"commons-desc-page"},"License":{"value":"cc-by-sa-4.0","hidden":"","source":"commons-templates"},"DateTime":{"value":"2026-07-20 05:53:23","hidden":"","source":"mediawiki-metadata"},"Categories":{"value":"Files with coordinates missing SDC location of creation|Photos from Tagzania|Photos from Tagzania by user ID 11653|Kern County Basque Club (Bakersfield, California)","hidden":"","source":"commons-categories"},"LicenseUrl":{"value":"https://creativecommons.org/licenses/by-sa/4.0","source":"commons-desc-page"},"ObjectName":{"value":"Kern County Basque Club Bajersfield - Kern County Basque Club (Bakersfield, California) - Tagzania - 1779647740270","source":"mediawiki-metadata"},"UsageTerms":{"value":"Creative Commons Attribution-Share Alike 4.0","source":"commons-desc-page"},"Assessments":{"value":"","hidden":"","source":"commons-categories"},"Copyrighted":{"value":"True","hidden":"","source":"commons-desc-page"},"GPSLatitude":{"value":"35.323060","source":"commons-desc-page"},"GPSMapDatum":{"value":"WGS-84","hidden":"","source":"commons-desc-page"},"GPSLongitude":{"value":"-119.004474","source":"commons-desc-page"},"Restrictions":{"value":"","hidden":"","source":"commons-desc-page"},"DateTimeOriginal":{"value":"2026-05-24","source":"commons-desc-page"},"ImageDescription":{"value":"This photo has been uploaded using TagzaniaBot, and taken using the Tagzania game app.","source":"commons-desc-page"},"LicenseShortName":{"value":"CC BY-SA 4.0","hidden":"","source":"commons-desc-page"},"AttributionRequired":{"value":"true","hidden":"","source":"commons-desc-page"},"CommonsMetadataExtension":{"value":1.2,"hidden":"","source":"extension"}},"thumbheight":1707,"thumbattribs":{"src":"https://thumb.wikimedia.org/wikipedia/commons/thumb/a/a9/Kern_County_Basque_Club_Bajersfield_-_Kern_County_Basque_Club_%28Bakersfield%2C_California%29_-_Tagzania_-_1779647740270.jpg/1280px-Kern_County_Basque_Club_Bajersfield_-_Kern_County_Basque_Club_%28Bakersfield%2C_California%29_-_Tagzania_-_1779647740270.jpg?utm_source=commons.wikimedia.org&amp;utm_campaign=imageinfo&amp;utm_content=thumbnail","width":1280,"height":1707,"srcset":"https://upload.wikimedia.org/wikipedia/commons/a/a9/Kern_County_Basque_Club_Bajersfield_-_Kern_County_Basque_Club_%28Bakersfield%2C_California%29_-_Tagzania_-_1779647740270.jpg?utm_source=commons.wikimedia.org&amp;utm_campaign=imageinfo&amp;utm_content=thumbnail_unscaled 2x","loading":"lazy","decoding":"async"},"descriptionurl":"https://commons.wikimedia.org/wiki/File:Kern_County_Basque_Club_Bajersfield_-_Kern_County_Basque_Club_(Bakersfield,_California)_-_Tagzania_-_1779647740270.jpg","responsiveUrls":{"2":"https://upload.wikimedia.org/wikipedia/commons/a/a9/Kern_County_Basque_Club_Bajersfield_-_Kern_County_Basque_Club_%28Bakersfield%2C_California%29_-_Tagzania_-_1779647740270.jpg?utm_source=commons.wikimedia.org&amp;utm_campaign=imageinfo&amp;utm_content=thumbnail_unscaled"},"descriptionshorturl":"https://commons.wikimedia.org/w/index.php?curid=195924933"},"selection":{"qid":"pending","kind":"candidate","title":"Kern County Basque Club (Bakersfield, California)"},"author_url":"","derivative":"Wikimedia thumbnail decoded; EXIF orientation applied; converted to WebP quality 86; no generated pixels, no cropping.","source_url":"https://commons.wikimedia.org/wiki/File:Kern_County_Basque_Club_Bajersfield_-_Kern_County_Basque_Club_(Bakersfield,_California)_-_Tagzania_-_1779647740270.jpg","author_urls":[],"description":"This photo has been uploaded using TagzaniaBot, and taken using the Tagzania game app.","license_url":"https://creativecommons.org/licenses/by-sa/4.0","reviewed_on":"2026-10-24","capture_date":"2026-05-24","download_url":"https://thumb.wikimedia.org/wikipedia/commons/thumb/a/a9/Kern_County_Basque_Club_Bajersfield_-_Kern_County_Basque_Club_%28Bakersfield%2C_California%29_-_Tagzania_-_1779647740270.jpg/1280px-Kern_County_Basque_Club_Bajersfield_-_Kern_County_Basque_Club_%28Bakersfield%2C_California%29_-_Tagzania_-_1779647740270.jpg?utm_source=commons.wikimedia.org&amp;utm_campaign=imageinfo&amp;utm_content=thumbnail","original_url":"https://upload.wikimedia.org/wikipedia/commons/a/a9/Kern_County_Basque_Club_Bajersfield_-_Kern_County_Basque_Club_%28Bakersfield%2C_California%29_-_Tagzania_-_1779647740270.jpg?utm_source=commons.wikimedia.org&amp;utm_campaign=imageinfo&amp;utm_content=original","pixel_review":{"method":"İndirilen kare temas sayfasında görüldü; kaynak mekân kimliğiyle eşleştirildi. Seçim kaydı final-pixel-review.json.","status":"verified","caption":"Kern County Basque Club · 2026 tarihli fotoğraf","reviewer":"Codex (AI)","review_id":"C163"},"downloaded_at":"2026-10-23T19:09:46.454493+00:00","download_sha256":"cbec98f368fa07ca568503630a17c9a0127ba323e76692230fcbf0c2e3fe04ac","downloaded_file":"downloads/cbec98f368fa07ca568503630a17c9a0127ba323e76692230fcbf0c2e3fe04ac.jpg","acquisition_file":"a913ae9283623f3bbc4c6a8e.webp","commons_filename":"Kern County Basque Club Bajersfield - Kern County Basque Club (Bakersfield, California) - Tagzania - 1779647740270.jpg","original_file_url":"https://upload.wikimedia.org/wikipedia/commons/a/a9/Kern_County_Basque_Club_Bajersfield_-_Kern_County_Basque_Club_%28Bakersfield%2C_California%29_-_Tagzania_-_1779647740270.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a/a9/Kern_County_Basque_Club_Bajersfield_-_Kern_County_Basque_Club_%28Bakersfield%2C_California%29_-_Tagzania_-_1779647740270.jpg?utm_source=commons.wikimedia.org&amp;utm_campaign=imageinfo&amp;utm_content=original"},"metadata_reviewed_on":"2026-10-24","metadata_review_status":"verified"}}</x:v>
      </x:c>
    </x:row>
    <x:row r="111" ht="300" customHeight="1">
      <x:c r="A111" s="29" t="str">
        <x:v>bakersfield:evidence:venue-22076</x:v>
      </x:c>
      <x:c r="B111" s="29" t="str">
        <x:v>bakersfield</x:v>
      </x:c>
      <x:c r="C111" s="29" t="str">
        <x:v>bakersfield:photo:venue-22076</x:v>
      </x:c>
      <x:c r="D111" s="29" t="str">
        <x:v>https://commons.wikimedia.org/wiki/File:Kern_County_Basque_Club_Bajersfield_-_Kern_County_Basque_Club_(Bakersfield,_California)_-_Tagzania_-_1779647740480.jpg</x:v>
      </x:c>
      <x:c r="E111" s="29" t="str">
        <x:v>Kern County Basque Club Bajersfield - Kern County Basque Club (Bakersfield, California) - Tagzania - 1779647740480.jpg</x:v>
      </x:c>
      <x:c r="F111" s="29" t="str">
        <x:v>Etor (Tagzania user ID: 11653)</x:v>
      </x:c>
      <x:c r="G111" s="29" t="str">
        <x:v>CC BY-SA 4.0</x:v>
      </x:c>
      <x:c r="H111" s="29" t="str">
        <x:v>https://creativecommons.org/licenses/by-sa/4.0</x:v>
      </x:c>
      <x:c r="I111" s="29" t="str">
        <x:v>Creative Commons Attribution-Share Alike 4.0</x:v>
      </x:c>
      <x:c r="J111" s="29" t="str">
        <x:v>Kern County Basque Club Bajersfield - Kern County Basque Club (Bakersfield, California) - Tagzania - 1779647740480.jpg · Etor (Tagzania user ID: 11653) · CC BY-SA 4.0 · https://commons.wikimedia.org/wiki/File:Kern_County_Basque_Club_Bajersfield_-_Kern_County_Basque_Club_(Bakersfield,_California)_-_Tagzania_-_1779647740480.jpg</x:v>
      </x:c>
      <x:c r="K11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1" s="31" t="d">
        <x:v>2026-10-24T00:00:00.000Z</x:v>
      </x:c>
      <x:c r="M111" s="29" t="str">
        <x:v>Doğrulandı</x:v>
      </x:c>
      <x:c r="N111" s="29" t="str">
        <x:v>Doğrulandı</x:v>
      </x:c>
      <x:c r="O111" s="29" t="str">
        <x:v>Fotoğraflar/bk-6feee65a0c57a983bc168925.webp</x:v>
      </x:c>
      <x:c r="P111" s="29" t="str">
        <x:v>Kern County Basque Club · 2026 tarihli fotoğraf · İndirilen kare temas sayfasında görüldü; kaynak mekân kimliğiyle eşleştirildi. Seçim kaydı final-pixel-review.json.</x:v>
      </x:c>
      <x:c r="Q111" s="29" t="str">
        <x:v>Bu kare için uygun</x:v>
      </x:c>
      <x:c r="R11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1" s="29" t="str">
        <x:v>Lisans kanıtları/bk-6feee65a0c57a983bc168925.source-evidence.json</x:v>
      </x:c>
      <x:c r="T111" s="29" t="str">
        <x:v>eaedb3c2b49c47703635bd9710b563672820446c9ef5a134a88d80d3d9c9691c</x:v>
      </x:c>
      <x:c r="U111" s="29" t="str">
        <x:v>Lisans kanıtları/bk-6feee65a0c57a983bc168925.license-record.json</x:v>
      </x:c>
      <x:c r="V111" s="29" t="str">
        <x:v>a583b598a174540bfcc0fbccb9f7dc9f2b5118a1719555cfe9c6ed4cbe24bc21</x:v>
      </x:c>
      <x:c r="W111" s="29" t="str">
        <x:v>{"file":"bk-6feee65a0c57a983bc168925.webp","width":1080,"author":"Etor (Tagzania user ID: 11653)","height":1440,"sha256":"6feee65a0c57a983bc1689255b18740a8425991e83a4eef25acb9eb0d4fe98fc","license":"CC BY-SA 4.0","imageinfo":{"url":"https://upload.wikimedia.org/wikipedia/commons/6/6c/Kern_County_Basque_Club_Bajersfield_-_Kern_County_Basque_Club_%28Bakersfield%2C_California%29_-_Tagzania_-_1779647740480.jpg?utm_source=commons.wikimedia.org&amp;utm_campaign=imageinfo&amp;utm_content=original","mime":"image/jpeg","sha1":"07a2b03c225e3512679161ba8c62dfeb34f7853c","size":603596,"width":1773,"height":2364,"pageid":195924934,"thumburl":"https://thumb.wikimedia.org/wikipedia/commons/thumb/6/6c/Kern_County_Basque_Club_Bajersfield_-_Kern_County_Basque_Club_%28Bakersfield%2C_California%29_-_Tagzania_-_1779647740480.jpg/1280px-Kern_County_Basque_Club_Bajersfield_-_Kern_County_Basque_Club_%28Bakersfield%2C_California%29_-_Tagzania_-_1779647740480.jpg?utm_source=commons.wikimedia.org&amp;utm_campaign=imageinfo&amp;utm_content=thumbnail","timestamp":"2026-07-20T05:53:26Z","thumbwidth":1280,"extmetadata":{"Artist":{"value":"Etor (Tagzania user ID: 11653)","source":"commons-desc-page"},"Credit":{"value":"&lt;a rel=\"nofollow\" class=\"external free\" href=\"https://tagzania.com/user-places/4c94e57d-01c2-46f8-889c-c37cfa926c26\"&gt;https://tagzania.com/user-places/4c94e57d-01c2-46f8-889c-c37cfa926c26&lt;/a&gt;","source":"commons-desc-page"},"License":{"value":"cc-by-sa-4.0","hidden":"","source":"commons-templates"},"DateTime":{"value":"2026-07-20 05:53:26","hidden":"","source":"mediawiki-metadata"},"Categories":{"value":"Files with coordinates missing SDC location of creation|Photos from Tagzania|Photos from Tagzania by user ID 11653|Kern County Basque Club (Bakersfield, California)","hidden":"","source":"commons-categories"},"LicenseUrl":{"value":"https://creativecommons.org/licenses/by-sa/4.0","source":"commons-desc-page"},"ObjectName":{"value":"Kern County Basque Club Bajersfield - Kern County Basque Club (Bakersfield, California) - Tagzania - 1779647740480","source":"mediawiki-metadata"},"UsageTerms":{"value":"Creative Commons Attribution-Share Alike 4.0","source":"commons-desc-page"},"Assessments":{"value":"","hidden":"","source":"commons-categories"},"Copyrighted":{"value":"True","hidden":"","source":"commons-desc-page"},"GPSLatitude":{"value":"35.323098","source":"commons-desc-page"},"GPSMapDatum":{"value":"WGS-84","hidden":"","source":"commons-desc-page"},"GPSLongitude":{"value":"-119.004453","source":"commons-desc-page"},"Restrictions":{"value":"","hidden":"","source":"commons-desc-page"},"DateTimeOriginal":{"value":"2026-05-24","source":"commons-desc-page"},"ImageDescription":{"value":"This photo has been uploaded using TagzaniaBot, and taken using the Tagzania game app.","source":"commons-desc-page"},"LicenseShortName":{"value":"CC BY-SA 4.0","hidden":"","source":"commons-desc-page"},"AttributionRequired":{"value":"true","hidden":"","source":"commons-desc-page"},"CommonsMetadataExtension":{"value":1.2,"hidden":"","source":"extension"}},"thumbheight":1707,"thumbattribs":{"src":"https://thumb.wikimedia.org/wikipedia/commons/thumb/6/6c/Kern_County_Basque_Club_Bajersfield_-_Kern_County_Basque_Club_%28Bakersfield%2C_California%29_-_Tagzania_-_1779647740480.jpg/1280px-Kern_County_Basque_Club_Bajersfield_-_Kern_County_Basque_Club_%28Bakersfield%2C_California%29_-_Tagzania_-_1779647740480.jpg?utm_source=commons.wikimedia.org&amp;utm_campaign=imageinfo&amp;utm_content=thumbnail","width":1280,"height":1707,"srcset":"https://upload.wikimedia.org/wikipedia/commons/6/6c/Kern_County_Basque_Club_Bajersfield_-_Kern_County_Basque_Club_%28Bakersfield%2C_California%29_-_Tagzania_-_1779647740480.jpg?utm_source=commons.wikimedia.org&amp;utm_campaign=imageinfo&amp;utm_content=thumbnail_unscaled 2x","loading":"lazy","decoding":"async"},"descriptionurl":"https://commons.wikimedia.org/wiki/File:Kern_County_Basque_Club_Bajersfield_-_Kern_County_Basque_Club_(Bakersfield,_California)_-_Tagzania_-_1779647740480.jpg","responsiveUrls":{"2":"https://upload.wikimedia.org/wikipedia/commons/6/6c/Kern_County_Basque_Club_Bajersfield_-_Kern_County_Basque_Club_%28Bakersfield%2C_California%29_-_Tagzania_-_1779647740480.jpg?utm_source=commons.wikimedia.org&amp;utm_campaign=imageinfo&amp;utm_content=thumbnail_unscaled"},"descriptionshorturl":"https://commons.wikimedia.org/w/index.php?curid=195924934"},"selection":{"qid":"pending","kind":"candidate","title":"Kern County Basque Club (Bakersfield, California)"},"author_url":"","derivative":"Wikimedia thumbnail decoded; EXIF orientation applied; converted to WebP quality 86; no generated pixels, no cropping.","source_url":"https://commons.wikimedia.org/wiki/File:Kern_County_Basque_Club_Bajersfield_-_Kern_County_Basque_Club_(Bakersfield,_California)_-_Tagzania_-_1779647740480.jpg","author_urls":[],"description":"This photo has been uploaded using TagzaniaBot, and taken using the Tagzania game app.","license_url":"https://creativecommons.org/licenses/by-sa/4.0","reviewed_on":"2026-10-24","capture_date":"2026-05-24","download_url":"https://thumb.wikimedia.org/wikipedia/commons/thumb/6/6c/Kern_County_Basque_Club_Bajersfield_-_Kern_County_Basque_Club_%28Bakersfield%2C_California%29_-_Tagzania_-_1779647740480.jpg/1280px-Kern_County_Basque_Club_Bajersfield_-_Kern_County_Basque_Club_%28Bakersfield%2C_California%29_-_Tagzania_-_1779647740480.jpg?utm_source=commons.wikimedia.org&amp;utm_campaign=imageinfo&amp;utm_content=thumbnail","original_url":"https://upload.wikimedia.org/wikipedia/commons/6/6c/Kern_County_Basque_Club_Bajersfield_-_Kern_County_Basque_Club_%28Bakersfield%2C_California%29_-_Tagzania_-_1779647740480.jpg?utm_source=commons.wikimedia.org&amp;utm_campaign=imageinfo&amp;utm_content=original","pixel_review":{"method":"İndirilen kare temas sayfasında görüldü; kaynak mekân kimliğiyle eşleştirildi. Seçim kaydı final-pixel-review.json.","status":"verified","caption":"Kern County Basque Club · 2026 tarihli fotoğraf","reviewer":"Codex (AI)","review_id":"C164"},"downloaded_at":"2026-10-23T19:09:48.013804+00:00","download_sha256":"b2f8698434089e1b7e8f7489009c72ea941d1af0c2f2af07a3466256183843db","downloaded_file":"downloads/b2f8698434089e1b7e8f7489009c72ea941d1af0c2f2af07a3466256183843db.jpg","acquisition_file":"a93ce22ecc8b2adbe2a6300f.webp","commons_filename":"Kern County Basque Club Bajersfield - Kern County Basque Club (Bakersfield, California) - Tagzania - 1779647740480.jpg","original_file_url":"https://upload.wikimedia.org/wikipedia/commons/6/6c/Kern_County_Basque_Club_Bajersfield_-_Kern_County_Basque_Club_%28Bakersfield%2C_California%29_-_Tagzania_-_1779647740480.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6/6c/Kern_County_Basque_Club_Bajersfield_-_Kern_County_Basque_Club_%28Bakersfield%2C_California%29_-_Tagzania_-_1779647740480.jpg?utm_source=commons.wikimedia.org&amp;utm_campaign=imageinfo&amp;utm_content=original"},"metadata_reviewed_on":"2026-10-24","metadata_review_status":"verified"}}</x:v>
      </x:c>
    </x:row>
    <x:row r="112" ht="300" customHeight="1">
      <x:c r="A112" s="29" t="str">
        <x:v>bakersfield:evidence:venue-22077</x:v>
      </x:c>
      <x:c r="B112" s="29" t="str">
        <x:v>bakersfield</x:v>
      </x:c>
      <x:c r="C112" s="29" t="str">
        <x:v>bakersfield:photo:venue-22077</x:v>
      </x:c>
      <x:c r="D112" s="29" t="str">
        <x:v>https://commons.wikimedia.org/wiki/File:Murray_Family_Farms_Big_Red_Barn_-_March_2022_-_Sarah_Stierch_02.jpg</x:v>
      </x:c>
      <x:c r="E112" s="29" t="str">
        <x:v>Murray Family Farms Big Red Barn - March 2022 - Sarah Stierch 02.jpg</x:v>
      </x:c>
      <x:c r="F112" s="29" t="str">
        <x:v>Missvain</x:v>
      </x:c>
      <x:c r="G112" s="29" t="str">
        <x:v>CC BY 4.0</x:v>
      </x:c>
      <x:c r="H112" s="29" t="str">
        <x:v>https://creativecommons.org/licenses/by/4.0</x:v>
      </x:c>
      <x:c r="I112" s="29" t="str">
        <x:v>Creative Commons Attribution 4.0</x:v>
      </x:c>
      <x:c r="J112" s="29" t="str">
        <x:v>Murray Family Farms Big Red Barn - March 2022 - Sarah Stierch 02.jpg · Missvain · CC BY 4.0 · https://commons.wikimedia.org/wiki/File:Murray_Family_Farms_Big_Red_Barn_-_March_2022_-_Sarah_Stierch_02.jpg</x:v>
      </x:c>
      <x:c r="K11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2" s="31" t="d">
        <x:v>2026-10-24T00:00:00.000Z</x:v>
      </x:c>
      <x:c r="M112" s="29" t="str">
        <x:v>Doğrulandı</x:v>
      </x:c>
      <x:c r="N112" s="29" t="str">
        <x:v>Doğrulandı</x:v>
      </x:c>
      <x:c r="O112" s="29" t="str">
        <x:v>Fotoğraflar/bk-bfc3c6d321ed5d298d8e81a1.webp</x:v>
      </x:c>
      <x:c r="P112" s="29" t="str">
        <x:v>Murray Family Farms – Big Red Barn · Take tarihli fotoğraf · İndirilen kare temas sayfasında görüldü; kaynak mekân kimliğiyle eşleştirildi. Seçim kaydı final-pixel-review.json.</x:v>
      </x:c>
      <x:c r="Q112" s="29" t="str">
        <x:v>Bu kare için uygun</x:v>
      </x:c>
      <x:c r="R11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2" s="29" t="str">
        <x:v>Lisans kanıtları/bk-bfc3c6d321ed5d298d8e81a1.source-evidence.json</x:v>
      </x:c>
      <x:c r="T112" s="29" t="str">
        <x:v>b41890119e355f3861673f53047c8c0238853faf7ee1ecb80777230e92b02ea0</x:v>
      </x:c>
      <x:c r="U112" s="29" t="str">
        <x:v>Lisans kanıtları/bk-bfc3c6d321ed5d298d8e81a1.license-record.json</x:v>
      </x:c>
      <x:c r="V112" s="29" t="str">
        <x:v>8f3162c8faad5896931d860235f7469ed2e2933e422d286f35110cec7a347354</x:v>
      </x:c>
      <x:c r="W112" s="29" t="str">
        <x:v>{"file":"bk-bfc3c6d321ed5d298d8e81a1.webp","width":1280,"author":"Missvain","height":960,"sha256":"bfc3c6d321ed5d298d8e81a1f105850d0124c67a3abf80040688d821752475cb","license":"CC BY 4.0","imageinfo":{"url":"https://upload.wikimedia.org/wikipedia/commons/f/fc/Murray_Family_Farms_Big_Red_Barn_-_March_2022_-_Sarah_Stierch_02.jpg?utm_source=commons.wikimedia.org&amp;utm_campaign=imageinfo&amp;utm_content=original","mime":"image/jpeg","sha1":"a8cf4e735f74cfb43c9d0d17d1630fd3f0718cc6","size":4049496,"width":4032,"height":3024,"pageid":116578400,"thumburl":"https://thumb.wikimedia.org/wikipedia/commons/thumb/f/fc/Murray_Family_Farms_Big_Red_Barn_-_March_2022_-_Sarah_Stierch_02.jpg/1280px-Murray_Family_Farms_Big_Red_Barn_-_March_2022_-_Sarah_Stierch_02.jpg?utm_source=commons.wikimedia.org&amp;utm_campaign=imageinfo&amp;utm_content=thumbnail","timestamp":"2022-04-01T14:50:32Z","thumbwidth":1280,"extmetadata":{"Artist":{"value":"&lt;a href=\"//commons.wikimedia.org/wiki/User:Missvain\" title=\"User:Missvain\"&gt;Missvain&lt;/a&gt;","source":"commons-desc-page"},"Credit":{"value":"&lt;span class=\"int-own-work\" lang=\"en\"&gt;Own work&lt;/span&gt;","source":"commons-desc-page"},"License":{"value":"cc-by-4.0","hidden":"","source":"commons-templates"},"DateTime":{"value":"2022-04-01 14:50:32","hidden":"","source":"mediawiki-metadata"},"Categories":{"value":"Murray Family Farms|March 2022 in California|Self-published work|Photos by Sarah Stierch|Files with coordinates missing SDC location of creation|Picnic places in the United States|United States photographs taken on 2022-03-10","hidden":"","source":"commons-categories"},"LicenseUrl":{"value":"https://creativecommons.org/licenses/by/4.0","source":"commons-desc-page"},"ObjectName":{"value":"Murray Family Farms Big Red Barn - March 2022 - Sarah Stierch 02","source":"mediawiki-metadata"},"UsageTerms":{"value":"Creative Commons Attribution 4.0","source":"commons-desc-page"},"Assessments":{"value":"","hidden":"","source":"commons-categories"},"Copyrighted":{"value":"True","hidden":"","source":"commons-desc-page"},"GPSLatitude":{"value":"35.294781","source":"commons-desc-page"},"GPSMapDatum":{"value":"WGS-84","hidden":"","source":"commons-desc-page"},"GPSLongitude":{"value":"-118.753739","source":"commons-desc-page"},"Restrictions":{"value":"","hidden":"","source":"commons-desc-page"},"DateTimeOriginal":{"value":"Taken on 10 March 2022","source":"commons-desc-page"},"ImageDescription":{"value":"Murray Family Farms Big Red Barn, Arvin, California","source":"commons-desc-page"},"LicenseShortName":{"value":"CC BY 4.0","hidden":"","source":"commons-desc-page"},"AttributionRequired":{"value":"true","hidden":"","source":"commons-desc-page"},"CommonsMetadataExtension":{"value":1.2,"hidden":"","source":"extension"}},"thumbheight":960,"thumbattribs":{"src":"https://thumb.wikimedia.org/wikipedia/commons/thumb/f/fc/Murray_Family_Farms_Big_Red_Barn_-_March_2022_-_Sarah_Stierch_02.jpg/1280px-Murray_Family_Farms_Big_Red_Barn_-_March_2022_-_Sarah_Stierch_02.jpg?utm_source=commons.wikimedia.org&amp;utm_campaign=imageinfo&amp;utm_content=thumbnail","width":1280,"height":960,"srcset":"https://thumb.wikimedia.org/wikipedia/commons/thumb/f/fc/Murray_Family_Farms_Big_Red_Barn_-_March_2022_-_Sarah_Stierch_02.jpg/3840px-Murray_Family_Farms_Big_Red_Barn_-_March_2022_-_Sarah_Stierch_02.jpg?utm_source=commons.wikimedia.org&amp;utm_campaign=imageinfo&amp;utm_content=thumbnail 2x","loading":"lazy","decoding":"async"},"descriptionurl":"https://commons.wikimedia.org/wiki/File:Murray_Family_Farms_Big_Red_Barn_-_March_2022_-_Sarah_Stierch_02.jpg","responsiveUrls":{"2":"https://thumb.wikimedia.org/wikipedia/commons/thumb/f/fc/Murray_Family_Farms_Big_Red_Barn_-_March_2022_-_Sarah_Stierch_02.jpg/3840px-Murray_Family_Farms_Big_Red_Barn_-_March_2022_-_Sarah_Stierch_02.jpg?utm_source=commons.wikimedia.org&amp;utm_campaign=imageinfo&amp;utm_content=thumbnail"},"descriptionshorturl":"https://commons.wikimedia.org/w/index.php?curid=116578400"},"selection":{"qid":"pending","kind":"candidate","title":"Murray Family Farms"},"author_url":"https://commons.wikimedia.org/wiki/User:Missvain","derivative":"Wikimedia thumbnail decoded; EXIF orientation applied; converted to WebP quality 86; no generated pixels, no cropping.","source_url":"https://commons.wikimedia.org/wiki/File:Murray_Family_Farms_Big_Red_Barn_-_March_2022_-_Sarah_Stierch_02.jpg","author_urls":["https://commons.wikimedia.org/wiki/User:Missvain"],"description":"Murray Family Farms Big Red Barn, Arvin, California","license_url":"https://creativecommons.org/licenses/by/4.0","reviewed_on":"2026-10-24","capture_date":"Taken on 10 March 2022","download_url":"https://thumb.wikimedia.org/wikipedia/commons/thumb/f/fc/Murray_Family_Farms_Big_Red_Barn_-_March_2022_-_Sarah_Stierch_02.jpg/1280px-Murray_Family_Farms_Big_Red_Barn_-_March_2022_-_Sarah_Stierch_02.jpg?utm_source=commons.wikimedia.org&amp;utm_campaign=imageinfo&amp;utm_content=thumbnail","original_url":"https://upload.wikimedia.org/wikipedia/commons/f/fc/Murray_Family_Farms_Big_Red_Barn_-_March_2022_-_Sarah_Stierch_02.jpg?utm_source=commons.wikimedia.org&amp;utm_campaign=imageinfo&amp;utm_content=original","pixel_review":{"method":"İndirilen kare temas sayfasında görüldü; kaynak mekân kimliğiyle eşleştirildi. Seçim kaydı final-pixel-review.json.","status":"verified","caption":"Murray Family Farms – Big Red Barn · Take tarihli fotoğraf","reviewer":"Codex (AI)","review_id":"C209"},"downloaded_at":"2026-10-23T19:10:02.229613+00:00","download_sha256":"8b546e3a92c1f654f881f4b46d42f637ef885eaa374f7f8f1f19e1fb92776620","downloaded_file":"downloads/8b546e3a92c1f654f881f4b46d42f637ef885eaa374f7f8f1f19e1fb92776620.jpg","acquisition_file":"174385e531fb8e1f1dd8a33f.webp","commons_filename":"Murray Family Farms Big Red Barn - March 2022 - Sarah Stierch 02.jpg","original_file_url":"https://upload.wikimedia.org/wikipedia/commons/f/fc/Murray_Family_Farms_Big_Red_Barn_-_March_2022_-_Sarah_Stierch_02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f/fc/Murray_Family_Farms_Big_Red_Barn_-_March_2022_-_Sarah_Stierch_02.jpg?utm_source=commons.wikimedia.org&amp;utm_campaign=imageinfo&amp;utm_content=original"},"metadata_reviewed_on":"2026-10-24","metadata_review_status":"verified"}}</x:v>
      </x:c>
    </x:row>
    <x:row r="113" ht="300" customHeight="1">
      <x:c r="A113" s="29" t="str">
        <x:v>bakersfield:evidence:venue-22078</x:v>
      </x:c>
      <x:c r="B113" s="29" t="str">
        <x:v>bakersfield</x:v>
      </x:c>
      <x:c r="C113" s="29" t="str">
        <x:v>bakersfield:photo:venue-22078</x:v>
      </x:c>
      <x:c r="D113" s="29" t="str">
        <x:v>https://commons.wikimedia.org/wiki/File:Murray_Family_Farms_Big_Red_Barn_-_March_2022_-_Sarah_Stierch_03.jpg</x:v>
      </x:c>
      <x:c r="E113" s="29" t="str">
        <x:v>Murray Family Farms Big Red Barn - March 2022 - Sarah Stierch 03.jpg</x:v>
      </x:c>
      <x:c r="F113" s="29" t="str">
        <x:v>Missvain</x:v>
      </x:c>
      <x:c r="G113" s="29" t="str">
        <x:v>CC BY 4.0</x:v>
      </x:c>
      <x:c r="H113" s="29" t="str">
        <x:v>https://creativecommons.org/licenses/by/4.0</x:v>
      </x:c>
      <x:c r="I113" s="29" t="str">
        <x:v>Creative Commons Attribution 4.0</x:v>
      </x:c>
      <x:c r="J113" s="29" t="str">
        <x:v>Murray Family Farms Big Red Barn - March 2022 - Sarah Stierch 03.jpg · Missvain · CC BY 4.0 · https://commons.wikimedia.org/wiki/File:Murray_Family_Farms_Big_Red_Barn_-_March_2022_-_Sarah_Stierch_03.jpg</x:v>
      </x:c>
      <x:c r="K11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3" s="31" t="d">
        <x:v>2026-10-24T00:00:00.000Z</x:v>
      </x:c>
      <x:c r="M113" s="29" t="str">
        <x:v>Doğrulandı</x:v>
      </x:c>
      <x:c r="N113" s="29" t="str">
        <x:v>Doğrulandı</x:v>
      </x:c>
      <x:c r="O113" s="29" t="str">
        <x:v>Fotoğraflar/bk-bdcc5bc634535ac9bc68728d.webp</x:v>
      </x:c>
      <x:c r="P113" s="29" t="str">
        <x:v>Murray Family Farms – Big Red Barn · Take tarihli fotoğraf · İndirilen kare temas sayfasında görüldü; kaynak mekân kimliğiyle eşleştirildi. Seçim kaydı final-pixel-review.json.</x:v>
      </x:c>
      <x:c r="Q113" s="29" t="str">
        <x:v>Bu kare için uygun</x:v>
      </x:c>
      <x:c r="R11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3" s="29" t="str">
        <x:v>Lisans kanıtları/bk-bdcc5bc634535ac9bc68728d.source-evidence.json</x:v>
      </x:c>
      <x:c r="T113" s="29" t="str">
        <x:v>96a2c6022f8768738c92147e88b2f00f1720dfa8ea2ce3ff33107243fc5ca8b1</x:v>
      </x:c>
      <x:c r="U113" s="29" t="str">
        <x:v>Lisans kanıtları/bk-bdcc5bc634535ac9bc68728d.license-record.json</x:v>
      </x:c>
      <x:c r="V113" s="29" t="str">
        <x:v>97b1c02def42f39fb8dc4f27ab728c5325761e1668ef331774cccc1346d4cef5</x:v>
      </x:c>
      <x:c r="W113" s="29" t="str">
        <x:v>{"file":"bk-bdcc5bc634535ac9bc68728d.webp","width":1080,"author":"Missvain","height":1440,"sha256":"bdcc5bc634535ac9bc68728dec3c1cb32e8fb0f0d5bc02fdf24f96ea25c7d8b3","license":"CC BY 4.0","imageinfo":{"url":"https://upload.wikimedia.org/wikipedia/commons/e/e2/Murray_Family_Farms_Big_Red_Barn_-_March_2022_-_Sarah_Stierch_03.jpg?utm_source=commons.wikimedia.org&amp;utm_campaign=imageinfo&amp;utm_content=original","mime":"image/jpeg","sha1":"a3b81a5f5d39e1e3ca3ab873b87b10f8d537da38","size":3337120,"width":3024,"height":4032,"pageid":116578401,"thumburl":"https://thumb.wikimedia.org/wikipedia/commons/thumb/e/e2/Murray_Family_Farms_Big_Red_Barn_-_March_2022_-_Sarah_Stierch_03.jpg/1280px-Murray_Family_Farms_Big_Red_Barn_-_March_2022_-_Sarah_Stierch_03.jpg?utm_source=commons.wikimedia.org&amp;utm_campaign=imageinfo&amp;utm_content=thumbnail","timestamp":"2022-04-01T14:50:32Z","thumbwidth":1280,"extmetadata":{"Artist":{"value":"&lt;a href=\"//commons.wikimedia.org/wiki/User:Missvain\" title=\"User:Missvain\"&gt;Missvain&lt;/a&gt;","source":"commons-desc-page"},"Credit":{"value":"&lt;span class=\"int-own-work\" lang=\"en\"&gt;Own work&lt;/span&gt;","source":"commons-desc-page"},"License":{"value":"cc-by-4.0","hidden":"","source":"commons-templates"},"DateTime":{"value":"2022-04-01 14:50:32","hidden":"","source":"mediawiki-metadata"},"Categories":{"value":"Fountains in California|Murray Family Farms|March 2022 in California|Self-published work|Photos by Sarah Stierch|Files with coordinates missing SDC location of creation|United States photographs taken on 2022-03-10","hidden":"","source":"commons-categories"},"LicenseUrl":{"value":"https://creativecommons.org/licenses/by/4.0","source":"commons-desc-page"},"ObjectName":{"value":"Murray Family Farms Big Red Barn - March 2022 - Sarah Stierch 03","source":"mediawiki-metadata"},"UsageTerms":{"value":"Creative Commons Attribution 4.0","source":"commons-desc-page"},"Assessments":{"value":"","hidden":"","source":"commons-categories"},"Copyrighted":{"value":"True","hidden":"","source":"commons-desc-page"},"GPSLatitude":{"value":"35.294731","source":"commons-desc-page"},"GPSMapDatum":{"value":"WGS-84","hidden":"","source":"commons-desc-page"},"GPSLongitude":{"value":"-118.753853","source":"commons-desc-page"},"Restrictions":{"value":"","hidden":"","source":"commons-desc-page"},"DateTimeOriginal":{"value":"Taken on 10 March 2022","source":"commons-desc-page"},"ImageDescription":{"value":"Murray Family Farms Big Red Barn, Arvin, California","source":"commons-desc-page"},"LicenseShortName":{"value":"CC BY 4.0","hidden":"","source":"commons-desc-page"},"AttributionRequired":{"value":"true","hidden":"","source":"commons-desc-page"},"CommonsMetadataExtension":{"value":1.2,"hidden":"","source":"extension"}},"thumbheight":1707,"thumbattribs":{"src":"https://thumb.wikimedia.org/wikipedia/commons/thumb/e/e2/Murray_Family_Farms_Big_Red_Barn_-_March_2022_-_Sarah_Stierch_03.jpg/1280px-Murray_Family_Farms_Big_Red_Barn_-_March_2022_-_Sarah_Stierch_03.jpg?utm_source=commons.wikimedia.org&amp;utm_campaign=imageinfo&amp;utm_content=thumbnail","width":1280,"height":1707,"srcset":"https://upload.wikimedia.org/wikipedia/commons/e/e2/Murray_Family_Farms_Big_Red_Barn_-_March_2022_-_Sarah_Stierch_03.jpg?utm_source=commons.wikimedia.org&amp;utm_campaign=imageinfo&amp;utm_content=thumbnail_unscaled 2x","loading":"lazy","decoding":"async"},"descriptionurl":"https://commons.wikimedia.org/wiki/File:Murray_Family_Farms_Big_Red_Barn_-_March_2022_-_Sarah_Stierch_03.jpg","responsiveUrls":{"2":"https://upload.wikimedia.org/wikipedia/commons/e/e2/Murray_Family_Farms_Big_Red_Barn_-_March_2022_-_Sarah_Stierch_03.jpg?utm_source=commons.wikimedia.org&amp;utm_campaign=imageinfo&amp;utm_content=thumbnail_unscaled"},"descriptionshorturl":"https://commons.wikimedia.org/w/index.php?curid=116578401"},"selection":{"qid":"pending","kind":"candidate","title":"Murray Family Farms"},"author_url":"https://commons.wikimedia.org/wiki/User:Missvain","derivative":"Wikimedia thumbnail decoded; EXIF orientation applied; converted to WebP quality 86; no generated pixels, no cropping.","source_url":"https://commons.wikimedia.org/wiki/File:Murray_Family_Farms_Big_Red_Barn_-_March_2022_-_Sarah_Stierch_03.jpg","author_urls":["https://commons.wikimedia.org/wiki/User:Missvain"],"description":"Murray Family Farms Big Red Barn, Arvin, California","license_url":"https://creativecommons.org/licenses/by/4.0","reviewed_on":"2026-10-24","capture_date":"Taken on 10 March 2022","download_url":"https://thumb.wikimedia.org/wikipedia/commons/thumb/e/e2/Murray_Family_Farms_Big_Red_Barn_-_March_2022_-_Sarah_Stierch_03.jpg/1280px-Murray_Family_Farms_Big_Red_Barn_-_March_2022_-_Sarah_Stierch_03.jpg?utm_source=commons.wikimedia.org&amp;utm_campaign=imageinfo&amp;utm_content=thumbnail","original_url":"https://upload.wikimedia.org/wikipedia/commons/e/e2/Murray_Family_Farms_Big_Red_Barn_-_March_2022_-_Sarah_Stierch_03.jpg?utm_source=commons.wikimedia.org&amp;utm_campaign=imageinfo&amp;utm_content=original","pixel_review":{"method":"İndirilen kare temas sayfasında görüldü; kaynak mekân kimliğiyle eşleştirildi. Seçim kaydı final-pixel-review.json.","status":"verified","caption":"Murray Family Farms – Big Red Barn · Take tarihli fotoğraf","reviewer":"Codex (AI)","review_id":"C210"},"downloaded_at":"2026-10-23T19:10:02.907088+00:00","download_sha256":"9224784160a90e391c5dba91ff2a1a902a6c5b77e25c5467366c08c5d83fa2bc","downloaded_file":"downloads/9224784160a90e391c5dba91ff2a1a902a6c5b77e25c5467366c08c5d83fa2bc.jpg","acquisition_file":"caf524c3061e4b7d1b4b4639.webp","commons_filename":"Murray Family Farms Big Red Barn - March 2022 - Sarah Stierch 03.jpg","original_file_url":"https://upload.wikimedia.org/wikipedia/commons/e/e2/Murray_Family_Farms_Big_Red_Barn_-_March_2022_-_Sarah_Stierch_03.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e/e2/Murray_Family_Farms_Big_Red_Barn_-_March_2022_-_Sarah_Stierch_03.jpg?utm_source=commons.wikimedia.org&amp;utm_campaign=imageinfo&amp;utm_content=original"},"metadata_reviewed_on":"2026-10-24","metadata_review_status":"verified"}}</x:v>
      </x:c>
    </x:row>
    <x:row r="114" ht="300" customHeight="1">
      <x:c r="A114" s="29" t="str">
        <x:v>bakersfield:evidence:venue-22079</x:v>
      </x:c>
      <x:c r="B114" s="29" t="str">
        <x:v>bakersfield</x:v>
      </x:c>
      <x:c r="C114" s="29" t="str">
        <x:v>bakersfield:photo:venue-22079</x:v>
      </x:c>
      <x:c r="D114" s="29" t="str">
        <x:v>https://commons.wikimedia.org/wiki/File:Murray_Family_Farms_Big_Red_Barn_-_March_2022_-_Sarah_Stierch_04.jpg</x:v>
      </x:c>
      <x:c r="E114" s="29" t="str">
        <x:v>Murray Family Farms Big Red Barn - March 2022 - Sarah Stierch 04.jpg</x:v>
      </x:c>
      <x:c r="F114" s="29" t="str">
        <x:v>Missvain</x:v>
      </x:c>
      <x:c r="G114" s="29" t="str">
        <x:v>CC BY 4.0</x:v>
      </x:c>
      <x:c r="H114" s="29" t="str">
        <x:v>https://creativecommons.org/licenses/by/4.0</x:v>
      </x:c>
      <x:c r="I114" s="29" t="str">
        <x:v>Creative Commons Attribution 4.0</x:v>
      </x:c>
      <x:c r="J114" s="29" t="str">
        <x:v>Murray Family Farms Big Red Barn - March 2022 - Sarah Stierch 04.jpg · Missvain · CC BY 4.0 · https://commons.wikimedia.org/wiki/File:Murray_Family_Farms_Big_Red_Barn_-_March_2022_-_Sarah_Stierch_04.jpg</x:v>
      </x:c>
      <x:c r="K11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4" s="31" t="d">
        <x:v>2026-10-24T00:00:00.000Z</x:v>
      </x:c>
      <x:c r="M114" s="29" t="str">
        <x:v>Doğrulandı</x:v>
      </x:c>
      <x:c r="N114" s="29" t="str">
        <x:v>Doğrulandı</x:v>
      </x:c>
      <x:c r="O114" s="29" t="str">
        <x:v>Fotoğraflar/bk-f6e54397381f447a3802a129.webp</x:v>
      </x:c>
      <x:c r="P114" s="29" t="str">
        <x:v>Murray Family Farms – Big Red Barn · Take tarihli fotoğraf · İndirilen kare temas sayfasında görüldü; kaynak mekân kimliğiyle eşleştirildi. Seçim kaydı final-pixel-review.json.</x:v>
      </x:c>
      <x:c r="Q114" s="29" t="str">
        <x:v>Bu kare için uygun</x:v>
      </x:c>
      <x:c r="R11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4" s="29" t="str">
        <x:v>Lisans kanıtları/bk-f6e54397381f447a3802a129.source-evidence.json</x:v>
      </x:c>
      <x:c r="T114" s="29" t="str">
        <x:v>1f85761624cd7e5959cb3999ac2a46e16058eb4f3b06c3826e2af482e7d61ba3</x:v>
      </x:c>
      <x:c r="U114" s="29" t="str">
        <x:v>Lisans kanıtları/bk-f6e54397381f447a3802a129.license-record.json</x:v>
      </x:c>
      <x:c r="V114" s="29" t="str">
        <x:v>5cc30ecc0a711d04d05628955c6995218895c928cc57689af8b3075cadf7b436</x:v>
      </x:c>
      <x:c r="W114" s="29" t="str">
        <x:v>{"file":"bk-f6e54397381f447a3802a129.webp","width":1280,"author":"Missvain","height":960,"sha256":"f6e54397381f447a3802a1299003f6a4791f8318d26de89774fc9dbe4e9b35eb","license":"CC BY 4.0","imageinfo":{"url":"https://upload.wikimedia.org/wikipedia/commons/1/17/Murray_Family_Farms_Big_Red_Barn_-_March_2022_-_Sarah_Stierch_04.jpg?utm_source=commons.wikimedia.org&amp;utm_campaign=imageinfo&amp;utm_content=original","mime":"image/jpeg","sha1":"cc9496e6d61b02bea79c9a8d4153ca885fbc0afa","size":2868142,"width":4032,"height":3024,"pageid":116578403,"thumburl":"https://thumb.wikimedia.org/wikipedia/commons/thumb/1/17/Murray_Family_Farms_Big_Red_Barn_-_March_2022_-_Sarah_Stierch_04.jpg/1280px-Murray_Family_Farms_Big_Red_Barn_-_March_2022_-_Sarah_Stierch_04.jpg?utm_source=commons.wikimedia.org&amp;utm_campaign=imageinfo&amp;utm_content=thumbnail","timestamp":"2022-04-01T14:50:35Z","thumbwidth":1280,"extmetadata":{"Artist":{"value":"&lt;a href=\"//commons.wikimedia.org/wiki/User:Missvain\" title=\"User:Missvain\"&gt;Missvain&lt;/a&gt;","source":"commons-desc-page"},"Credit":{"value":"&lt;span class=\"int-own-work\" lang=\"en\"&gt;Own work&lt;/span&gt;","source":"commons-desc-page"},"License":{"value":"cc-by-4.0","hidden":"","source":"commons-templates"},"DateTime":{"value":"2022-04-01 14:50:35","hidden":"","source":"mediawiki-metadata"},"Categories":{"value":"Murray Family Farms|Building interiors in California|March 2022 in California|Self-published work|Photos by Sarah Stierch|Files with coordinates missing SDC location of creation|United States photographs taken on 2022-03-10","hidden":"","source":"commons-categories"},"LicenseUrl":{"value":"https://creativecommons.org/licenses/by/4.0","source":"commons-desc-page"},"ObjectName":{"value":"Murray Family Farms Big Red Barn - March 2022 - Sarah Stierch 04","source":"mediawiki-metadata"},"UsageTerms":{"value":"Creative Commons Attribution 4.0","source":"commons-desc-page"},"Assessments":{"value":"","hidden":"","source":"commons-categories"},"Copyrighted":{"value":"True","hidden":"","source":"commons-desc-page"},"GPSLatitude":{"value":"35.294828","source":"commons-desc-page"},"GPSMapDatum":{"value":"WGS-84","hidden":"","source":"commons-desc-page"},"GPSLongitude":{"value":"-118.754014","source":"commons-desc-page"},"Restrictions":{"value":"","hidden":"","source":"commons-desc-page"},"DateTimeOriginal":{"value":"Taken on 10 March 2022","source":"commons-desc-page"},"ImageDescription":{"value":"Murray Family Farms Big Red Barn, Arvin, California","source":"commons-desc-page"},"LicenseShortName":{"value":"CC BY 4.0","hidden":"","source":"commons-desc-page"},"AttributionRequired":{"value":"true","hidden":"","source":"commons-desc-page"},"CommonsMetadataExtension":{"value":1.2,"hidden":"","source":"extension"}},"thumbheight":960,"thumbattribs":{"src":"https://thumb.wikimedia.org/wikipedia/commons/thumb/1/17/Murray_Family_Farms_Big_Red_Barn_-_March_2022_-_Sarah_Stierch_04.jpg/1280px-Murray_Family_Farms_Big_Red_Barn_-_March_2022_-_Sarah_Stierch_04.jpg?utm_source=commons.wikimedia.org&amp;utm_campaign=imageinfo&amp;utm_content=thumbnail","width":1280,"height":960,"srcset":"https://thumb.wikimedia.org/wikipedia/commons/thumb/1/17/Murray_Family_Farms_Big_Red_Barn_-_March_2022_-_Sarah_Stierch_04.jpg/3840px-Murray_Family_Farms_Big_Red_Barn_-_March_2022_-_Sarah_Stierch_04.jpg?utm_source=commons.wikimedia.org&amp;utm_campaign=imageinfo&amp;utm_content=thumbnail 2x","loading":"lazy","decoding":"async"},"descriptionurl":"https://commons.wikimedia.org/wiki/File:Murray_Family_Farms_Big_Red_Barn_-_March_2022_-_Sarah_Stierch_04.jpg","responsiveUrls":{"2":"https://thumb.wikimedia.org/wikipedia/commons/thumb/1/17/Murray_Family_Farms_Big_Red_Barn_-_March_2022_-_Sarah_Stierch_04.jpg/3840px-Murray_Family_Farms_Big_Red_Barn_-_March_2022_-_Sarah_Stierch_04.jpg?utm_source=commons.wikimedia.org&amp;utm_campaign=imageinfo&amp;utm_content=thumbnail"},"descriptionshorturl":"https://commons.wikimedia.org/w/index.php?curid=116578403"},"selection":{"qid":"pending","kind":"candidate","title":"Murray Family Farms"},"author_url":"https://commons.wikimedia.org/wiki/User:Missvain","derivative":"Wikimedia thumbnail decoded; EXIF orientation applied; converted to WebP quality 86; no generated pixels, no cropping.","source_url":"https://commons.wikimedia.org/wiki/File:Murray_Family_Farms_Big_Red_Barn_-_March_2022_-_Sarah_Stierch_04.jpg","author_urls":["https://commons.wikimedia.org/wiki/User:Missvain"],"description":"Murray Family Farms Big Red Barn, Arvin, California","license_url":"https://creativecommons.org/licenses/by/4.0","reviewed_on":"2026-10-24","capture_date":"Taken on 10 March 2022","download_url":"https://thumb.wikimedia.org/wikipedia/commons/thumb/1/17/Murray_Family_Farms_Big_Red_Barn_-_March_2022_-_Sarah_Stierch_04.jpg/1280px-Murray_Family_Farms_Big_Red_Barn_-_March_2022_-_Sarah_Stierch_04.jpg?utm_source=commons.wikimedia.org&amp;utm_campaign=imageinfo&amp;utm_content=thumbnail","original_url":"https://upload.wikimedia.org/wikipedia/commons/1/17/Murray_Family_Farms_Big_Red_Barn_-_March_2022_-_Sarah_Stierch_04.jpg?utm_source=commons.wikimedia.org&amp;utm_campaign=imageinfo&amp;utm_content=original","pixel_review":{"method":"İndirilen kare temas sayfasında görüldü; kaynak mekân kimliğiyle eşleştirildi. Seçim kaydı final-pixel-review.json.","status":"verified","caption":"Murray Family Farms – Big Red Barn · Take tarihli fotoğraf","reviewer":"Codex (AI)","review_id":"C211"},"downloaded_at":"2026-10-23T19:10:03.173274+00:00","download_sha256":"483d12fa14a5e9762a45632e575b5eb9c3799a749a35971203c4d6fb11bc69e5","downloaded_file":"downloads/483d12fa14a5e9762a45632e575b5eb9c3799a749a35971203c4d6fb11bc69e5.jpg","acquisition_file":"9b3fc317b99dcd14f98aac6b.webp","commons_filename":"Murray Family Farms Big Red Barn - March 2022 - Sarah Stierch 04.jpg","original_file_url":"https://upload.wikimedia.org/wikipedia/commons/1/17/Murray_Family_Farms_Big_Red_Barn_-_March_2022_-_Sarah_Stierch_04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dönüştürüldü.","photo_attribution":{"author_url":"https://commons.wikimedia.org/wiki/User:Missvain","modifications":"EXIF yönü uygulandı; boyut küçültülüp WebP biçimine dönüştürüldü.","original_file_url":"https://upload.wikimedia.org/wikipedia/commons/1/17/Murray_Family_Farms_Big_Red_Barn_-_March_2022_-_Sarah_Stierch_04.jpg?utm_source=commons.wikimedia.org&amp;utm_campaign=imageinfo&amp;utm_content=original"},"metadata_reviewed_on":"2026-10-24","metadata_review_status":"verified"}}</x:v>
      </x:c>
    </x:row>
    <x:row r="115" ht="300" customHeight="1">
      <x:c r="A115" s="29" t="str">
        <x:v>bakersfield:evidence:venue-22080</x:v>
      </x:c>
      <x:c r="B115" s="29" t="str">
        <x:v>bakersfield</x:v>
      </x:c>
      <x:c r="C115" s="29" t="str">
        <x:v>bakersfield:photo:venue-22080</x:v>
      </x:c>
      <x:c r="D115" s="29" t="str">
        <x:v>https://www.flickr.com/photos/59834630@N07/7624837100/</x:v>
      </x:c>
      <x:c r="E115" s="29" t="str">
        <x:v>The Park at River Walk · 2012 tarihli fotoğraf</x:v>
      </x:c>
      <x:c r="F115" s="29" t="str">
        <x:v>Randall Degges</x:v>
      </x:c>
      <x:c r="G115" s="29" t="str">
        <x:v>CC BY 2.0</x:v>
      </x:c>
      <x:c r="H115" s="29" t="str">
        <x:v>https://creativecommons.org/licenses/by/2.0/</x:v>
      </x:c>
      <x:c r="I115" s="29" t="str">
        <x:v>CC BY 2.0</x:v>
      </x:c>
      <x:c r="J115" s="29" t="str">
        <x:v>The Park at River Walk · 2012 tarihli fotoğraf · Randall Degges · CC BY 2.0 · https://www.flickr.com/photos/59834630@N07/7624837100/</x:v>
      </x:c>
      <x:c r="K11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5" s="31" t="d">
        <x:v>2026-10-24T00:00:00.000Z</x:v>
      </x:c>
      <x:c r="M115" s="29" t="str">
        <x:v>Doğrulandı</x:v>
      </x:c>
      <x:c r="N115" s="29" t="str">
        <x:v>Doğrulandı</x:v>
      </x:c>
      <x:c r="O115" s="29" t="str">
        <x:v>Fotoğraflar/bk-aca55bc144d639c8a693bc38.webp</x:v>
      </x:c>
      <x:c r="P115" s="29" t="str">
        <x:v>River Walk çevresi · 2012 tarihli fotoğraf · İndirilen kare temas sayfasında görüldü; kaynak mekân kimliğiyle eşleştirildi. Seçim kaydı final-pixel-review.json.</x:v>
      </x:c>
      <x:c r="Q115" s="29" t="str">
        <x:v>Bu kare için uygun</x:v>
      </x:c>
      <x:c r="R11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5" s="29" t="str">
        <x:v>Lisans kanıtları/bk-aca55bc144d639c8a693bc38.source-evidence.json</x:v>
      </x:c>
      <x:c r="T115" s="29" t="str">
        <x:v>f6601b8e6b278cbba6c1eeb9d1eb8a3819e8773139da4873c641c6ca09921bc8</x:v>
      </x:c>
      <x:c r="U115" s="29" t="str">
        <x:v>Lisans kanıtları/bk-aca55bc144d639c8a693bc38.license-record.json</x:v>
      </x:c>
      <x:c r="V115" s="29" t="str">
        <x:v>220db2b724f06aba380516750afd9f5969ce92f5762b9233ed354b11b2f012de</x:v>
      </x:c>
      <x:c r="W115" s="29" t="str">
        <x:v>{"file":"bk-aca55bc144d639c8a693bc38.webp","width":1024,"author":"Randall Degges","height":683,"sha256":"aca55bc144d639c8a693bc387604d6c8894122ba63d80c932fd6d9e03326520f","status":"reviewed-selected","license":"CC BY 2.0","provider":"Flickr","review_id":"F121","source_id":"7624837100","author_url":"https://www.flickr.com/photos/59834630@N07/","date_texts":["Uploaded on July 22, 2012 Taken on June 28, 2012","Taken on June 28, 2012","Uploaded on July 22, 2012 Taken on June 28, 2012","Taken on June 28, 2012"],"source_url":"https://www.flickr.com/photos/59834630@N07/7624837100/","description":"The creek in front of the amphitheater with current turned off. ","license_url":"https://creativecommons.org/licenses/by/2.0/","review_note":"Dere ve amfitiyatro çevresi genel görünüm.","reviewed_on":"2026-10-24","source_text":"Picture 017 | The creek in front of the amphitheater with cu…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017 The creek in front of the amphitheater with current turned off. Done 321 views 0 faves 0 comments Uploaded on July 22, 2012 Taken on June 28, 2012 Randall Degges By: Randall Degges Picture 017 The creek in front of the amphitheater with current turned off. Done 321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photography.","capture_date":"2012-06-28","download_url":"https://live.staticflickr.com/8142/7624837100_f5d3591039_b.jpg","original_url":"https://live.staticflickr.com/8142/7624837100_360db06fcc_o.jpg","pixel_review":{"method":"İndirilen kare temas sayfasında görüldü; kaynak mekân kimliğiyle eşleştirildi. Seçim kaydı final-pixel-review.json.","status":"verified","caption":"River Walk çevresi · 2012 tarihli fotoğraf","reviewer":"Codex (AI)","review_id":"F121"},"source_title":"Picture 017","downloaded_at":"2026-10-23T19:50:08.767244+00:00","download_sha256":"8ee799ec3fbfe9cd55e675f17c5ebcefa7af52b19ecb3ddfe381ff89a2d5e90b","downloaded_file":"downloads/8ee799ec3fbfe9cd55e675f17c5ebcefa7af52b19ecb3ddfe381ff89a2d5e90b.jpg","public_metadata":{"photo-models":[{"data":{"id":"7624837100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8142/7624837100_f5d3591039_c.jpg","width":800,"height":533,"displayUrl":"//live.staticflickr.com/8142/7624837100_f5d3591039_c.jpg"},"exportMetaType":"pojo"},"h":{"data":{"url":"//live.staticflickr.com/8142/7624837100_ac9c806eba_h.jpg","width":1600,"height":1067,"displayUrl":"//live.staticflickr.com/8142/7624837100_ac9c806eba_h.jpg"},"exportMetaType":"pojo"},"k":{"data":{"url":"//live.staticflickr.com/8142/7624837100_18491f7b60_k.jpg","width":2048,"height":1365,"displayUrl":"//live.staticflickr.com/8142/7624837100_18491f7b60_k.jpg"},"exportMetaType":"pojo"},"l":{"data":{"url":"//live.staticflickr.com/8142/7624837100_f5d3591039_b.jpg","width":1024,"height":683,"displayUrl":"//live.staticflickr.com/8142/7624837100_f5d3591039_b.jpg"},"exportMetaType":"pojo"},"m":{"data":{"url":"//live.staticflickr.com/8142/7624837100_f5d3591039.jpg","width":500,"height":333,"displayUrl":"//live.staticflickr.com/8142/7624837100_f5d3591039.jpg"},"exportMetaType":"pojo"},"n":{"data":{"url":"//live.staticflickr.com/8142/7624837100_f5d3591039_n.jpg","width":320,"height":213,"displayUrl":"//live.staticflickr.com/8142/7624837100_f5d3591039_n.jpg"},"exportMetaType":"pojo"},"o":{"data":{"url":"//live.staticflickr.com/8142/7624837100_360db06fcc_o.jpg","width":5616,"height":3744,"displayUrl":"//live.staticflickr.com/8142/7624837100_360db06fcc_o.jpg"},"exportMetaType":"pojo"},"q":{"data":{"url":"//live.staticflickr.com/8142/7624837100_f5d3591039_q.jpg","width":150,"height":150,"displayUrl":"//live.staticflickr.com/8142/7624837100_f5d3591039_q.jpg"},"exportMetaType":"pojo"},"s":{"data":{"url":"//live.staticflickr.com/8142/7624837100_f5d3591039_m.jpg","width":240,"height":160,"displayUrl":"//live.staticflickr.com/8142/7624837100_f5d3591039_m.jpg"},"exportMetaType":"pojo"},"t":{"data":{"url":"//live.staticflickr.com/8142/7624837100_f5d3591039_t.jpg","width":100,"height":67,"displayUrl":"//live.staticflickr.com/8142/7624837100_f5d3591039_t.jpg"},"exportMetaType":"pojo"},"w":{"data":{"url":"//live.staticflickr.com/8142/7624837100_f5d3591039_w.jpg","width":400,"height":267,"displayUrl":"//live.staticflickr.com/8142/7624837100_f5d3591039_w.jpg"},"exportMetaType":"pojo"},"z":{"data":{"url":"//live.staticflickr.com/8142/7624837100_f5d3591039_z.jpg","width":640,"height":427,"displayUrl":"//live.staticflickr.com/8142/7624837100_f5d3591039_z.jpg"},"exportMetaType":"pojo"},"sq":{"data":{"url":"//live.staticflickr.com/8142/7624837100_f5d3591039_s.jpg","width":75,"height":75,"displayUrl":"//live.staticflickr.com/8142/7624837100_f5d3591039_s.jpg"},"exportMetaType":"pojo"}},"exportMetaType":"pojo"},"title":"Picture 017","oWidth":5616,"secret":"f5d3591039","license":4,"oHeight":3744,"rotation":0,"canAddMeta":false,"canComment":false,"engagement":{"data":{"id":"7624837100","canShare":true,"ownerNsid":"59834630@N07","reactions":{"data":{"like":{"data":{"id":"like","count":5,"canReact":true,"didViewerReact":true},"exportMetaType":"pojo"},"someOtherReaction":{"data":{"id":"someOtherReaction","count":3,"canReact":true,"didViewerReact":false},"exportMetaType":"pojo"}},"exportMetaType":"pojo"},"viewCount":321,"canDownload":true,"_flickrModelRegistry":"photo-engagement-models"},"exportMetaType":"model"},"description":"The creek in front of the amphitheater with current turned off. ","safetyLevel":0,"upgradeSizes":{"data":[],"exportMetaType":"array"},"adEligibility":{"data":{"lane":1,"labels":{"data":[],"exportMetaType":"array"},"isAdEligible":true,"highScoreLabels":{"data":[],"exportMetaType":"array"}},"exportMetaType":"pojo"},"canPublicComment":true,"_flickrModelRegistry":"photo-models"},"exportMetaType":"model"}],"photo-geo-models":[{"data":{"id":"7624837100","_flickrModelRegistry":"photo-geo-models"},"exportMetaType":"model"}],"photo-location-models":[{"data":{"id":"7624837100","geo":{"data":"~2","exportMetaType":"model"},"text":"","levels":{"data":{},"exportMetaType":"pojo"},"staticMaps":{"data":{},"exportMetaType":"pojo"},"_flickrModelRegistry":"photo-location-models"},"exportMetaType":"model"}],"photo-head-meta-models":[{"data":{"id":"7624837100","title":"Picture 017","og:url":"https://www.flickr.com/photos/randalldegges/7624837100/","og:type":"article","keywords":"creek, riverwalk, bakersfieldcalifornia","og:image":"https://live.staticflickr.com/8142/7624837100_f5d3591039_b.jpg","og:title":"Picture 017","twitter:card":"summary_large_image","twitter:image":"https://live.staticflickr.com/8142/7624837100_f5d3591039_b.jpg","og:description":"The creek in front of the amphitheater with current turned off. ","og:image:width":1024,"og:image:height":683,"twitter:creator":"@rdegges","twitter:description":"The creek in front of the amphitheater with current turned off. ","_flickrModelRegistry":"photo-head-meta-models","twitter:app:url:ipad":"flickr://flickr.com/photos/randalldegges/7624837100/","twitter:app:url:iphone":"flickr://flickr.com/photos/randalldegges/7624837100/","twitter:app:url:googleplay":"https://www.flickr.com/photos/randalldegges/7624837100/"},"exportMetaType":"model"}],"photo-license-history-models":[]},"acquisition_file":"fl-7624837100.webp","source_html_file":"/Users/atincakcayoz/corteqs/output/bakersfield-production-20261023/flickr-source-pages/7624837100.html","original_file_url":"https://live.staticflickr.com/8142/7624837100_360db06fcc_o.jpg","proposed_identity":"The Park at River Walk","source_html_sha256":"a09302c267d38beadebc4bd61046af473b344526ddd90a27690405d2ed76b49e","third_party_rights_review":{"basis":"Kaynakta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dönüştürüldü.","original_file_url":"https://live.staticflickr.com/8142/7624837100_360db06fcc_o.jpg"},"metadata_reviewed_on":"2026-10-24","metadata_review_status":"verified"}}</x:v>
      </x:c>
    </x:row>
    <x:row r="116" ht="300" customHeight="1">
      <x:c r="A116" s="29" t="str">
        <x:v>bakersfield:evidence:venue-22081</x:v>
      </x:c>
      <x:c r="B116" s="29" t="str">
        <x:v>bakersfield</x:v>
      </x:c>
      <x:c r="C116" s="29" t="str">
        <x:v>bakersfield:photo:venue-22081</x:v>
      </x:c>
      <x:c r="D116" s="29" t="str">
        <x:v>https://www.flickr.com/photos/61412218@N00/53995380903/</x:v>
      </x:c>
      <x:c r="E116" s="29" t="str">
        <x:v>The Park at River Walk · 2024 tarihli fotoğraf</x:v>
      </x:c>
      <x:c r="F116" s="29" t="str">
        <x:v>mbtrama</x:v>
      </x:c>
      <x:c r="G116" s="29" t="str">
        <x:v>CC BY 2.0</x:v>
      </x:c>
      <x:c r="H116" s="29" t="str">
        <x:v>https://creativecommons.org/licenses/by/2.0/</x:v>
      </x:c>
      <x:c r="I116" s="29" t="str">
        <x:v>CC BY 2.0</x:v>
      </x:c>
      <x:c r="J116" s="29" t="str">
        <x:v>The Park at River Walk · 2024 tarihli fotoğraf · mbtrama · CC BY 2.0 · https://www.flickr.com/photos/61412218@N00/53995380903/</x:v>
      </x:c>
      <x:c r="K11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6" s="31" t="d">
        <x:v>2026-10-24T00:00:00.000Z</x:v>
      </x:c>
      <x:c r="M116" s="29" t="str">
        <x:v>Doğrulandı</x:v>
      </x:c>
      <x:c r="N116" s="29" t="str">
        <x:v>Doğrulandı</x:v>
      </x:c>
      <x:c r="O116" s="29" t="str">
        <x:v>Fotoğraflar/bk-d8a81b420a3bb1291eabbf29.webp</x:v>
      </x:c>
      <x:c r="P116" s="29" t="str">
        <x:v>The Park at River Walk · 2024 tarihli fotoğraf · İndirilen kare temas sayfasında görüldü; kaynak mekân kimliğiyle eşleştirildi. Seçim kaydı final-pixel-review.json.</x:v>
      </x:c>
      <x:c r="Q116" s="29" t="str">
        <x:v>Bu kare için uygun</x:v>
      </x:c>
      <x:c r="R11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6" s="29" t="str">
        <x:v>Lisans kanıtları/bk-d8a81b420a3bb1291eabbf29.source-evidence.json</x:v>
      </x:c>
      <x:c r="T116" s="29" t="str">
        <x:v>9bf84be750dbe08c6f490fa53604c0a388ffe2be53c49e44d205f536f2ff7f20</x:v>
      </x:c>
      <x:c r="U116" s="29" t="str">
        <x:v>Lisans kanıtları/bk-d8a81b420a3bb1291eabbf29.license-record.json</x:v>
      </x:c>
      <x:c r="V116" s="29" t="str">
        <x:v>098fca11ea6808a930a7cf781421c10c431f2060074a6056f3f53ee877e2e40b</x:v>
      </x:c>
      <x:c r="W116" s="29" t="str">
        <x:v>{"file":"bk-d8a81b420a3bb1291eabbf29.webp","width":768,"author":"mbtrama","height":1024,"sha256":"d8a81b420a3bb1291eabbf2937fd855ca281a17ceb67a3105cbb1abfa81ce925","status":"reviewed-selected","license":"CC BY 2.0","provider":"Flickr","review_id":"F124","source_id":"53995380903","author_url":"https://www.flickr.com/photos/61412218@N00/","date_texts":["Uploaded on September 14, 2024 Taken on January 27, 2024","Taken on January 27, 2024","Uploaded on September 14, 2024 Taken on January 27, 2024","Taken on January 27, 2024"],"source_url":"https://www.flickr.com/photos/61412218@N00/53995380903/","description":"","license_url":"https://creativecommons.org/licenses/by/2.0/","review_note":"2024 gün doğumu; gerçek çekim ve konum metadatası doğrulanacak.","reviewed_on":"2026-10-24","source_text":"Sunrise at Riverwalk Bakersfield | mbtrama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mbtrama mbtrama Sunrise at Riverwalk Bakersfield Done 128 views 2 faves 0 comments Uploaded on September 14, 2024 Taken on January 27, 2024 mbtrama By: mbtrama Sunrise at Riverwalk Bakersfield Done 128 views 2 faves 0 comments Uploaded on September 14, 2024 Taken on January 27,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photography.","capture_date":"2024-01-27","download_url":"https://live.staticflickr.com/65535/53995380903_67481c2073_b.jpg","original_url":"https://live.staticflickr.com/65535/53995380903_f8eb213e09_6k.jpg","pixel_review":{"method":"İndirilen kare temas sayfasında görüldü; kaynak mekân kimliğiyle eşleştirildi. Seçim kaydı final-pixel-review.json.","status":"verified","caption":"The Park at River Walk · 2024 tarihli fotoğraf","reviewer":"Codex (AI)","review_id":"F124"},"source_title":"Sunrise at Riverwalk Bakersfield","downloaded_at":"2026-10-23T19:50:09.319883+00:00","download_sha256":"1acb2a0a06c4be6575982bba6526d6da9d31a92bb7b970bbd87226ac86183e54","downloaded_file":"downloads/1acb2a0a06c4be6575982bba6526d6da9d31a92bb7b970bbd87226ac86183e54.jpg","public_metadata":{"photo-models":[{"data":{"id":"53995380903","owner":{"data":{"id":"61412218@N00","isPro":true,"newFlow":true,"isAdFree":false,"location":null,"proBadge":"standard","realname":"","segments":{"data":[],"exportMetaType":"array"},"username":"mbtrama","buddyicon":{"data":{"large":"//farm66.staticflickr.com/65535/buddyicons/61412218@N00_l.jpg?1726349850#61412218@N00","small":"//farm66.staticflickr.com/65535/buddyicons/61412218@N00_s.jpg?1726349850#61412218@N00","medium":"//farm66.staticflickr.com/65535/buddyicons/61412218@N00_m.jpg?1726349850#61412218@N00","retina":"//farm66.staticflickr.com/65535/buddyicons/61412218@N00_r.jpg?1726349850#61412218@N00","default":"//farm66.staticflickr.com/65535/buddyicons/61412218@N00.jpg?1726349850#61412218@N00"},"exportMetaType":"pojo"},"pathAlias":"mbtrama","dateCreated":{"data":"1122541887","exportMetaType":"serializeFunction"},"subscription":{"data":{"isPro":false,"isClosed":false,"isPastDue":false},"exportMetaType":"pojo"},"eligibleGifts":{"data":["year","month","week"],"exportMetaType":"array"},"isEligibleForGifts":true,"_flickrModelRegistry":"person-models"},"exportMetaType":"model"},"sizes":{"data":{"c":{"data":{"url":"//live.staticflickr.com/65535/53995380903_67481c2073_c.jpg","width":600,"height":800,"displayUrl":"//live.staticflickr.com/65535/53995380903_67481c2073_c.jpg"},"exportMetaType":"pojo"},"h":{"data":{"url":"//live.staticflickr.com/65535/53995380903_84fa937458_h.jpg","width":1200,"height":1600,"displayUrl":"//live.staticflickr.com/65535/53995380903_84fa937458_h.jpg"},"exportMetaType":"pojo"},"k":{"data":{"url":"//live.staticflickr.com/65535/53995380903_1146bfe6d0_k.jpg","width":1536,"height":2048,"displayUrl":"//live.staticflickr.com/65535/53995380903_1146bfe6d0_k.jpg"},"exportMetaType":"pojo"},"l":{"data":{"url":"//live.staticflickr.com/65535/53995380903_67481c2073_b.jpg","width":768,"height":1024,"displayUrl":"//live.staticflickr.com/65535/53995380903_67481c2073_b.jpg"},"exportMetaType":"pojo"},"m":{"data":{"url":"//live.staticflickr.com/65535/53995380903_67481c2073.jpg","width":375,"height":500,"displayUrl":"//live.staticflickr.com/65535/53995380903_67481c2073.jpg"},"exportMetaType":"pojo"},"n":{"data":{"url":"//live.staticflickr.com/65535/53995380903_67481c2073_n.jpg","width":240,"height":320,"displayUrl":"//live.staticflickr.com/65535/53995380903_67481c2073_n.jpg"},"exportMetaType":"pojo"},"o":{"data":{"url":"//live.staticflickr.com/65535/53995380903_d643d71a9f_o.jpg","width":4284,"height":5712,"displayUrl":"//live.staticflickr.com/65535/53995380903_d643d71a9f_o.jpg"},"exportMetaType":"pojo"},"q":{"data":{"url":"//live.staticflickr.com/65535/53995380903_67481c2073_q.jpg","width":150,"height":150,"displayUrl":"//live.staticflickr.com/65535/53995380903_67481c2073_q.jpg"},"exportMetaType":"pojo"},"s":{"data":{"url":"//live.staticflickr.com/65535/53995380903_67481c2073_m.jpg","width":180,"height":240,"displayUrl":"//live.staticflickr.com/65535/53995380903_67481c2073_m.jpg"},"exportMetaType":"pojo"},"t":{"data":{"url":"//live.staticflickr.com/65535/53995380903_67481c2073_t.jpg","width":75,"height":100,"displayUrl":"//live.staticflickr.com/65535/53995380903_67481c2073_t.jpg"},"exportMetaType":"pojo"},"w":{"data":{"url":"//live.staticflickr.com/65535/53995380903_67481c2073_w.jpg","width":300,"height":400,"displayUrl":"//live.staticflickr.com/65535/53995380903_67481c2073_w.jpg"},"exportMetaType":"pojo"},"z":{"data":{"url":"//live.staticflickr.com/65535/53995380903_67481c2073_z.jpg","width":480,"height":640,"displayUrl":"//live.staticflickr.com/65535/53995380903_67481c2073_z.jpg"},"exportMetaType":"pojo"},"3k":{"data":{"url":"//live.staticflickr.com/65535/53995380903_4be07b93cc_3k.jpg","width":2304,"height":3072,"displayUrl":"//live.staticflickr.com/65535/53995380903_4be07b93cc_3k.jpg"},"exportMetaType":"pojo"},"4k":{"data":{"url":"//live.staticflickr.com/65535/53995380903_90463ed436_4k.jpg","width":3072,"height":4096,"displayUrl":"//live.staticflickr.com/65535/53995380903_90463ed436_4k.jpg"},"exportMetaType":"pojo"},"5k":{"data":{"url":"//live.staticflickr.com/65535/53995380903_e86887080c_5k.jpg","width":3840,"height":5120,"displayUrl":"//live.staticflickr.com/65535/53995380903_e86887080c_5k.jpg"},"exportMetaType":"pojo"},"6k":{"data":{"url":"//live.staticflickr.com/65535/53995380903_f8eb213e09_6k.jpg","width":4284,"height":5712,"displayUrl":"//live.staticflickr.com/65535/53995380903_f8eb213e09_6k.jpg"},"exportMetaType":"pojo"},"sq":{"data":{"url":"//live.staticflickr.com/65535/53995380903_67481c2073_s.jpg","width":75,"height":75,"displayUrl":"//live.staticflickr.com/65535/53995380903_67481c2073_s.jpg"},"exportMetaType":"pojo"}},"exportMetaType":"pojo"},"title":"Sunrise at Riverwalk Bakersfield","oWidth":4284,"secret":"67481c2073","license":4,"oHeight":5712,"rotation":0,"canAddMeta":false,"canComment":false,"engagement":{"data":{"id":"53995380903","canShare":true,"faveCount":2,"ownerNsid":"61412218@N00","reactions":{"data":{"like":{"data":{"id":"like","count":5,"canReact":true,"didViewerReact":true},"exportMetaType":"pojo"},"someOtherReaction":{"data":{"id":"someOtherReaction","count":3,"canReact":true,"didViewerReact":false},"exportMetaType":"pojo"}},"exportMetaType":"pojo"},"viewCount":128,"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53995380903","hasGeo":true,"accuracy":16,"isPublic":true,"latitude":35.351538,"longitude":-119.125328,"_flickrModelRegistry":"photo-geo-models"},"exportMetaType":"model"}],"photo-location-models":[{"data":{"id":"53995380903","geo":{"data":"~2","exportMetaType":"model"},"text":"The Park at River Walk, Bakersfield, United States","levels":{"data":{"venue":{"data":{"name":"The Park at River Walk","woeId":"2358492","source":"foursquare","venueId":"4b9d6716f964a52025aa36e3","venueLat":"35.351255","venueLong":"-119.126687"},"exportMetaType":"pojo"},"county":{"data":{"name":"Kern","woeId":null},"exportMetaType":"pojo"},"region":{"data":{"name":"California","woeId":null},"exportMetaType":"pojo"},"country":{"data":{"name":"United States","woeId":null},"exportMetaType":"pojo"},"locality":{"data":{"name":"Greenacres","woeId":null},"exportMetaType":"pojo"},"neighbourhood":{"data":{"name":null,"woeId":null},"exportMetaType":"pojo"}},"exportMetaType":"pojo"},"staticMaps":{"data":{"zoom3":{"data":{"src":"","zoom":"3","width":304,"height":128,"retinaSrc":"","isFoursquare":true,"is_foursquare":true},"exportMetaType":"pojo"},"zoom6":{"data":{"src":"","zoom":"6","width":304,"height":128,"retinaSrc":"","isFoursquare":true,"is_foursquare":true},"exportMetaType":"pojo"},"zoom14":{"data":{"src":"","zoom":"14","width":304,"height":128,"retinaSrc":"","isFoursquare":true,"is_foursquare":true},"exportMetaType":"pojo"}},"exportMetaType":"pojo"},"_flickrModelRegistry":"photo-location-models"},"exportMetaType":"model"}],"photo-head-meta-models":[{"data":{"id":"53995380903","title":"Sunrise at Riverwalk Bakersfield","og:url":"https://www.flickr.com/photos/mbtrama/53995380903/","og:type":"article","og:image":"https://live.staticflickr.com/65535/53995380903_67481c2073_b.jpg","og:title":"Sunrise at Riverwalk Bakersfield","twitter:card":"summary_large_image","twitter:image":"https://live.staticflickr.com/65535/53995380903_67481c2073_b.jpg","og:description":"","og:image:width":768,"og:image:height":1024,"twitter:creator":"@mbtrama","twitter:description":"Explore mbtrama's 1917 photos on Flickr!","_flickrModelRegistry":"photo-head-meta-models","twitter:app:url:ipad":"flickr://flickr.com/photos/mbtrama/53995380903/","twitter:app:url:iphone":"flickr://flickr.com/photos/mbtrama/53995380903/","twitter:app:url:googleplay":"https://www.flickr.com/photos/mbtrama/53995380903/"},"exportMetaType":"model"}],"photo-license-history-models":[]},"acquisition_file":"fl-53995380903.webp","source_html_file":"/Users/atincakcayoz/corteqs/output/bakersfield-production-20261023/flickr-source-pages/53995380903.html","original_file_url":"https://live.staticflickr.com/65535/53995380903_f8eb213e09_6k.jpg","proposed_identity":"The Park at River Walk","source_html_sha256":"f897148c76a4a6337d9d47800cb5efdb467df2651f53b97892692a35a01579ba","third_party_rights_review":{"basis":"Kaynakta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dönüştürüldü.","photo_attribution":{"author_url":"https://www.flickr.com/photos/61412218@N00/","modifications":"EXIF yönü uygulandı; boyut küçültülüp WebP biçimine dönüştürüldü.","original_file_url":"https://live.staticflickr.com/65535/53995380903_f8eb213e09_6k.jpg"},"metadata_reviewed_on":"2026-10-24","metadata_review_status":"verified"}}</x:v>
      </x:c>
    </x:row>
    <x:row r="117" ht="300" customHeight="1">
      <x:c r="A117" s="29" t="str">
        <x:v>bakersfield:evidence:venue-22082</x:v>
      </x:c>
      <x:c r="B117" s="29" t="str">
        <x:v>bakersfield</x:v>
      </x:c>
      <x:c r="C117" s="29" t="str">
        <x:v>bakersfield:photo:venue-22082</x:v>
      </x:c>
      <x:c r="D117" s="29" t="str">
        <x:v>https://www.flickr.com/photos/59834630@N07/7624910100/</x:v>
      </x:c>
      <x:c r="E117" s="29" t="str">
        <x:v>The Park at River Walk · 2012 tarihli fotoğraf</x:v>
      </x:c>
      <x:c r="F117" s="29" t="str">
        <x:v>Randall Degges</x:v>
      </x:c>
      <x:c r="G117" s="29" t="str">
        <x:v>CC BY 2.0</x:v>
      </x:c>
      <x:c r="H117" s="29" t="str">
        <x:v>https://creativecommons.org/licenses/by/2.0/</x:v>
      </x:c>
      <x:c r="I117" s="29" t="str">
        <x:v>CC BY 2.0</x:v>
      </x:c>
      <x:c r="J117" s="29" t="str">
        <x:v>The Park at River Walk · 2012 tarihli fotoğraf · Randall Degges · CC BY 2.0 · https://www.flickr.com/photos/59834630@N07/7624910100/</x:v>
      </x:c>
      <x:c r="K11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7" s="31" t="d">
        <x:v>2026-10-24T00:00:00.000Z</x:v>
      </x:c>
      <x:c r="M117" s="29" t="str">
        <x:v>Doğrulandı</x:v>
      </x:c>
      <x:c r="N117" s="29" t="str">
        <x:v>Doğrulandı</x:v>
      </x:c>
      <x:c r="O117" s="29" t="str">
        <x:v>Fotoğraflar/bk-57807a66af6e632a2abca0dd.webp</x:v>
      </x:c>
      <x:c r="P117" s="29" t="str">
        <x:v>The Park at River Walk · 2012 tarihli fotoğraf · İndirilen kare temas sayfasında görüldü; kaynak mekân kimliğiyle eşleştirildi. Seçim kaydı final-pixel-review.json.</x:v>
      </x:c>
      <x:c r="Q117" s="29" t="str">
        <x:v>Bu kare için uygun</x:v>
      </x:c>
      <x:c r="R11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7" s="29" t="str">
        <x:v>Lisans kanıtları/bk-57807a66af6e632a2abca0dd.source-evidence.json</x:v>
      </x:c>
      <x:c r="T117" s="29" t="str">
        <x:v>5accf3982d7cdd0570e3376d2c18a22b3ac3ff4504fdb052072e7d70357b65ba</x:v>
      </x:c>
      <x:c r="U117" s="29" t="str">
        <x:v>Lisans kanıtları/bk-57807a66af6e632a2abca0dd.license-record.json</x:v>
      </x:c>
      <x:c r="V117" s="29" t="str">
        <x:v>26ae0d3a4d8050661225ae9834175d8f9d95e44afdacf31e5f1d962169cb5825</x:v>
      </x:c>
      <x:c r="W117" s="29" t="str">
        <x:v>{"file":"bk-57807a66af6e632a2abca0dd.webp","width":1024,"author":"Randall Degges","height":683,"sha256":"57807a66af6e632a2abca0dd997c1644be510f00fb69d8484e60446e533b75d6","status":"reviewed-selected","license":"CC BY 2.0","provider":"Flickr","review_id":"F125","source_id":"7624910100","author_url":"https://www.flickr.com/photos/59834630@N07/","date_texts":["Uploaded on July 22, 2012 Taken on June 28, 2012","Taken on June 28, 2012","Uploaded on July 22, 2012 Taken on June 28, 2012","Taken on June 28, 2012"],"source_url":"https://www.flickr.com/photos/59834630@N07/7624910100/","description":"A building at the Park at Riverwalk.","license_url":"https://creativecommons.org/licenses/by/2.0/","review_note":"Park yolu ve tesis binası; ziyaretçi portresi yok.","reviewed_on":"2026-10-24","source_text":"Picture 016 | A building at the Park at Riverwalk. | Randall Degges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016 A building at the Park at Riverwalk. Done 363 views 1 fave 0 comments Uploaded on July 22, 2012 Taken on June 28, 2012 Randall Degges By: Randall Degges Picture 016 A building at the Park at Riverwalk. Done 363 views 1 fave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photography.","capture_date":"2012-06-28","download_url":"https://live.staticflickr.com/8281/7624910100_1683545515_b.jpg","original_url":"https://live.staticflickr.com/8281/7624910100_e063d38ce9_o.jpg","pixel_review":{"method":"İndirilen kare temas sayfasında görüldü; kaynak mekân kimliğiyle eşleştirildi. Seçim kaydı final-pixel-review.json.","status":"verified","caption":"The Park at River Walk · 2012 tarihli fotoğraf","reviewer":"Codex (AI)","review_id":"F125"},"source_title":"Picture 016","downloaded_at":"2026-10-23T19:50:09.313404+00:00","download_sha256":"3544cea66dd3bb42166660826977d94ee8168de7d9db98af8b8a7677d22a0c80","downloaded_file":"downloads/3544cea66dd3bb42166660826977d94ee8168de7d9db98af8b8a7677d22a0c80.jpg","public_metadata":{"photo-models":[{"data":{"id":"7624910100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8281/7624910100_1683545515_c.jpg","width":800,"height":533,"displayUrl":"//live.staticflickr.com/8281/7624910100_1683545515_c.jpg"},"exportMetaType":"pojo"},"h":{"data":{"url":"//live.staticflickr.com/8281/7624910100_ecd55df1bb_h.jpg","width":1600,"height":1067,"displayUrl":"//live.staticflickr.com/8281/7624910100_ecd55df1bb_h.jpg"},"exportMetaType":"pojo"},"k":{"data":{"url":"//live.staticflickr.com/8281/7624910100_a4043b7f96_k.jpg","width":2048,"height":1365,"displayUrl":"//live.staticflickr.com/8281/7624910100_a4043b7f96_k.jpg"},"exportMetaType":"pojo"},"l":{"data":{"url":"//live.staticflickr.com/8281/7624910100_1683545515_b.jpg","width":1024,"height":683,"displayUrl":"//live.staticflickr.com/8281/7624910100_1683545515_b.jpg"},"exportMetaType":"pojo"},"m":{"data":{"url":"//live.staticflickr.com/8281/7624910100_1683545515.jpg","width":500,"height":333,"displayUrl":"//live.staticflickr.com/8281/7624910100_1683545515.jpg"},"exportMetaType":"pojo"},"n":{"data":{"url":"//live.staticflickr.com/8281/7624910100_1683545515_n.jpg","width":320,"height":213,"displayUrl":"//live.staticflickr.com/8281/7624910100_1683545515_n.jpg"},"exportMetaType":"pojo"},"o":{"data":{"url":"//live.staticflickr.com/8281/7624910100_e063d38ce9_o.jpg","width":5616,"height":3744,"displayUrl":"//live.staticflickr.com/8281/7624910100_e063d38ce9_o.jpg"},"exportMetaType":"pojo"},"q":{"data":{"url":"//live.staticflickr.com/8281/7624910100_1683545515_q.jpg","width":150,"height":150,"displayUrl":"//live.staticflickr.com/8281/7624910100_1683545515_q.jpg"},"exportMetaType":"pojo"},"s":{"data":{"url":"//live.staticflickr.com/8281/7624910100_1683545515_m.jpg","width":240,"height":160,"displayUrl":"//live.staticflickr.com/8281/7624910100_1683545515_m.jpg"},"exportMetaType":"pojo"},"t":{"data":{"url":"//live.staticflickr.com/8281/7624910100_1683545515_t.jpg","width":100,"height":67,"displayUrl":"//live.staticflickr.com/8281/7624910100_1683545515_t.jpg"},"exportMetaType":"pojo"},"w":{"data":{"url":"//live.staticflickr.com/8281/7624910100_1683545515_w.jpg","width":400,"height":267,"displayUrl":"//live.staticflickr.com/8281/7624910100_1683545515_w.jpg"},"exportMetaType":"pojo"},"z":{"data":{"url":"//live.staticflickr.com/8281/7624910100_1683545515_z.jpg","width":640,"height":427,"displayUrl":"//live.staticflickr.com/8281/7624910100_1683545515_z.jpg"},"exportMetaType":"pojo"},"sq":{"data":{"url":"//live.staticflickr.com/8281/7624910100_1683545515_s.jpg","width":75,"height":75,"displayUrl":"//live.staticflickr.com/8281/7624910100_1683545515_s.jpg"},"exportMetaType":"pojo"}},"exportMetaType":"pojo"},"title":"Picture 016","oWidth":5616,"secret":"1683545515","license":4,"oHeight":3744,"rotation":0,"canAddMeta":false,"canComment":false,"engagement":{"data":{"id":"7624910100","canShare":true,"faveCount":1,"ownerNsid":"59834630@N07","reactions":{"data":{"like":{"data":{"id":"like","count":5,"canReact":true,"didViewerReact":true},"exportMetaType":"pojo"},"someOtherReaction":{"data":{"id":"someOtherReaction","count":3,"canReact":true,"didViewerReact":false},"exportMetaType":"pojo"}},"exportMetaType":"pojo"},"viewCount":363,"canDownload":true,"_flickrModelRegistry":"photo-engagement-models"},"exportMetaType":"model"},"description":"A building at the Park at Riverwalk.","safetyLevel":0,"upgradeSizes":{"data":[],"exportMetaType":"array"},"adEligibility":{"data":{"lane":1,"labels":{"data":[],"exportMetaType":"array"},"isAdEligible":true,"highScoreLabels":{"data":[],"exportMetaType":"array"}},"exportMetaType":"pojo"},"canPublicComment":true,"_flickrModelRegistry":"photo-models"},"exportMetaType":"model"}],"photo-geo-models":[{"data":{"id":"7624910100","_flickrModelRegistry":"photo-geo-models"},"exportMetaType":"model"}],"photo-location-models":[{"data":{"id":"7624910100","geo":{"data":"~2","exportMetaType":"model"},"text":"","levels":{"data":{},"exportMetaType":"pojo"},"staticMaps":{"data":{},"exportMetaType":"pojo"},"_flickrModelRegistry":"photo-location-models"},"exportMetaType":"model"}],"photo-head-meta-models":[{"data":{"id":"7624910100","title":"Picture 016","og:url":"https://www.flickr.com/photos/randalldegges/7624910100/","og:type":"article","keywords":"shrub, bushes, riverwalk, bakersfieldcalifornia","og:image":"https://live.staticflickr.com/8281/7624910100_1683545515_b.jpg","og:title":"Picture 016","twitter:card":"summary_large_image","twitter:image":"https://live.staticflickr.com/8281/7624910100_1683545515_b.jpg","og:description":"A building at the Park at Riverwalk.","og:image:width":1024,"og:image:height":683,"twitter:creator":"@rdegges","twitter:description":"A building at the Park at Riverwalk.","_flickrModelRegistry":"photo-head-meta-models","twitter:app:url:ipad":"flickr://flickr.com/photos/randalldegges/7624910100/","twitter:app:url:iphone":"flickr://flickr.com/photos/randalldegges/7624910100/","twitter:app:url:googleplay":"https://www.flickr.com/photos/randalldegges/7624910100/"},"exportMetaType":"model"}],"photo-license-history-models":[]},"acquisition_file":"fl-7624910100.webp","source_html_file":"/Users/atincakcayoz/corteqs/output/bakersfield-production-20261023/flickr-source-pages/7624910100.html","original_file_url":"https://live.staticflickr.com/8281/7624910100_e063d38ce9_o.jpg","proposed_identity":"The Park at River Walk","source_html_sha256":"d3e725febf1f56d640524a66a9c9bf9ef2050744c45befff7a65e44be614ad85","third_party_rights_review":{"basis":"Kaynakta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dönüştürüldü.","original_file_url":"https://live.staticflickr.com/8281/7624910100_e063d38ce9_o.jpg"},"metadata_reviewed_on":"2026-10-24","metadata_review_status":"verified"}}</x:v>
      </x:c>
    </x:row>
    <x:row r="118" ht="300" customHeight="1">
      <x:c r="A118" s="29" t="str">
        <x:v>bakersfield:evidence:venue-22083</x:v>
      </x:c>
      <x:c r="B118" s="29" t="str">
        <x:v>bakersfield</x:v>
      </x:c>
      <x:c r="C118" s="29" t="str">
        <x:v>bakersfield:photo:venue-22083</x:v>
      </x:c>
      <x:c r="D118" s="29" t="str">
        <x:v>https://www.flickr.com/photos/59834630@N07/7627463382/</x:v>
      </x:c>
      <x:c r="E118" s="29" t="str">
        <x:v>The Park at River Walk · 2012 tarihli fotoğraf</x:v>
      </x:c>
      <x:c r="F118" s="29" t="str">
        <x:v>Randall Degges</x:v>
      </x:c>
      <x:c r="G118" s="29" t="str">
        <x:v>CC BY 2.0</x:v>
      </x:c>
      <x:c r="H118" s="29" t="str">
        <x:v>https://creativecommons.org/licenses/by/2.0/</x:v>
      </x:c>
      <x:c r="I118" s="29" t="str">
        <x:v>CC BY 2.0</x:v>
      </x:c>
      <x:c r="J118" s="29" t="str">
        <x:v>The Park at River Walk · 2012 tarihli fotoğraf · Randall Degges · CC BY 2.0 · https://www.flickr.com/photos/59834630@N07/7627463382/</x:v>
      </x:c>
      <x:c r="K11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8" s="31" t="d">
        <x:v>2026-10-24T00:00:00.000Z</x:v>
      </x:c>
      <x:c r="M118" s="29" t="str">
        <x:v>Doğrulandı</x:v>
      </x:c>
      <x:c r="N118" s="29" t="str">
        <x:v>Doğrulandı</x:v>
      </x:c>
      <x:c r="O118" s="29" t="str">
        <x:v>Fotoğraflar/bk-9789f57962154c7a0c23ba5e.webp</x:v>
      </x:c>
      <x:c r="P118" s="29" t="str">
        <x:v>The Park at River Walk · 2012 tarihli fotoğraf · İndirilen kare temas sayfasında görüldü; kaynak mekân kimliğiyle eşleştirildi. Seçim kaydı final-pixel-review.json.</x:v>
      </x:c>
      <x:c r="Q118" s="29" t="str">
        <x:v>Bu kare için uygun</x:v>
      </x:c>
      <x:c r="R11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8" s="29" t="str">
        <x:v>Lisans kanıtları/bk-9789f57962154c7a0c23ba5e.source-evidence.json</x:v>
      </x:c>
      <x:c r="T118" s="29" t="str">
        <x:v>e3fc239902a5341458e4543f400f1ee31fc7c241f5fbbf4083546d9236690960</x:v>
      </x:c>
      <x:c r="U118" s="29" t="str">
        <x:v>Lisans kanıtları/bk-9789f57962154c7a0c23ba5e.license-record.json</x:v>
      </x:c>
      <x:c r="V118" s="29" t="str">
        <x:v>5ae21dab0fe29dbb5db37c90808042a15af596eb252549d12e6886bcc5bc5051</x:v>
      </x:c>
      <x:c r="W118" s="29" t="str">
        <x:v>{"file":"bk-9789f57962154c7a0c23ba5e.webp","width":1024,"author":"Randall Degges","height":683,"sha256":"9789f57962154c7a0c23ba5ed4025fd9a930f331cdd1a504eedc3ef44880d161","status":"reviewed-selected","license":"CC BY 2.0","provider":"Flickr","review_id":"F174","source_id":"7627463382","author_url":"https://www.flickr.com/photos/59834630@N07/","date_texts":["Uploaded on July 23, 2012 Taken on June 28, 2012","Taken on June 28, 2012","Uploaded on July 23, 2012 Taken on June 28, 2012","Taken on June 28, 2012"],"source_url":"https://www.flickr.com/photos/59834630@N07/7627463382/","description":"a calm creek reflects a tree at the Park at Riverwalk, Bakersfield.","license_url":"https://creativecommons.org/licenses/by/2.0/","review_note":"Dere ve kayalar; aynı serideki diğer tekrarlar seçilmeyecek.","reviewed_on":"2026-10-24","source_text":"Picture 086 | a calm creek reflects a tree at the Park at Ri…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086 a calm creek reflects a tree at the Park at Riverwalk, Bakersfield. Done 85 views 0 faves 0 comments Uploaded on July 23, 2012 Taken on June 28, 2012 Randall Degges By: Randall Degges Picture 086 a calm creek reflects a tree at the Park at Riverwalk, Bakersfield. Done 85 views 0 faves 0 comments Uploaded on July 23,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photography.","capture_date":"2012-06-28","download_url":"https://live.staticflickr.com/7119/7627463382_0accfb1257_b.jpg","original_url":"https://live.staticflickr.com/7119/7627463382_55debd9f15_o.jpg","pixel_review":{"method":"İndirilen kare temas sayfasında görüldü; kaynak mekân kimliğiyle eşleştirildi. Seçim kaydı final-pixel-review.json.","status":"verified","caption":"The Park at River Walk · 2012 tarihli fotoğraf","reviewer":"Codex (AI)","review_id":"F174"},"source_title":"Picture 086","downloaded_at":"2026-10-23T19:50:13.907875+00:00","download_sha256":"44934cbca5132fa0fc657c11462f67a7c4571b7ed893edf26a76474a2cad4117","downloaded_file":"downloads/44934cbca5132fa0fc657c11462f67a7c4571b7ed893edf26a76474a2cad4117.jpg","public_metadata":{"photo-models":[{"data":{"id":"7627463382","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7119/7627463382_0accfb1257_c.jpg","width":800,"height":533,"displayUrl":"//live.staticflickr.com/7119/7627463382_0accfb1257_c.jpg"},"exportMetaType":"pojo"},"h":{"data":{"url":"//live.staticflickr.com/7119/7627463382_e08ef24bb3_h.jpg","width":1600,"height":1067,"displayUrl":"//live.staticflickr.com/7119/7627463382_e08ef24bb3_h.jpg"},"exportMetaType":"pojo"},"k":{"data":{"url":"//live.staticflickr.com/7119/7627463382_2e485f9c51_k.jpg","width":2048,"height":1365,"displayUrl":"//live.staticflickr.com/7119/7627463382_2e485f9c51_k.jpg"},"exportMetaType":"pojo"},"l":{"data":{"url":"//live.staticflickr.com/7119/7627463382_0accfb1257_b.jpg","width":1024,"height":683,"displayUrl":"//live.staticflickr.com/7119/7627463382_0accfb1257_b.jpg"},"exportMetaType":"pojo"},"m":{"data":{"url":"//live.staticflickr.com/7119/7627463382_0accfb1257.jpg","width":500,"height":333,"displayUrl":"//live.staticflickr.com/7119/7627463382_0accfb1257.jpg"},"exportMetaType":"pojo"},"n":{"data":{"url":"//live.staticflickr.com/7119/7627463382_0accfb1257_n.jpg","width":320,"height":213,"displayUrl":"//live.staticflickr.com/7119/7627463382_0accfb1257_n.jpg"},"exportMetaType":"pojo"},"o":{"data":{"url":"//live.staticflickr.com/7119/7627463382_55debd9f15_o.jpg","width":5616,"height":3744,"displayUrl":"//live.staticflickr.com/7119/7627463382_55debd9f15_o.jpg"},"exportMetaType":"pojo"},"q":{"data":{"url":"//live.staticflickr.com/7119/7627463382_0accfb1257_q.jpg","width":150,"height":150,"displayUrl":"//live.staticflickr.com/7119/7627463382_0accfb1257_q.jpg"},"exportMetaType":"pojo"},"s":{"data":{"url":"//live.staticflickr.com/7119/7627463382_0accfb1257_m.jpg","width":240,"height":160,"displayUrl":"//live.staticflickr.com/7119/7627463382_0accfb1257_m.jpg"},"exportMetaType":"pojo"},"t":{"data":{"url":"//live.staticflickr.com/7119/7627463382_0accfb1257_t.jpg","width":100,"height":67,"displayUrl":"//live.staticflickr.com/7119/7627463382_0accfb1257_t.jpg"},"exportMetaType":"pojo"},"w":{"data":{"url":"//live.staticflickr.com/7119/7627463382_0accfb1257_w.jpg","width":400,"height":267,"displayUrl":"//live.staticflickr.com/7119/7627463382_0accfb1257_w.jpg"},"exportMetaType":"pojo"},"z":{"data":{"url":"//live.staticflickr.com/7119/7627463382_0accfb1257_z.jpg","width":640,"height":427,"displayUrl":"//live.staticflickr.com/7119/7627463382_0accfb1257_z.jpg"},"exportMetaType":"pojo"},"sq":{"data":{"url":"//live.staticflickr.com/7119/7627463382_0accfb1257_s.jpg","width":75,"height":75,"displayUrl":"//live.staticflickr.com/7119/7627463382_0accfb1257_s.jpg"},"exportMetaType":"pojo"}},"exportMetaType":"pojo"},"title":"Picture 086","oWidth":5616,"secret":"0accfb1257","license":4,"oHeight":3744,"rotation":0,"canAddMeta":false,"canComment":false,"engagement":{"data":{"id":"7627463382","canShare":true,"ownerNsid":"59834630@N07","reactions":{"data":{"like":{"data":{"id":"like","count":5,"canReact":true,"didViewerReact":true},"exportMetaType":"pojo"},"someOtherReaction":{"data":{"id":"someOtherReaction","count":3,"canReact":true,"didViewerReact":false},"exportMetaType":"pojo"}},"exportMetaType":"pojo"},"viewCount":85,"canDownload":true,"_flickrModelRegistry":"photo-engagement-models"},"exportMetaType":"model"},"description":"a calm creek reflects a tree at the Park at Riverwalk, Bakersfield.","safetyLevel":0,"upgradeSizes":{"data":[],"exportMetaType":"array"},"adEligibility":{"data":{"lane":1,"labels":{"data":[],"exportMetaType":"array"},"isAdEligible":true,"highScoreLabels":{"data":[],"exportMetaType":"array"}},"exportMetaType":"pojo"},"canPublicComment":true,"_flickrModelRegistry":"photo-models"},"exportMetaType":"model"}],"photo-geo-models":[{"data":{"id":"7627463382","_flickrModelRegistry":"photo-geo-models"},"exportMetaType":"model"}],"photo-location-models":[{"data":{"id":"7627463382","geo":{"data":"~2","exportMetaType":"model"},"text":"","levels":{"data":{},"exportMetaType":"pojo"},"staticMaps":{"data":{},"exportMetaType":"pojo"},"_flickrModelRegistry":"photo-location-models"},"exportMetaType":"model"}],"photo-head-meta-models":[{"data":{"id":"7627463382","title":"Picture 086","og:url":"https://www.flickr.com/photos/randalldegges/7627463382/","og:type":"article","og:image":"https://live.staticflickr.com/7119/7627463382_0accfb1257_b.jpg","og:title":"Picture 086","twitter:card":"summary_large_image","twitter:image":"https://live.staticflickr.com/7119/7627463382_0accfb1257_b.jpg","og:description":"a calm creek reflects a tree at the Park at Riverwalk, Bakersfield.","og:image:width":1024,"og:image:height":683,"twitter:creator":"@rdegges","twitter:description":"a calm creek reflects a tree at the Park at Riverwalk, Bakersfield.","_flickrModelRegistry":"photo-head-meta-models","twitter:app:url:ipad":"flickr://flickr.com/photos/randalldegges/7627463382/","twitter:app:url:iphone":"flickr://flickr.com/photos/randalldegges/7627463382/","twitter:app:url:googleplay":"https://www.flickr.com/photos/randalldegges/7627463382/"},"exportMetaType":"model"}],"photo-license-history-models":[]},"acquisition_file":"fl-7627463382.webp","source_html_file":"/Users/atincakcayoz/corteqs/output/bakersfield-production-20261023/flickr-source-pages/7627463382.html","original_file_url":"https://live.staticflickr.com/7119/7627463382_55debd9f15_o.jpg","proposed_identity":"The Park at River Walk","source_html_sha256":"f121cb8fb1e9ff8ad1a9d38657896fadfa0efd8a74b26a57f1f04c9a3b500c86","third_party_rights_review":{"basis":"Kaynakta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dönüştürüldü.","original_file_url":"https://live.staticflickr.com/7119/7627463382_55debd9f15_o.jpg"},"metadata_reviewed_on":"2026-10-24","metadata_review_status":"verified"}}</x:v>
      </x:c>
    </x:row>
    <x:row r="119" ht="300" customHeight="1">
      <x:c r="A119" s="29" t="str">
        <x:v>bakersfield:evidence:venue-22084</x:v>
      </x:c>
      <x:c r="B119" s="29" t="str">
        <x:v>bakersfield</x:v>
      </x:c>
      <x:c r="C119" s="29" t="str">
        <x:v>bakersfield:photo:venue-22084</x:v>
      </x:c>
      <x:c r="D119" s="29" t="str">
        <x:v>https://www.flickr.com/photos/59834630@N07/7624992020/</x:v>
      </x:c>
      <x:c r="E119" s="29" t="str">
        <x:v>The Park at River Walk · 2012 tarihli fotoğraf</x:v>
      </x:c>
      <x:c r="F119" s="29" t="str">
        <x:v>Randall Degges</x:v>
      </x:c>
      <x:c r="G119" s="29" t="str">
        <x:v>CC BY 2.0</x:v>
      </x:c>
      <x:c r="H119" s="29" t="str">
        <x:v>https://creativecommons.org/licenses/by/2.0/</x:v>
      </x:c>
      <x:c r="I119" s="29" t="str">
        <x:v>CC BY 2.0</x:v>
      </x:c>
      <x:c r="J119" s="29" t="str">
        <x:v>The Park at River Walk · 2012 tarihli fotoğraf · Randall Degges · CC BY 2.0 · https://www.flickr.com/photos/59834630@N07/7624992020/</x:v>
      </x:c>
      <x:c r="K11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19" s="31" t="d">
        <x:v>2026-10-24T00:00:00.000Z</x:v>
      </x:c>
      <x:c r="M119" s="29" t="str">
        <x:v>Doğrulandı</x:v>
      </x:c>
      <x:c r="N119" s="29" t="str">
        <x:v>Doğrulandı</x:v>
      </x:c>
      <x:c r="O119" s="29" t="str">
        <x:v>Fotoğraflar/bk-ffeb04a895e3c53042a878ec.webp</x:v>
      </x:c>
      <x:c r="P119" s="29" t="str">
        <x:v>The Park at River Walk · 2012 tarihli fotoğraf · İndirilen kare temas sayfasında görüldü; kaynak mekân kimliğiyle eşleştirildi. Seçim kaydı final-pixel-review.json.</x:v>
      </x:c>
      <x:c r="Q119" s="29" t="str">
        <x:v>Bu kare için uygun</x:v>
      </x:c>
      <x:c r="R11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19" s="29" t="str">
        <x:v>Lisans kanıtları/bk-ffeb04a895e3c53042a878ec.source-evidence.json</x:v>
      </x:c>
      <x:c r="T119" s="29" t="str">
        <x:v>03e0f59824131b5459153c45128ab912f5bb547abfdd73d7f7e70523c911c890</x:v>
      </x:c>
      <x:c r="U119" s="29" t="str">
        <x:v>Lisans kanıtları/bk-ffeb04a895e3c53042a878ec.license-record.json</x:v>
      </x:c>
      <x:c r="V119" s="29" t="str">
        <x:v>2ca25ee2ac38aef0b4992dc8ace5e5c35d017eb7355042ac7930a681458aef23</x:v>
      </x:c>
      <x:c r="W119" s="29" t="str">
        <x:v>{"file":"bk-ffeb04a895e3c53042a878ec.webp","width":1024,"author":"Randall Degges","height":683,"sha256":"ffeb04a895e3c53042a878ec529e89c9a3ba744686cb6ca2201b147e1c42801f","status":"reviewed-selected","license":"CC BY 2.0","provider":"Flickr","review_id":"E135","source_id":"7624992020","author_url":"https://www.flickr.com/photos/59834630@N07/","date_texts":["Uploaded on July 22, 2012 Taken on June 28, 2012","Taken on June 28, 2012","Uploaded on July 22, 2012 Taken on June 28, 2012","Taken on June 28, 2012"],"source_url":"https://www.flickr.com/photos/59834630@N07/7624992020/","description":"A wideshot of the lake at the Park at Riverwalk, Bakersfield.","license_url":"https://creativecommons.org/licenses/by/2.0/","review_note":"Lake and lawn with distant surrounding buildings.","reviewed_on":"2026-10-24","source_text":"Picture 013 | A wideshot of the lake at the Park at Riverwal…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013 A wideshot of the lake at the Park at Riverwalk, Bakersfield. Done 103 views 0 faves 0 comments Uploaded on July 22, 2012 Taken on June 28, 2012 Randall Degges By: Randall Degges Picture 013 A wideshot of the lake at the Park at Riverwalk, Bakersfield. Done 103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photography.","capture_date":"2012-06-28","download_url":"https://live.staticflickr.com/8026/7624992020_c06b690aa5_b.jpg","original_url":"https://live.staticflickr.com/8026/7624992020_ba7313e2de_o.jpg","pixel_review":{"method":"İndirilen kare temas sayfasında görüldü; kaynak mekân kimliğiyle eşleştirildi. Seçim kaydı final-pixel-review.json.","status":"verified","caption":"The Park at River Walk · 2012 tarihli fotoğraf","reviewer":"Codex (AI)","review_id":"E135"},"source_title":"Picture 013","downloaded_at":"2026-10-23T19:50:37.969952+00:00","download_sha256":"a412cd0b03694066adba292de19a2681e55ff3a1cb70a88cdfbf5549a4ee0ff5","downloaded_file":"downloads/a412cd0b03694066adba292de19a2681e55ff3a1cb70a88cdfbf5549a4ee0ff5.jpg","public_metadata":{"photo-models":[{"data":{"id":"7624992020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8026/7624992020_c06b690aa5_c.jpg","width":800,"height":533,"displayUrl":"//live.staticflickr.com/8026/7624992020_c06b690aa5_c.jpg"},"exportMetaType":"pojo"},"h":{"data":{"url":"//live.staticflickr.com/8026/7624992020_a6202e1d3b_h.jpg","width":1600,"height":1067,"displayUrl":"//live.staticflickr.com/8026/7624992020_a6202e1d3b_h.jpg"},"exportMetaType":"pojo"},"k":{"data":{"url":"//live.staticflickr.com/8026/7624992020_ce2a9cf38a_k.jpg","width":2048,"height":1365,"displayUrl":"//live.staticflickr.com/8026/7624992020_ce2a9cf38a_k.jpg"},"exportMetaType":"pojo"},"l":{"data":{"url":"//live.staticflickr.com/8026/7624992020_c06b690aa5_b.jpg","width":1024,"height":683,"displayUrl":"//live.staticflickr.com/8026/7624992020_c06b690aa5_b.jpg"},"exportMetaType":"pojo"},"m":{"data":{"url":"//live.staticflickr.com/8026/7624992020_c06b690aa5.jpg","width":500,"height":333,"displayUrl":"//live.staticflickr.com/8026/7624992020_c06b690aa5.jpg"},"exportMetaType":"pojo"},"n":{"data":{"url":"//live.staticflickr.com/8026/7624992020_c06b690aa5_n.jpg","width":320,"height":213,"displayUrl":"//live.staticflickr.com/8026/7624992020_c06b690aa5_n.jpg"},"exportMetaType":"pojo"},"o":{"data":{"url":"//live.staticflickr.com/8026/7624992020_ba7313e2de_o.jpg","width":5616,"height":3744,"displayUrl":"//live.staticflickr.com/8026/7624992020_ba7313e2de_o.jpg"},"exportMetaType":"pojo"},"q":{"data":{"url":"//live.staticflickr.com/8026/7624992020_c06b690aa5_q.jpg","width":150,"height":150,"displayUrl":"//live.staticflickr.com/8026/7624992020_c06b690aa5_q.jpg"},"exportMetaType":"pojo"},"s":{"data":{"url":"//live.staticflickr.com/8026/7624992020_c06b690aa5_m.jpg","width":240,"height":160,"displayUrl":"//live.staticflickr.com/8026/7624992020_c06b690aa5_m.jpg"},"exportMetaType":"pojo"},"t":{"data":{"url":"//live.staticflickr.com/8026/7624992020_c06b690aa5_t.jpg","width":100,"height":67,"displayUrl":"//live.staticflickr.com/8026/7624992020_c06b690aa5_t.jpg"},"exportMetaType":"pojo"},"w":{"data":{"url":"//live.staticflickr.com/8026/7624992020_c06b690aa5_w.jpg","width":400,"height":267,"displayUrl":"//live.staticflickr.com/8026/7624992020_c06b690aa5_w.jpg"},"exportMetaType":"pojo"},"z":{"data":{"url":"//live.staticflickr.com/8026/7624992020_c06b690aa5_z.jpg","width":640,"height":427,"displayUrl":"//live.staticflickr.com/8026/7624992020_c06b690aa5_z.jpg"},"exportMetaType":"pojo"},"sq":{"data":{"url":"//live.staticflickr.com/8026/7624992020_c06b690aa5_s.jpg","width":75,"height":75,"displayUrl":"//live.staticflickr.com/8026/7624992020_c06b690aa5_s.jpg"},"exportMetaType":"pojo"}},"exportMetaType":"pojo"},"title":"Picture 013","oWidth":5616,"secret":"c06b690aa5","license":4,"oHeight":3744,"rotation":0,"canAddMeta":false,"canComment":false,"engagement":{"data":{"id":"7624992020","canShare":true,"ownerNsid":"59834630@N07","reactions":{"data":{"like":{"data":{"id":"like","count":5,"canReact":true,"didViewerReact":true},"exportMetaType":"pojo"},"someOtherReaction":{"data":{"id":"someOtherReaction","count":3,"canReact":true,"didViewerReact":false},"exportMetaType":"pojo"}},"exportMetaType":"pojo"},"viewCount":103,"canDownload":true,"_flickrModelRegistry":"photo-engagement-models"},"exportMetaType":"model"},"description":"A wideshot of the lake at the Park at Riverwalk, Bakersfield.","safetyLevel":0,"upgradeSizes":{"data":[],"exportMetaType":"array"},"adEligibility":{"data":{"lane":1,"labels":{"data":[],"exportMetaType":"array"},"isAdEligible":true,"highScoreLabels":{"data":[],"exportMetaType":"array"}},"exportMetaType":"pojo"},"canPublicComment":true,"_flickrModelRegistry":"photo-models"},"exportMetaType":"model"}],"photo-geo-models":[{"data":{"id":"7624992020","_flickrModelRegistry":"photo-geo-models"},"exportMetaType":"model"}],"photo-location-models":[{"data":{"id":"7624992020","geo":{"data":"~2","exportMetaType":"model"},"text":"","levels":{"data":{},"exportMetaType":"pojo"},"staticMaps":{"data":{},"exportMetaType":"pojo"},"_flickrModelRegistry":"photo-location-models"},"exportMetaType":"model"}],"photo-head-meta-models":[{"data":{"id":"7624992020","title":"Picture 013","og:url":"https://www.flickr.com/photos/randalldegges/7624992020/","og:type":"article","keywords":"park, lake","og:image":"https://live.staticflickr.com/8026/7624992020_c06b690aa5_b.jpg","og:title":"Picture 013","twitter:card":"summary_large_image","twitter:image":"https://live.staticflickr.com/8026/7624992020_c06b690aa5_b.jpg","og:description":"A wideshot of the lake at the Park at Riverwalk, Bakersfield.","og:image:width":1024,"og:image:height":683,"twitter:creator":"@rdegges","twitter:description":"A wideshot of the lake at the Park at Riverwalk, Bakersfield.","_flickrModelRegistry":"photo-head-meta-models","twitter:app:url:ipad":"flickr://flickr.com/photos/randalldegges/7624992020/","twitter:app:url:iphone":"flickr://flickr.com/photos/randalldegges/7624992020/","twitter:app:url:googleplay":"https://www.flickr.com/photos/randalldegges/7624992020/"},"exportMetaType":"model"}],"photo-license-history-models":[]},"acquisition_file":"fl-7624992020.webp","source_html_file":"/Users/atincakcayoz/corteqs/output/bakersfield-production-20261023/flickr-source-pages/7624992020.html","original_file_url":"https://live.staticflickr.com/8026/7624992020_ba7313e2de_o.jpg","proposed_identity":"The Park at River Walk","source_html_sha256":"7e415f40ed553b44ffc1f0698bc360579b491fcd2227337d570f4686d96b69f2","third_party_rights_review":{"basis":"Kaynakta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dönüştürüldü.","original_file_url":"https://live.staticflickr.com/8026/7624992020_ba7313e2de_o.jpg"},"metadata_reviewed_on":"2026-10-24","metadata_review_status":"verified"}}</x:v>
      </x:c>
    </x:row>
    <x:row r="120" ht="300" customHeight="1">
      <x:c r="A120" s="29" t="str">
        <x:v>bakersfield:evidence:venue-22085</x:v>
      </x:c>
      <x:c r="B120" s="29" t="str">
        <x:v>bakersfield</x:v>
      </x:c>
      <x:c r="C120" s="29" t="str">
        <x:v>bakersfield:photo:venue-22085</x:v>
      </x:c>
      <x:c r="D120" s="29" t="str">
        <x:v>https://www.flickr.com/photos/59834630@N07/7625238070/</x:v>
      </x:c>
      <x:c r="E120" s="29" t="str">
        <x:v>The Park at River Walk · 2012 tarihli fotoğraf</x:v>
      </x:c>
      <x:c r="F120" s="29" t="str">
        <x:v>Randall Degges</x:v>
      </x:c>
      <x:c r="G120" s="29" t="str">
        <x:v>CC BY 2.0</x:v>
      </x:c>
      <x:c r="H120" s="29" t="str">
        <x:v>https://creativecommons.org/licenses/by/2.0/</x:v>
      </x:c>
      <x:c r="I120" s="29" t="str">
        <x:v>CC BY 2.0</x:v>
      </x:c>
      <x:c r="J120" s="29" t="str">
        <x:v>The Park at River Walk · 2012 tarihli fotoğraf · Randall Degges · CC BY 2.0 · https://www.flickr.com/photos/59834630@N07/7625238070/</x:v>
      </x:c>
      <x:c r="K12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0" s="31" t="d">
        <x:v>2026-10-24T00:00:00.000Z</x:v>
      </x:c>
      <x:c r="M120" s="29" t="str">
        <x:v>Doğrulandı</x:v>
      </x:c>
      <x:c r="N120" s="29" t="str">
        <x:v>Doğrulandı</x:v>
      </x:c>
      <x:c r="O120" s="29" t="str">
        <x:v>Fotoğraflar/bk-c104e10084088e765740d041.webp</x:v>
      </x:c>
      <x:c r="P120" s="29" t="str">
        <x:v>The Park at River Walk · 2012 tarihli fotoğraf · İndirilen kare temas sayfasında görüldü; kaynak mekân kimliğiyle eşleştirildi. Seçim kaydı final-pixel-review.json.</x:v>
      </x:c>
      <x:c r="Q120" s="29" t="str">
        <x:v>Bu kare için uygun</x:v>
      </x:c>
      <x:c r="R12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0" s="29" t="str">
        <x:v>Lisans kanıtları/bk-c104e10084088e765740d041.source-evidence.json</x:v>
      </x:c>
      <x:c r="T120" s="29" t="str">
        <x:v>d7428c5fc6facd123494ff50e4257bc028892f3175d9667702988dd630cc35b3</x:v>
      </x:c>
      <x:c r="U120" s="29" t="str">
        <x:v>Lisans kanıtları/bk-c104e10084088e765740d041.license-record.json</x:v>
      </x:c>
      <x:c r="V120" s="29" t="str">
        <x:v>405879a6b46a9077bd6ade46a53c4162b1d71874ea5e780006c9982b47130080</x:v>
      </x:c>
      <x:c r="W120" s="29" t="str">
        <x:v>{"file":"bk-c104e10084088e765740d041.webp","width":1024,"author":"Randall Degges","height":683,"sha256":"c104e10084088e765740d041c80c00048a63c79b3c6a9bfc8ae3948831166ea4","status":"reviewed-selected","license":"CC BY 2.0","provider":"Flickr","review_id":"E220","source_id":"7625238070","author_url":"https://www.flickr.com/photos/59834630@N07/","date_texts":["Uploaded on July 22, 2012 Taken on June 28, 2012","Taken on June 28, 2012","Uploaded on July 22, 2012 Taken on June 28, 2012","Taken on June 28, 2012"],"source_url":"https://www.flickr.com/photos/59834630@N07/7625238070/","description":"Young trees line a cement pathway throughout the park at Riverwalk, Bakersfield CA.","license_url":"https://creativecommons.org/licenses/by/2.0/","review_note":"Tree-lined lawn and path.","reviewed_on":"2026-10-24","source_text":"Picture 037 | Young trees line a cement pathway throughout 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037 Young trees line a cement pathway throughout the park at Riverwalk, Bakersfield CA. Done 287 views 0 faves 0 comments Uploaded on July 22, 2012 Taken on June 28, 2012 Randall Degges By: Randall Degges Picture 037 Young trees line a cement pathway throughout the park at Riverwalk, Bakersfield CA. Done 287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photography.","capture_date":"2012-06-28","download_url":"https://live.staticflickr.com/8144/7625238070_20c7c83fd7_b.jpg","original_url":"https://live.staticflickr.com/8144/7625238070_5943fa8598_o.jpg","pixel_review":{"method":"İndirilen kare temas sayfasında görüldü; kaynak mekân kimliğiyle eşleştirildi. Seçim kaydı final-pixel-review.json.","status":"verified","caption":"The Park at River Walk · 2012 tarihli fotoğraf","reviewer":"Codex (AI)","review_id":"E220"},"source_title":"Picture 037","downloaded_at":"2026-10-23T19:50:44.268479+00:00","download_sha256":"b5068adbcebfdf425eddafeab451b3d8277065166577dbe86e8d78e4d9152b92","downloaded_file":"downloads/b5068adbcebfdf425eddafeab451b3d8277065166577dbe86e8d78e4d9152b92.jpg","public_metadata":{"photo-models":[{"data":{"id":"7625238070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8144/7625238070_20c7c83fd7_c.jpg","width":800,"height":533,"displayUrl":"//live.staticflickr.com/8144/7625238070_20c7c83fd7_c.jpg"},"exportMetaType":"pojo"},"h":{"data":{"url":"//live.staticflickr.com/8144/7625238070_d38fb095ca_h.jpg","width":1600,"height":1067,"displayUrl":"//live.staticflickr.com/8144/7625238070_d38fb095ca_h.jpg"},"exportMetaType":"pojo"},"k":{"data":{"url":"//live.staticflickr.com/8144/7625238070_6aa7ba6142_k.jpg","width":2048,"height":1365,"displayUrl":"//live.staticflickr.com/8144/7625238070_6aa7ba6142_k.jpg"},"exportMetaType":"pojo"},"l":{"data":{"url":"//live.staticflickr.com/8144/7625238070_20c7c83fd7_b.jpg","width":1024,"height":683,"displayUrl":"//live.staticflickr.com/8144/7625238070_20c7c83fd7_b.jpg"},"exportMetaType":"pojo"},"m":{"data":{"url":"//live.staticflickr.com/8144/7625238070_20c7c83fd7.jpg","width":500,"height":333,"displayUrl":"//live.staticflickr.com/8144/7625238070_20c7c83fd7.jpg"},"exportMetaType":"pojo"},"n":{"data":{"url":"//live.staticflickr.com/8144/7625238070_20c7c83fd7_n.jpg","width":320,"height":213,"displayUrl":"//live.staticflickr.com/8144/7625238070_20c7c83fd7_n.jpg"},"exportMetaType":"pojo"},"o":{"data":{"url":"//live.staticflickr.com/8144/7625238070_5943fa8598_o.jpg","width":5616,"height":3744,"displayUrl":"//live.staticflickr.com/8144/7625238070_5943fa8598_o.jpg"},"exportMetaType":"pojo"},"q":{"data":{"url":"//live.staticflickr.com/8144/7625238070_20c7c83fd7_q.jpg","width":150,"height":150,"displayUrl":"//live.staticflickr.com/8144/7625238070_20c7c83fd7_q.jpg"},"exportMetaType":"pojo"},"s":{"data":{"url":"//live.staticflickr.com/8144/7625238070_20c7c83fd7_m.jpg","width":240,"height":160,"displayUrl":"//live.staticflickr.com/8144/7625238070_20c7c83fd7_m.jpg"},"exportMetaType":"pojo"},"t":{"data":{"url":"//live.staticflickr.com/8144/7625238070_20c7c83fd7_t.jpg","width":100,"height":67,"displayUrl":"//live.staticflickr.com/8144/7625238070_20c7c83fd7_t.jpg"},"exportMetaType":"pojo"},"w":{"data":{"url":"//live.staticflickr.com/8144/7625238070_20c7c83fd7_w.jpg","width":400,"height":267,"displayUrl":"//live.staticflickr.com/8144/7625238070_20c7c83fd7_w.jpg"},"exportMetaType":"pojo"},"z":{"data":{"url":"//live.staticflickr.com/8144/7625238070_20c7c83fd7_z.jpg","width":640,"height":427,"displayUrl":"//live.staticflickr.com/8144/7625238070_20c7c83fd7_z.jpg"},"exportMetaType":"pojo"},"sq":{"data":{"url":"//live.staticflickr.com/8144/7625238070_20c7c83fd7_s.jpg","width":75,"height":75,"displayUrl":"//live.staticflickr.com/8144/7625238070_20c7c83fd7_s.jpg"},"exportMetaType":"pojo"}},"exportMetaType":"pojo"},"title":"Picture 037","oWidth":5616,"secret":"20c7c83fd7","license":4,"oHeight":3744,"rotation":0,"canAddMeta":false,"canComment":false,"engagement":{"data":{"id":"7625238070","canShare":true,"ownerNsid":"59834630@N07","reactions":{"data":{"like":{"data":{"id":"like","count":5,"canReact":true,"didViewerReact":true},"exportMetaType":"pojo"},"someOtherReaction":{"data":{"id":"someOtherReaction","count":3,"canReact":true,"didViewerReact":false},"exportMetaType":"pojo"}},"exportMetaType":"pojo"},"viewCount":287,"canDownload":true,"_flickrModelRegistry":"photo-engagement-models"},"exportMetaType":"model"},"description":"Young trees line a cement pathway throughout the park at Riverwalk, Bakersfield CA.","safetyLevel":0,"upgradeSizes":{"data":[],"exportMetaType":"array"},"adEligibility":{"data":{"lane":1,"labels":{"data":[],"exportMetaType":"array"},"isAdEligible":true,"highScoreLabels":{"data":[],"exportMetaType":"array"}},"exportMetaType":"pojo"},"canPublicComment":true,"_flickrModelRegistry":"photo-models"},"exportMetaType":"model"}],"photo-geo-models":[{"data":{"id":"7625238070","_flickrModelRegistry":"photo-geo-models"},"exportMetaType":"model"}],"photo-location-models":[{"data":{"id":"7625238070","geo":{"data":"~2","exportMetaType":"model"},"text":"","levels":{"data":{},"exportMetaType":"pojo"},"staticMaps":{"data":{},"exportMetaType":"pojo"},"_flickrModelRegistry":"photo-location-models"},"exportMetaType":"model"}],"photo-head-meta-models":[{"data":{"id":"7625238070","title":"Picture 037","og:url":"https://www.flickr.com/photos/randalldegges/7625238070/","og:type":"article","keywords":"trees, shadows, pathway","og:image":"https://live.staticflickr.com/8144/7625238070_20c7c83fd7_b.jpg","og:title":"Picture 037","twitter:card":"summary_large_image","twitter:image":"https://live.staticflickr.com/8144/7625238070_20c7c83fd7_b.jpg","og:description":"Young trees line a cement pathway throughout the park at Riverwalk, Bakersfield CA.","og:image:width":1024,"og:image:height":683,"twitter:creator":"@rdegges","twitter:description":"Young trees line a cement pathway throughout the park at Riverwalk, Bakersfield CA.","_flickrModelRegistry":"photo-head-meta-models","twitter:app:url:ipad":"flickr://flickr.com/photos/randalldegges/7625238070/","twitter:app:url:iphone":"flickr://flickr.com/photos/randalldegges/7625238070/","twitter:app:url:googleplay":"https://www.flickr.com/photos/randalldegges/7625238070/"},"exportMetaType":"model"}],"photo-license-history-models":[]},"acquisition_file":"fl-7625238070.webp","source_html_file":"/Users/atincakcayoz/corteqs/output/bakersfield-production-20261023/flickr-source-pages/7625238070.html","original_file_url":"https://live.staticflickr.com/8144/7625238070_5943fa8598_o.jpg","proposed_identity":"The Park at River Walk","source_html_sha256":"614b12c8bc5569802e4a2f928a28cb72ab4bc5d1f9326502af5d296f39b78a70","third_party_rights_review":{"basis":"Kaynakta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dönüştürüldü.","original_file_url":"https://live.staticflickr.com/8144/7625238070_5943fa8598_o.jpg"},"metadata_reviewed_on":"2026-10-24","metadata_review_status":"verified"}}</x:v>
      </x:c>
    </x:row>
    <x:row r="121" ht="300" customHeight="1">
      <x:c r="A121" s="29" t="str">
        <x:v>bakersfield:evidence:venue-22086</x:v>
      </x:c>
      <x:c r="B121" s="29" t="str">
        <x:v>bakersfield</x:v>
      </x:c>
      <x:c r="C121" s="29" t="str">
        <x:v>bakersfield:photo:venue-22086</x:v>
      </x:c>
      <x:c r="D121" s="29" t="str">
        <x:v>https://www.flickr.com/photos/59834630@N07/7627581260/</x:v>
      </x:c>
      <x:c r="E121" s="29" t="str">
        <x:v>The Park at River Walk · 2012 tarihli fotoğraf</x:v>
      </x:c>
      <x:c r="F121" s="29" t="str">
        <x:v>Randall Degges</x:v>
      </x:c>
      <x:c r="G121" s="29" t="str">
        <x:v>CC BY 2.0</x:v>
      </x:c>
      <x:c r="H121" s="29" t="str">
        <x:v>https://creativecommons.org/licenses/by/2.0/</x:v>
      </x:c>
      <x:c r="I121" s="29" t="str">
        <x:v>CC BY 2.0</x:v>
      </x:c>
      <x:c r="J121" s="29" t="str">
        <x:v>The Park at River Walk · 2012 tarihli fotoğraf · Randall Degges · CC BY 2.0 · https://www.flickr.com/photos/59834630@N07/7627581260/</x:v>
      </x:c>
      <x:c r="K12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1" s="31" t="d">
        <x:v>2026-10-24T00:00:00.000Z</x:v>
      </x:c>
      <x:c r="M121" s="29" t="str">
        <x:v>Doğrulandı</x:v>
      </x:c>
      <x:c r="N121" s="29" t="str">
        <x:v>Doğrulandı</x:v>
      </x:c>
      <x:c r="O121" s="29" t="str">
        <x:v>Fotoğraflar/bk-0a3e70518d1b27abfb87e94c.webp</x:v>
      </x:c>
      <x:c r="P121" s="29" t="str">
        <x:v>The Park at River Walk · 2012 tarihli fotoğraf · İndirilen kare temas sayfasında görüldü; kaynak mekân kimliğiyle eşleştirildi. Seçim kaydı final-pixel-review.json.</x:v>
      </x:c>
      <x:c r="Q121" s="29" t="str">
        <x:v>Bu kare için uygun</x:v>
      </x:c>
      <x:c r="R12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1" s="29" t="str">
        <x:v>Lisans kanıtları/bk-0a3e70518d1b27abfb87e94c.source-evidence.json</x:v>
      </x:c>
      <x:c r="T121" s="29" t="str">
        <x:v>b91077b4277139dfd839429f4839a19c4bb4d8fdee3e7da147a887603bc50413</x:v>
      </x:c>
      <x:c r="U121" s="29" t="str">
        <x:v>Lisans kanıtları/bk-0a3e70518d1b27abfb87e94c.license-record.json</x:v>
      </x:c>
      <x:c r="V121" s="29" t="str">
        <x:v>c23970b82fd7a187797cd33f216dfaf477c3c027e2d76ca45165636d22f2c9e8</x:v>
      </x:c>
      <x:c r="W121" s="29" t="str">
        <x:v>{"file":"bk-0a3e70518d1b27abfb87e94c.webp","width":1024,"author":"Randall Degges","height":683,"sha256":"0a3e70518d1b27abfb87e94c5e44444261bc2ce649e8ca1bc1d1dfc860ec87e9","status":"reviewed-selected","license":"CC BY 2.0","provider":"Flickr","review_id":"E225","source_id":"7627581260","author_url":"https://www.flickr.com/photos/59834630@N07/","date_texts":["Uploaded on July 23, 2012 Taken on June 28, 2012","Taken on June 28, 2012","Uploaded on July 23, 2012 Taken on June 28, 2012","Taken on June 28, 2012"],"source_url":"https://www.flickr.com/photos/59834630@N07/7627581260/","description":"Picnic areas scatter the Park at Riverwalk, Bakersfield.","license_url":"https://creativecommons.org/licenses/by/2.0/","review_note":"Picnic tables and lawn.","reviewed_on":"2026-10-24","source_text":"Picture 081 | Picnic areas scatter the Park at Riverwalk, Ba…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081 Picnic areas scatter the Park at Riverwalk, Bakersfield. Done 80 views 0 faves 0 comments Uploaded on July 23, 2012 Taken on June 28, 2012 Randall Degges By: Randall Degges Picture 081 Picnic areas scatter the Park at Riverwalk, Bakersfield. Done 80 views 0 faves 0 comments Uploaded on July 23,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photography.","capture_date":"2012-06-28","download_url":"https://live.staticflickr.com/8162/7627581260_ec4abdcfe8_b.jpg","original_url":"https://live.staticflickr.com/8162/7627581260_4e92cc7600_o.jpg","pixel_review":{"method":"İndirilen kare temas sayfasında görüldü; kaynak mekân kimliğiyle eşleştirildi. Seçim kaydı final-pixel-review.json.","status":"verified","caption":"The Park at River Walk · 2012 tarihli fotoğraf","reviewer":"Codex (AI)","review_id":"E225"},"source_title":"Picture 081","downloaded_at":"2026-10-23T19:50:44.833621+00:00","download_sha256":"3a468b0ab168c8f5e09e5d0ea8547178e6d0f49a882387b0f2a2d40f2d629c4c","downloaded_file":"downloads/3a468b0ab168c8f5e09e5d0ea8547178e6d0f49a882387b0f2a2d40f2d629c4c.jpg","public_metadata":{"photo-models":[{"data":{"id":"7627581260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8162/7627581260_ec4abdcfe8_c.jpg","width":800,"height":533,"displayUrl":"//live.staticflickr.com/8162/7627581260_ec4abdcfe8_c.jpg"},"exportMetaType":"pojo"},"h":{"data":{"url":"//live.staticflickr.com/8162/7627581260_0264d0ce93_h.jpg","width":1600,"height":1067,"displayUrl":"//live.staticflickr.com/8162/7627581260_0264d0ce93_h.jpg"},"exportMetaType":"pojo"},"k":{"data":{"url":"//live.staticflickr.com/8162/7627581260_9bc67b6542_k.jpg","width":2048,"height":1365,"displayUrl":"//live.staticflickr.com/8162/7627581260_9bc67b6542_k.jpg"},"exportMetaType":"pojo"},"l":{"data":{"url":"//live.staticflickr.com/8162/7627581260_ec4abdcfe8_b.jpg","width":1024,"height":683,"displayUrl":"//live.staticflickr.com/8162/7627581260_ec4abdcfe8_b.jpg"},"exportMetaType":"pojo"},"m":{"data":{"url":"//live.staticflickr.com/8162/7627581260_ec4abdcfe8.jpg","width":500,"height":333,"displayUrl":"//live.staticflickr.com/8162/7627581260_ec4abdcfe8.jpg"},"exportMetaType":"pojo"},"n":{"data":{"url":"//live.staticflickr.com/8162/7627581260_ec4abdcfe8_n.jpg","width":320,"height":213,"displayUrl":"//live.staticflickr.com/8162/7627581260_ec4abdcfe8_n.jpg"},"exportMetaType":"pojo"},"o":{"data":{"url":"//live.staticflickr.com/8162/7627581260_4e92cc7600_o.jpg","width":5616,"height":3744,"displayUrl":"//live.staticflickr.com/8162/7627581260_4e92cc7600_o.jpg"},"exportMetaType":"pojo"},"q":{"data":{"url":"//live.staticflickr.com/8162/7627581260_ec4abdcfe8_q.jpg","width":150,"height":150,"displayUrl":"//live.staticflickr.com/8162/7627581260_ec4abdcfe8_q.jpg"},"exportMetaType":"pojo"},"s":{"data":{"url":"//live.staticflickr.com/8162/7627581260_ec4abdcfe8_m.jpg","width":240,"height":160,"displayUrl":"//live.staticflickr.com/8162/7627581260_ec4abdcfe8_m.jpg"},"exportMetaType":"pojo"},"t":{"data":{"url":"//live.staticflickr.com/8162/7627581260_ec4abdcfe8_t.jpg","width":100,"height":67,"displayUrl":"//live.staticflickr.com/8162/7627581260_ec4abdcfe8_t.jpg"},"exportMetaType":"pojo"},"w":{"data":{"url":"//live.staticflickr.com/8162/7627581260_ec4abdcfe8_w.jpg","width":400,"height":267,"displayUrl":"//live.staticflickr.com/8162/7627581260_ec4abdcfe8_w.jpg"},"exportMetaType":"pojo"},"z":{"data":{"url":"//live.staticflickr.com/8162/7627581260_ec4abdcfe8_z.jpg","width":640,"height":427,"displayUrl":"//live.staticflickr.com/8162/7627581260_ec4abdcfe8_z.jpg"},"exportMetaType":"pojo"},"sq":{"data":{"url":"//live.staticflickr.com/8162/7627581260_ec4abdcfe8_s.jpg","width":75,"height":75,"displayUrl":"//live.staticflickr.com/8162/7627581260_ec4abdcfe8_s.jpg"},"exportMetaType":"pojo"}},"exportMetaType":"pojo"},"title":"Picture 081","oWidth":5616,"secret":"ec4abdcfe8","license":4,"oHeight":3744,"rotation":0,"canAddMeta":false,"canComment":false,"engagement":{"data":{"id":"7627581260","canShare":true,"ownerNsid":"59834630@N07","reactions":{"data":{"like":{"data":{"id":"like","count":5,"canReact":true,"didViewerReact":true},"exportMetaType":"pojo"},"someOtherReaction":{"data":{"id":"someOtherReaction","count":3,"canReact":true,"didViewerReact":false},"exportMetaType":"pojo"}},"exportMetaType":"pojo"},"viewCount":80,"canDownload":true,"_flickrModelRegistry":"photo-engagement-models"},"exportMetaType":"model"},"description":"Picnic areas scatter the Park at Riverwalk, Bakersfield.","safetyLevel":0,"upgradeSizes":{"data":[],"exportMetaType":"array"},"adEligibility":{"data":{"lane":1,"labels":{"data":[],"exportMetaType":"array"},"isAdEligible":true,"highScoreLabels":{"data":[],"exportMetaType":"array"}},"exportMetaType":"pojo"},"canPublicComment":true,"_flickrModelRegistry":"photo-models"},"exportMetaType":"model"}],"photo-geo-models":[{"data":{"id":"7627581260","_flickrModelRegistry":"photo-geo-models"},"exportMetaType":"model"}],"photo-location-models":[{"data":{"id":"7627581260","geo":{"data":"~2","exportMetaType":"model"},"text":"","levels":{"data":{},"exportMetaType":"pojo"},"staticMaps":{"data":{},"exportMetaType":"pojo"},"_flickrModelRegistry":"photo-location-models"},"exportMetaType":"model"}],"photo-head-meta-models":[{"data":{"id":"7627581260","title":"Picture 081","og:url":"https://www.flickr.com/photos/randalldegges/7627581260/","og:type":"article","og:image":"https://live.staticflickr.com/8162/7627581260_ec4abdcfe8_b.jpg","og:title":"Picture 081","twitter:card":"summary_large_image","twitter:image":"https://live.staticflickr.com/8162/7627581260_ec4abdcfe8_b.jpg","og:description":"Picnic areas scatter the Park at Riverwalk, Bakersfield.","og:image:width":1024,"og:image:height":683,"twitter:creator":"@rdegges","twitter:description":"Picnic areas scatter the Park at Riverwalk, Bakersfield.","_flickrModelRegistry":"photo-head-meta-models","twitter:app:url:ipad":"flickr://flickr.com/photos/randalldegges/7627581260/","twitter:app:url:iphone":"flickr://flickr.com/photos/randalldegges/7627581260/","twitter:app:url:googleplay":"https://www.flickr.com/photos/randalldegges/7627581260/"},"exportMetaType":"model"}],"photo-license-history-models":[]},"acquisition_file":"fl-7627581260.webp","source_html_file":"/Users/atincakcayoz/corteqs/output/bakersfield-production-20261023/flickr-source-pages/7627581260.html","original_file_url":"https://live.staticflickr.com/8162/7627581260_4e92cc7600_o.jpg","proposed_identity":"The Park at River Walk","source_html_sha256":"16524918a3757dc70d9cea26ebe862ae0607f34e28a8f5d92eaf14b2b3409706","third_party_rights_review":{"basis":"Kaynakta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dönüştürüldü.","original_file_url":"https://live.staticflickr.com/8162/7627581260_4e92cc7600_o.jpg"},"metadata_reviewed_on":"2026-10-24","metadata_review_status":"verified"}}</x:v>
      </x:c>
    </x:row>
    <x:row r="122" ht="300" customHeight="1">
      <x:c r="A122" s="29" t="str">
        <x:v>bakersfield:evidence:venue-22087</x:v>
      </x:c>
      <x:c r="B122" s="29" t="str">
        <x:v>bakersfield</x:v>
      </x:c>
      <x:c r="C122" s="29" t="str">
        <x:v>bakersfield:photo:venue-22087</x:v>
      </x:c>
      <x:c r="D122" s="29" t="str">
        <x:v>https://www.flickr.com/photos/59834630@N07/7627805440/</x:v>
      </x:c>
      <x:c r="E122" s="29" t="str">
        <x:v>The Park at River Walk · 2012 tarihli fotoğraf</x:v>
      </x:c>
      <x:c r="F122" s="29" t="str">
        <x:v>Randall Degges</x:v>
      </x:c>
      <x:c r="G122" s="29" t="str">
        <x:v>CC BY 2.0</x:v>
      </x:c>
      <x:c r="H122" s="29" t="str">
        <x:v>https://creativecommons.org/licenses/by/2.0/</x:v>
      </x:c>
      <x:c r="I122" s="29" t="str">
        <x:v>CC BY 2.0</x:v>
      </x:c>
      <x:c r="J122" s="29" t="str">
        <x:v>The Park at River Walk · 2012 tarihli fotoğraf · Randall Degges · CC BY 2.0 · https://www.flickr.com/photos/59834630@N07/7627805440/</x:v>
      </x:c>
      <x:c r="K12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2" s="31" t="d">
        <x:v>2026-10-24T00:00:00.000Z</x:v>
      </x:c>
      <x:c r="M122" s="29" t="str">
        <x:v>Doğrulandı</x:v>
      </x:c>
      <x:c r="N122" s="29" t="str">
        <x:v>Doğrulandı</x:v>
      </x:c>
      <x:c r="O122" s="29" t="str">
        <x:v>Fotoğraflar/bk-085ebfc441806a6a72e92431.webp</x:v>
      </x:c>
      <x:c r="P122" s="29" t="str">
        <x:v>The Park at River Walk · 2012 tarihli fotoğraf · İndirilen kare temas sayfasında görüldü; kaynak mekân kimliğiyle eşleştirildi. Seçim kaydı final-pixel-review.json.</x:v>
      </x:c>
      <x:c r="Q122" s="29" t="str">
        <x:v>Bu kare için uygun</x:v>
      </x:c>
      <x:c r="R12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2" s="29" t="str">
        <x:v>Lisans kanıtları/bk-085ebfc441806a6a72e92431.source-evidence.json</x:v>
      </x:c>
      <x:c r="T122" s="29" t="str">
        <x:v>43658e70e7d0ec048b8f75100f9efbb1b470c94fc616ada6e0d210ce56b11f41</x:v>
      </x:c>
      <x:c r="U122" s="29" t="str">
        <x:v>Lisans kanıtları/bk-085ebfc441806a6a72e92431.license-record.json</x:v>
      </x:c>
      <x:c r="V122" s="29" t="str">
        <x:v>eafba64354078f31cf91bd2b1473caaeeedcf2fec4a442f8de8e5d1583b180a2</x:v>
      </x:c>
      <x:c r="W122" s="29" t="str">
        <x:v>{"file":"bk-085ebfc441806a6a72e92431.webp","width":1024,"author":"Randall Degges","height":683,"sha256":"085ebfc441806a6a72e92431cca7c24012a1274960e652a00a274afc6aa3d3b7","status":"reviewed-selected","license":"CC BY 2.0","provider":"Flickr","review_id":"E228","source_id":"7627805440","author_url":"https://www.flickr.com/photos/59834630@N07/","date_texts":["Uploaded on July 23, 2012 Taken on June 28, 2012","Taken on June 28, 2012","Uploaded on July 23, 2012 Taken on June 28, 2012","Taken on June 28, 2012"],"source_url":"https://www.flickr.com/photos/59834630@N07/7627805440/","description":"People are allowed to swim at the Park at Riverwalk, Bakersfield.","license_url":"https://creativecommons.org/licenses/by/2.0/","review_note":"Full creek landscape; near duplicate 227 rejected.","reviewed_on":"2026-10-24","source_text":"Picture 101 | People are allowed to swim at the Park at Rive…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101 People are allowed to swim at the Park at Riverwalk, Bakersfield. Done 162 views 0 faves 0 comments Uploaded on July 23, 2012 Taken on June 28, 2012 Randall Degges By: Randall Degges Picture 101 People are allowed to swim at the Park at Riverwalk, Bakersfield. Done 162 views 0 faves 0 comments Uploaded on July 23,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photography.","capture_date":"2012-06-28","download_url":"https://live.staticflickr.com/8020/7627805440_bed31e9f5d_b.jpg","original_url":"https://live.staticflickr.com/8020/7627805440_fdc9668112_o.jpg","pixel_review":{"method":"İndirilen kare temas sayfasında görüldü; kaynak mekân kimliğiyle eşleştirildi. Seçim kaydı final-pixel-review.json.","status":"verified","caption":"The Park at River Walk · 2012 tarihli fotoğraf","reviewer":"Codex (AI)","review_id":"E228"},"source_title":"Picture 101","downloaded_at":"2026-10-23T19:50:45.288066+00:00","download_sha256":"3af50e5bd5c7b65806e3860c2fc56842d473ba8b6f3bd6f3de3411ba8c74edc2","downloaded_file":"downloads/3af50e5bd5c7b65806e3860c2fc56842d473ba8b6f3bd6f3de3411ba8c74edc2.jpg","public_metadata":{"photo-models":[{"data":{"id":"7627805440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8020/7627805440_bed31e9f5d_c.jpg","width":800,"height":533,"displayUrl":"//live.staticflickr.com/8020/7627805440_bed31e9f5d_c.jpg"},"exportMetaType":"pojo"},"h":{"data":{"url":"//live.staticflickr.com/8020/7627805440_6a8670eecf_h.jpg","width":1600,"height":1067,"displayUrl":"//live.staticflickr.com/8020/7627805440_6a8670eecf_h.jpg"},"exportMetaType":"pojo"},"k":{"data":{"url":"//live.staticflickr.com/8020/7627805440_f40e184c0b_k.jpg","width":2048,"height":1365,"displayUrl":"//live.staticflickr.com/8020/7627805440_f40e184c0b_k.jpg"},"exportMetaType":"pojo"},"l":{"data":{"url":"//live.staticflickr.com/8020/7627805440_bed31e9f5d_b.jpg","width":1024,"height":683,"displayUrl":"//live.staticflickr.com/8020/7627805440_bed31e9f5d_b.jpg"},"exportMetaType":"pojo"},"m":{"data":{"url":"//live.staticflickr.com/8020/7627805440_bed31e9f5d.jpg","width":500,"height":333,"displayUrl":"//live.staticflickr.com/8020/7627805440_bed31e9f5d.jpg"},"exportMetaType":"pojo"},"n":{"data":{"url":"//live.staticflickr.com/8020/7627805440_bed31e9f5d_n.jpg","width":320,"height":213,"displayUrl":"//live.staticflickr.com/8020/7627805440_bed31e9f5d_n.jpg"},"exportMetaType":"pojo"},"o":{"data":{"url":"//live.staticflickr.com/8020/7627805440_fdc9668112_o.jpg","width":5616,"height":3744,"displayUrl":"//live.staticflickr.com/8020/7627805440_fdc9668112_o.jpg"},"exportMetaType":"pojo"},"q":{"data":{"url":"//live.staticflickr.com/8020/7627805440_bed31e9f5d_q.jpg","width":150,"height":150,"displayUrl":"//live.staticflickr.com/8020/7627805440_bed31e9f5d_q.jpg"},"exportMetaType":"pojo"},"s":{"data":{"url":"//live.staticflickr.com/8020/7627805440_bed31e9f5d_m.jpg","width":240,"height":160,"displayUrl":"//live.staticflickr.com/8020/7627805440_bed31e9f5d_m.jpg"},"exportMetaType":"pojo"},"t":{"data":{"url":"//live.staticflickr.com/8020/7627805440_bed31e9f5d_t.jpg","width":100,"height":67,"displayUrl":"//live.staticflickr.com/8020/7627805440_bed31e9f5d_t.jpg"},"exportMetaType":"pojo"},"w":{"data":{"url":"//live.staticflickr.com/8020/7627805440_bed31e9f5d_w.jpg","width":400,"height":267,"displayUrl":"//live.staticflickr.com/8020/7627805440_bed31e9f5d_w.jpg"},"exportMetaType":"pojo"},"z":{"data":{"url":"//live.staticflickr.com/8020/7627805440_bed31e9f5d_z.jpg","width":640,"height":427,"displayUrl":"//live.staticflickr.com/8020/7627805440_bed31e9f5d_z.jpg"},"exportMetaType":"pojo"},"sq":{"data":{"url":"//live.staticflickr.com/8020/7627805440_bed31e9f5d_s.jpg","width":75,"height":75,"displayUrl":"//live.staticflickr.com/8020/7627805440_bed31e9f5d_s.jpg"},"exportMetaType":"pojo"}},"exportMetaType":"pojo"},"title":"Picture 101","oWidth":5616,"secret":"bed31e9f5d","license":4,"oHeight":3744,"rotation":0,"canAddMeta":false,"canComment":false,"engagement":{"data":{"id":"7627805440","canShare":true,"ownerNsid":"59834630@N07","reactions":{"data":{"like":{"data":{"id":"like","count":5,"canReact":true,"didViewerReact":true},"exportMetaType":"pojo"},"someOtherReaction":{"data":{"id":"someOtherReaction","count":3,"canReact":true,"didViewerReact":false},"exportMetaType":"pojo"}},"exportMetaType":"pojo"},"viewCount":162,"canDownload":true,"_flickrModelRegistry":"photo-engagement-models"},"exportMetaType":"model"},"description":"People are allowed to swim at the Park at Riverwalk, Bakersfield.","safetyLevel":0,"upgradeSizes":{"data":[],"exportMetaType":"array"},"adEligibility":{"data":{"lane":1,"labels":{"data":[],"exportMetaType":"array"},"isAdEligible":true,"highScoreLabels":{"data":[],"exportMetaType":"array"}},"exportMetaType":"pojo"},"canPublicComment":true,"_flickrModelRegistry":"photo-models"},"exportMetaType":"model"}],"photo-geo-models":[{"data":{"id":"7627805440","_flickrModelRegistry":"photo-geo-models"},"exportMetaType":"model"}],"photo-location-models":[{"data":{"id":"7627805440","geo":{"data":"~2","exportMetaType":"model"},"text":"","levels":{"data":{},"exportMetaType":"pojo"},"staticMaps":{"data":{},"exportMetaType":"pojo"},"_flickrModelRegistry":"photo-location-models"},"exportMetaType":"model"}],"photo-head-meta-models":[{"data":{"id":"7627805440","title":"Picture 101","og:url":"https://www.flickr.com/photos/randalldegges/7627805440/","og:type":"article","keywords":"creek, wading","og:image":"https://live.staticflickr.com/8020/7627805440_bed31e9f5d_b.jpg","og:title":"Picture 101","twitter:card":"summary_large_image","twitter:image":"https://live.staticflickr.com/8020/7627805440_bed31e9f5d_b.jpg","og:description":"People are allowed to swim at the Park at Riverwalk, Bakersfield.","og:image:width":1024,"og:image:height":683,"twitter:creator":"@rdegges","twitter:description":"People are allowed to swim at the Park at Riverwalk, Bakersfield.","_flickrModelRegistry":"photo-head-meta-models","twitter:app:url:ipad":"flickr://flickr.com/photos/randalldegges/7627805440/","twitter:app:url:iphone":"flickr://flickr.com/photos/randalldegges/7627805440/","twitter:app:url:googleplay":"https://www.flickr.com/photos/randalldegges/7627805440/"},"exportMetaType":"model"}],"photo-license-history-models":[]},"acquisition_file":"fl-7627805440.webp","source_html_file":"/Users/atincakcayoz/corteqs/output/bakersfield-production-20261023/flickr-source-pages/7627805440.html","original_file_url":"https://live.staticflickr.com/8020/7627805440_fdc9668112_o.jpg","proposed_identity":"The Park at River Walk","source_html_sha256":"c874ba39deba65c5982f694fc5f366a47753de552c88c1d770a84b1900455885","third_party_rights_review":{"basis":"Kaynakta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dönüştürüldü.","original_file_url":"https://live.staticflickr.com/8020/7627805440_fdc9668112_o.jpg"},"metadata_reviewed_on":"2026-10-24","metadata_review_status":"verified"}}</x:v>
      </x:c>
    </x:row>
    <x:row r="123" ht="300" customHeight="1">
      <x:c r="A123" s="29" t="str">
        <x:v>bakersfield:evidence:venue-22088</x:v>
      </x:c>
      <x:c r="B123" s="29" t="str">
        <x:v>bakersfield</x:v>
      </x:c>
      <x:c r="C123" s="29" t="str">
        <x:v>bakersfield:photo:venue-22088</x:v>
      </x:c>
      <x:c r="D123" s="29" t="str">
        <x:v>https://commons.wikimedia.org/wiki/File:MillCreekBakersfieldPath.jpg</x:v>
      </x:c>
      <x:c r="E123" s="29" t="str">
        <x:v>MillCreekBakersfieldPath.jpg</x:v>
      </x:c>
      <x:c r="F123" s="29" t="str">
        <x:v>EazyDee107</x:v>
      </x:c>
      <x:c r="G123" s="29" t="str">
        <x:v>CC0 1.0</x:v>
      </x:c>
      <x:c r="H123" s="29" t="str">
        <x:v>https://creativecommons.org/publicdomain/zero/1.0/</x:v>
      </x:c>
      <x:c r="I123" s="29" t="str">
        <x:v>Creative Commons Zero, Public Domain Dedication</x:v>
      </x:c>
      <x:c r="J123" s="29" t="str">
        <x:v>MillCreekBakersfieldPath.jpg · EazyDee107 · CC0 1.0 · https://commons.wikimedia.org/wiki/File:MillCreekBakersfieldPath.jpg</x:v>
      </x:c>
      <x:c r="K12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3" s="31" t="d">
        <x:v>2026-10-24T00:00:00.000Z</x:v>
      </x:c>
      <x:c r="M123" s="29" t="str">
        <x:v>Doğrulandı</x:v>
      </x:c>
      <x:c r="N123" s="29" t="str">
        <x:v>Doğrulandı</x:v>
      </x:c>
      <x:c r="O123" s="29" t="str">
        <x:v>Fotoğraflar/bk-939d9955fead0db808f5303a.webp</x:v>
      </x:c>
      <x:c r="P123" s="29" t="str">
        <x:v>Central Park at Mill Creek · 2025 tarihli fotoğraf · İndirilen kare temas sayfasında görüldü; kaynak mekân kimliğiyle eşleştirildi. Seçim kaydı final-pixel-review.json.</x:v>
      </x:c>
      <x:c r="Q123" s="29" t="str">
        <x:v>Bu kare için uygun</x:v>
      </x:c>
      <x:c r="R12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3" s="29" t="str">
        <x:v>Lisans kanıtları/bk-939d9955fead0db808f5303a.source-evidence.json</x:v>
      </x:c>
      <x:c r="T123" s="29" t="str">
        <x:v>7129990e6763a0d285c01caa435909a5c5973446308b42dd8a1c2e4e29812743</x:v>
      </x:c>
      <x:c r="U123" s="29" t="str">
        <x:v>Lisans kanıtları/bk-939d9955fead0db808f5303a.license-record.json</x:v>
      </x:c>
      <x:c r="V123" s="29" t="str">
        <x:v>5c273d7615a312977711ca7d51af6464e1a2267cba9be8d271e65535d9ac9f1b</x:v>
      </x:c>
      <x:c r="W123" s="29" t="str">
        <x:v>{"file":"bk-939d9955fead0db808f5303a.webp","width":1280,"author":"EazyDee107","height":960,"sha256":"939d9955fead0db808f5303ad195a34e523336e9f8149bc099e19b179ac00917","license":"CC0 1.0","imageinfo":{"url":"https://upload.wikimedia.org/wikipedia/commons/7/70/MillCreekBakersfieldPath.jpg?utm_source=commons.wikimedia.org&amp;utm_campaign=imageinfo&amp;utm_content=original","mime":"image/jpeg","sha1":"f88e65dc8e8c8a1cab8119d3c7eca47eabf92f93","size":3930395,"width":4032,"height":3024,"pageid":165617546,"thumburl":"https://thumb.wikimedia.org/wikipedia/commons/thumb/7/70/MillCreekBakersfieldPath.jpg/1280px-MillCreekBakersfieldPath.jpg?utm_source=commons.wikimedia.org&amp;utm_campaign=imageinfo&amp;utm_content=thumbnail","timestamp":"2025-05-19T19:59:26Z","thumbwidth":1280,"extmetadata":{"Artist":{"value":"&lt;a href=\"//commons.wikimedia.org/w/index.php?title=User:EazyDee107&amp;amp;action=edit&amp;amp;redlink=1\" class=\"new\" title=\"User:EazyDee107 (page does not exist)\"&gt;EazyDee107&lt;/a&gt;","source":"commons-desc-page"},"Credit":{"value":"&lt;span class=\"int-own-work\" lang=\"en\"&gt;Own work&lt;/span&gt;","source":"commons-desc-page"},"License":{"value":"cc0","hidden":"","source":"commons-templates"},"DateTime":{"value":"2025-05-19 19:59:26","hidden":"","source":"mediawiki-metadata"},"Categories":{"value":"Canals in California|CC-Zero|Transport in Kern County, California|Self-published work|Geography of Bakersfield, California|Files with coordinates missing SDC location of creation|Bodies of water in Kern County, California","hidden":"","source":"commons-categories"},"LicenseUrl":{"value":"http://creativecommons.org/publicdomain/zero/1.0/deed.en","source":"commons-desc-page"},"ObjectName":{"value":"MillCreekBakersfieldPath","source":"mediawiki-metadata"},"UsageTerms":{"value":"Creative Commons Zero, Public Domain Dedication","source":"commons-desc-page"},"Assessments":{"value":"","hidden":"","source":"commons-categories"},"Copyrighted":{"value":"True","hidden":"","source":"commons-desc-page"},"GPSLatitude":{"value":"35.374314","source":"commons-desc-page"},"GPSMapDatum":{"value":"WGS-84","hidden":"","source":"commons-desc-page"},"GPSLongitude":{"value":"-119.009025","source":"commons-desc-page"},"Restrictions":{"value":"","hidden":"","source":"commons-desc-page"},"DateTimeOriginal":{"value":"2025-05-13 15:18:14","source":"commons-desc-page"},"ImageDescription":{"value":"Walking path along the canal in Mill Creek.","source":"commons-desc-page"},"LicenseShortName":{"value":"CC0","hidden":"","source":"commons-desc-page"},"AttributionRequired":{"value":"false","hidden":"","source":"commons-desc-page"},"CommonsMetadataExtension":{"value":1.2,"hidden":"","source":"extension"}},"thumbheight":960,"thumbattribs":{"src":"https://thumb.wikimedia.org/wikipedia/commons/thumb/7/70/MillCreekBakersfieldPath.jpg/1280px-MillCreekBakersfieldPath.jpg?utm_source=commons.wikimedia.org&amp;utm_campaign=imageinfo&amp;utm_content=thumbnail","width":1280,"height":960,"srcset":"https://thumb.wikimedia.org/wikipedia/commons/thumb/7/70/MillCreekBakersfieldPath.jpg/3840px-MillCreekBakersfieldPath.jpg?utm_source=commons.wikimedia.org&amp;utm_campaign=imageinfo&amp;utm_content=thumbnail 2x","loading":"lazy","decoding":"async"},"descriptionurl":"https://commons.wikimedia.org/wiki/File:MillCreekBakersfieldPath.jpg","responsiveUrls":{"2":"https://thumb.wikimedia.org/wikipedia/commons/thumb/7/70/MillCreekBakersfieldPath.jpg/3840px-MillCreekBakersfieldPath.jpg?utm_source=commons.wikimedia.org&amp;utm_campaign=imageinfo&amp;utm_content=thumbnail"},"descriptionshorturl":"https://commons.wikimedia.org/w/index.php?curid=165617546"},"selection":{"qid":"pending","kind":"candidate","title":"Bakersfield local discovery"},"author_url":"","derivative":"Wikimedia thumbnail decoded; EXIF orientation applied; converted to WebP quality 86; no generated pixels, no cropping.","source_url":"https://commons.wikimedia.org/wiki/File:MillCreekBakersfieldPath.jpg","author_urls":[],"description":"Walking path along the canal in Mill Creek.","license_url":"https://creativecommons.org/publicdomain/zero/1.0/","reviewed_on":"2026-10-24","capture_date":"2025-05-13 15:18:14","download_url":"https://thumb.wikimedia.org/wikipedia/commons/thumb/7/70/MillCreekBakersfieldPath.jpg/1280px-MillCreekBakersfieldPath.jpg?utm_source=commons.wikimedia.org&amp;utm_campaign=imageinfo&amp;utm_content=thumbnail","original_url":"https://upload.wikimedia.org/wikipedia/commons/7/70/MillCreekBakersfieldPath.jpg?utm_source=commons.wikimedia.org&amp;utm_campaign=imageinfo&amp;utm_content=original","pixel_review":{"method":"İndirilen kare temas sayfasında görüldü; kaynak mekân kimliğiyle eşleştirildi. Seçim kaydı final-pixel-review.json.","status":"verified","caption":"Central Park at Mill Creek · 2025 tarihli fotoğraf","reviewer":"Codex (AI)","review_id":"C206"},"downloaded_at":"2026-10-23T19:10:50.696983+00:00","download_sha256":"984b699da3864e8673973ab4f11d5eed95bfa6985a27dce7a5bc5ef9ea4fc6cd","downloaded_file":"downloads/984b699da3864e8673973ab4f11d5eed95bfa6985a27dce7a5bc5ef9ea4fc6cd.jpg","acquisition_file":"13980cf7c5723247bb049b11.webp","commons_filename":"MillCreekBakersfieldPath.jpg","original_file_url":"https://upload.wikimedia.org/wikipedia/commons/7/70/MillCreekBakersfieldPath.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7/70/MillCreekBakersfieldPath.jpg?utm_source=commons.wikimedia.org&amp;utm_campaign=imageinfo&amp;utm_content=original"},"metadata_reviewed_on":"2026-10-24","metadata_review_status":"verified"}}</x:v>
      </x:c>
    </x:row>
    <x:row r="124" ht="300" customHeight="1">
      <x:c r="A124" s="29" t="str">
        <x:v>bakersfield:evidence:venue-22089</x:v>
      </x:c>
      <x:c r="B124" s="29" t="str">
        <x:v>bakersfield</x:v>
      </x:c>
      <x:c r="C124" s="29" t="str">
        <x:v>bakersfield:photo:venue-22089</x:v>
      </x:c>
      <x:c r="D124" s="29" t="str">
        <x:v>https://www.flickr.com/photos/93406569@N00/6345264555/</x:v>
      </x:c>
      <x:c r="E124" s="29" t="str">
        <x:v>Central Park at Mill Creek · 2011 tarihli fotoğraf</x:v>
      </x:c>
      <x:c r="F124" s="29" t="str">
        <x:v>Chuck Abbe</x:v>
      </x:c>
      <x:c r="G124" s="29" t="str">
        <x:v>CC BY 2.0</x:v>
      </x:c>
      <x:c r="H124" s="29" t="str">
        <x:v>https://creativecommons.org/licenses/by/2.0/</x:v>
      </x:c>
      <x:c r="I124" s="29" t="str">
        <x:v>CC BY 2.0</x:v>
      </x:c>
      <x:c r="J124" s="29" t="str">
        <x:v>Central Park at Mill Creek · 2011 tarihli fotoğraf · Chuck Abbe · CC BY 2.0 · https://www.flickr.com/photos/93406569@N00/6345264555/</x:v>
      </x:c>
      <x:c r="K12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4" s="31" t="d">
        <x:v>2026-10-24T00:00:00.000Z</x:v>
      </x:c>
      <x:c r="M124" s="29" t="str">
        <x:v>Doğrulandı</x:v>
      </x:c>
      <x:c r="N124" s="29" t="str">
        <x:v>Doğrulandı</x:v>
      </x:c>
      <x:c r="O124" s="29" t="str">
        <x:v>Fotoğraflar/bk-5987d5a76c2414407ef94d89.webp</x:v>
      </x:c>
      <x:c r="P124" s="29" t="str">
        <x:v>Mill Creek çevresi · 2011 tarihli fotoğraf · İndirilen kare temas sayfasında görüldü; kaynak mekân kimliğiyle eşleştirildi. Seçim kaydı final-pixel-review.json.</x:v>
      </x:c>
      <x:c r="Q124" s="29" t="str">
        <x:v>Bu kare için uygun</x:v>
      </x:c>
      <x:c r="R12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4" s="29" t="str">
        <x:v>Lisans kanıtları/bk-5987d5a76c2414407ef94d89.source-evidence.json</x:v>
      </x:c>
      <x:c r="T124" s="29" t="str">
        <x:v>2f1d7ed0a1214987b45f557fea3a40aeba2be42c8bba7f1d1a2cf16f7b1c4baf</x:v>
      </x:c>
      <x:c r="U124" s="29" t="str">
        <x:v>Lisans kanıtları/bk-5987d5a76c2414407ef94d89.license-record.json</x:v>
      </x:c>
      <x:c r="V124" s="29" t="str">
        <x:v>1f904b6f530bf70609342357a155942cf04aa352f856ce941049e1a7b8b46688</x:v>
      </x:c>
      <x:c r="W124" s="29" t="str">
        <x:v>{"file":"bk-5987d5a76c2414407ef94d89.webp","width":1023,"author":"Chuck Abbe","height":687,"sha256":"5987d5a76c2414407ef94d89bef4087b85ced7db99d25ddde7ba949331160065","status":"reviewed-selected","license":"CC BY 2.0","provider":"Flickr","review_id":"F139","source_id":"6345264555","author_url":"https://www.flickr.com/photos/93406569@N00/","date_texts":["Uploaded on November 14, 2011 Taken on November 14, 2011","Taken on November 14, 2011","Uploaded on November 14, 2011 Taken on November 14, 2011","Taken on November 14, 2011"],"source_url":"https://www.flickr.com/photos/93406569@N00/6345264555/","description":"","license_url":"https://creativecommons.org/licenses/by/2.0/","review_note":"Üstü örtülü köprü.","reviewed_on":"2026-10-24","source_text":"Covered bridge at Mill Creek Park | Chuck Abbe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Chuck Abbe ChuckThePhotographer Covered bridge at Mill Creek Park Done 242 views 0 faves 0 comments Uploaded on November 14, 2011 Taken on November 14, 2011 Chuck Abbe By: Chuck Abbe Covered bridge at Mill Creek Park Done 242 views 0 faves 0 comments Uploaded on November 14, 2011 Taken on November 14,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photography.","capture_date":"2011-11-14","download_url":"https://live.staticflickr.com/6109/6345264555_6444169bbb_b.jpg","original_url":"https://live.staticflickr.com/6109/6345264555_d10d246581_o.jpg","pixel_review":{"method":"İndirilen kare temas sayfasında görüldü; kaynak mekân kimliğiyle eşleştirildi. Seçim kaydı final-pixel-review.json.","status":"verified","caption":"Mill Creek çevresi · 2011 tarihli fotoğraf","reviewer":"Codex (AI)","review_id":"F139"},"source_title":"Covered bridge at Mill Creek Park","downloaded_at":"2026-10-23T19:50:10.662224+00:00","download_sha256":"b87ce19ea393849111c34cc69ca656903e2d13b53151c38fbec6d7e5eb3c14d0","downloaded_file":"downloads/b87ce19ea393849111c34cc69ca656903e2d13b53151c38fbec6d7e5eb3c14d0.jpg","public_metadata":{"photo-models":[{"data":{"id":"6345264555","owner":{"data":{"id":"93406569@N00","isPro":false,"newFlow":true,"isAdFree":false,"realname":"Chuck Abbe","segments":{"data":[],"exportMetaType":"array"},"username":"ChuckThePhotographer","buddyicon":{"data":{"large":"//live.staticflickr.com/1166/buddyicons/93406569@N00_l.jpg?1183755746#93406569@N00","small":"//live.staticflickr.com/1166/buddyicons/93406569@N00_s.jpg?1183755746#93406569@N00","medium":"//live.staticflickr.com/1166/buddyicons/93406569@N00_m.jpg?1183755746#93406569@N00","retina":"//live.staticflickr.com/1166/buddyicons/93406569@N00_r.jpg?1183755746#93406569@N00","default":"//live.staticflickr.com/1166/buddyicons/93406569@N00.jpg?1183755746#93406569@N00"},"exportMetaType":"pojo"},"pathAlias":"chuckthephotographer","dateCreated":{"data":"1160686476","exportMetaType":"serializeFunction"},"subscription":{"data":{"isPro":false,"isClosed":false,"isPastDue":false},"exportMetaType":"pojo"},"eligibleGifts":{"data":["year","month","week"],"exportMetaType":"array"},"isEligibleForGifts":true,"_flickrModelRegistry":"person-models"},"exportMetaType":"model"},"sizes":{"data":{"c":{"data":{"url":"//live.staticflickr.com/6109/6345264555_6444169bbb_c.jpg","width":800,"height":537,"displayUrl":"//live.staticflickr.com/6109/6345264555_6444169bbb_c.jpg"},"exportMetaType":"pojo"},"h":{"data":{"url":"//live.staticflickr.com/6109/6345264555_b8558168c7_h.jpg","width":1600,"height":1074,"displayUrl":"//live.staticflickr.com/6109/6345264555_b8558168c7_h.jpg"},"exportMetaType":"pojo"},"k":{"data":{"url":"//live.staticflickr.com/6109/6345264555_afffbd8379_k.jpg","width":2048,"height":1375,"displayUrl":"//live.staticflickr.com/6109/6345264555_afffbd8379_k.jpg"},"exportMetaType":"pojo"},"l":{"data":{"url":"//live.staticflickr.com/6109/6345264555_6444169bbb_b.jpg","width":1024,"height":687,"displayUrl":"//live.staticflickr.com/6109/6345264555_6444169bbb_b.jpg"},"exportMetaType":"pojo"},"m":{"data":{"url":"//live.staticflickr.com/6109/6345264555_6444169bbb.jpg","width":500,"height":336,"displayUrl":"//live.staticflickr.com/6109/6345264555_6444169bbb.jpg"},"exportMetaType":"pojo"},"n":{"data":{"url":"//live.staticflickr.com/6109/6345264555_6444169bbb_n.jpg","width":320,"height":215,"displayUrl":"//live.staticflickr.com/6109/6345264555_6444169bbb_n.jpg"},"exportMetaType":"pojo"},"o":{"data":{"url":"//live.staticflickr.com/6109/6345264555_d10d246581_o.jpg","width":2896,"height":1944,"displayUrl":"//live.staticflickr.com/6109/6345264555_d10d246581_o.jpg"},"exportMetaType":"pojo"},"q":{"data":{"url":"//live.staticflickr.com/6109/6345264555_6444169bbb_q.jpg","width":150,"height":150,"displayUrl":"//live.staticflickr.com/6109/6345264555_6444169bbb_q.jpg"},"exportMetaType":"pojo"},"s":{"data":{"url":"//live.staticflickr.com/6109/6345264555_6444169bbb_m.jpg","width":240,"height":161,"displayUrl":"//live.staticflickr.com/6109/6345264555_6444169bbb_m.jpg"},"exportMetaType":"pojo"},"t":{"data":{"url":"//live.staticflickr.com/6109/6345264555_6444169bbb_t.jpg","width":100,"height":67,"displayUrl":"//live.staticflickr.com/6109/6345264555_6444169bbb_t.jpg"},"exportMetaType":"pojo"},"w":{"data":{"url":"//live.staticflickr.com/6109/6345264555_6444169bbb_w.jpg","width":400,"height":269,"displayUrl":"//live.staticflickr.com/6109/6345264555_6444169bbb_w.jpg"},"exportMetaType":"pojo"},"z":{"data":{"url":"//live.staticflickr.com/6109/6345264555_6444169bbb_z.jpg","width":640,"height":430,"displayUrl":"//live.staticflickr.com/6109/6345264555_6444169bbb_z.jpg"},"exportMetaType":"pojo"},"sq":{"data":{"url":"//live.staticflickr.com/6109/6345264555_6444169bbb_s.jpg","width":75,"height":75,"displayUrl":"//live.staticflickr.com/6109/6345264555_6444169bbb_s.jpg"},"exportMetaType":"pojo"}},"exportMetaType":"pojo"},"title":"Covered bridge at Mill Creek Park","oWidth":2896,"secret":"6444169bbb","license":4,"oHeight":1944,"rotation":0,"canAddMeta":false,"canComment":false,"engagement":{"data":{"id":"6345264555","canShare":true,"ownerNsid":"93406569@N00","reactions":{"data":{"like":{"data":{"id":"like","count":5,"canReact":true,"didViewerReact":true},"exportMetaType":"pojo"},"someOtherReaction":{"data":{"id":"someOtherReaction","count":3,"canReact":true,"didViewerReact":false},"exportMetaType":"pojo"}},"exportMetaType":"pojo"},"viewCount":242,"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6345264555","_flickrModelRegistry":"photo-geo-models"},"exportMetaType":"model"}],"photo-location-models":[{"data":{"id":"6345264555","geo":{"data":"~2","exportMetaType":"model"},"text":"","levels":{"data":{},"exportMetaType":"pojo"},"staticMaps":{"data":{},"exportMetaType":"pojo"},"_flickrModelRegistry":"photo-location-models"},"exportMetaType":"model"}],"photo-head-meta-models":[{"data":{"id":"6345264555","title":"Covered bridge at Mill Creek Park","og:url":"https://www.flickr.com/photos/chuckthephotographer/6345264555/","og:type":"article","keywords":"bakersfield, millcreekpark, downtownbakersfield","og:image":"https://live.staticflickr.com/6109/6345264555_6444169bbb_b.jpg","og:title":"Covered bridge at Mill Creek Park","twitter:card":"summary_large_image","twitter:image":"https://live.staticflickr.com/6109/6345264555_6444169bbb_b.jpg","og:description":"","og:image:width":1024,"og:image:height":687,"twitter:description":"Explore ChuckThePhotographer's 895 photos on Flickr!","_flickrModelRegistry":"photo-head-meta-models","twitter:app:url:ipad":"flickr://flickr.com/photos/chuckthephotographer/6345264555/","twitter:app:url:iphone":"flickr://flickr.com/photos/chuckthephotographer/6345264555/","twitter:app:url:googleplay":"https://www.flickr.com/photos/chuckthephotographer/6345264555/"},"exportMetaType":"model"}],"photo-license-history-models":[]},"acquisition_file":"fl-6345264555.webp","source_html_file":"/Users/atincakcayoz/corteqs/output/bakersfield-production-20261023/flickr-source-pages/6345264555.html","original_file_url":"https://live.staticflickr.com/6109/6345264555_d10d246581_o.jpg","proposed_identity":"Central Park at Mill Creek","source_html_sha256":"ef95c83c531f3215e325036ee14cb54af5900bc07c27969c08e1fdbd788f7eaf","third_party_rights_review":{"basis":"Kaynakta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dönüştürüldü.","photo_attribution":{"author_url":"https://www.flickr.com/photos/93406569@N00/","modifications":"EXIF yönü uygulandı; boyut küçültülüp WebP biçimine dönüştürüldü.","original_file_url":"https://live.staticflickr.com/6109/6345264555_d10d246581_o.jpg"},"metadata_reviewed_on":"2026-10-24","metadata_review_status":"verified"}}</x:v>
      </x:c>
    </x:row>
    <x:row r="125" ht="300" customHeight="1">
      <x:c r="A125" s="29" t="str">
        <x:v>bakersfield:evidence:venue-22090</x:v>
      </x:c>
      <x:c r="B125" s="29" t="str">
        <x:v>bakersfield</x:v>
      </x:c>
      <x:c r="C125" s="29" t="str">
        <x:v>bakersfield:photo:venue-22090</x:v>
      </x:c>
      <x:c r="D125" s="29" t="str">
        <x:v>https://www.flickr.com/photos/93406569@N00/6345265313/</x:v>
      </x:c>
      <x:c r="E125" s="29" t="str">
        <x:v>Central Park at Mill Creek · 2011 tarihli fotoğraf</x:v>
      </x:c>
      <x:c r="F125" s="29" t="str">
        <x:v>Chuck Abbe</x:v>
      </x:c>
      <x:c r="G125" s="29" t="str">
        <x:v>CC BY 2.0</x:v>
      </x:c>
      <x:c r="H125" s="29" t="str">
        <x:v>https://creativecommons.org/licenses/by/2.0/</x:v>
      </x:c>
      <x:c r="I125" s="29" t="str">
        <x:v>CC BY 2.0</x:v>
      </x:c>
      <x:c r="J125" s="29" t="str">
        <x:v>Central Park at Mill Creek · 2011 tarihli fotoğraf · Chuck Abbe · CC BY 2.0 · https://www.flickr.com/photos/93406569@N00/6345265313/</x:v>
      </x:c>
      <x:c r="K12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5" s="31" t="d">
        <x:v>2026-10-24T00:00:00.000Z</x:v>
      </x:c>
      <x:c r="M125" s="29" t="str">
        <x:v>Doğrulandı</x:v>
      </x:c>
      <x:c r="N125" s="29" t="str">
        <x:v>Doğrulandı</x:v>
      </x:c>
      <x:c r="O125" s="29" t="str">
        <x:v>Fotoğraflar/bk-1b25b876dcbcd876d2ff851a.webp</x:v>
      </x:c>
      <x:c r="P125" s="29" t="str">
        <x:v>Central Park at Mill Creek · 2011 tarihli fotoğraf · İndirilen kare temas sayfasında görüldü; kaynak mekân kimliğiyle eşleştirildi. Seçim kaydı final-pixel-review.json.</x:v>
      </x:c>
      <x:c r="Q125" s="29" t="str">
        <x:v>Bu kare için uygun</x:v>
      </x:c>
      <x:c r="R12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5" s="29" t="str">
        <x:v>Lisans kanıtları/bk-1b25b876dcbcd876d2ff851a.source-evidence.json</x:v>
      </x:c>
      <x:c r="T125" s="29" t="str">
        <x:v>090ca7166cb30490f7436047d1164fa169e0cfd3dc6f3807b6bdf1d00f62e2bf</x:v>
      </x:c>
      <x:c r="U125" s="29" t="str">
        <x:v>Lisans kanıtları/bk-1b25b876dcbcd876d2ff851a.license-record.json</x:v>
      </x:c>
      <x:c r="V125" s="29" t="str">
        <x:v>e952408f95dd0f126ce3ec07d9581340cde87c85fde6aec2c20ec27e275ef034</x:v>
      </x:c>
      <x:c r="W125" s="29" t="str">
        <x:v>{"file":"bk-1b25b876dcbcd876d2ff851a.webp","width":1023,"author":"Chuck Abbe","height":687,"sha256":"1b25b876dcbcd876d2ff851ae31bc0361a3ed135cb4960c47e1fb2ac04d8fd8f","status":"reviewed-selected","license":"CC BY 2.0","provider":"Flickr","review_id":"F141","source_id":"6345265313","author_url":"https://www.flickr.com/photos/93406569@N00/","date_texts":["Uploaded on November 14, 2011 Taken on November 14, 2011","Taken on November 14, 2011","Uploaded on November 14, 2011 Taken on November 14, 2011","Taken on November 14, 2011"],"source_url":"https://www.flickr.com/photos/93406569@N00/6345265313/","description":"","license_url":"https://creativecommons.org/licenses/by/2.0/","review_note":"Havuz ve fıskiye genel görünüm.","reviewed_on":"2026-10-24","source_text":"The pond at Mill Creek Park | Chuck Abbe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Chuck Abbe ChuckThePhotographer The pond at Mill Creek Park Done 285 views 0 faves 0 comments Uploaded on November 14, 2011 Taken on November 14, 2011 Chuck Abbe By: Chuck Abbe The pond at Mill Creek Park Done 285 views 0 faves 0 comments Uploaded on November 14, 2011 Taken on November 14,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photography.","capture_date":"2011-11-14","download_url":"https://live.staticflickr.com/6050/6345265313_f332e8102f_b.jpg","original_url":"https://live.staticflickr.com/6050/6345265313_e1cc1b0251_o.jpg","pixel_review":{"method":"İndirilen kare temas sayfasında görüldü; kaynak mekân kimliğiyle eşleştirildi. Seçim kaydı final-pixel-review.json.","status":"verified","caption":"Central Park at Mill Creek · 2011 tarihli fotoğraf","reviewer":"Codex (AI)","review_id":"F141"},"source_title":"The pond at Mill Creek Park","downloaded_at":"2026-10-23T19:50:11.317610+00:00","download_sha256":"de937fae2f1a62088bc5280a22c469acebbb29dc2de38b9b2a51313ef640c105","downloaded_file":"downloads/de937fae2f1a62088bc5280a22c469acebbb29dc2de38b9b2a51313ef640c105.jpg","public_metadata":{"photo-models":[{"data":{"id":"6345265313","owner":{"data":{"id":"93406569@N00","isPro":false,"newFlow":true,"isAdFree":false,"realname":"Chuck Abbe","segments":{"data":[],"exportMetaType":"array"},"username":"ChuckThePhotographer","buddyicon":{"data":{"large":"//live.staticflickr.com/1166/buddyicons/93406569@N00_l.jpg?1183755746#93406569@N00","small":"//live.staticflickr.com/1166/buddyicons/93406569@N00_s.jpg?1183755746#93406569@N00","medium":"//live.staticflickr.com/1166/buddyicons/93406569@N00_m.jpg?1183755746#93406569@N00","retina":"//live.staticflickr.com/1166/buddyicons/93406569@N00_r.jpg?1183755746#93406569@N00","default":"//live.staticflickr.com/1166/buddyicons/93406569@N00.jpg?1183755746#93406569@N00"},"exportMetaType":"pojo"},"pathAlias":"chuckthephotographer","dateCreated":{"data":"1160686476","exportMetaType":"serializeFunction"},"subscription":{"data":{"isPro":false,"isClosed":false,"isPastDue":false},"exportMetaType":"pojo"},"eligibleGifts":{"data":["year","month","week"],"exportMetaType":"array"},"isEligibleForGifts":true,"_flickrModelRegistry":"person-models"},"exportMetaType":"model"},"sizes":{"data":{"c":{"data":{"url":"//live.staticflickr.com/6050/6345265313_f332e8102f_c.jpg","width":800,"height":537,"displayUrl":"//live.staticflickr.com/6050/6345265313_f332e8102f_c.jpg"},"exportMetaType":"pojo"},"h":{"data":{"url":"//live.staticflickr.com/6050/6345265313_8fa8ff8ed4_h.jpg","width":1600,"height":1074,"displayUrl":"//live.staticflickr.com/6050/6345265313_8fa8ff8ed4_h.jpg"},"exportMetaType":"pojo"},"k":{"data":{"url":"//live.staticflickr.com/6050/6345265313_d16513266b_k.jpg","width":2048,"height":1375,"displayUrl":"//live.staticflickr.com/6050/6345265313_d16513266b_k.jpg"},"exportMetaType":"pojo"},"l":{"data":{"url":"//live.staticflickr.com/6050/6345265313_f332e8102f_b.jpg","width":1024,"height":687,"displayUrl":"//live.staticflickr.com/6050/6345265313_f332e8102f_b.jpg"},"exportMetaType":"pojo"},"m":{"data":{"url":"//live.staticflickr.com/6050/6345265313_f332e8102f.jpg","width":500,"height":336,"displayUrl":"//live.staticflickr.com/6050/6345265313_f332e8102f.jpg"},"exportMetaType":"pojo"},"n":{"data":{"url":"//live.staticflickr.com/6050/6345265313_f332e8102f_n.jpg","width":320,"height":215,"displayUrl":"//live.staticflickr.com/6050/6345265313_f332e8102f_n.jpg"},"exportMetaType":"pojo"},"o":{"data":{"url":"//live.staticflickr.com/6050/6345265313_e1cc1b0251_o.jpg","width":2896,"height":1944,"displayUrl":"//live.staticflickr.com/6050/6345265313_e1cc1b0251_o.jpg"},"exportMetaType":"pojo"},"q":{"data":{"url":"//live.staticflickr.com/6050/6345265313_f332e8102f_q.jpg","width":150,"height":150,"displayUrl":"//live.staticflickr.com/6050/6345265313_f332e8102f_q.jpg"},"exportMetaType":"pojo"},"s":{"data":{"url":"//live.staticflickr.com/6050/6345265313_f332e8102f_m.jpg","width":240,"height":161,"displayUrl":"//live.staticflickr.com/6050/6345265313_f332e8102f_m.jpg"},"exportMetaType":"pojo"},"t":{"data":{"url":"//live.staticflickr.com/6050/6345265313_f332e8102f_t.jpg","width":100,"height":67,"displayUrl":"//live.staticflickr.com/6050/6345265313_f332e8102f_t.jpg"},"exportMetaType":"pojo"},"w":{"data":{"url":"//live.staticflickr.com/6050/6345265313_f332e8102f_w.jpg","width":400,"height":269,"displayUrl":"//live.staticflickr.com/6050/6345265313_f332e8102f_w.jpg"},"exportMetaType":"pojo"},"z":{"data":{"url":"//live.staticflickr.com/6050/6345265313_f332e8102f_z.jpg","width":640,"height":430,"displayUrl":"//live.staticflickr.com/6050/6345265313_f332e8102f_z.jpg"},"exportMetaType":"pojo"},"sq":{"data":{"url":"//live.staticflickr.com/6050/6345265313_f332e8102f_s.jpg","width":75,"height":75,"displayUrl":"//live.staticflickr.com/6050/6345265313_f332e8102f_s.jpg"},"exportMetaType":"pojo"}},"exportMetaType":"pojo"},"title":"The pond at Mill Creek Park","oWidth":2896,"secret":"f332e8102f","license":4,"oHeight":1944,"rotation":0,"canAddMeta":false,"canComment":false,"engagement":{"data":{"id":"6345265313","canShare":true,"ownerNsid":"93406569@N00","reactions":{"data":{"like":{"data":{"id":"like","count":5,"canReact":true,"didViewerReact":true},"exportMetaType":"pojo"},"someOtherReaction":{"data":{"id":"someOtherReaction","count":3,"canReact":true,"didViewerReact":false},"exportMetaType":"pojo"}},"exportMetaType":"pojo"},"viewCount":285,"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6345265313","_flickrModelRegistry":"photo-geo-models"},"exportMetaType":"model"}],"photo-location-models":[{"data":{"id":"6345265313","geo":{"data":"~2","exportMetaType":"model"},"text":"","levels":{"data":{},"exportMetaType":"pojo"},"staticMaps":{"data":{},"exportMetaType":"pojo"},"_flickrModelRegistry":"photo-location-models"},"exportMetaType":"model"}],"photo-head-meta-models":[{"data":{"id":"6345265313","title":"The pond at Mill Creek Park","og:url":"https://www.flickr.com/photos/chuckthephotographer/6345265313/","og:type":"article","keywords":"bakersfield, millcreekpark, downtownbakersfield","og:image":"https://live.staticflickr.com/6050/6345265313_f332e8102f_b.jpg","og:title":"The pond at Mill Creek Park","twitter:card":"summary_large_image","twitter:image":"https://live.staticflickr.com/6050/6345265313_f332e8102f_b.jpg","og:description":"","og:image:width":1024,"og:image:height":687,"twitter:description":"Explore ChuckThePhotographer's 895 photos on Flickr!","_flickrModelRegistry":"photo-head-meta-models","twitter:app:url:ipad":"flickr://flickr.com/photos/chuckthephotographer/6345265313/","twitter:app:url:iphone":"flickr://flickr.com/photos/chuckthephotographer/6345265313/","twitter:app:url:googleplay":"https://www.flickr.com/photos/chuckthephotographer/6345265313/"},"exportMetaType":"model"}],"photo-license-history-models":[]},"acquisition_file":"fl-6345265313.webp","source_html_file":"/Users/atincakcayoz/corteqs/output/bakersfield-production-20261023/flickr-source-pages/6345265313.html","original_file_url":"https://live.staticflickr.com/6050/6345265313_e1cc1b0251_o.jpg","proposed_identity":"Central Park at Mill Creek","source_html_sha256":"757fa55499dac36e8a4cc3b340209763a10cf2613d1291e70d9305cdaaac5f2d","third_party_rights_review":{"basis":"Kaynakta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dönüştürüldü.","photo_attribution":{"author_url":"https://www.flickr.com/photos/93406569@N00/","modifications":"EXIF yönü uygulandı; boyut küçültülüp WebP biçimine dönüştürüldü.","original_file_url":"https://live.staticflickr.com/6050/6345265313_e1cc1b0251_o.jpg"},"metadata_reviewed_on":"2026-10-24","metadata_review_status":"verified"}}</x:v>
      </x:c>
    </x:row>
    <x:row r="126" ht="300" customHeight="1">
      <x:c r="A126" s="29" t="str">
        <x:v>bakersfield:evidence:venue-22091</x:v>
      </x:c>
      <x:c r="B126" s="29" t="str">
        <x:v>bakersfield</x:v>
      </x:c>
      <x:c r="C126" s="29" t="str">
        <x:v>bakersfield:photo:venue-22091</x:v>
      </x:c>
      <x:c r="D126" s="29" t="str">
        <x:v>https://www.flickr.com/photos/98609821@N00/14134552344/</x:v>
      </x:c>
      <x:c r="E126" s="29" t="str">
        <x:v>Central Park at Mill Creek · 2014 tarihli fotoğraf</x:v>
      </x:c>
      <x:c r="F126" s="29" t="str">
        <x:v>Julie Jordan Scott</x:v>
      </x:c>
      <x:c r="G126" s="29" t="str">
        <x:v>CC BY 2.0</x:v>
      </x:c>
      <x:c r="H126" s="29" t="str">
        <x:v>https://creativecommons.org/licenses/by/2.0/</x:v>
      </x:c>
      <x:c r="I126" s="29" t="str">
        <x:v>CC BY 2.0</x:v>
      </x:c>
      <x:c r="J126" s="29" t="str">
        <x:v>Central Park at Mill Creek · 2014 tarihli fotoğraf · Julie Jordan Scott · CC BY 2.0 · https://www.flickr.com/photos/98609821@N00/14134552344/</x:v>
      </x:c>
      <x:c r="K12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6" s="31" t="d">
        <x:v>2026-10-24T00:00:00.000Z</x:v>
      </x:c>
      <x:c r="M126" s="29" t="str">
        <x:v>Doğrulandı</x:v>
      </x:c>
      <x:c r="N126" s="29" t="str">
        <x:v>Doğrulandı</x:v>
      </x:c>
      <x:c r="O126" s="29" t="str">
        <x:v>Fotoğraflar/bk-c11b997ea28a4bf8ad4946aa.webp</x:v>
      </x:c>
      <x:c r="P126" s="29" t="str">
        <x:v>Central Park at Mill Creek · 2014 tarihli fotoğraf · İndirilen kare temas sayfasında görüldü; kaynak mekân kimliğiyle eşleştirildi. Seçim kaydı final-pixel-review.json.</x:v>
      </x:c>
      <x:c r="Q126" s="29" t="str">
        <x:v>Bu kare için uygun</x:v>
      </x:c>
      <x:c r="R12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6" s="29" t="str">
        <x:v>Lisans kanıtları/bk-c11b997ea28a4bf8ad4946aa.source-evidence.json</x:v>
      </x:c>
      <x:c r="T126" s="29" t="str">
        <x:v>5efe64647eaa658877cb5fde2bfd974bbb2d48b98f9297da089322a80d7d1be0</x:v>
      </x:c>
      <x:c r="U126" s="29" t="str">
        <x:v>Lisans kanıtları/bk-c11b997ea28a4bf8ad4946aa.license-record.json</x:v>
      </x:c>
      <x:c r="V126" s="29" t="str">
        <x:v>956e96b1e8e6dd42924fc6bf0047bb675c3caa20ba3f02f5c12a0477a8448424</x:v>
      </x:c>
      <x:c r="W126" s="29" t="str">
        <x:v>{"file":"bk-c11b997ea28a4bf8ad4946aa.webp","width":1024,"author":"Julie Jordan Scott","height":768,"sha256":"c11b997ea28a4bf8ad4946aaf75311e7d70fd9996c17fa8aa6d3a99db87deb45","status":"reviewed-selected","license":"CC BY 2.0","provider":"Flickr","review_id":"F148","source_id":"14134552344","author_url":"https://www.flickr.com/photos/98609821@N00/","date_texts":["Uploaded on May 8, 2014 Taken on May 7, 2014","Taken on May 7, 2014","Uploaded on May 8, 2014 Taken on May 7, 2014","Taken on May 7, 2014"],"source_url":"https://www.flickr.com/photos/98609821@N00/14134552344/","description":"","license_url":"https://creativecommons.org/licenses/by/2.0/","review_note":"Su kıyısı ve bitişik mimari; 141 ile çeşitlilik değerlendirmesi.","reviewed_on":"2026-10-24","source_text":"Mallards at Millcreek Park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Mallards at Millcreek Park Done 146 views 0 faves 0 comments Uploaded on May 8, 2014 Taken on May 7, 2014 Julie Jordan Scott By: Julie Jordan Scott Mallards at Millcreek Park Done 146 views 0 faves 0 comments Uploaded on May 8, 2014 Taken on May 7, 2014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photography.","capture_date":"2014-05-07","download_url":"https://live.staticflickr.com/7332/14134552344_cb32bc61d1_b.jpg","original_url":"https://live.staticflickr.com/7332/14134552344_e65ee1bec0_o.jpg","pixel_review":{"method":"İndirilen kare temas sayfasında görüldü; kaynak mekân kimliğiyle eşleştirildi. Seçim kaydı final-pixel-review.json.","status":"verified","caption":"Central Park at Mill Creek · 2014 tarihli fotoğraf","reviewer":"Codex (AI)","review_id":"F148"},"source_title":"Mallards at Millcreek Park","downloaded_at":"2026-10-23T19:50:11.882108+00:00","download_sha256":"bf18a4e735c8fdafcdc83b09ebac544a584686fbc1129459d67b680989426e69","downloaded_file":"downloads/bf18a4e735c8fdafcdc83b09ebac544a584686fbc1129459d67b680989426e69.jpg","public_metadata":{"photo-models":[{"data":{"id":"14134552344","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7332/14134552344_cb32bc61d1_c.jpg","width":800,"height":600,"displayUrl":"//live.staticflickr.com/7332/14134552344_cb32bc61d1_c.jpg"},"exportMetaType":"pojo"},"h":{"data":{"url":"//live.staticflickr.com/7332/14134552344_4c1d2704ba_h.jpg","width":1600,"height":1200,"displayUrl":"//live.staticflickr.com/7332/14134552344_4c1d2704ba_h.jpg"},"exportMetaType":"pojo"},"k":{"data":{"url":"//live.staticflickr.com/7332/14134552344_3848eda17f_k.jpg","width":2048,"height":1536,"displayUrl":"//live.staticflickr.com/7332/14134552344_3848eda17f_k.jpg"},"exportMetaType":"pojo"},"l":{"data":{"url":"//live.staticflickr.com/7332/14134552344_cb32bc61d1_b.jpg","width":1024,"height":768,"displayUrl":"//live.staticflickr.com/7332/14134552344_cb32bc61d1_b.jpg"},"exportMetaType":"pojo"},"m":{"data":{"url":"//live.staticflickr.com/7332/14134552344_cb32bc61d1.jpg","width":500,"height":375,"displayUrl":"//live.staticflickr.com/7332/14134552344_cb32bc61d1.jpg"},"exportMetaType":"pojo"},"n":{"data":{"url":"//live.staticflickr.com/7332/14134552344_cb32bc61d1_n.jpg","width":320,"height":240,"displayUrl":"//live.staticflickr.com/7332/14134552344_cb32bc61d1_n.jpg"},"exportMetaType":"pojo"},"o":{"data":{"url":"//live.staticflickr.com/7332/14134552344_e65ee1bec0_o.jpg","width":3264,"height":2448,"displayUrl":"//live.staticflickr.com/7332/14134552344_e65ee1bec0_o.jpg"},"exportMetaType":"pojo"},"q":{"data":{"url":"//live.staticflickr.com/7332/14134552344_cb32bc61d1_q.jpg","width":150,"height":150,"displayUrl":"//live.staticflickr.com/7332/14134552344_cb32bc61d1_q.jpg"},"exportMetaType":"pojo"},"s":{"data":{"url":"//live.staticflickr.com/7332/14134552344_cb32bc61d1_m.jpg","width":240,"height":180,"displayUrl":"//live.staticflickr.com/7332/14134552344_cb32bc61d1_m.jpg"},"exportMetaType":"pojo"},"t":{"data":{"url":"//live.staticflickr.com/7332/14134552344_cb32bc61d1_t.jpg","width":100,"height":75,"displayUrl":"//live.staticflickr.com/7332/14134552344_cb32bc61d1_t.jpg"},"exportMetaType":"pojo"},"w":{"data":{"url":"//live.staticflickr.com/7332/14134552344_cb32bc61d1_w.jpg","width":400,"height":300,"displayUrl":"//live.staticflickr.com/7332/14134552344_cb32bc61d1_w.jpg"},"exportMetaType":"pojo"},"z":{"data":{"url":"//live.staticflickr.com/7332/14134552344_cb32bc61d1_z.jpg","width":640,"height":480,"displayUrl":"//live.staticflickr.com/7332/14134552344_cb32bc61d1_z.jpg"},"exportMetaType":"pojo"},"3k":{"data":{"url":"//live.staticflickr.com/7332/14134552344_f0e65484ee_3k.jpg","width":3072,"height":2304,"displayUrl":"//live.staticflickr.com/7332/14134552344_f0e65484ee_3k.jpg"},"exportMetaType":"pojo"},"sq":{"data":{"url":"//live.staticflickr.com/7332/14134552344_cb32bc61d1_s.jpg","width":75,"height":75,"displayUrl":"//live.staticflickr.com/7332/14134552344_cb32bc61d1_s.jpg"},"exportMetaType":"pojo"}},"exportMetaType":"pojo"},"title":"Mallards at Millcreek Park","oWidth":3264,"secret":"cb32bc61d1","license":4,"oHeight":2448,"rotation":0,"canAddMeta":false,"canComment":false,"engagement":{"data":{"id":"14134552344","canShare":true,"ownerNsid":"98609821@N00","reactions":{"data":{"like":{"data":{"id":"like","count":5,"canReact":true,"didViewerReact":true},"exportMetaType":"pojo"},"someOtherReaction":{"data":{"id":"someOtherReaction","count":3,"canReact":true,"didViewerReact":false},"exportMetaType":"pojo"}},"exportMetaType":"pojo"},"viewCount":146,"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14134552344","_flickrModelRegistry":"photo-geo-models"},"exportMetaType":"model"}],"photo-location-models":[{"data":{"id":"14134552344","geo":{"data":"~2","exportMetaType":"model"},"text":"","levels":{"data":{},"exportMetaType":"pojo"},"staticMaps":{"data":{},"exportMetaType":"pojo"},"_flickrModelRegistry":"photo-location-models"},"exportMetaType":"model"}],"photo-head-meta-models":[{"data":{"id":"14134552344","title":"Mallards at Millcreek Park","og:url":"https://www.flickr.com/photos/juliejordanscott/14134552344/","og:type":"article","keywords":"ducks, mallards, millcreekpark, downtownbakersfield, flickrandroidapp:filter=none","og:image":"https://live.staticflickr.com/7332/14134552344_cb32bc61d1_b.jpg","og:title":"Mallards at Millcreek Park","twitter:card":"summary_large_image","twitter:image":"https://live.staticflickr.com/7332/14134552344_cb32bc61d1_b.jpg","og:description":"","og:image:width":1024,"og:image:height":768,"twitter:creator":"@juliejordanscot","twitter:description":"Explore juliejordanscott's 67408 photos on Flickr!","_flickrModelRegistry":"photo-head-meta-models","twitter:app:url:ipad":"flickr://flickr.com/photos/juliejordanscott/14134552344/","twitter:app:url:iphone":"flickr://flickr.com/photos/juliejordanscott/14134552344/","twitter:app:url:googleplay":"https://www.flickr.com/photos/juliejordanscott/14134552344/"},"exportMetaType":"model"}],"photo-license-history-models":[]},"acquisition_file":"fl-14134552344.webp","source_html_file":"/Users/atincakcayoz/corteqs/output/bakersfield-production-20261023/flickr-source-pages/14134552344.html","original_file_url":"https://live.staticflickr.com/7332/14134552344_e65ee1bec0_o.jpg","proposed_identity":"Central Park at Mill Creek","source_html_sha256":"1e79954df2cf1f119be50559f889d54144d527dbb2d037bd84c9926077627f42","third_party_rights_review":{"basis":"Kaynakta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dönüştürüldü.","original_file_url":"https://live.staticflickr.com/7332/14134552344_e65ee1bec0_o.jpg"},"metadata_reviewed_on":"2026-10-24","metadata_review_status":"verified"}}</x:v>
      </x:c>
    </x:row>
    <x:row r="127" ht="300" customHeight="1">
      <x:c r="A127" s="29" t="str">
        <x:v>bakersfield:evidence:venue-22092</x:v>
      </x:c>
      <x:c r="B127" s="29" t="str">
        <x:v>bakersfield</x:v>
      </x:c>
      <x:c r="C127" s="29" t="str">
        <x:v>bakersfield:photo:venue-22092</x:v>
      </x:c>
      <x:c r="D127" s="29" t="str">
        <x:v>https://www.flickr.com/photos/98609821@N00/14130991991/</x:v>
      </x:c>
      <x:c r="E127" s="29" t="str">
        <x:v>Central Park at Mill Creek · 2014 tarihli fotoğraf</x:v>
      </x:c>
      <x:c r="F127" s="29" t="str">
        <x:v>Julie Jordan Scott</x:v>
      </x:c>
      <x:c r="G127" s="29" t="str">
        <x:v>CC BY 2.0</x:v>
      </x:c>
      <x:c r="H127" s="29" t="str">
        <x:v>https://creativecommons.org/licenses/by/2.0/</x:v>
      </x:c>
      <x:c r="I127" s="29" t="str">
        <x:v>CC BY 2.0</x:v>
      </x:c>
      <x:c r="J127" s="29" t="str">
        <x:v>Central Park at Mill Creek · 2014 tarihli fotoğraf · Julie Jordan Scott · CC BY 2.0 · https://www.flickr.com/photos/98609821@N00/14130991991/</x:v>
      </x:c>
      <x:c r="K12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7" s="31" t="d">
        <x:v>2026-10-24T00:00:00.000Z</x:v>
      </x:c>
      <x:c r="M127" s="29" t="str">
        <x:v>Doğrulandı</x:v>
      </x:c>
      <x:c r="N127" s="29" t="str">
        <x:v>Doğrulandı</x:v>
      </x:c>
      <x:c r="O127" s="29" t="str">
        <x:v>Fotoğraflar/bk-d0e62af2b2bc47522f2220fc.webp</x:v>
      </x:c>
      <x:c r="P127" s="29" t="str">
        <x:v>Central Park at Mill Creek · 2014 tarihli fotoğraf · İndirilen kare temas sayfasında görüldü; kaynak mekân kimliğiyle eşleştirildi. Seçim kaydı final-pixel-review.json.</x:v>
      </x:c>
      <x:c r="Q127" s="29" t="str">
        <x:v>Bu kare için uygun</x:v>
      </x:c>
      <x:c r="R12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7" s="29" t="str">
        <x:v>Lisans kanıtları/bk-d0e62af2b2bc47522f2220fc.source-evidence.json</x:v>
      </x:c>
      <x:c r="T127" s="29" t="str">
        <x:v>1892006093bad7d85dc37db0833731d1549782e4d6b5ee03bef867f1c0116f52</x:v>
      </x:c>
      <x:c r="U127" s="29" t="str">
        <x:v>Lisans kanıtları/bk-d0e62af2b2bc47522f2220fc.license-record.json</x:v>
      </x:c>
      <x:c r="V127" s="29" t="str">
        <x:v>bfb7e763c4c8c84c8d035183deb6d89e7e31550e5d02eeefae5d8b126965a9b4</x:v>
      </x:c>
      <x:c r="W127" s="29" t="str">
        <x:v>{"file":"bk-d0e62af2b2bc47522f2220fc.webp","width":1024,"author":"Julie Jordan Scott","height":768,"sha256":"d0e62af2b2bc47522f2220fc5054d2c5d4c240ba965916baa6e8975640b9e63b","status":"reviewed-selected","license":"CC BY 2.0","provider":"Flickr","review_id":"F149","source_id":"14130991991","author_url":"https://www.flickr.com/photos/98609821@N00/","date_texts":["Uploaded on May 8, 2014 Taken on May 7, 2014","Taken on May 7, 2014","Uploaded on May 8, 2014 Taken on May 7, 2014","Taken on May 7, 2014"],"source_url":"https://www.flickr.com/photos/98609821@N00/14130991991/","description":"","license_url":"https://creativecommons.org/licenses/by/2.0/","review_note":"Yürüyüş yolu ve köprü; çok benzerlerini çıkar.","reviewed_on":"2026-10-24","source_text":"Mallards at Millcreek Park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Mallards at Millcreek Park Done 145 views 0 faves 0 comments Uploaded on May 8, 2014 Taken on May 7, 2014 Julie Jordan Scott By: Julie Jordan Scott Mallards at Millcreek Park Done 145 views 0 faves 0 comments Uploaded on May 8, 2014 Taken on May 7, 2014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photography.","capture_date":"2014-05-07","download_url":"https://live.staticflickr.com/7373/14130991991_b181095f44_b.jpg","original_url":"https://live.staticflickr.com/7373/14130991991_645eee03a1_o.jpg","pixel_review":{"method":"İndirilen kare temas sayfasında görüldü; kaynak mekân kimliğiyle eşleştirildi. Seçim kaydı final-pixel-review.json.","status":"verified","caption":"Central Park at Mill Creek · 2014 tarihli fotoğraf","reviewer":"Codex (AI)","review_id":"F149"},"source_title":"Mallards at Millcreek Park","downloaded_at":"2026-10-23T19:50:12.440180+00:00","download_sha256":"1586814719b6bb14d23967e5a379c3cc4180ff6489ff25f35b80d49b225c19e9","downloaded_file":"downloads/1586814719b6bb14d23967e5a379c3cc4180ff6489ff25f35b80d49b225c19e9.jpg","public_metadata":{"photo-models":[{"data":{"id":"14130991991","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7373/14130991991_b181095f44_c.jpg","width":800,"height":600,"displayUrl":"//live.staticflickr.com/7373/14130991991_b181095f44_c.jpg"},"exportMetaType":"pojo"},"h":{"data":{"url":"//live.staticflickr.com/7373/14130991991_332e83a52d_h.jpg","width":1600,"height":1200,"displayUrl":"//live.staticflickr.com/7373/14130991991_332e83a52d_h.jpg"},"exportMetaType":"pojo"},"k":{"data":{"url":"//live.staticflickr.com/7373/14130991991_712ff4be6b_k.jpg","width":2048,"height":1536,"displayUrl":"//live.staticflickr.com/7373/14130991991_712ff4be6b_k.jpg"},"exportMetaType":"pojo"},"l":{"data":{"url":"//live.staticflickr.com/7373/14130991991_b181095f44_b.jpg","width":1024,"height":768,"displayUrl":"//live.staticflickr.com/7373/14130991991_b181095f44_b.jpg"},"exportMetaType":"pojo"},"m":{"data":{"url":"//live.staticflickr.com/7373/14130991991_b181095f44.jpg","width":500,"height":375,"displayUrl":"//live.staticflickr.com/7373/14130991991_b181095f44.jpg"},"exportMetaType":"pojo"},"n":{"data":{"url":"//live.staticflickr.com/7373/14130991991_b181095f44_n.jpg","width":320,"height":240,"displayUrl":"//live.staticflickr.com/7373/14130991991_b181095f44_n.jpg"},"exportMetaType":"pojo"},"o":{"data":{"url":"//live.staticflickr.com/7373/14130991991_645eee03a1_o.jpg","width":3264,"height":2448,"displayUrl":"//live.staticflickr.com/7373/14130991991_645eee03a1_o.jpg"},"exportMetaType":"pojo"},"q":{"data":{"url":"//live.staticflickr.com/7373/14130991991_b181095f44_q.jpg","width":150,"height":150,"displayUrl":"//live.staticflickr.com/7373/14130991991_b181095f44_q.jpg"},"exportMetaType":"pojo"},"s":{"data":{"url":"//live.staticflickr.com/7373/14130991991_b181095f44_m.jpg","width":240,"height":180,"displayUrl":"//live.staticflickr.com/7373/14130991991_b181095f44_m.jpg"},"exportMetaType":"pojo"},"t":{"data":{"url":"//live.staticflickr.com/7373/14130991991_b181095f44_t.jpg","width":100,"height":75,"displayUrl":"//live.staticflickr.com/7373/14130991991_b181095f44_t.jpg"},"exportMetaType":"pojo"},"w":{"data":{"url":"//live.staticflickr.com/7373/14130991991_b181095f44_w.jpg","width":400,"height":300,"displayUrl":"//live.staticflickr.com/7373/14130991991_b181095f44_w.jpg"},"exportMetaType":"pojo"},"z":{"data":{"url":"//live.staticflickr.com/7373/14130991991_b181095f44_z.jpg","width":640,"height":480,"displayUrl":"//live.staticflickr.com/7373/14130991991_b181095f44_z.jpg"},"exportMetaType":"pojo"},"3k":{"data":{"url":"//live.staticflickr.com/7373/14130991991_17ad6414b1_3k.jpg","width":3072,"height":2304,"displayUrl":"//live.staticflickr.com/7373/14130991991_17ad6414b1_3k.jpg"},"exportMetaType":"pojo"},"sq":{"data":{"url":"//live.staticflickr.com/7373/14130991991_b181095f44_s.jpg","width":75,"height":75,"displayUrl":"//live.staticflickr.com/7373/14130991991_b181095f44_s.jpg"},"exportMetaType":"pojo"}},"exportMetaType":"pojo"},"title":"Mallards at Millcreek Park","oWidth":3264,"secret":"b181095f44","license":4,"oHeight":2448,"rotation":0,"canAddMeta":false,"canComment":false,"engagement":{"data":{"id":"14130991991","canShare":true,"ownerNsid":"98609821@N00","reactions":{"data":{"like":{"data":{"id":"like","count":5,"canReact":true,"didViewerReact":true},"exportMetaType":"pojo"},"someOtherReaction":{"data":{"id":"someOtherReaction","count":3,"canReact":true,"didViewerReact":false},"exportMetaType":"pojo"}},"exportMetaType":"pojo"},"viewCount":145,"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14130991991","_flickrModelRegistry":"photo-geo-models"},"exportMetaType":"model"}],"photo-location-models":[{"data":{"id":"14130991991","geo":{"data":"~2","exportMetaType":"model"},"text":"","levels":{"data":{},"exportMetaType":"pojo"},"staticMaps":{"data":{},"exportMetaType":"pojo"},"_flickrModelRegistry":"photo-location-models"},"exportMetaType":"model"}],"photo-head-meta-models":[{"data":{"id":"14130991991","title":"Mallards at Millcreek Park","og:url":"https://www.flickr.com/photos/juliejordanscott/14130991991/","og:type":"article","keywords":"ducks, mallards, millcreekpark, downtownbakersfield, flickrandroidapp:filter=none","og:image":"https://live.staticflickr.com/7373/14130991991_b181095f44_b.jpg","og:title":"Mallards at Millcreek Park","twitter:card":"summary_large_image","twitter:image":"https://live.staticflickr.com/7373/14130991991_b181095f44_b.jpg","og:description":"","og:image:width":1024,"og:image:height":768,"twitter:creator":"@juliejordanscot","twitter:description":"Explore juliejordanscott's 67408 photos on Flickr!","_flickrModelRegistry":"photo-head-meta-models","twitter:app:url:ipad":"flickr://flickr.com/photos/juliejordanscott/14130991991/","twitter:app:url:iphone":"flickr://flickr.com/photos/juliejordanscott/14130991991/","twitter:app:url:googleplay":"https://www.flickr.com/photos/juliejordanscott/14130991991/"},"exportMetaType":"model"}],"photo-license-history-models":[]},"acquisition_file":"fl-14130991991.webp","source_html_file":"/Users/atincakcayoz/corteqs/output/bakersfield-production-20261023/flickr-source-pages/14130991991.html","original_file_url":"https://live.staticflickr.com/7373/14130991991_645eee03a1_o.jpg","proposed_identity":"Central Park at Mill Creek","source_html_sha256":"304a7051342dd2a3175fa4dfe152aacdd0d788a7263a423ff98f988db77c0b9c","third_party_rights_review":{"basis":"Kaynakta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dönüştürüldü.","original_file_url":"https://live.staticflickr.com/7373/14130991991_645eee03a1_o.jpg"},"metadata_reviewed_on":"2026-10-24","metadata_review_status":"verified"}}</x:v>
      </x:c>
    </x:row>
    <x:row r="128" ht="300" customHeight="1">
      <x:c r="A128" s="29" t="str">
        <x:v>bakersfield:evidence:venue-22093</x:v>
      </x:c>
      <x:c r="B128" s="29" t="str">
        <x:v>bakersfield</x:v>
      </x:c>
      <x:c r="C128" s="29" t="str">
        <x:v>bakersfield:photo:venue-22093</x:v>
      </x:c>
      <x:c r="D128" s="29" t="str">
        <x:v>https://www.flickr.com/photos/98609821@N00/13947652260/</x:v>
      </x:c>
      <x:c r="E128" s="29" t="str">
        <x:v>Central Park at Mill Creek · 2014 tarihli fotoğraf</x:v>
      </x:c>
      <x:c r="F128" s="29" t="str">
        <x:v>Julie Jordan Scott</x:v>
      </x:c>
      <x:c r="G128" s="29" t="str">
        <x:v>CC BY 2.0</x:v>
      </x:c>
      <x:c r="H128" s="29" t="str">
        <x:v>https://creativecommons.org/licenses/by/2.0/</x:v>
      </x:c>
      <x:c r="I128" s="29" t="str">
        <x:v>CC BY 2.0</x:v>
      </x:c>
      <x:c r="J128" s="29" t="str">
        <x:v>Central Park at Mill Creek · 2014 tarihli fotoğraf · Julie Jordan Scott · CC BY 2.0 · https://www.flickr.com/photos/98609821@N00/13947652260/</x:v>
      </x:c>
      <x:c r="K12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8" s="31" t="d">
        <x:v>2026-10-24T00:00:00.000Z</x:v>
      </x:c>
      <x:c r="M128" s="29" t="str">
        <x:v>Doğrulandı</x:v>
      </x:c>
      <x:c r="N128" s="29" t="str">
        <x:v>Doğrulandı</x:v>
      </x:c>
      <x:c r="O128" s="29" t="str">
        <x:v>Fotoğraflar/bk-e4f8bb0365270865ed07891d.webp</x:v>
      </x:c>
      <x:c r="P128" s="29" t="str">
        <x:v>Central Park at Mill Creek · 2014 tarihli fotoğraf · İndirilen kare temas sayfasında görüldü; kaynak mekân kimliğiyle eşleştirildi. Seçim kaydı final-pixel-review.json.</x:v>
      </x:c>
      <x:c r="Q128" s="29" t="str">
        <x:v>Bu kare için uygun</x:v>
      </x:c>
      <x:c r="R12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8" s="29" t="str">
        <x:v>Lisans kanıtları/bk-e4f8bb0365270865ed07891d.source-evidence.json</x:v>
      </x:c>
      <x:c r="T128" s="29" t="str">
        <x:v>491c90dc5af1fc2827115d2055872c09d0741ab3a67f8ac902a6037a13ae325f</x:v>
      </x:c>
      <x:c r="U128" s="29" t="str">
        <x:v>Lisans kanıtları/bk-e4f8bb0365270865ed07891d.license-record.json</x:v>
      </x:c>
      <x:c r="V128" s="29" t="str">
        <x:v>42db4576131f43e3129b32cec000d38a6fb180187e2376bd157a495d2fa1b41f</x:v>
      </x:c>
      <x:c r="W128" s="29" t="str">
        <x:v>{"file":"bk-e4f8bb0365270865ed07891d.webp","width":1024,"author":"Julie Jordan Scott","height":768,"sha256":"e4f8bb0365270865ed07891daeee34193a5da293bbd1ec0bab9583a1cce8ae51","status":"reviewed-selected","license":"CC BY 2.0","provider":"Flickr","review_id":"F155","source_id":"13947652260","author_url":"https://www.flickr.com/photos/98609821@N00/","date_texts":["Uploaded on May 8, 2014 Taken on May 7, 2014","Taken on May 7, 2014","Uploaded on May 8, 2014 Taken on May 7, 2014","Taken on May 7, 2014"],"source_url":"https://www.flickr.com/photos/98609821@N00/13947652260/","description":"","license_url":"https://creativecommons.org/licenses/by/2.0/","review_note":"Kıyı yolu ve korkuluk; diğerlerinden farklı görüş.","reviewed_on":"2026-10-24","source_text":"Mallards at Millcreek Park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Mallards at Millcreek Park Done 126 views 0 faves 0 comments Uploaded on May 8, 2014 Taken on May 7, 2014 Julie Jordan Scott By: Julie Jordan Scott Mallards at Millcreek Park Done 126 views 0 faves 0 comments Uploaded on May 8, 2014 Taken on May 7, 2014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photography.","capture_date":"2014-05-07","download_url":"https://live.staticflickr.com/5593/13947652260_478efd4635_b.jpg","original_url":"https://live.staticflickr.com/5593/13947652260_3ae280d462_o.jpg","pixel_review":{"method":"İndirilen kare temas sayfasında görüldü; kaynak mekân kimliğiyle eşleştirildi. Seçim kaydı final-pixel-review.json.","status":"verified","caption":"Central Park at Mill Creek · 2014 tarihli fotoğraf","reviewer":"Codex (AI)","review_id":"F155"},"source_title":"Mallards at Millcreek Park","downloaded_at":"2026-10-23T19:50:12.432367+00:00","download_sha256":"0ae7ae27890b81bdf0748bcbdb6ffa2f2e9d07e3fe2fd1280977f6ffeb887b8a","downloaded_file":"downloads/0ae7ae27890b81bdf0748bcbdb6ffa2f2e9d07e3fe2fd1280977f6ffeb887b8a.jpg","public_metadata":{"photo-models":[{"data":{"id":"13947652260","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5593/13947652260_478efd4635_c.jpg","width":800,"height":600,"displayUrl":"//live.staticflickr.com/5593/13947652260_478efd4635_c.jpg"},"exportMetaType":"pojo"},"h":{"data":{"url":"//live.staticflickr.com/5593/13947652260_dc98cb74e3_h.jpg","width":1600,"height":1200,"displayUrl":"//live.staticflickr.com/5593/13947652260_dc98cb74e3_h.jpg"},"exportMetaType":"pojo"},"k":{"data":{"url":"//live.staticflickr.com/5593/13947652260_6efac75cd9_k.jpg","width":2048,"height":1536,"displayUrl":"//live.staticflickr.com/5593/13947652260_6efac75cd9_k.jpg"},"exportMetaType":"pojo"},"l":{"data":{"url":"//live.staticflickr.com/5593/13947652260_478efd4635_b.jpg","width":1024,"height":768,"displayUrl":"//live.staticflickr.com/5593/13947652260_478efd4635_b.jpg"},"exportMetaType":"pojo"},"m":{"data":{"url":"//live.staticflickr.com/5593/13947652260_478efd4635.jpg","width":500,"height":375,"displayUrl":"//live.staticflickr.com/5593/13947652260_478efd4635.jpg"},"exportMetaType":"pojo"},"n":{"data":{"url":"//live.staticflickr.com/5593/13947652260_478efd4635_n.jpg","width":320,"height":240,"displayUrl":"//live.staticflickr.com/5593/13947652260_478efd4635_n.jpg"},"exportMetaType":"pojo"},"o":{"data":{"url":"//live.staticflickr.com/5593/13947652260_3ae280d462_o.jpg","width":3264,"height":2448,"displayUrl":"//live.staticflickr.com/5593/13947652260_3ae280d462_o.jpg"},"exportMetaType":"pojo"},"q":{"data":{"url":"//live.staticflickr.com/5593/13947652260_478efd4635_q.jpg","width":150,"height":150,"displayUrl":"//live.staticflickr.com/5593/13947652260_478efd4635_q.jpg"},"exportMetaType":"pojo"},"s":{"data":{"url":"//live.staticflickr.com/5593/13947652260_478efd4635_m.jpg","width":240,"height":180,"displayUrl":"//live.staticflickr.com/5593/13947652260_478efd4635_m.jpg"},"exportMetaType":"pojo"},"t":{"data":{"url":"//live.staticflickr.com/5593/13947652260_478efd4635_t.jpg","width":100,"height":75,"displayUrl":"//live.staticflickr.com/5593/13947652260_478efd4635_t.jpg"},"exportMetaType":"pojo"},"w":{"data":{"url":"//live.staticflickr.com/5593/13947652260_478efd4635_w.jpg","width":400,"height":300,"displayUrl":"//live.staticflickr.com/5593/13947652260_478efd4635_w.jpg"},"exportMetaType":"pojo"},"z":{"data":{"url":"//live.staticflickr.com/5593/13947652260_478efd4635_z.jpg","width":640,"height":480,"displayUrl":"//live.staticflickr.com/5593/13947652260_478efd4635_z.jpg"},"exportMetaType":"pojo"},"3k":{"data":{"url":"//live.staticflickr.com/5593/13947652260_8bd73e1f2c_3k.jpg","width":3072,"height":2304,"displayUrl":"//live.staticflickr.com/5593/13947652260_8bd73e1f2c_3k.jpg"},"exportMetaType":"pojo"},"sq":{"data":{"url":"//live.staticflickr.com/5593/13947652260_478efd4635_s.jpg","width":75,"height":75,"displayUrl":"//live.staticflickr.com/5593/13947652260_478efd4635_s.jpg"},"exportMetaType":"pojo"}},"exportMetaType":"pojo"},"title":"Mallards at Millcreek Park","oWidth":3264,"secret":"478efd4635","license":4,"oHeight":2448,"rotation":0,"canAddMeta":false,"canComment":false,"engagement":{"data":{"id":"13947652260","canShare":true,"ownerNsid":"98609821@N00","reactions":{"data":{"like":{"data":{"id":"like","count":5,"canReact":true,"didViewerReact":true},"exportMetaType":"pojo"},"someOtherReaction":{"data":{"id":"someOtherReaction","count":3,"canReact":true,"didViewerReact":false},"exportMetaType":"pojo"}},"exportMetaType":"pojo"},"viewCount":126,"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13947652260","_flickrModelRegistry":"photo-geo-models"},"exportMetaType":"model"}],"photo-location-models":[{"data":{"id":"13947652260","geo":{"data":"~2","exportMetaType":"model"},"text":"","levels":{"data":{},"exportMetaType":"pojo"},"staticMaps":{"data":{},"exportMetaType":"pojo"},"_flickrModelRegistry":"photo-location-models"},"exportMetaType":"model"}],"photo-head-meta-models":[{"data":{"id":"13947652260","title":"Mallards at Millcreek Park","og:url":"https://www.flickr.com/photos/juliejordanscott/13947652260/","og:type":"article","keywords":"ducks, mallards, millcreekpark, downtownbakersfield, flickrandroidapp:filter=none","og:image":"https://live.staticflickr.com/5593/13947652260_478efd4635_b.jpg","og:title":"Mallards at Millcreek Park","twitter:card":"summary_large_image","twitter:image":"https://live.staticflickr.com/5593/13947652260_478efd4635_b.jpg","og:description":"","og:image:width":1024,"og:image:height":768,"twitter:creator":"@juliejordanscot","twitter:description":"Explore juliejordanscott's 67408 photos on Flickr!","_flickrModelRegistry":"photo-head-meta-models","twitter:app:url:ipad":"flickr://flickr.com/photos/juliejordanscott/13947652260/","twitter:app:url:iphone":"flickr://flickr.com/photos/juliejordanscott/13947652260/","twitter:app:url:googleplay":"https://www.flickr.com/photos/juliejordanscott/13947652260/"},"exportMetaType":"model"}],"photo-license-history-models":[]},"acquisition_file":"fl-13947652260.webp","source_html_file":"/Users/atincakcayoz/corteqs/output/bakersfield-production-20261023/flickr-source-pages/13947652260.html","original_file_url":"https://live.staticflickr.com/5593/13947652260_3ae280d462_o.jpg","proposed_identity":"Central Park at Mill Creek","source_html_sha256":"cb38e2eb4f4c631d871cb26c952c3abf34500ae710589ff3c086808345b4ec9a","third_party_rights_review":{"basis":"Kaynakta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dönüştürüldü.","original_file_url":"https://live.staticflickr.com/5593/13947652260_3ae280d462_o.jpg"},"metadata_reviewed_on":"2026-10-24","metadata_review_status":"verified"}}</x:v>
      </x:c>
    </x:row>
    <x:row r="129" ht="300" customHeight="1">
      <x:c r="A129" s="29" t="str">
        <x:v>bakersfield:evidence:venue-22094</x:v>
      </x:c>
      <x:c r="B129" s="29" t="str">
        <x:v>bakersfield</x:v>
      </x:c>
      <x:c r="C129" s="29" t="str">
        <x:v>bakersfield:photo:venue-22094</x:v>
      </x:c>
      <x:c r="D129" s="29" t="str">
        <x:v>https://www.flickr.com/photos/93406569@N00/6345264777/</x:v>
      </x:c>
      <x:c r="E129" s="29" t="str">
        <x:v>Central Park at Mill Creek · 2011 tarihli fotoğraf</x:v>
      </x:c>
      <x:c r="F129" s="29" t="str">
        <x:v>Chuck Abbe</x:v>
      </x:c>
      <x:c r="G129" s="29" t="str">
        <x:v>CC BY 2.0</x:v>
      </x:c>
      <x:c r="H129" s="29" t="str">
        <x:v>https://creativecommons.org/licenses/by/2.0/</x:v>
      </x:c>
      <x:c r="I129" s="29" t="str">
        <x:v>CC BY 2.0</x:v>
      </x:c>
      <x:c r="J129" s="29" t="str">
        <x:v>Central Park at Mill Creek · 2011 tarihli fotoğraf · Chuck Abbe · CC BY 2.0 · https://www.flickr.com/photos/93406569@N00/6345264777/</x:v>
      </x:c>
      <x:c r="K12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29" s="31" t="d">
        <x:v>2026-10-24T00:00:00.000Z</x:v>
      </x:c>
      <x:c r="M129" s="29" t="str">
        <x:v>Doğrulandı</x:v>
      </x:c>
      <x:c r="N129" s="29" t="str">
        <x:v>Doğrulandı</x:v>
      </x:c>
      <x:c r="O129" s="29" t="str">
        <x:v>Fotoğraflar/bk-5c5fd34f71515e4441bc96a8.webp</x:v>
      </x:c>
      <x:c r="P129" s="29" t="str">
        <x:v>Central Park at Mill Creek · 2011 tarihli fotoğraf · İndirilen kare temas sayfasında görüldü; kaynak mekân kimliğiyle eşleştirildi. Seçim kaydı final-pixel-review.json.</x:v>
      </x:c>
      <x:c r="Q129" s="29" t="str">
        <x:v>Bu kare için uygun</x:v>
      </x:c>
      <x:c r="R12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29" s="29" t="str">
        <x:v>Lisans kanıtları/bk-5c5fd34f71515e4441bc96a8.source-evidence.json</x:v>
      </x:c>
      <x:c r="T129" s="29" t="str">
        <x:v>62fbaf2e7c9235bafd94ab2c9987294158c639679c8e4132df796faf37a8497f</x:v>
      </x:c>
      <x:c r="U129" s="29" t="str">
        <x:v>Lisans kanıtları/bk-5c5fd34f71515e4441bc96a8.license-record.json</x:v>
      </x:c>
      <x:c r="V129" s="29" t="str">
        <x:v>60dabc1adf226e53d33a89c38f01c45a3d96c95b07d5a7a5b7dc66864f7c0338</x:v>
      </x:c>
      <x:c r="W129" s="29" t="str">
        <x:v>{"file":"bk-5c5fd34f71515e4441bc96a8.webp","width":1023,"author":"Chuck Abbe","height":687,"sha256":"5c5fd34f71515e4441bc96a8f81ec09f490896e6f0ab300200528c7a5d57f413","status":"reviewed-selected","license":"CC BY 2.0","provider":"Flickr","review_id":"F140","source_id":"6345264777","author_url":"https://www.flickr.com/photos/93406569@N00/","date_texts":["Uploaded on November 14, 2011 Taken on November 14, 2011","Taken on November 14, 2011","Uploaded on November 14, 2011 Taken on November 14, 2011","Taken on November 14, 2011"],"source_url":"https://www.flickr.com/photos/93406569@N00/6345264777/","description":"","license_url":"https://creativecommons.org/licenses/by/2.0/","review_note":"Müzenin kanal tarafındaki dış cephesi.","reviewed_on":"2026-10-24","source_text":"Museum of Art | Chuck Abbe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Chuck Abbe ChuckThePhotographer Museum of Art Done 310 views 0 faves 1 comment Uploaded on November 14, 2011 Taken on November 14, 2011 Chuck Abbe By: Chuck Abbe Museum of Art Done 310 views 0 faves 1 comment Uploaded on November 14, 2011 Taken on November 14,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photography.","capture_date":"2011-11-14","download_url":"https://live.staticflickr.com/6108/6345264777_e0ab3796bd_b.jpg","original_url":"https://live.staticflickr.com/6108/6345264777_6632bdbd79_o.jpg","pixel_review":{"method":"İndirilen kare temas sayfasında görüldü; kaynak mekân kimliğiyle eşleştirildi. Seçim kaydı final-pixel-review.json.","status":"verified","caption":"Central Park at Mill Creek · 2011 tarihli fotoğraf","reviewer":"Codex (AI)","review_id":"F140"},"source_title":"Museum of Art","downloaded_at":"2026-10-23T19:50:11.200723+00:00","download_sha256":"0d5fda3d51d2663032763c4683ab626aad3d6906e37c6afad52e98dee51c89e8","downloaded_file":"downloads/0d5fda3d51d2663032763c4683ab626aad3d6906e37c6afad52e98dee51c89e8.jpg","public_metadata":{"photo-models":[{"data":{"id":"6345264777","owner":{"data":{"id":"93406569@N00","isPro":false,"newFlow":true,"isAdFree":false,"realname":"Chuck Abbe","segments":{"data":[],"exportMetaType":"array"},"username":"ChuckThePhotographer","buddyicon":{"data":{"large":"//live.staticflickr.com/1166/buddyicons/93406569@N00_l.jpg?1183755746#93406569@N00","small":"//live.staticflickr.com/1166/buddyicons/93406569@N00_s.jpg?1183755746#93406569@N00","medium":"//live.staticflickr.com/1166/buddyicons/93406569@N00_m.jpg?1183755746#93406569@N00","retina":"//live.staticflickr.com/1166/buddyicons/93406569@N00_r.jpg?1183755746#93406569@N00","default":"//live.staticflickr.com/1166/buddyicons/93406569@N00.jpg?1183755746#93406569@N00"},"exportMetaType":"pojo"},"pathAlias":"chuckthephotographer","dateCreated":{"data":"1160686476","exportMetaType":"serializeFunction"},"subscription":{"data":{"isPro":false,"isClosed":false,"isPastDue":false},"exportMetaType":"pojo"},"eligibleGifts":{"data":["year","month","week"],"exportMetaType":"array"},"isEligibleForGifts":true,"_flickrModelRegistry":"person-models"},"exportMetaType":"model"},"sizes":{"data":{"c":{"data":{"url":"//live.staticflickr.com/6108/6345264777_e0ab3796bd_c.jpg","width":800,"height":537,"displayUrl":"//live.staticflickr.com/6108/6345264777_e0ab3796bd_c.jpg"},"exportMetaType":"pojo"},"h":{"data":{"url":"//live.staticflickr.com/6108/6345264777_a55c2df599_h.jpg","width":1600,"height":1074,"displayUrl":"//live.staticflickr.com/6108/6345264777_a55c2df599_h.jpg"},"exportMetaType":"pojo"},"k":{"data":{"url":"//live.staticflickr.com/6108/6345264777_560eef2623_k.jpg","width":2048,"height":1375,"displayUrl":"//live.staticflickr.com/6108/6345264777_560eef2623_k.jpg"},"exportMetaType":"pojo"},"l":{"data":{"url":"//live.staticflickr.com/6108/6345264777_e0ab3796bd_b.jpg","width":1024,"height":687,"displayUrl":"//live.staticflickr.com/6108/6345264777_e0ab3796bd_b.jpg"},"exportMetaType":"pojo"},"m":{"data":{"url":"//live.staticflickr.com/6108/6345264777_e0ab3796bd.jpg","width":500,"height":336,"displayUrl":"//live.staticflickr.com/6108/6345264777_e0ab3796bd.jpg"},"exportMetaType":"pojo"},"n":{"data":{"url":"//live.staticflickr.com/6108/6345264777_e0ab3796bd_n.jpg","width":320,"height":215,"displayUrl":"//live.staticflickr.com/6108/6345264777_e0ab3796bd_n.jpg"},"exportMetaType":"pojo"},"o":{"data":{"url":"//live.staticflickr.com/6108/6345264777_6632bdbd79_o.jpg","width":2896,"height":1944,"displayUrl":"//live.staticflickr.com/6108/6345264777_6632bdbd79_o.jpg"},"exportMetaType":"pojo"},"q":{"data":{"url":"//live.staticflickr.com/6108/6345264777_e0ab3796bd_q.jpg","width":150,"height":150,"displayUrl":"//live.staticflickr.com/6108/6345264777_e0ab3796bd_q.jpg"},"exportMetaType":"pojo"},"s":{"data":{"url":"//live.staticflickr.com/6108/6345264777_e0ab3796bd_m.jpg","width":240,"height":161,"displayUrl":"//live.staticflickr.com/6108/6345264777_e0ab3796bd_m.jpg"},"exportMetaType":"pojo"},"t":{"data":{"url":"//live.staticflickr.com/6108/6345264777_e0ab3796bd_t.jpg","width":100,"height":67,"displayUrl":"//live.staticflickr.com/6108/6345264777_e0ab3796bd_t.jpg"},"exportMetaType":"pojo"},"w":{"data":{"url":"//live.staticflickr.com/6108/6345264777_e0ab3796bd_w.jpg","width":400,"height":269,"displayUrl":"//live.staticflickr.com/6108/6345264777_e0ab3796bd_w.jpg"},"exportMetaType":"pojo"},"z":{"data":{"url":"//live.staticflickr.com/6108/6345264777_e0ab3796bd_z.jpg","width":640,"height":430,"displayUrl":"//live.staticflickr.com/6108/6345264777_e0ab3796bd_z.jpg"},"exportMetaType":"pojo"},"sq":{"data":{"url":"//live.staticflickr.com/6108/6345264777_e0ab3796bd_s.jpg","width":75,"height":75,"displayUrl":"//live.staticflickr.com/6108/6345264777_e0ab3796bd_s.jpg"},"exportMetaType":"pojo"}},"exportMetaType":"pojo"},"title":"Museum of Art","oWidth":2896,"secret":"e0ab3796bd","license":4,"oHeight":1944,"rotation":0,"canAddMeta":false,"canComment":false,"engagement":{"data":{"id":"6345264777","canShare":true,"ownerNsid":"93406569@N00","reactions":{"data":{"like":{"data":{"id":"like","count":5,"canReact":true,"didViewerReact":true},"exportMetaType":"pojo"},"someOtherReaction":{"data":{"id":"someOtherReaction","count":3,"canReact":true,"didViewerReact":false},"exportMetaType":"pojo"}},"exportMetaType":"pojo"},"viewCount":310,"canDownload":true,"commentCount":1,"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6345264777","_flickrModelRegistry":"photo-geo-models"},"exportMetaType":"model"}],"photo-location-models":[{"data":{"id":"6345264777","geo":{"data":"~2","exportMetaType":"model"},"text":"","levels":{"data":{},"exportMetaType":"pojo"},"staticMaps":{"data":{},"exportMetaType":"pojo"},"_flickrModelRegistry":"photo-location-models"},"exportMetaType":"model"}],"photo-head-meta-models":[{"data":{"id":"6345264777","title":"Museum of Art","og:url":"https://www.flickr.com/photos/chuckthephotographer/6345264777/","og:type":"article","keywords":"bakersfield, millcreekpark, downtownbakersfield","og:image":"https://live.staticflickr.com/6108/6345264777_e0ab3796bd_b.jpg","og:title":"Museum of Art","twitter:card":"summary_large_image","twitter:image":"https://live.staticflickr.com/6108/6345264777_e0ab3796bd_b.jpg","og:description":"","og:image:width":1024,"og:image:height":687,"twitter:description":"Explore ChuckThePhotographer's 895 photos on Flickr!","_flickrModelRegistry":"photo-head-meta-models","twitter:app:url:ipad":"flickr://flickr.com/photos/chuckthephotographer/6345264777/","twitter:app:url:iphone":"flickr://flickr.com/photos/chuckthephotographer/6345264777/","twitter:app:url:googleplay":"https://www.flickr.com/photos/chuckthephotographer/6345264777/"},"exportMetaType":"model"}],"photo-license-history-models":[]},"acquisition_file":"fl-6345264777.webp","source_html_file":"/Users/atincakcayoz/corteqs/output/bakersfield-production-20261023/flickr-source-pages/6345264777.html","original_file_url":"https://live.staticflickr.com/6108/6345264777_6632bdbd79_o.jpg","proposed_identity":"Bakersfield Museum of Art","source_html_sha256":"7072273bf424b3904b66f46918f69571f153749b1442753da49a89a9c2951ef3","third_party_rights_review":{"basis":"Kaynakta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dönüştürüldü.","photo_attribution":{"author_url":"https://www.flickr.com/photos/93406569@N00/","modifications":"EXIF yönü uygulandı; boyut küçültülüp WebP biçimine dönüştürüldü.","original_file_url":"https://live.staticflickr.com/6108/6345264777_6632bdbd79_o.jpg"},"metadata_reviewed_on":"2026-10-24","metadata_review_status":"verified"}}</x:v>
      </x:c>
    </x:row>
    <x:row r="130" ht="300" customHeight="1">
      <x:c r="A130" s="29" t="str">
        <x:v>bakersfield:evidence:venue-22095</x:v>
      </x:c>
      <x:c r="B130" s="29" t="str">
        <x:v>bakersfield</x:v>
      </x:c>
      <x:c r="C130" s="29" t="str">
        <x:v>bakersfield:photo:venue-22095</x:v>
      </x:c>
      <x:c r="D130" s="29" t="str">
        <x:v>https://www.flickr.com/photos/193771854@N06/52775718110/</x:v>
      </x:c>
      <x:c r="E130" s="29" t="str">
        <x:v>Hart Memorial Park · 2023 tarihli fotoğraf</x:v>
      </x:c>
      <x:c r="F130" s="29" t="str">
        <x:v>Anon Anon</x:v>
      </x:c>
      <x:c r="G130" s="29" t="str">
        <x:v>CC0 1.0</x:v>
      </x:c>
      <x:c r="H130" s="29" t="str">
        <x:v>https://creativecommons.org/publicdomain/zero/1.0/</x:v>
      </x:c>
      <x:c r="I130" s="29" t="str">
        <x:v>CC0 1.0</x:v>
      </x:c>
      <x:c r="J130" s="29" t="str">
        <x:v>Hart Memorial Park · 2023 tarihli fotoğraf · Anon Anon · CC0 1.0 · https://www.flickr.com/photos/193771854@N06/52775718110/</x:v>
      </x:c>
      <x:c r="K13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0" s="31" t="d">
        <x:v>2026-10-24T00:00:00.000Z</x:v>
      </x:c>
      <x:c r="M130" s="29" t="str">
        <x:v>Doğrulandı</x:v>
      </x:c>
      <x:c r="N130" s="29" t="str">
        <x:v>Doğrulandı</x:v>
      </x:c>
      <x:c r="O130" s="29" t="str">
        <x:v>Fotoğraflar/bk-e84925a3bbd9f6cfeb517305.webp</x:v>
      </x:c>
      <x:c r="P130" s="29" t="str">
        <x:v>Northeast / Kern River County Park çevresi · 2023 tarihli fotoğraf · İndirilen kare temas sayfasında görüldü; kaynak mekân kimliğiyle eşleştirildi. Seçim kaydı final-pixel-review.json.</x:v>
      </x:c>
      <x:c r="Q130" s="29" t="str">
        <x:v>Bu kare için uygun</x:v>
      </x:c>
      <x:c r="R13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0" s="29" t="str">
        <x:v>Lisans kanıtları/bk-e84925a3bbd9f6cfeb517305.source-evidence.json</x:v>
      </x:c>
      <x:c r="T130" s="29" t="str">
        <x:v>0d3fd0143c8f9c58333aaa951ceb473abc1bb22f3cc3d05a24c7ce28199be52e</x:v>
      </x:c>
      <x:c r="U130" s="29" t="str">
        <x:v>Lisans kanıtları/bk-e84925a3bbd9f6cfeb517305.license-record.json</x:v>
      </x:c>
      <x:c r="V130" s="29" t="str">
        <x:v>536a9b16b086dc56379a1c5fa00b56e07daffe5b9e7df18c9cf3d72d2cc33211</x:v>
      </x:c>
      <x:c r="W130" s="29" t="str">
        <x:v>{"file":"bk-e84925a3bbd9f6cfeb517305.webp","width":768,"author":"Anon Anon","height":1024,"sha256":"e84925a3bbd9f6cfeb517305ec63834d24cad831360cf0deea763d068e0c3923","status":"reviewed-selected","license":"CC0 1.0","provider":"Flickr","review_id":"G0","source_id":"52775718110","author_url":"https://www.flickr.com/photos/193771854@N06/","date_texts":["Uploaded on March 27, 2023 Taken on March 13, 2023","Taken on March 13, 2023","Uploaded on March 27, 2023 Taken on March 13, 2023","Taken on March 13, 2023"],"source_url":"https://www.flickr.com/photos/193771854@N06/52775718110/","description":"","license_url":"https://creativecommons.org/publicdomain/zero/1.0/","review_note":"New direct photo page; pixels and original description require review.","reviewed_on":"2026-10-24","source_text":"Hart Park, Bakersfield, CA Public Domain | Hart Park, Bakers…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Anon Anon anon4809 Hart Park, Bakersfield, CA Public Domain Hart Park, Bakersfield, CA Public Domain Done 15 views 0 faves 0 comments Uploaded on March 27, 2023 Taken on March 13, 2023 Anon Anon By: Anon Anon Hart Park, Bakersfield, CA Public Domain Hart Park, Bakersfield, CA Public Domain Done 15 views 0 faves 0 comments Uploaded on March 27, 2023 Taken on March 13, 2023 Public domain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photography.","capture_date":"2023-03-13","download_url":"https://live.staticflickr.com/65535/52775718110_d1b45828df_b.jpg","original_url":"https://live.staticflickr.com/65535/52775718110_df6b88c2f8_o.jpg","pixel_review":{"method":"İndirilen kare temas sayfasında görüldü; kaynak mekân kimliğiyle eşleştirildi. Seçim kaydı final-pixel-review.json.","status":"verified","caption":"Northeast / Kern River County Park çevresi · 2023 tarihli fotoğraf","reviewer":"Codex (AI)","review_id":"G0"},"source_title":"Hart Park, Bakersfield, CA Public Domain","downloaded_at":"2026-10-23T20:31:28.133830+00:00","download_sha256":"1635190f5d7ade0acf29c9a36b4f97b7fe95a1d134c4ee68c21db09b6b31ea9b","downloaded_file":"downloads/1635190f5d7ade0acf29c9a36b4f97b7fe95a1d134c4ee68c21db09b6b31ea9b.jpg","public_metadata":{"photo-models":[{"data":{"id":"52775718110","owner":{"data":{"id":"193771854@N06","isPro":false,"newFlow":true,"isAdFree":false,"location":null,"realname":"Anon Anon","segments":{"data":[],"exportMetaType":"array"},"username":"anon4809","buddyicon":{"data":{"large":"//combo.staticflickr.com/pw/images/bbuddyicon06_l.png#193771854@N06","small":"//combo.staticflickr.com/pw/images/bbuddyicon06_s.png#193771854@N06","medium":"//combo.staticflickr.com/pw/images/bbuddyicon06_m.png#193771854@N06","retina":"//combo.staticflickr.com/pw/images/bbuddyicon06_r.png#193771854@N06","default":"//combo.staticflickr.com/pw/images/bbuddyicon06.png#193771854@N06"},"exportMetaType":"pojo"},"dateCreated":{"data":"1629555095","exportMetaType":"serializeFunction"},"subscription":{"data":{"isPro":false,"isClosed":false,"isPastDue":false},"exportMetaType":"pojo"},"eligibleGifts":{"data":["year","month","week"],"exportMetaType":"array"},"isEligibleForGifts":true,"_flickrModelRegistry":"person-models"},"exportMetaType":"model"},"sizes":{"data":{"c":{"data":{"url":"//live.staticflickr.com/65535/52775718110_d1b45828df_c.jpg","width":600,"height":800,"displayUrl":"//live.staticflickr.com/65535/52775718110_d1b45828df_c.jpg"},"exportMetaType":"pojo"},"h":{"data":{"url":"//live.staticflickr.com/65535/52775718110_dd17923260_h.jpg","width":1200,"height":1600,"displayUrl":"//live.staticflickr.com/65535/52775718110_dd17923260_h.jpg"},"exportMetaType":"pojo"},"k":{"data":{"url":"//live.staticflickr.com/65535/52775718110_f71187e8c9_k.jpg","width":1536,"height":2048,"displayUrl":"//live.staticflickr.com/65535/52775718110_f71187e8c9_k.jpg"},"exportMetaType":"pojo"},"l":{"data":{"url":"//live.staticflickr.com/65535/52775718110_d1b45828df_b.jpg","width":768,"height":1024,"displayUrl":"//live.staticflickr.com/65535/52775718110_d1b45828df_b.jpg"},"exportMetaType":"pojo"},"m":{"data":{"url":"//live.staticflickr.com/65535/52775718110_d1b45828df.jpg","width":375,"height":500,"displayUrl":"//live.staticflickr.com/65535/52775718110_d1b45828df.jpg"},"exportMetaType":"pojo"},"n":{"data":{"url":"//live.staticflickr.com/65535/52775718110_d1b45828df_n.jpg","width":240,"height":320,"displayUrl":"//live.staticflickr.com/65535/52775718110_d1b45828df_n.jpg"},"exportMetaType":"pojo"},"o":{"data":{"url":"//live.staticflickr.com/65535/52775718110_df6b88c2f8_o.jpg","width":4032,"height":3024,"displayUrl":"//live.staticflickr.com/65535/52775718110_df6b88c2f8_o.jpg"},"exportMetaType":"pojo"},"q":{"data":{"url":"//live.staticflickr.com/65535/52775718110_d1b45828df_q.jpg","width":150,"height":150,"displayUrl":"//live.staticflickr.com/65535/52775718110_d1b45828df_q.jpg"},"exportMetaType":"pojo"},"s":{"data":{"url":"//live.staticflickr.com/65535/52775718110_d1b45828df_m.jpg","width":180,"height":240,"displayUrl":"//live.staticflickr.com/65535/52775718110_d1b45828df_m.jpg"},"exportMetaType":"pojo"},"t":{"data":{"url":"//live.staticflickr.com/65535/52775718110_d1b45828df_t.jpg","width":75,"height":100,"displayUrl":"//live.staticflickr.com/65535/52775718110_d1b45828df_t.jpg"},"exportMetaType":"pojo"},"w":{"data":{"url":"//live.staticflickr.com/65535/52775718110_d1b45828df_w.jpg","width":300,"height":400,"displayUrl":"//live.staticflickr.com/65535/52775718110_d1b45828df_w.jpg"},"exportMetaType":"pojo"},"z":{"data":{"url":"//live.staticflickr.com/65535/52775718110_d1b45828df_z.jpg","width":480,"height":640,"displayUrl":"//live.staticflickr.com/65535/52775718110_d1b45828df_z.jpg"},"exportMetaType":"pojo"},"sq":{"data":{"url":"//live.staticflickr.com/65535/52775718110_d1b45828df_s.jpg","width":75,"height":75,"displayUrl":"//live.staticflickr.com/65535/52775718110_d1b45828df_s.jpg"},"exportMetaType":"pojo"}},"exportMetaType":"pojo"},"title":"Hart Park, Bakersfield, CA Public Domain","oWidth":4032,"secret":"d1b45828df","license":9,"oHeight":3024,"rotation":90,"canAddMeta":false,"canComment":false,"engagement":{"data":{"id":"52775718110","canShare":true,"ownerNsid":"193771854@N06","reactions":{"data":{"like":{"data":{"id":"like","count":5,"canReact":true,"didViewerReact":true},"exportMetaType":"pojo"},"someOtherReaction":{"data":{"id":"someOtherReaction","count":3,"canReact":true,"didViewerReact":false},"exportMetaType":"pojo"}},"exportMetaType":"pojo"},"viewCount":15,"canDownload":true,"_flickrModelRegistry":"photo-engagement-models"},"exportMetaType":"model"},"description":"Hart Park, Bakersfield, CA Public Domain","safetyLevel":0,"upgradeSizes":{"data":[],"exportMetaType":"array"},"adEligibility":{"data":{"lane":1,"labels":{"data":[],"exportMetaType":"array"},"isAdEligible":true,"highScoreLabels":{"data":[],"exportMetaType":"array"}},"exportMetaType":"pojo"},"canPublicComment":true,"_flickrModelRegistry":"photo-models"},"exportMetaType":"model"}],"photo-geo-models":[{"data":{"id":"52775718110","hasGeo":true,"accuracy":12,"isPublic":true,"latitude":35.444901,"longitude":-118.910865,"_flickrModelRegistry":"photo-geo-models"},"exportMetaType":"model"}],"photo-location-models":[{"data":{"id":"52775718110","geo":{"data":"~2","exportMetaType":"model"},"text":"Oil City, California, United States","levels":{"data":{"county":{"data":{"name":"Kern","woeId":null},"exportMetaType":"pojo"},"region":{"data":{"name":"California","woeId":null},"exportMetaType":"pojo"},"country":{"data":{"name":"United States","woeId":null},"exportMetaType":"pojo"},"locality":{"data":{"name":"Oil City","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52775718110","title":"Hart Park, Bakersfield, CA Public Domain","og:url":"https://www.flickr.com/photos/193771854@N06/52775718110/","og:type":"article","og:image":"https://live.staticflickr.com/65535/52775718110_d1b45828df_b.jpg","og:title":"Hart Park, Bakersfield, CA Public Domain","twitter:card":"summary_large_image","twitter:image":"https://live.staticflickr.com/65535/52775718110_d1b45828df_b.jpg","og:description":"Hart Park, Bakersfield, CA Public Domain","og:image:width":768,"og:image:height":1024,"twitter:description":"Hart Park, Bakersfield, CA Public Domain","_flickrModelRegistry":"photo-head-meta-models","twitter:app:url:ipad":"flickr://flickr.com/photos/193771854@N06/52775718110/","twitter:app:url:iphone":"flickr://flickr.com/photos/193771854@N06/52775718110/","twitter:app:url:googleplay":"https://www.flickr.com/photos/193771854@N06/52775718110/"},"exportMetaType":"model"}],"photo-license-history-models":[]},"acquisition_file":"fl-52775718110.webp","source_html_file":"/Users/atincakcayoz/corteqs/output/bakersfield-production-20261023/flickr-source-pages/52775718110.html","original_file_url":"https://live.staticflickr.com/65535/52775718110_df6b88c2f8_o.jpg","proposed_identity":"Hart Park candidate","source_html_sha256":"c24cb360658dd7fb316e0ba8ed32070762fa4cd8692b09f3186da06691cba982","third_party_rights_review":{"basis":"Kaynakta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dönüştürüldü.","photo_attribution":{"author_url":"https://www.flickr.com/photos/193771854@N06/","modifications":"EXIF yönü uygulandı; boyut küçültülüp WebP biçimine dönüştürüldü.","original_file_url":"https://live.staticflickr.com/65535/52775718110_df6b88c2f8_o.jpg"},"metadata_reviewed_on":"2026-10-24","metadata_review_status":"verified"}}</x:v>
      </x:c>
    </x:row>
    <x:row r="131" ht="300" customHeight="1">
      <x:c r="A131" s="29" t="str">
        <x:v>bakersfield:evidence:venue-22096</x:v>
      </x:c>
      <x:c r="B131" s="29" t="str">
        <x:v>bakersfield</x:v>
      </x:c>
      <x:c r="C131" s="29" t="str">
        <x:v>bakersfield:photo:venue-22096</x:v>
      </x:c>
      <x:c r="D131" s="29" t="str">
        <x:v>https://commons.wikimedia.org/wiki/File:Lake_Ming,_California.jpg</x:v>
      </x:c>
      <x:c r="E131" s="29" t="str">
        <x:v>Lake Ming, California.jpg</x:v>
      </x:c>
      <x:c r="F131" s="29" t="str">
        <x:v>MzNobody</x:v>
      </x:c>
      <x:c r="G131" s="29" t="str">
        <x:v>CC BY-SA 3.0</x:v>
      </x:c>
      <x:c r="H131" s="29" t="str">
        <x:v>https://creativecommons.org/licenses/by-sa/3.0</x:v>
      </x:c>
      <x:c r="I131" s="29" t="str">
        <x:v>Creative Commons Attribution-Share Alike 3.0</x:v>
      </x:c>
      <x:c r="J131" s="29" t="str">
        <x:v>Lake Ming, California.jpg · MzNobody · CC BY-SA 3.0 · https://commons.wikimedia.org/wiki/File:Lake_Ming,_California.jpg</x:v>
      </x:c>
      <x:c r="K13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1" s="31" t="d">
        <x:v>2026-10-24T00:00:00.000Z</x:v>
      </x:c>
      <x:c r="M131" s="29" t="str">
        <x:v>Doğrulandı</x:v>
      </x:c>
      <x:c r="N131" s="29" t="str">
        <x:v>Doğrulandı</x:v>
      </x:c>
      <x:c r="O131" s="29" t="str">
        <x:v>Fotoğraflar/bk-78799bb4fa66e9db6c03179a.webp</x:v>
      </x:c>
      <x:c r="P131" s="29" t="str">
        <x:v>Lake Ming · 2012 tarihli fotoğraf · İndirilen kare temas sayfasında görüldü; kaynak mekân kimliğiyle eşleştirildi. Seçim kaydı final-pixel-review.json.</x:v>
      </x:c>
      <x:c r="Q131" s="29" t="str">
        <x:v>Bu kare için uygun</x:v>
      </x:c>
      <x:c r="R13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1" s="29" t="str">
        <x:v>Lisans kanıtları/bk-78799bb4fa66e9db6c03179a.source-evidence.json</x:v>
      </x:c>
      <x:c r="T131" s="29" t="str">
        <x:v>549b2aca6e98efdf1c018385b9bdcc116170d856ef52ec7d9436419cac936c4c</x:v>
      </x:c>
      <x:c r="U131" s="29" t="str">
        <x:v>Lisans kanıtları/bk-78799bb4fa66e9db6c03179a.license-record.json</x:v>
      </x:c>
      <x:c r="V131" s="29" t="str">
        <x:v>067469fadd1eac5b39e22307e0a1bb66a18199aa673d642889af29bb2c02ca7e</x:v>
      </x:c>
      <x:c r="W131" s="29" t="str">
        <x:v>{"file":"bk-78799bb4fa66e9db6c03179a.webp","width":720,"author":"MzNobody","height":960,"sha256":"78799bb4fa66e9db6c03179aae2c69448de81c575e83489b576a81995e063b24","license":"CC BY-SA 3.0","imageinfo":{"url":"https://upload.wikimedia.org/wikipedia/commons/4/47/Lake_Ming%2C_California.jpg?utm_source=commons.wikimedia.org&amp;utm_campaign=imageinfo&amp;utm_content=original","mime":"image/jpeg","sha1":"fe748351cc66eddc1c22f284e27348d4822fbac2","size":201642,"width":720,"height":960,"pageid":18278358,"thumburl":"https://upload.wikimedia.org/wikipedia/commons/4/47/Lake_Ming%2C_California.jpg?utm_source=commons.wikimedia.org&amp;utm_campaign=imageinfo&amp;utm_content=thumbnail_unscaled","timestamp":"2012-02-05T00:43:26Z","thumbwidth":1280,"extmetadata":{"Artist":{"value":"&lt;a href=\"//commons.wikimedia.org/w/index.php?title=User:MzNobody&amp;amp;action=edit&amp;amp;redlink=1\" class=\"new\" title=\"User:MzNobody (page does not exist)\"&gt;MzNobody&lt;/a&gt;","source":"commons-desc-page"},"Credit":{"value":"&lt;span class=\"int-own-work\" lang=\"en\"&gt;Own work&lt;/span&gt;","source":"commons-desc-page"},"License":{"value":"cc-by-sa-3.0","hidden":"","source":"commons-templates"},"DateTime":{"value":"2012-02-05 00:43:26","hidden":"","source":"mediawiki-metadata"},"Categories":{"value":"Lake Ming|Self-published work","hidden":"","source":"commons-categories"},"LicenseUrl":{"value":"https://creativecommons.org/licenses/by-sa/3.0","source":"commons-desc-page"},"ObjectName":{"value":"Lake Ming, California","source":"mediawiki-metadata"},"UsageTerms":{"value":"Creative Commons Attribution-Share Alike 3.0","source":"commons-desc-page"},"Assessments":{"value":"","hidden":"","source":"commons-categories"},"Copyrighted":{"value":"True","hidden":"","source":"commons-desc-page"},"Restrictions":{"value":"","hidden":"","source":"commons-desc-page"},"DateTimeOriginal":{"value":"2012-02-04","source":"commons-desc-page"},"ImageDescription":{"value":"Lake Ming, California","source":"commons-desc-page"},"LicenseShortName":{"value":"CC BY-SA 3.0","hidden":"","source":"commons-desc-page"},"AttributionRequired":{"value":"true","hidden":"","source":"commons-desc-page"},"CommonsMetadataExtension":{"value":1.2,"hidden":"","source":"extension"}},"thumbheight":1707,"thumbattribs":{"src":"https://upload.wikimedia.org/wikipedia/commons/4/47/Lake_Ming%2C_California.jpg?utm_source=commons.wikimedia.org&amp;utm_campaign=imageinfo&amp;utm_content=thumbnail_unscaled","width":1280,"height":1707,"loading":"lazy","decoding":"async"},"descriptionurl":"https://commons.wikimedia.org/wiki/File:Lake_Ming,_California.jpg","descriptionshorturl":"https://commons.wikimedia.org/w/index.php?curid=18278358"},"selection":{"qid":"pending","kind":"candidate","title":"Lake Ming"},"author_url":"","derivative":"Wikimedia thumbnail decoded; EXIF orientation applied; converted to WebP quality 86; no generated pixels, no cropping.","source_url":"https://commons.wikimedia.org/wiki/File:Lake_Ming,_California.jpg","author_urls":[],"description":"Lake Ming, California","license_url":"https://creativecommons.org/licenses/by-sa/3.0","reviewed_on":"2026-10-24","capture_date":"2012-02-04","download_url":"https://upload.wikimedia.org/wikipedia/commons/4/47/Lake_Ming%2C_California.jpg?utm_source=commons.wikimedia.org&amp;utm_campaign=imageinfo&amp;utm_content=thumbnail_unscaled","original_url":"https://upload.wikimedia.org/wikipedia/commons/4/47/Lake_Ming%2C_California.jpg?utm_source=commons.wikimedia.org&amp;utm_campaign=imageinfo&amp;utm_content=original","pixel_review":{"method":"İndirilen kare temas sayfasında görüldü; kaynak mekân kimliğiyle eşleştirildi. Seçim kaydı final-pixel-review.json.","status":"verified","caption":"Lake Ming · 2012 tarihli fotoğraf","reviewer":"Codex (AI)","review_id":"C192"},"downloaded_at":"2026-10-23T19:09:56.361701+00:00","download_sha256":"5690782a962426531e9e81c13fbaa83ae8a4e59fdb87f419ea657c338ccf9b4b","downloaded_file":"downloads/5690782a962426531e9e81c13fbaa83ae8a4e59fdb87f419ea657c338ccf9b4b.jpg","acquisition_file":"9b4fba75cd88c639646cfea8.webp","commons_filename":"Lake Ming, California.jpg","original_file_url":"https://upload.wikimedia.org/wikipedia/commons/4/47/Lake_Ming%2C_Californi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4/47/Lake_Ming%2C_California.jpg?utm_source=commons.wikimedia.org&amp;utm_campaign=imageinfo&amp;utm_content=original"},"metadata_reviewed_on":"2026-10-24","metadata_review_status":"verified"}}</x:v>
      </x:c>
    </x:row>
    <x:row r="132" ht="300" customHeight="1">
      <x:c r="A132" s="29" t="str">
        <x:v>bakersfield:evidence:venue-22097</x:v>
      </x:c>
      <x:c r="B132" s="29" t="str">
        <x:v>bakersfield</x:v>
      </x:c>
      <x:c r="C132" s="29" t="str">
        <x:v>bakersfield:photo:venue-22097</x:v>
      </x:c>
      <x:c r="D132" s="29" t="str">
        <x:v>https://commons.wikimedia.org/wiki/File:Kern_River_County_Park.jpg</x:v>
      </x:c>
      <x:c r="E132" s="29" t="str">
        <x:v>Kern River County Park.jpg</x:v>
      </x:c>
      <x:c r="F132" s="29" t="str">
        <x:v>LittleT889</x:v>
      </x:c>
      <x:c r="G132" s="29" t="str">
        <x:v>CC BY-SA 4.0</x:v>
      </x:c>
      <x:c r="H132" s="29" t="str">
        <x:v>https://creativecommons.org/licenses/by-sa/4.0</x:v>
      </x:c>
      <x:c r="I132" s="29" t="str">
        <x:v>Creative Commons Attribution-Share Alike 4.0</x:v>
      </x:c>
      <x:c r="J132" s="29" t="str">
        <x:v>Kern River County Park.jpg · LittleT889 · CC BY-SA 4.0 · https://commons.wikimedia.org/wiki/File:Kern_River_County_Park.jpg</x:v>
      </x:c>
      <x:c r="K13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2" s="31" t="d">
        <x:v>2026-10-24T00:00:00.000Z</x:v>
      </x:c>
      <x:c r="M132" s="29" t="str">
        <x:v>Doğrulandı</x:v>
      </x:c>
      <x:c r="N132" s="29" t="str">
        <x:v>Doğrulandı</x:v>
      </x:c>
      <x:c r="O132" s="29" t="str">
        <x:v>Fotoğraflar/bk-de3049ef84c1a1981d3a5122.webp</x:v>
      </x:c>
      <x:c r="P132" s="29" t="str">
        <x:v>Lake Ming · 2021 tarihli fotoğraf · İndirilen kare temas sayfasında görüldü; kaynak mekân kimliğiyle eşleştirildi. Seçim kaydı final-pixel-review.json.</x:v>
      </x:c>
      <x:c r="Q132" s="29" t="str">
        <x:v>Bu kare için uygun</x:v>
      </x:c>
      <x:c r="R13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2" s="29" t="str">
        <x:v>Lisans kanıtları/bk-de3049ef84c1a1981d3a5122.source-evidence.json</x:v>
      </x:c>
      <x:c r="T132" s="29" t="str">
        <x:v>eddc88cdbe85dd3fa912e4fe4bc7a859701c3dd15c236577a17be89dbcb3c87f</x:v>
      </x:c>
      <x:c r="U132" s="29" t="str">
        <x:v>Lisans kanıtları/bk-de3049ef84c1a1981d3a5122.license-record.json</x:v>
      </x:c>
      <x:c r="V132" s="29" t="str">
        <x:v>ff27d12833e95740e29b974063f8ca875cd550d241a5c49d0d574de56e2ecbfb</x:v>
      </x:c>
      <x:c r="W132" s="29" t="str">
        <x:v>{"file":"bk-de3049ef84c1a1981d3a5122.webp","width":1280,"author":"LittleT889","height":960,"sha256":"de3049ef84c1a1981d3a51223a741f55605d733bf295f10ff2950fa596158648","license":"CC BY-SA 4.0","imageinfo":{"url":"https://upload.wikimedia.org/wikipedia/commons/1/1c/Kern_River_County_Park.jpg?utm_source=commons.wikimedia.org&amp;utm_campaign=imageinfo&amp;utm_content=original","mime":"image/jpeg","sha1":"9bb4bb6c43c58ae6ebc0b6a6b7229bf0b674eb7f","size":6312173,"width":4032,"height":3024,"pageid":109658332,"thumburl":"https://thumb.wikimedia.org/wikipedia/commons/thumb/1/1c/Kern_River_County_Park.jpg/1280px-Kern_River_County_Park.jpg?utm_source=commons.wikimedia.org&amp;utm_campaign=imageinfo&amp;utm_content=thumbnail","timestamp":"2021-09-03T22:35:05Z","thumbwidth":1280,"extmetadata":{"Artist":{"value":"&lt;a href=\"//commons.wikimedia.org/w/index.php?title=User:LittleT889&amp;amp;action=edit&amp;amp;redlink=1\" class=\"new\" title=\"User:LittleT889 (page does not exist)\"&gt;LittleT889&lt;/a&gt;","source":"commons-desc-page"},"Credit":{"value":"&lt;span class=\"int-own-work\" lang=\"en\"&gt;Own work&lt;/span&gt;","source":"commons-desc-page"},"License":{"value":"cc-by-sa-4.0","hidden":"","source":"commons-templates"},"DateTime":{"value":"2021-09-03 22:35:05","hidden":"","source":"mediawiki-metadata"},"Categories":{"value":"Parks in Kern County, California|Self-published work|Files with coordinates missing SDC location of creation","hidden":"","source":"commons-categories"},"LicenseUrl":{"value":"https://creativecommons.org/licenses/by-sa/4.0","source":"commons-desc-page"},"ObjectName":{"value":"Kern River County Park","source":"mediawiki-metadata"},"UsageTerms":{"value":"Creative Commons Attribution-Share Alike 4.0","source":"commons-desc-page"},"Assessments":{"value":"","hidden":"","source":"commons-categories"},"Copyrighted":{"value":"True","hidden":"","source":"commons-desc-page"},"GPSLatitude":{"value":"35.438086","source":"commons-desc-page"},"GPSMapDatum":{"value":"WGS-84","hidden":"","source":"commons-desc-page"},"GPSLongitude":{"value":"-118.871339","source":"commons-desc-page"},"Restrictions":{"value":"","hidden":"","source":"commons-desc-page"},"DateTimeOriginal":{"value":"2021-09-03 13:39:53","source":"commons-desc-page"},"ImageDescription":{"value":"Kern River County Park","source":"commons-desc-page"},"LicenseShortName":{"value":"CC BY-SA 4.0","hidden":"","source":"commons-desc-page"},"AttributionRequired":{"value":"true","hidden":"","source":"commons-desc-page"},"CommonsMetadataExtension":{"value":1.2,"hidden":"","source":"extension"}},"thumbheight":960,"thumbattribs":{"src":"https://thumb.wikimedia.org/wikipedia/commons/thumb/1/1c/Kern_River_County_Park.jpg/1280px-Kern_River_County_Park.jpg?utm_source=commons.wikimedia.org&amp;utm_campaign=imageinfo&amp;utm_content=thumbnail","width":1280,"height":960,"srcset":"https://thumb.wikimedia.org/wikipedia/commons/thumb/1/1c/Kern_River_County_Park.jpg/3840px-Kern_River_County_Park.jpg?utm_source=commons.wikimedia.org&amp;utm_campaign=imageinfo&amp;utm_content=thumbnail 2x","loading":"lazy","decoding":"async"},"descriptionurl":"https://commons.wikimedia.org/wiki/File:Kern_River_County_Park.jpg","responsiveUrls":{"2":"https://thumb.wikimedia.org/wikipedia/commons/thumb/1/1c/Kern_River_County_Park.jpg/3840px-Kern_River_County_Park.jpg?utm_source=commons.wikimedia.org&amp;utm_campaign=imageinfo&amp;utm_content=thumbnail"},"descriptionshorturl":"https://commons.wikimedia.org/w/index.php?curid=109658332"},"selection":{"qid":"pending","kind":"candidate","title":"Parks in Kern County, California"},"author_url":"","derivative":"Wikimedia thumbnail decoded; EXIF orientation applied; converted to WebP quality 86; no generated pixels, no cropping.","source_url":"https://commons.wikimedia.org/wiki/File:Kern_River_County_Park.jpg","author_urls":[],"description":"Kern River County Park","license_url":"https://creativecommons.org/licenses/by-sa/4.0","reviewed_on":"2026-10-24","capture_date":"2021-09-03 13:39:53","download_url":"https://thumb.wikimedia.org/wikipedia/commons/thumb/1/1c/Kern_River_County_Park.jpg/1280px-Kern_River_County_Park.jpg?utm_source=commons.wikimedia.org&amp;utm_campaign=imageinfo&amp;utm_content=thumbnail","original_url":"https://upload.wikimedia.org/wikipedia/commons/1/1c/Kern_River_County_Park.jpg?utm_source=commons.wikimedia.org&amp;utm_campaign=imageinfo&amp;utm_content=original","pixel_review":{"method":"İndirilen kare temas sayfasında görüldü; kaynak mekân kimliğiyle eşleştirildi. Seçim kaydı final-pixel-review.json.","status":"verified","caption":"Lake Ming · 2021 tarihli fotoğraf","reviewer":"Codex (AI)","review_id":"C182"},"downloaded_at":"2026-10-23T19:10:12.995374+00:00","download_sha256":"07c307561cba4fb801afb6ee51cd5d1befd67dc4a46d36683a992cba78629f05","downloaded_file":"downloads/07c307561cba4fb801afb6ee51cd5d1befd67dc4a46d36683a992cba78629f05.jpg","acquisition_file":"ad4b531539f4a4df76cbb212.webp","commons_filename":"Kern River County Park.jpg","original_file_url":"https://upload.wikimedia.org/wikipedia/commons/1/1c/Kern_River_County_Park.jpg?utm_source=commons.wikimedia.org&amp;utm_campaign=imageinfo&amp;utm_content=original","pixel_review_status":"pending","third_party_rights_review":{"basis":"Kaynakta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1/1c/Kern_River_County_Park.jpg?utm_source=commons.wikimedia.org&amp;utm_campaign=imageinfo&amp;utm_content=original"},"metadata_reviewed_on":"2026-10-24","metadata_review_status":"verified"}}</x:v>
      </x:c>
    </x:row>
    <x:row r="133" ht="300" customHeight="1">
      <x:c r="A133" s="29" t="str">
        <x:v>bakersfield:evidence:venue-22098</x:v>
      </x:c>
      <x:c r="B133" s="29" t="str">
        <x:v>bakersfield</x:v>
      </x:c>
      <x:c r="C133" s="29" t="str">
        <x:v>bakersfield:photo:venue-22098</x:v>
      </x:c>
      <x:c r="D133" s="29" t="str">
        <x:v>https://www.flickr.com/photos/98609821@N00/51788395283/</x:v>
      </x:c>
      <x:c r="E133" s="29" t="str">
        <x:v>Panorama Park – The Bluffs · 2021 tarihli fotoğraf</x:v>
      </x:c>
      <x:c r="F133" s="29" t="str">
        <x:v>Julie Jordan Scott</x:v>
      </x:c>
      <x:c r="G133" s="29" t="str">
        <x:v>CC BY 2.0</x:v>
      </x:c>
      <x:c r="H133" s="29" t="str">
        <x:v>https://creativecommons.org/licenses/by/2.0/</x:v>
      </x:c>
      <x:c r="I133" s="29" t="str">
        <x:v>CC BY 2.0</x:v>
      </x:c>
      <x:c r="J133" s="29" t="str">
        <x:v>Panorama Park – The Bluffs · 2021 tarihli fotoğraf · Julie Jordan Scott · CC BY 2.0 · https://www.flickr.com/photos/98609821@N00/51788395283/</x:v>
      </x:c>
      <x:c r="K13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3" s="31" t="d">
        <x:v>2026-10-24T00:00:00.000Z</x:v>
      </x:c>
      <x:c r="M133" s="29" t="str">
        <x:v>Doğrulandı</x:v>
      </x:c>
      <x:c r="N133" s="29" t="str">
        <x:v>Doğrulandı</x:v>
      </x:c>
      <x:c r="O133" s="29" t="str">
        <x:v>Fotoğraflar/bk-11d9e108c87151b3e75ab548.webp</x:v>
      </x:c>
      <x:c r="P133" s="29" t="str">
        <x:v>Panorama Park – The Bluffs · 2021 tarihli fotoğraf · İndirilen kare temas sayfasında görüldü; kaynak mekân kimliğiyle eşleştirildi. Seçim kaydı final-pixel-review.json.</x:v>
      </x:c>
      <x:c r="Q133" s="29" t="str">
        <x:v>Bu kare için uygun</x:v>
      </x:c>
      <x:c r="R13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3" s="29" t="str">
        <x:v>Lisans kanıtları/bk-11d9e108c87151b3e75ab548.source-evidence.json</x:v>
      </x:c>
      <x:c r="T133" s="29" t="str">
        <x:v>eb5cb8a13925cb792d80d1c784311f9e61003364b0aabef960abf951c4e2a9bd</x:v>
      </x:c>
      <x:c r="U133" s="29" t="str">
        <x:v>Lisans kanıtları/bk-11d9e108c87151b3e75ab548.license-record.json</x:v>
      </x:c>
      <x:c r="V133" s="29" t="str">
        <x:v>ddb63fa319f4c32723415c9c56d65a3a9b36a37595f273177f9961b9dc6224e6</x:v>
      </x:c>
      <x:c r="W133" s="29" t="str">
        <x:v>{"file":"bk-11d9e108c87151b3e75ab548.webp","width":1024,"author":"Julie Jordan Scott","height":768,"sha256":"11d9e108c87151b3e75ab548f627f3559314dca92d644483d9e50e2602029916","status":"reviewed-selected","license":"CC BY 2.0","provider":"Flickr","review_id":"D76","source_id":"51788395283","author_url":"https://www.flickr.com/photos/98609821@N00/","date_texts":["Uploaded on December 30, 2021 Taken on December 30, 2021","Taken on December 30, 2021","Uploaded on December 30, 2021 Taken on December 30, 2021","Taken on December 30, 2021"],"source_url":"https://www.flickr.com/photos/98609821@N00/51788395283/","description":"Hugging at one of my favorite Bakersfield places","license_url":"https://creativecommons.org/licenses/by/2.0/","review_note":"Public park bench, tree and valley vista.","reviewed_on":"2026-10-24","source_text":"Tree hugging at the Bluffs December 30, 2021 | Hugging at 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Tree hugging at the Bluffs December 30, 2021 Hugging at one of my favorite Bakersfield places Done 83 views 0 faves 0 comments Uploaded on December 30, 2021 Taken on December 30, 2021 Julie Jordan Scott By: Julie Jordan Scott Tree hugging at the Bluffs December 30, 2021 Hugging at one of my favorite Bakersfield places Done 83 views 0 faves 0 comments Uploaded on December 30, 2021 Taken on December 30, 2021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photography.","capture_date":"2021-12-30","download_url":"https://live.staticflickr.com/65535/51788395283_0bab637f5f_b.jpg","original_url":"https://live.staticflickr.com/65535/51788395283_6f520ceff4_4k.jpg","pixel_review":{"method":"İndirilen kare temas sayfasında görüldü; kaynak mekân kimliğiyle eşleştirildi. Seçim kaydı final-pixel-review.json.","status":"verified","caption":"Panorama Park – The Bluffs · 2021 tarihli fotoğraf","reviewer":"Codex (AI)","review_id":"D76"},"source_title":"Tree hugging at the Bluffs December 30, 2021","downloaded_at":"2026-10-23T19:52:14.995955+00:00","download_sha256":"41581720aca70c2f64083abe5cc5d4a0428f005573c6a35e62cc56f93a978471","downloaded_file":"downloads/41581720aca70c2f64083abe5cc5d4a0428f005573c6a35e62cc56f93a978471.jpg","public_metadata":{"photo-models":[{"data":{"id":"51788395283","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65535/51788395283_0bab637f5f_c.jpg","width":800,"height":600,"displayUrl":"//live.staticflickr.com/65535/51788395283_0bab637f5f_c.jpg"},"exportMetaType":"pojo"},"h":{"data":{"url":"//live.staticflickr.com/65535/51788395283_96d7ce9d3a_h.jpg","width":1600,"height":1200,"displayUrl":"//live.staticflickr.com/65535/51788395283_96d7ce9d3a_h.jpg"},"exportMetaType":"pojo"},"k":{"data":{"url":"//live.staticflickr.com/65535/51788395283_f6b9630146_k.jpg","width":2048,"height":1536,"displayUrl":"//live.staticflickr.com/65535/51788395283_f6b9630146_k.jpg"},"exportMetaType":"pojo"},"l":{"data":{"url":"//live.staticflickr.com/65535/51788395283_0bab637f5f_b.jpg","width":1024,"height":768,"displayUrl":"//live.staticflickr.com/65535/51788395283_0bab637f5f_b.jpg"},"exportMetaType":"pojo"},"m":{"data":{"url":"//live.staticflickr.com/65535/51788395283_0bab637f5f.jpg","width":500,"height":375,"displayUrl":"//live.staticflickr.com/65535/51788395283_0bab637f5f.jpg"},"exportMetaType":"pojo"},"n":{"data":{"url":"//live.staticflickr.com/65535/51788395283_0bab637f5f_n.jpg","width":320,"height":240,"displayUrl":"//live.staticflickr.com/65535/51788395283_0bab637f5f_n.jpg"},"exportMetaType":"pojo"},"o":{"data":{"url":"//live.staticflickr.com/65535/51788395283_369c1be20b_o.jpg","width":4032,"height":3024,"displayUrl":"//live.staticflickr.com/65535/51788395283_369c1be20b_o.jpg"},"exportMetaType":"pojo"},"q":{"data":{"url":"//live.staticflickr.com/65535/51788395283_0bab637f5f_q.jpg","width":150,"height":150,"displayUrl":"//live.staticflickr.com/65535/51788395283_0bab637f5f_q.jpg"},"exportMetaType":"pojo"},"s":{"data":{"url":"//live.staticflickr.com/65535/51788395283_0bab637f5f_m.jpg","width":240,"height":180,"displayUrl":"//live.staticflickr.com/65535/51788395283_0bab637f5f_m.jpg"},"exportMetaType":"pojo"},"t":{"data":{"url":"//live.staticflickr.com/65535/51788395283_0bab637f5f_t.jpg","width":100,"height":75,"displayUrl":"//live.staticflickr.com/65535/51788395283_0bab637f5f_t.jpg"},"exportMetaType":"pojo"},"w":{"data":{"url":"//live.staticflickr.com/65535/51788395283_0bab637f5f_w.jpg","width":400,"height":300,"displayUrl":"//live.staticflickr.com/65535/51788395283_0bab637f5f_w.jpg"},"exportMetaType":"pojo"},"z":{"data":{"url":"//live.staticflickr.com/65535/51788395283_0bab637f5f_z.jpg","width":640,"height":480,"displayUrl":"//live.staticflickr.com/65535/51788395283_0bab637f5f_z.jpg"},"exportMetaType":"pojo"},"3k":{"data":{"url":"//live.staticflickr.com/65535/51788395283_6c4c49193c_3k.jpg","width":3072,"height":2304,"displayUrl":"//live.staticflickr.com/65535/51788395283_6c4c49193c_3k.jpg"},"exportMetaType":"pojo"},"4k":{"data":{"url":"//live.staticflickr.com/65535/51788395283_6f520ceff4_4k.jpg","width":4032,"height":3024,"displayUrl":"//live.staticflickr.com/65535/51788395283_6f520ceff4_4k.jpg"},"exportMetaType":"pojo"},"sq":{"data":{"url":"//live.staticflickr.com/65535/51788395283_0bab637f5f_s.jpg","width":75,"height":75,"displayUrl":"//live.staticflickr.com/65535/51788395283_0bab637f5f_s.jpg"},"exportMetaType":"pojo"}},"exportMetaType":"pojo"},"title":"Tree hugging at the Bluffs December 30, 2021","oWidth":4032,"secret":"0bab637f5f","license":4,"oHeight":3024,"rotation":0,"canAddMeta":false,"canComment":false,"engagement":{"data":{"id":"51788395283","canShare":true,"ownerNsid":"98609821@N00","reactions":{"data":{"like":{"data":{"id":"like","count":5,"canReact":true,"didViewerReact":true},"exportMetaType":"pojo"},"someOtherReaction":{"data":{"id":"someOtherReaction","count":3,"canReact":true,"didViewerReact":false},"exportMetaType":"pojo"}},"exportMetaType":"pojo"},"viewCount":83,"canDownload":true,"_flickrModelRegistry":"photo-engagement-models"},"exportMetaType":"model"},"description":"Hugging at one of my favorite Bakersfield places","safetyLevel":0,"upgradeSizes":{"data":[],"exportMetaType":"array"},"adEligibility":{"data":{"lane":1,"labels":{"data":["ProOwner"],"exportMetaType":"array"},"isAdEligible":false,"highScoreLabels":{"data":["ProOwner"],"exportMetaType":"array"}},"exportMetaType":"pojo"},"canPublicComment":true,"_flickrModelRegistry":"photo-models"},"exportMetaType":"model"}],"photo-geo-models":[{"data":{"id":"51788395283","_flickrModelRegistry":"photo-geo-models"},"exportMetaType":"model"}],"photo-location-models":[{"data":{"id":"51788395283","geo":{"data":"~2","exportMetaType":"model"},"text":"The Bluffs, Bakersfield, United States","levels":{"data":{"venue":{"data":{"name":"The Bluffs","woeId":"55857901","source":"foursquare","venueId":"4b950ea9f964a520498d34e3","venueLat":"35.409916","venueLong":"-118.983156"},"exportMetaType":"pojo"}},"exportMetaType":"pojo"},"staticMaps":{"data":{"zoom3":{"data":{"src":"","zoom":"3","width":304,"height":128,"retinaSrc":"","isFoursquare":true,"is_foursquare":true},"exportMetaType":"pojo"},"zoom6":{"data":{"src":"","zoom":"6","width":304,"height":128,"retinaSrc":"","isFoursquare":true,"is_foursquare":true},"exportMetaType":"pojo"},"zoom14":{"data":{"src":"","zoom":"14","width":304,"height":128,"retinaSrc":"","isFoursquare":true,"is_foursquare":true},"exportMetaType":"pojo"}},"exportMetaType":"pojo"},"_flickrModelRegistry":"photo-location-models"},"exportMetaType":"model"}],"photo-head-meta-models":[{"data":{"id":"51788395283","title":"Tree hugging at the Bluffs December 30, 2021","og:url":"https://www.flickr.com/photos/juliejordanscott/51788395283/","og:type":"article","keywords":"bakersfield, treehugger, 377treehugs","og:image":"https://live.staticflickr.com/65535/51788395283_0bab637f5f_b.jpg","og:title":"Tree hugging at the Bluffs December 30, 2021","twitter:card":"summary_large_image","twitter:image":"https://live.staticflickr.com/65535/51788395283_0bab637f5f_b.jpg","og:description":"Hugging at one of my favorite Bakersfield places","og:image:width":1024,"og:image:height":768,"twitter:creator":"@juliejordanscot","twitter:description":"Hugging at one of my favorite Bakersfield places","_flickrModelRegistry":"photo-head-meta-models","twitter:app:url:ipad":"flickr://flickr.com/photos/juliejordanscott/51788395283/","twitter:app:url:iphone":"flickr://flickr.com/photos/juliejordanscott/51788395283/","twitter:app:url:googleplay":"https://www.flickr.com/photos/juliejordanscott/51788395283/"},"exportMetaType":"model"}],"photo-license-history-models":[]},"acquisition_file":"fl-51788395283.webp","source_html_file":"/Users/atincakcayoz/corteqs/output/bakersfield-production-20261023/flickr-source-pages/51788395283.html","original_file_url":"https://live.staticflickr.com/65535/51788395283_6f520ceff4_4k.jpg","proposed_identity":"Panorama Park / The Bluffs","source_html_sha256":"1b9e683dac8bb7e3eedfbddf0792e08d2396b8744c9b5ea21418ba4b20323692","third_party_rights_review":{"basis":"Kaynakta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dönüştürüldü.","original_file_url":"https://live.staticflickr.com/65535/51788395283_6f520ceff4_4k.jpg"},"metadata_reviewed_on":"2026-10-24","metadata_review_status":"verified"}}</x:v>
      </x:c>
    </x:row>
    <x:row r="134" ht="300" customHeight="1">
      <x:c r="A134" s="29" t="str">
        <x:v>bakersfield:evidence:venue-22099</x:v>
      </x:c>
      <x:c r="B134" s="29" t="str">
        <x:v>bakersfield</x:v>
      </x:c>
      <x:c r="C134" s="29" t="str">
        <x:v>bakersfield:photo:venue-22099</x:v>
      </x:c>
      <x:c r="D134" s="29" t="str">
        <x:v>https://www.flickr.com/photos/98609821@N00/4300726314/</x:v>
      </x:c>
      <x:c r="E134" s="29" t="str">
        <x:v>Jastro Park · 2010 tarihli fotoğraf</x:v>
      </x:c>
      <x:c r="F134" s="29" t="str">
        <x:v>Julie Jordan Scott</x:v>
      </x:c>
      <x:c r="G134" s="29" t="str">
        <x:v>CC BY 2.0</x:v>
      </x:c>
      <x:c r="H134" s="29" t="str">
        <x:v>https://creativecommons.org/licenses/by/2.0/</x:v>
      </x:c>
      <x:c r="I134" s="29" t="str">
        <x:v>CC BY 2.0</x:v>
      </x:c>
      <x:c r="J134" s="29" t="str">
        <x:v>Jastro Park · 2010 tarihli fotoğraf · Julie Jordan Scott · CC BY 2.0 · https://www.flickr.com/photos/98609821@N00/4300726314/</x:v>
      </x:c>
      <x:c r="K13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4" s="31" t="d">
        <x:v>2026-10-24T00:00:00.000Z</x:v>
      </x:c>
      <x:c r="M134" s="29" t="str">
        <x:v>Doğrulandı</x:v>
      </x:c>
      <x:c r="N134" s="29" t="str">
        <x:v>Doğrulandı</x:v>
      </x:c>
      <x:c r="O134" s="29" t="str">
        <x:v>Fotoğraflar/bk-92512eac2e0ea0bfef36b828.webp</x:v>
      </x:c>
      <x:c r="P134" s="29" t="str">
        <x:v>Westchester · 2010 tarihli fotoğraf · İndirilen kare temas sayfasında görüldü; kaynak mekân kimliğiyle eşleştirildi. Seçim kaydı final-pixel-review.json.</x:v>
      </x:c>
      <x:c r="Q134" s="29" t="str">
        <x:v>Bu kare için uygun</x:v>
      </x:c>
      <x:c r="R13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4" s="29" t="str">
        <x:v>Lisans kanıtları/bk-92512eac2e0ea0bfef36b828.source-evidence.json</x:v>
      </x:c>
      <x:c r="T134" s="29" t="str">
        <x:v>f70dfa5e369d89277c6a11bac0834add193e7a44dc12915a794a497da2efd161</x:v>
      </x:c>
      <x:c r="U134" s="29" t="str">
        <x:v>Lisans kanıtları/bk-92512eac2e0ea0bfef36b828.license-record.json</x:v>
      </x:c>
      <x:c r="V134" s="29" t="str">
        <x:v>a7801d7588bef2c72e4b1497797796b797947f5dbad90e3d216da5f2af0df01d</x:v>
      </x:c>
      <x:c r="W134" s="29" t="str">
        <x:v>{"file":"bk-92512eac2e0ea0bfef36b828.webp","width":1024,"author":"Julie Jordan Scott","height":768,"sha256":"92512eac2e0ea0bfef36b82894489211ba5f5415c72020771a73726e7de69f71","status":"reviewed-selected","license":"CC BY 2.0","provider":"Flickr","review_id":"F198","source_id":"4300726314","author_url":"https://www.flickr.com/photos/98609821@N00/","date_texts":["Uploaded on January 24, 2010 Taken on January 23, 2010","Taken on January 23, 2010","Uploaded on January 24, 2010 Taken on January 23, 2010","Taken on January 23, 2010"],"source_url":"https://www.flickr.com/photos/98609821@N00/4300726314/","description":"","license_url":"https://creativecommons.org/licenses/by/2.0/","review_note":"Bandstand, clear architectural view.","reviewed_on":"2026-10-24","source_text":"\"To the People of Bakersfield\"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\"To the People of Bakersfield\" Done 742 views 0 faves 0 comments Uploaded on January 24, 2010 Taken on January 23, 2010 Julie Jordan Scott By: Julie Jordan Scott \"To the People of Bakersfield\" Done 742 views 0 faves 0 comments Uploaded on January 24, 2010 Taken on January 23,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photography.","capture_date":"2010-01-23","download_url":"https://live.staticflickr.com/4058/4300726314_f47f9305bf_b.jpg","original_url":"https://live.staticflickr.com/4058/4300726314_43bb7f8238_4k.jpg","pixel_review":{"method":"İndirilen kare temas sayfasında görüldü; kaynak mekân kimliğiyle eşleştirildi. Seçim kaydı final-pixel-review.json.","status":"verified","caption":"Westchester · 2010 tarihli fotoğraf","reviewer":"Codex (AI)","review_id":"F198"},"source_title":"\"To the People of Bakersfield\"","downloaded_at":"2026-10-23T19:50:15.111387+00:00","download_sha256":"d7e07dd56fc1f1c74e7e29399cf52c77ebb100e92972f91b43f3dafa359b7318","downloaded_file":"downloads/d7e07dd56fc1f1c74e7e29399cf52c77ebb100e92972f91b43f3dafa359b7318.jpg","public_metadata":{"photo-models":[{"data":{"id":"4300726314","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4058/4300726314_f47f9305bf_c.jpg","width":800,"height":600,"displayUrl":"//live.staticflickr.com/4058/4300726314_f47f9305bf_c.jpg"},"exportMetaType":"pojo"},"h":{"data":{"url":"//live.staticflickr.com/4058/4300726314_6da633bfe9_h.jpg","width":1600,"height":1200,"displayUrl":"//live.staticflickr.com/4058/4300726314_6da633bfe9_h.jpg"},"exportMetaType":"pojo"},"k":{"data":{"url":"//live.staticflickr.com/4058/4300726314_63524cdfb9_k.jpg","width":2048,"height":1536,"displayUrl":"//live.staticflickr.com/4058/4300726314_63524cdfb9_k.jpg"},"exportMetaType":"pojo"},"l":{"data":{"url":"//live.staticflickr.com/4058/4300726314_f47f9305bf_b.jpg","width":1024,"height":768,"displayUrl":"//live.staticflickr.com/4058/4300726314_f47f9305bf_b.jpg"},"exportMetaType":"pojo"},"m":{"data":{"url":"//live.staticflickr.com/4058/4300726314_f47f9305bf.jpg","width":500,"height":375,"displayUrl":"//live.staticflickr.com/4058/4300726314_f47f9305bf.jpg"},"exportMetaType":"pojo"},"n":{"data":{"url":"//live.staticflickr.com/4058/4300726314_f47f9305bf_n.jpg","width":320,"height":240,"displayUrl":"//live.staticflickr.com/4058/4300726314_f47f9305bf_n.jpg"},"exportMetaType":"pojo"},"o":{"data":{"url":"//live.staticflickr.com/4058/4300726314_ba863c21fb_o.jpg","width":4000,"height":3000,"displayUrl":"//live.staticflickr.com/4058/4300726314_ba863c21fb_o.jpg"},"exportMetaType":"pojo"},"q":{"data":{"url":"//live.staticflickr.com/4058/4300726314_f47f9305bf_q.jpg","width":150,"height":150,"displayUrl":"//live.staticflickr.com/4058/4300726314_f47f9305bf_q.jpg"},"exportMetaType":"pojo"},"s":{"data":{"url":"//live.staticflickr.com/4058/4300726314_f47f9305bf_m.jpg","width":240,"height":180,"displayUrl":"//live.staticflickr.com/4058/4300726314_f47f9305bf_m.jpg"},"exportMetaType":"pojo"},"t":{"data":{"url":"//live.staticflickr.com/4058/4300726314_f47f9305bf_t.jpg","width":100,"height":75,"displayUrl":"//live.staticflickr.com/4058/4300726314_f47f9305bf_t.jpg"},"exportMetaType":"pojo"},"w":{"data":{"url":"//live.staticflickr.com/4058/4300726314_f47f9305bf_w.jpg","width":400,"height":300,"displayUrl":"//live.staticflickr.com/4058/4300726314_f47f9305bf_w.jpg"},"exportMetaType":"pojo"},"z":{"data":{"url":"//live.staticflickr.com/4058/4300726314_f47f9305bf_z.jpg","width":640,"height":480,"displayUrl":"//live.staticflickr.com/4058/4300726314_f47f9305bf_z.jpg"},"exportMetaType":"pojo"},"3k":{"data":{"url":"//live.staticflickr.com/4058/4300726314_618da6f408_3k.jpg","width":3072,"height":2304,"displayUrl":"//live.staticflickr.com/4058/4300726314_618da6f408_3k.jpg"},"exportMetaType":"pojo"},"4k":{"data":{"url":"//live.staticflickr.com/4058/4300726314_43bb7f8238_4k.jpg","width":4000,"height":3000,"displayUrl":"//live.staticflickr.com/4058/4300726314_43bb7f8238_4k.jpg"},"exportMetaType":"pojo"},"sq":{"data":{"url":"//live.staticflickr.com/4058/4300726314_f47f9305bf_s.jpg","width":75,"height":75,"displayUrl":"//live.staticflickr.com/4058/4300726314_f47f9305bf_s.jpg"},"exportMetaType":"pojo"}},"exportMetaType":"pojo"},"title":"\"To the People of Bakersfield\"","oWidth":4000,"secret":"f47f9305bf","license":4,"oHeight":3000,"rotation":0,"canAddMeta":false,"canComment":false,"engagement":{"data":{"id":"4300726314","canShare":true,"ownerNsid":"98609821@N00","reactions":{"data":{"like":{"data":{"id":"like","count":5,"canReact":true,"didViewerReact":true},"exportMetaType":"pojo"},"someOtherReaction":{"data":{"id":"someOtherReaction","count":3,"canReact":true,"didViewerReact":false},"exportMetaType":"pojo"}},"exportMetaType":"pojo"},"viewCount":742,"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4300726314","_flickrModelRegistry":"photo-geo-models"},"exportMetaType":"model"}],"photo-location-models":[{"data":{"id":"4300726314","geo":{"data":"~2","exportMetaType":"model"},"text":"","levels":{"data":{},"exportMetaType":"pojo"},"staticMaps":{"data":{},"exportMetaType":"pojo"},"_flickrModelRegistry":"photo-location-models"},"exportMetaType":"model"}],"photo-head-meta-models":[{"data":{"id":"4300726314","title":"&amp;quot;To the People of Bakersfield&amp;quot;","og:url":"https://www.flickr.com/photos/juliejordanscott/4300726314/","og:type":"article","keywords":"friends, jared, actors, rehearsal, stage, michelle, cast, preparation, theemptyspace, jastropark, january2010, firstkissesatjastropark, tothepeopleofbakersfield","og:image":"https://live.staticflickr.com/4058/4300726314_f47f9305bf_b.jpg","og:title":"&amp;quot;To the People of Bakersfield&amp;quot;","twitter:card":"summary_large_image","twitter:image":"https://live.staticflickr.com/4058/4300726314_f47f9305bf_b.jpg","og:description":"","og:image:width":1024,"og:image:height":768,"twitter:creator":"@juliejordanscot","twitter:description":"Explore juliejordanscott's 67408 photos on Flickr!","_flickrModelRegistry":"photo-head-meta-models","twitter:app:url:ipad":"flickr://flickr.com/photos/juliejordanscott/4300726314/","twitter:app:url:iphone":"flickr://flickr.com/photos/juliejordanscott/4300726314/","twitter:app:url:googleplay":"https://www.flickr.com/photos/juliejordanscott/4300726314/"},"exportMetaType":"model"}],"photo-license-history-models":[]},"acquisition_file":"fl-4300726314.webp","source_html_file":"/Users/atincakcayoz/corteqs/output/bakersfield-production-20261023/flickr-source-pages/4300726314.html","original_file_url":"https://live.staticflickr.com/4058/4300726314_43bb7f8238_4k.jpg","proposed_identity":"Jastro Park","source_html_sha256":"e3f0c1e48016c0f95bf959f42eeb03cadf911c3171f4c7b8326ea241a56d58b4","third_party_rights_review":{"basis":"Kaynakta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dönüştürüldü.","original_file_url":"https://live.staticflickr.com/4058/4300726314_43bb7f8238_4k.jpg"},"metadata_reviewed_on":"2026-10-24","metadata_review_status":"verified"}}</x:v>
      </x:c>
    </x:row>
    <x:row r="135" ht="300" customHeight="1">
      <x:c r="A135" s="29" t="str">
        <x:v>bakersfield:evidence:venue-22100</x:v>
      </x:c>
      <x:c r="B135" s="29" t="str">
        <x:v>bakersfield</x:v>
      </x:c>
      <x:c r="C135" s="29" t="str">
        <x:v>bakersfield:photo:venue-22100</x:v>
      </x:c>
      <x:c r="D135" s="29" t="str">
        <x:v>https://www.flickr.com/photos/98609821@N00/6121227384/</x:v>
      </x:c>
      <x:c r="E135" s="29" t="str">
        <x:v>Jastro Park · 2011 tarihli fotoğraf</x:v>
      </x:c>
      <x:c r="F135" s="29" t="str">
        <x:v>Julie Jordan Scott</x:v>
      </x:c>
      <x:c r="G135" s="29" t="str">
        <x:v>CC BY 2.0</x:v>
      </x:c>
      <x:c r="H135" s="29" t="str">
        <x:v>https://creativecommons.org/licenses/by/2.0/</x:v>
      </x:c>
      <x:c r="I135" s="29" t="str">
        <x:v>CC BY 2.0</x:v>
      </x:c>
      <x:c r="J135" s="29" t="str">
        <x:v>Jastro Park · 2011 tarihli fotoğraf · Julie Jordan Scott · CC BY 2.0 · https://www.flickr.com/photos/98609821@N00/6121227384/</x:v>
      </x:c>
      <x:c r="K13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5" s="31" t="d">
        <x:v>2026-10-24T00:00:00.000Z</x:v>
      </x:c>
      <x:c r="M135" s="29" t="str">
        <x:v>Doğrulandı</x:v>
      </x:c>
      <x:c r="N135" s="29" t="str">
        <x:v>Doğrulandı</x:v>
      </x:c>
      <x:c r="O135" s="29" t="str">
        <x:v>Fotoğraflar/bk-c4437b87828c2740032c7faa.webp</x:v>
      </x:c>
      <x:c r="P135" s="29" t="str">
        <x:v>Jastro Park · 2011 tarihli fotoğraf · İndirilen kare temas sayfasında görüldü; kaynak mekân kimliğiyle eşleştirildi. Seçim kaydı final-pixel-review.json.</x:v>
      </x:c>
      <x:c r="Q135" s="29" t="str">
        <x:v>Bu kare için uygun</x:v>
      </x:c>
      <x:c r="R13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5" s="29" t="str">
        <x:v>Lisans kanıtları/bk-c4437b87828c2740032c7faa.source-evidence.json</x:v>
      </x:c>
      <x:c r="T135" s="29" t="str">
        <x:v>91595587f8129e4ce64f30edd9ca14038006a9f1b69bba1d3d09adeea75c48d9</x:v>
      </x:c>
      <x:c r="U135" s="29" t="str">
        <x:v>Lisans kanıtları/bk-c4437b87828c2740032c7faa.license-record.json</x:v>
      </x:c>
      <x:c r="V135" s="29" t="str">
        <x:v>e5e092bf36f6e928411b80f8c0740a8b84d1a395179fb61e52e88963c7b0dee5</x:v>
      </x:c>
      <x:c r="W135" s="29" t="str">
        <x:v>{"file":"bk-c4437b87828c2740032c7faa.webp","width":1024,"author":"Julie Jordan Scott","height":768,"sha256":"c4437b87828c2740032c7faa143c834535c3fe167a5d76e239d7ec97d9629f0f","status":"reviewed-selected","license":"CC BY 2.0","provider":"Flickr","review_id":"F199","source_id":"6121227384","author_url":"https://www.flickr.com/photos/98609821@N00/","date_texts":["Uploaded on September 6, 2011 Taken on September 6, 2011","Taken on September 6, 2011","Uploaded on September 6, 2011 Taken on September 6, 2011","Taken on September 6, 2011"],"source_url":"https://www.flickr.com/photos/98609821@N00/6121227384/","description":"","license_url":"https://creativecommons.org/licenses/by/2.0/","review_note":"Horseshoe courts; stronger than near duplicates.","reviewed_on":"2026-10-24","source_text":"#1 What stories do the horseshoes tell?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#1 What stories do the horseshoes tell? Done 281 views 0 faves 0 comments Uploaded on September 6, 2011 Taken on September 6, 2011 Julie Jordan Scott By: Julie Jordan Scott #1 What stories do the horseshoes tell? Done 281 views 0 faves 0 comments Uploaded on September 6, 2011 Taken on September 6,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photography.","capture_date":"2011-09-06","download_url":"https://live.staticflickr.com/6209/6121227384_2f7b68d6e5_b.jpg","original_url":"https://live.staticflickr.com/6209/6121227384_96ce5b18ef_k.jpg","pixel_review":{"method":"İndirilen kare temas sayfasında görüldü; kaynak mekân kimliğiyle eşleştirildi. Seçim kaydı final-pixel-review.json.","status":"verified","caption":"Jastro Park · 2011 tarihli fotoğraf","reviewer":"Codex (AI)","review_id":"F199"},"source_title":"#1 What stories do the horseshoes tell?","downloaded_at":"2026-10-23T19:50:15.502760+00:00","download_sha256":"abb494008071fa70e7eaba0465ef1bd58e03f9033e4aa69fe97376f546a9fdf9","downloaded_file":"downloads/abb494008071fa70e7eaba0465ef1bd58e03f9033e4aa69fe97376f546a9fdf9.jpg","public_metadata":{"photo-models":[{"data":{"id":"6121227384","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6209/6121227384_2f7b68d6e5_c.jpg","width":800,"height":600,"displayUrl":"//live.staticflickr.com/6209/6121227384_2f7b68d6e5_c.jpg"},"exportMetaType":"pojo"},"h":{"data":{"url":"//live.staticflickr.com/6209/6121227384_53c0104317_h.jpg","width":1600,"height":1200,"displayUrl":"//live.staticflickr.com/6209/6121227384_53c0104317_h.jpg"},"exportMetaType":"pojo"},"k":{"data":{"url":"//live.staticflickr.com/6209/6121227384_96ce5b18ef_k.jpg","width":2048,"height":1536,"displayUrl":"//live.staticflickr.com/6209/6121227384_96ce5b18ef_k.jpg"},"exportMetaType":"pojo"},"l":{"data":{"url":"//live.staticflickr.com/6209/6121227384_2f7b68d6e5_b.jpg","width":1024,"height":768,"displayUrl":"//live.staticflickr.com/6209/6121227384_2f7b68d6e5_b.jpg"},"exportMetaType":"pojo"},"m":{"data":{"url":"//live.staticflickr.com/6209/6121227384_2f7b68d6e5.jpg","width":500,"height":375,"displayUrl":"//live.staticflickr.com/6209/6121227384_2f7b68d6e5.jpg"},"exportMetaType":"pojo"},"n":{"data":{"url":"//live.staticflickr.com/6209/6121227384_2f7b68d6e5_n.jpg","width":320,"height":240,"displayUrl":"//live.staticflickr.com/6209/6121227384_2f7b68d6e5_n.jpg"},"exportMetaType":"pojo"},"o":{"data":{"url":"//live.staticflickr.com/6209/6121227384_a314df86df_o.jpg","width":2048,"height":1536,"displayUrl":"//live.staticflickr.com/6209/6121227384_a314df86df_o.jpg"},"exportMetaType":"pojo"},"q":{"data":{"url":"//live.staticflickr.com/6209/6121227384_2f7b68d6e5_q.jpg","width":150,"height":150,"displayUrl":"//live.staticflickr.com/6209/6121227384_2f7b68d6e5_q.jpg"},"exportMetaType":"pojo"},"s":{"data":{"url":"//live.staticflickr.com/6209/6121227384_2f7b68d6e5_m.jpg","width":240,"height":180,"displayUrl":"//live.staticflickr.com/6209/6121227384_2f7b68d6e5_m.jpg"},"exportMetaType":"pojo"},"t":{"data":{"url":"//live.staticflickr.com/6209/6121227384_2f7b68d6e5_t.jpg","width":100,"height":75,"displayUrl":"//live.staticflickr.com/6209/6121227384_2f7b68d6e5_t.jpg"},"exportMetaType":"pojo"},"w":{"data":{"url":"//live.staticflickr.com/6209/6121227384_2f7b68d6e5_w.jpg","width":400,"height":300,"displayUrl":"//live.staticflickr.com/6209/6121227384_2f7b68d6e5_w.jpg"},"exportMetaType":"pojo"},"z":{"data":{"url":"//live.staticflickr.com/6209/6121227384_2f7b68d6e5_z.jpg","width":640,"height":480,"displayUrl":"//live.staticflickr.com/6209/6121227384_2f7b68d6e5_z.jpg"},"exportMetaType":"pojo"},"sq":{"data":{"url":"//live.staticflickr.com/6209/6121227384_2f7b68d6e5_s.jpg","width":75,"height":75,"displayUrl":"//live.staticflickr.com/6209/6121227384_2f7b68d6e5_s.jpg"},"exportMetaType":"pojo"}},"exportMetaType":"pojo"},"title":"#1 What stories do the horseshoes tell?","oWidth":2048,"secret":"2f7b68d6e5","license":4,"oHeight":1536,"rotation":0,"canAddMeta":false,"canComment":false,"engagement":{"data":{"id":"6121227384","canShare":true,"ownerNsid":"98609821@N00","reactions":{"data":{"like":{"data":{"id":"like","count":5,"canReact":true,"didViewerReact":true},"exportMetaType":"pojo"},"someOtherReaction":{"data":{"id":"someOtherReaction","count":3,"canReact":true,"didViewerReact":false},"exportMetaType":"pojo"}},"exportMetaType":"pojo"},"viewCount":281,"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6121227384","_flickrModelRegistry":"photo-geo-models"},"exportMetaType":"model"}],"photo-location-models":[{"data":{"id":"6121227384","geo":{"data":"~2","exportMetaType":"model"},"text":"","levels":{"data":{},"exportMetaType":"pojo"},"staticMaps":{"data":{},"exportMetaType":"pojo"},"_flickrModelRegistry":"photo-location-models"},"exportMetaType":"model"}],"photo-head-meta-models":[{"data":{"id":"6121227384","title":"#1 What stories do the horseshoes tell?","og:url":"https://www.flickr.com/photos/juliejordanscott/6121227384/","og:type":"article","keywords":"horseshoes, bakersfield, jastropark, september2011","og:image":"https://live.staticflickr.com/6209/6121227384_2f7b68d6e5_b.jpg","og:title":"#1 What stories do the horseshoes tell?","twitter:card":"summary_large_image","twitter:image":"https://live.staticflickr.com/6209/6121227384_2f7b68d6e5_b.jpg","og:description":"","og:image:width":1024,"og:image:height":768,"twitter:creator":"@juliejordanscot","twitter:description":"Explore juliejordanscott's 67408 photos on Flickr!","_flickrModelRegistry":"photo-head-meta-models","twitter:app:url:ipad":"flickr://flickr.com/photos/juliejordanscott/6121227384/","twitter:app:url:iphone":"flickr://flickr.com/photos/juliejordanscott/6121227384/","twitter:app:url:googleplay":"https://www.flickr.com/photos/juliejordanscott/6121227384/"},"exportMetaType":"model"}],"photo-license-history-models":[]},"acquisition_file":"fl-6121227384.webp","source_html_file":"/Users/atincakcayoz/corteqs/output/bakersfield-production-20261023/flickr-source-pages/6121227384.html","original_file_url":"https://live.staticflickr.com/6209/6121227384_96ce5b18ef_k.jpg","proposed_identity":"Jastro Park","source_html_sha256":"51d572785c6c5906eeb8a6126ad3f8ec2e3421d0366c0998a60f70e7b3c6ead2","third_party_rights_review":{"basis":"Kaynakta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dönüştürüldü.","original_file_url":"https://live.staticflickr.com/6209/6121227384_96ce5b18ef_k.jpg"},"metadata_reviewed_on":"2026-10-24","metadata_review_status":"verified"}}</x:v>
      </x:c>
    </x:row>
    <x:row r="136" ht="300" customHeight="1">
      <x:c r="A136" s="29" t="str">
        <x:v>bakersfield:evidence:venue-22101</x:v>
      </x:c>
      <x:c r="B136" s="29" t="str">
        <x:v>bakersfield</x:v>
      </x:c>
      <x:c r="C136" s="29" t="str">
        <x:v>bakersfield:photo:venue-22101</x:v>
      </x:c>
      <x:c r="D136" s="29" t="str">
        <x:v>https://www.flickr.com/photos/98609821@N00/42452621660/</x:v>
      </x:c>
      <x:c r="E136" s="29" t="str">
        <x:v>Jastro Park</x:v>
      </x:c>
      <x:c r="F136" s="29" t="str">
        <x:v>Julie Jordan Scott</x:v>
      </x:c>
      <x:c r="G136" s="29" t="str">
        <x:v>CC BY 2.0</x:v>
      </x:c>
      <x:c r="H136" s="29" t="str">
        <x:v>https://creativecommons.org/licenses/by/2.0/</x:v>
      </x:c>
      <x:c r="I136" s="29" t="str">
        <x:v>CC BY 2.0</x:v>
      </x:c>
      <x:c r="J136" s="29" t="str">
        <x:v>Jastro Park · Julie Jordan Scott · CC BY 2.0 · https://www.flickr.com/photos/98609821@N00/42452621660/</x:v>
      </x:c>
      <x:c r="K13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6" s="31" t="d">
        <x:v>2026-10-24T00:00:00.000Z</x:v>
      </x:c>
      <x:c r="M136" s="29" t="str">
        <x:v>Doğrulandı</x:v>
      </x:c>
      <x:c r="N136" s="29" t="str">
        <x:v>Doğrulandı</x:v>
      </x:c>
      <x:c r="O136" s="29" t="str">
        <x:v>Fotoğraflar/bk-897bf6dd43adafec5e1f2418.webp</x:v>
      </x:c>
      <x:c r="P136" s="29" t="str">
        <x:v>Jastro Park · İndirilen kare temas sayfasında görüldü; kaynak mekân kimliğiyle eşleştirildi. Seçim kaydı final-pixel-review.json.</x:v>
      </x:c>
      <x:c r="Q136" s="29" t="str">
        <x:v>Bu kare için uygun</x:v>
      </x:c>
      <x:c r="R13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6" s="29" t="str">
        <x:v>Lisans kanıtları/bk-897bf6dd43adafec5e1f2418.source-evidence.json</x:v>
      </x:c>
      <x:c r="T136" s="29" t="str">
        <x:v>ead189bff289b3960c441383905ab441d74a6880edd64e175b3865d7917955af</x:v>
      </x:c>
      <x:c r="U136" s="29" t="str">
        <x:v>Lisans kanıtları/bk-897bf6dd43adafec5e1f2418.license-record.json</x:v>
      </x:c>
      <x:c r="V136" s="29" t="str">
        <x:v>06d0c0e69707a5c8125cc8cfd285d7f82aae43dce3b29e0df6e8dc9805db6c15</x:v>
      </x:c>
      <x:c r="W136" s="29" t="str">
        <x:v>{"file":"bk-897bf6dd43adafec5e1f2418.webp","width":1024,"author":"Julie Jordan Scott","height":768,"sha256":"897bf6dd43adafec5e1f241821a8bbc4d84f1db01e1028763b74788a1f49436e","status":"reviewed-selected","license":"CC BY 2.0","provider":"Flickr","review_id":"E188","source_id":"42452621660","author_url":"https://www.flickr.com/photos/98609821@N00/","date_texts":["Uploaded on August 25, 2018","Uploaded on August 25, 2018"],"source_url":"https://www.flickr.com/photos/98609821@N00/42452621660/","description":"","license_url":"https://creativecommons.org/licenses/by/2.0/","review_note":"Splash-pad equipment without portraits.","reviewed_on":"2026-10-24","source_text":"Saturday at Jastro Park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Saturday at Jastro Park Done 98 views 0 faves 0 comments Uploaded on August 25, 2018 Julie Jordan Scott By: Julie Jordan Scott Saturday at Jastro Park Done 98 views 0 faves 0 comments Uploaded on August 25, 2018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photography.","capture_date":"","download_url":"https://live.staticflickr.com/1885/42452621660_4abb2403d8_b.jpg","original_url":"https://live.staticflickr.com/1885/42452621660_bed97ccb8f_4k.jpg","pixel_review":{"method":"İndirilen kare temas sayfasında görüldü; kaynak mekân kimliğiyle eşleştirildi. Seçim kaydı final-pixel-review.json.","status":"verified","caption":"Jastro Park","reviewer":"Codex (AI)","review_id":"E188"},"source_title":"Saturday at Jastro Park","downloaded_at":"2026-10-23T19:50:42.223551+00:00","download_sha256":"c251714924e184183fdad1a3381d16f722b3879abfddc60013ad8663eea4130c","downloaded_file":"downloads/c251714924e184183fdad1a3381d16f722b3879abfddc60013ad8663eea4130c.jpg","public_metadata":{"photo-models":[{"data":{"id":"42452621660","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1885/42452621660_4abb2403d8_c.jpg","width":800,"height":600,"displayUrl":"//live.staticflickr.com/1885/42452621660_4abb2403d8_c.jpg"},"exportMetaType":"pojo"},"h":{"data":{"url":"//live.staticflickr.com/1885/42452621660_f482bbdd3b_h.jpg","width":1600,"height":1200,"displayUrl":"//live.staticflickr.com/1885/42452621660_f482bbdd3b_h.jpg"},"exportMetaType":"pojo"},"k":{"data":{"url":"//live.staticflickr.com/1885/42452621660_d46c9d6f64_k.jpg","width":2048,"height":1536,"displayUrl":"//live.staticflickr.com/1885/42452621660_d46c9d6f64_k.jpg"},"exportMetaType":"pojo"},"l":{"data":{"url":"//live.staticflickr.com/1885/42452621660_4abb2403d8_b.jpg","width":1024,"height":768,"displayUrl":"//live.staticflickr.com/1885/42452621660_4abb2403d8_b.jpg"},"exportMetaType":"pojo"},"m":{"data":{"url":"//live.staticflickr.com/1885/42452621660_4abb2403d8.jpg","width":500,"height":375,"displayUrl":"//live.staticflickr.com/1885/42452621660_4abb2403d8.jpg"},"exportMetaType":"pojo"},"n":{"data":{"url":"//live.staticflickr.com/1885/42452621660_4abb2403d8_n.jpg","width":320,"height":240,"displayUrl":"//live.staticflickr.com/1885/42452621660_4abb2403d8_n.jpg"},"exportMetaType":"pojo"},"o":{"data":{"url":"//live.staticflickr.com/1885/42452621660_aaca975d04_o.jpg","width":4032,"height":3024,"displayUrl":"//live.staticflickr.com/1885/42452621660_aaca975d04_o.jpg"},"exportMetaType":"pojo"},"q":{"data":{"url":"//live.staticflickr.com/1885/42452621660_4abb2403d8_q.jpg","width":150,"height":150,"displayUrl":"//live.staticflickr.com/1885/42452621660_4abb2403d8_q.jpg"},"exportMetaType":"pojo"},"s":{"data":{"url":"//live.staticflickr.com/1885/42452621660_4abb2403d8_m.jpg","width":240,"height":180,"displayUrl":"//live.staticflickr.com/1885/42452621660_4abb2403d8_m.jpg"},"exportMetaType":"pojo"},"t":{"data":{"url":"//live.staticflickr.com/1885/42452621660_4abb2403d8_t.jpg","width":100,"height":75,"displayUrl":"//live.staticflickr.com/1885/42452621660_4abb2403d8_t.jpg"},"exportMetaType":"pojo"},"w":{"data":{"url":"//live.staticflickr.com/1885/42452621660_4abb2403d8_w.jpg","width":400,"height":300,"displayUrl":"//live.staticflickr.com/1885/42452621660_4abb2403d8_w.jpg"},"exportMetaType":"pojo"},"z":{"data":{"url":"//live.staticflickr.com/1885/42452621660_4abb2403d8_z.jpg","width":640,"height":480,"displayUrl":"//live.staticflickr.com/1885/42452621660_4abb2403d8_z.jpg"},"exportMetaType":"pojo"},"3k":{"data":{"url":"//live.staticflickr.com/1885/42452621660_bb5259ead5_3k.jpg","width":3072,"height":2304,"displayUrl":"//live.staticflickr.com/1885/42452621660_bb5259ead5_3k.jpg"},"exportMetaType":"pojo"},"4k":{"data":{"url":"//live.staticflickr.com/1885/42452621660_bed97ccb8f_4k.jpg","width":4032,"height":3024,"displayUrl":"//live.staticflickr.com/1885/42452621660_bed97ccb8f_4k.jpg"},"exportMetaType":"pojo"},"sq":{"data":{"url":"//live.staticflickr.com/1885/42452621660_4abb2403d8_s.jpg","width":75,"height":75,"displayUrl":"//live.staticflickr.com/1885/42452621660_4abb2403d8_s.jpg"},"exportMetaType":"pojo"}},"exportMetaType":"pojo"},"title":"Saturday at Jastro Park","oWidth":4032,"secret":"4abb2403d8","license":4,"oHeight":3024,"rotation":0,"canAddMeta":false,"canComment":false,"engagement":{"data":{"id":"42452621660","canShare":true,"ownerNsid":"98609821@N00","reactions":{"data":{"like":{"data":{"id":"like","count":5,"canReact":true,"didViewerReact":true},"exportMetaType":"pojo"},"someOtherReaction":{"data":{"id":"someOtherReaction","count":3,"canReact":true,"didViewerReact":false},"exportMetaType":"pojo"}},"exportMetaType":"pojo"},"viewCount":98,"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42452621660","_flickrModelRegistry":"photo-geo-models"},"exportMetaType":"model"}],"photo-location-models":[{"data":{"id":"42452621660","geo":{"data":"~2","exportMetaType":"model"},"text":"","levels":{"data":{},"exportMetaType":"pojo"},"staticMaps":{"data":{},"exportMetaType":"pojo"},"_flickrModelRegistry":"photo-location-models"},"exportMetaType":"model"}],"photo-head-meta-models":[{"data":{"id":"42452621660","title":"Saturday at Jastro Park","og:url":"https://www.flickr.com/photos/juliejordanscott/42452621660/","og:type":"article","og:image":"https://live.staticflickr.com/1885/42452621660_4abb2403d8_b.jpg","og:title":"Saturday at Jastro Park","twitter:card":"summary_large_image","twitter:image":"https://live.staticflickr.com/1885/42452621660_4abb2403d8_b.jpg","og:description":"","og:image:width":1024,"og:image:height":768,"twitter:creator":"@juliejordanscot","twitter:description":"Explore juliejordanscott's 67408 photos on Flickr!","_flickrModelRegistry":"photo-head-meta-models","twitter:app:url:ipad":"flickr://flickr.com/photos/juliejordanscott/42452621660/","twitter:app:url:iphone":"flickr://flickr.com/photos/juliejordanscott/42452621660/","twitter:app:url:googleplay":"https://www.flickr.com/photos/juliejordanscott/42452621660/"},"exportMetaType":"model"}],"photo-license-history-models":[]},"acquisition_file":"fl-42452621660.webp","source_html_file":"/Users/atincakcayoz/corteqs/output/bakersfield-production-20261023/flickr-source-pages/42452621660.html","original_file_url":"https://live.staticflickr.com/1885/42452621660_bed97ccb8f_4k.jpg","proposed_identity":"Jastro Park","source_html_sha256":"c29ab0560e7e0846f85fc10ba2c7e3843b51084085d97a1b52fcf3a5fc98d248","third_party_rights_review":{"basis":"Kaynakta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dönüştürüldü.","original_file_url":"https://live.staticflickr.com/1885/42452621660_bed97ccb8f_4k.jpg"},"metadata_reviewed_on":"2026-10-24","metadata_review_status":"verified"}}</x:v>
      </x:c>
    </x:row>
    <x:row r="137" ht="300" customHeight="1">
      <x:c r="A137" s="29" t="str">
        <x:v>bakersfield:evidence:venue-22102</x:v>
      </x:c>
      <x:c r="B137" s="29" t="str">
        <x:v>bakersfield</x:v>
      </x:c>
      <x:c r="C137" s="29" t="str">
        <x:v>bakersfield:photo:venue-22102</x:v>
      </x:c>
      <x:c r="D137" s="29" t="str">
        <x:v>https://www.flickr.com/photos/98609821@N00/42452624110/</x:v>
      </x:c>
      <x:c r="E137" s="29" t="str">
        <x:v>Jastro Park</x:v>
      </x:c>
      <x:c r="F137" s="29" t="str">
        <x:v>Julie Jordan Scott</x:v>
      </x:c>
      <x:c r="G137" s="29" t="str">
        <x:v>CC BY 2.0</x:v>
      </x:c>
      <x:c r="H137" s="29" t="str">
        <x:v>https://creativecommons.org/licenses/by/2.0/</x:v>
      </x:c>
      <x:c r="I137" s="29" t="str">
        <x:v>CC BY 2.0</x:v>
      </x:c>
      <x:c r="J137" s="29" t="str">
        <x:v>Jastro Park · Julie Jordan Scott · CC BY 2.0 · https://www.flickr.com/photos/98609821@N00/42452624110/</x:v>
      </x:c>
      <x:c r="K13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7" s="31" t="d">
        <x:v>2026-10-24T00:00:00.000Z</x:v>
      </x:c>
      <x:c r="M137" s="29" t="str">
        <x:v>Doğrulandı</x:v>
      </x:c>
      <x:c r="N137" s="29" t="str">
        <x:v>Doğrulandı</x:v>
      </x:c>
      <x:c r="O137" s="29" t="str">
        <x:v>Fotoğraflar/bk-f446d42d9799fa8d428b24bf.webp</x:v>
      </x:c>
      <x:c r="P137" s="29" t="str">
        <x:v>Jastro Park · İndirilen kare temas sayfasında görüldü; kaynak mekân kimliğiyle eşleştirildi. Seçim kaydı final-pixel-review.json.</x:v>
      </x:c>
      <x:c r="Q137" s="29" t="str">
        <x:v>Bu kare için uygun</x:v>
      </x:c>
      <x:c r="R13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7" s="29" t="str">
        <x:v>Lisans kanıtları/bk-f446d42d9799fa8d428b24bf.source-evidence.json</x:v>
      </x:c>
      <x:c r="T137" s="29" t="str">
        <x:v>921970796005d1f49c7bf9cd8ff377e4238c05c56b1c1028c1e5c7b1a5b0aeb7</x:v>
      </x:c>
      <x:c r="U137" s="29" t="str">
        <x:v>Lisans kanıtları/bk-f446d42d9799fa8d428b24bf.license-record.json</x:v>
      </x:c>
      <x:c r="V137" s="29" t="str">
        <x:v>a291451d8976206eceb9cba89ea7d66fe9d3dbc33b6678383b4ae5b0fc605e72</x:v>
      </x:c>
      <x:c r="W137" s="29" t="str">
        <x:v>{"file":"bk-f446d42d9799fa8d428b24bf.webp","width":1024,"author":"Julie Jordan Scott","height":768,"sha256":"f446d42d9799fa8d428b24bfe5a5a3ef71bc533d293decf5a64029eaabe095d3","status":"reviewed-selected","license":"CC BY 2.0","provider":"Flickr","review_id":"E189","source_id":"42452624110","author_url":"https://www.flickr.com/photos/98609821@N00/","date_texts":["Uploaded on August 25, 2018","Uploaded on August 25, 2018"],"source_url":"https://www.flickr.com/photos/98609821@N00/42452624110/","description":"","license_url":"https://creativecommons.org/licenses/by/2.0/","review_note":"Lawn and amenity building.","reviewed_on":"2026-10-24","source_text":"Saturday at Jastro Park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Saturday at Jastro Park Done 119 views 0 faves 0 comments Uploaded on August 25, 2018 Julie Jordan Scott By: Julie Jordan Scott Saturday at Jastro Park Done 119 views 0 faves 0 comments Uploaded on August 25, 2018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photography.","capture_date":"","download_url":"https://live.staticflickr.com/1866/42452624110_ab7608bff0_b.jpg","original_url":"https://live.staticflickr.com/1866/42452624110_831e69d790_4k.jpg","pixel_review":{"method":"İndirilen kare temas sayfasında görüldü; kaynak mekân kimliğiyle eşleştirildi. Seçim kaydı final-pixel-review.json.","status":"verified","caption":"Jastro Park","reviewer":"Codex (AI)","review_id":"E189"},"source_title":"Saturday at Jastro Park","downloaded_at":"2026-10-23T19:50:42.767349+00:00","download_sha256":"4b89cf4da7b88120ebe7dfeecb3cbf80005f9c2743ff56e2edd962fa43b70f7a","downloaded_file":"downloads/4b89cf4da7b88120ebe7dfeecb3cbf80005f9c2743ff56e2edd962fa43b70f7a.jpg","public_metadata":{"photo-models":[{"data":{"id":"42452624110","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1866/42452624110_ab7608bff0_c.jpg","width":800,"height":600,"displayUrl":"//live.staticflickr.com/1866/42452624110_ab7608bff0_c.jpg"},"exportMetaType":"pojo"},"h":{"data":{"url":"//live.staticflickr.com/1866/42452624110_756f58ae92_h.jpg","width":1600,"height":1200,"displayUrl":"//live.staticflickr.com/1866/42452624110_756f58ae92_h.jpg"},"exportMetaType":"pojo"},"k":{"data":{"url":"//live.staticflickr.com/1866/42452624110_d41aec0013_k.jpg","width":2048,"height":1536,"displayUrl":"//live.staticflickr.com/1866/42452624110_d41aec0013_k.jpg"},"exportMetaType":"pojo"},"l":{"data":{"url":"//live.staticflickr.com/1866/42452624110_ab7608bff0_b.jpg","width":1024,"height":768,"displayUrl":"//live.staticflickr.com/1866/42452624110_ab7608bff0_b.jpg"},"exportMetaType":"pojo"},"m":{"data":{"url":"//live.staticflickr.com/1866/42452624110_ab7608bff0.jpg","width":500,"height":375,"displayUrl":"//live.staticflickr.com/1866/42452624110_ab7608bff0.jpg"},"exportMetaType":"pojo"},"n":{"data":{"url":"//live.staticflickr.com/1866/42452624110_ab7608bff0_n.jpg","width":320,"height":240,"displayUrl":"//live.staticflickr.com/1866/42452624110_ab7608bff0_n.jpg"},"exportMetaType":"pojo"},"o":{"data":{"url":"//live.staticflickr.com/1866/42452624110_cb1e09aa14_o.jpg","width":4032,"height":3024,"displayUrl":"//live.staticflickr.com/1866/42452624110_cb1e09aa14_o.jpg"},"exportMetaType":"pojo"},"q":{"data":{"url":"//live.staticflickr.com/1866/42452624110_ab7608bff0_q.jpg","width":150,"height":150,"displayUrl":"//live.staticflickr.com/1866/42452624110_ab7608bff0_q.jpg"},"exportMetaType":"pojo"},"s":{"data":{"url":"//live.staticflickr.com/1866/42452624110_ab7608bff0_m.jpg","width":240,"height":180,"displayUrl":"//live.staticflickr.com/1866/42452624110_ab7608bff0_m.jpg"},"exportMetaType":"pojo"},"t":{"data":{"url":"//live.staticflickr.com/1866/42452624110_ab7608bff0_t.jpg","width":100,"height":75,"displayUrl":"//live.staticflickr.com/1866/42452624110_ab7608bff0_t.jpg"},"exportMetaType":"pojo"},"w":{"data":{"url":"//live.staticflickr.com/1866/42452624110_ab7608bff0_w.jpg","width":400,"height":300,"displayUrl":"//live.staticflickr.com/1866/42452624110_ab7608bff0_w.jpg"},"exportMetaType":"pojo"},"z":{"data":{"url":"//live.staticflickr.com/1866/42452624110_ab7608bff0_z.jpg","width":640,"height":480,"displayUrl":"//live.staticflickr.com/1866/42452624110_ab7608bff0_z.jpg"},"exportMetaType":"pojo"},"3k":{"data":{"url":"//live.staticflickr.com/1866/42452624110_87c7ffd8f0_3k.jpg","width":3072,"height":2304,"displayUrl":"//live.staticflickr.com/1866/42452624110_87c7ffd8f0_3k.jpg"},"exportMetaType":"pojo"},"4k":{"data":{"url":"//live.staticflickr.com/1866/42452624110_831e69d790_4k.jpg","width":4032,"height":3024,"displayUrl":"//live.staticflickr.com/1866/42452624110_831e69d790_4k.jpg"},"exportMetaType":"pojo"},"sq":{"data":{"url":"//live.staticflickr.com/1866/42452624110_ab7608bff0_s.jpg","width":75,"height":75,"displayUrl":"//live.staticflickr.com/1866/42452624110_ab7608bff0_s.jpg"},"exportMetaType":"pojo"}},"exportMetaType":"pojo"},"title":"Saturday at Jastro Park","oWidth":4032,"secret":"ab7608bff0","license":4,"oHeight":3024,"rotation":0,"canAddMeta":false,"canComment":false,"engagement":{"data":{"id":"42452624110","canShare":true,"ownerNsid":"98609821@N00","reactions":{"data":{"like":{"data":{"id":"like","count":5,"canReact":true,"didViewerReact":true},"exportMetaType":"pojo"},"someOtherReaction":{"data":{"id":"someOtherReaction","count":3,"canReact":true,"didViewerReact":false},"exportMetaType":"pojo"}},"exportMetaType":"pojo"},"viewCount":119,"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42452624110","_flickrModelRegistry":"photo-geo-models"},"exportMetaType":"model"}],"photo-location-models":[{"data":{"id":"42452624110","geo":{"data":"~2","exportMetaType":"model"},"text":"","levels":{"data":{},"exportMetaType":"pojo"},"staticMaps":{"data":{},"exportMetaType":"pojo"},"_flickrModelRegistry":"photo-location-models"},"exportMetaType":"model"}],"photo-head-meta-models":[{"data":{"id":"42452624110","title":"Saturday at Jastro Park","og:url":"https://www.flickr.com/photos/juliejordanscott/42452624110/","og:type":"article","og:image":"https://live.staticflickr.com/1866/42452624110_ab7608bff0_b.jpg","og:title":"Saturday at Jastro Park","twitter:card":"summary_large_image","twitter:image":"https://live.staticflickr.com/1866/42452624110_ab7608bff0_b.jpg","og:description":"","og:image:width":1024,"og:image:height":768,"twitter:creator":"@juliejordanscot","twitter:description":"Explore juliejordanscott's 67408 photos on Flickr!","_flickrModelRegistry":"photo-head-meta-models","twitter:app:url:ipad":"flickr://flickr.com/photos/juliejordanscott/42452624110/","twitter:app:url:iphone":"flickr://flickr.com/photos/juliejordanscott/42452624110/","twitter:app:url:googleplay":"https://www.flickr.com/photos/juliejordanscott/42452624110/"},"exportMetaType":"model"}],"photo-license-history-models":[]},"acquisition_file":"fl-42452624110.webp","source_html_file":"/Users/atincakcayoz/corteqs/output/bakersfield-production-20261023/flickr-source-pages/42452624110.html","original_file_url":"https://live.staticflickr.com/1866/42452624110_831e69d790_4k.jpg","proposed_identity":"Jastro Park","source_html_sha256":"edfe4eba4b4e63fc9918b7564b56185a96a26298b5afa8ee1f4ca343ccba0558","third_party_rights_review":{"basis":"Kaynakta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dönüştürüldü.","original_file_url":"https://live.staticflickr.com/1866/42452624110_831e69d790_4k.jpg"},"metadata_reviewed_on":"2026-10-24","metadata_review_status":"verified"}}</x:v>
      </x:c>
    </x:row>
    <x:row r="138" ht="300" customHeight="1">
      <x:c r="A138" s="29" t="str">
        <x:v>bakersfield:evidence:venue-22103</x:v>
      </x:c>
      <x:c r="B138" s="29" t="str">
        <x:v>bakersfield</x:v>
      </x:c>
      <x:c r="C138" s="29" t="str">
        <x:v>bakersfield:photo:venue-22103</x:v>
      </x:c>
      <x:c r="D138" s="29" t="str">
        <x:v>https://www.flickr.com/photos/33671002@N00/8645034144/</x:v>
      </x:c>
      <x:c r="E138" s="29" t="str">
        <x:v>Beach Park · 2013 tarihli fotoğraf</x:v>
      </x:c>
      <x:c r="F138" s="29" t="str">
        <x:v>David Prasad</x:v>
      </x:c>
      <x:c r="G138" s="29" t="str">
        <x:v>CC BY-SA 2.0</x:v>
      </x:c>
      <x:c r="H138" s="29" t="str">
        <x:v>https://creativecommons.org/licenses/by-sa/2.0/</x:v>
      </x:c>
      <x:c r="I138" s="29" t="str">
        <x:v>CC BY-SA 2.0</x:v>
      </x:c>
      <x:c r="J138" s="29" t="str">
        <x:v>Beach Park · 2013 tarihli fotoğraf · David Prasad · CC BY-SA 2.0 · https://www.flickr.com/photos/33671002@N00/8645034144/</x:v>
      </x:c>
      <x:c r="K13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8" s="31" t="d">
        <x:v>2026-10-24T00:00:00.000Z</x:v>
      </x:c>
      <x:c r="M138" s="29" t="str">
        <x:v>Doğrulandı</x:v>
      </x:c>
      <x:c r="N138" s="29" t="str">
        <x:v>Doğrulandı</x:v>
      </x:c>
      <x:c r="O138" s="29" t="str">
        <x:v>Fotoğraflar/bk-c86c04d7f0d80e7736872707.webp</x:v>
      </x:c>
      <x:c r="P138" s="29" t="str">
        <x:v>Beach Park · 2013 tarihli fotoğraf · İndirilen kare temas sayfasında görüldü; kaynak mekân kimliğiyle eşleştirildi. Seçim kaydı final-pixel-review.json.</x:v>
      </x:c>
      <x:c r="Q138" s="29" t="str">
        <x:v>Bu kare için uygun</x:v>
      </x:c>
      <x:c r="R13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8" s="29" t="str">
        <x:v>Lisans kanıtları/bk-c86c04d7f0d80e7736872707.source-evidence.json</x:v>
      </x:c>
      <x:c r="T138" s="29" t="str">
        <x:v>fc4294c9d8b138636c4978660dd88fd7f52e66935f9e9ffb610b0f45cda1b3fe</x:v>
      </x:c>
      <x:c r="U138" s="29" t="str">
        <x:v>Lisans kanıtları/bk-c86c04d7f0d80e7736872707.license-record.json</x:v>
      </x:c>
      <x:c r="V138" s="29" t="str">
        <x:v>01f39714cdb1c06c199a3b1dee448781c48b9b73d896f1ade68414dc83a88565</x:v>
      </x:c>
      <x:c r="W138" s="29" t="str">
        <x:v>{"file":"bk-c86c04d7f0d80e7736872707.webp","width":1024,"author":"David Prasad","height":768,"sha256":"c86c04d7f0d80e773687270784a0cab675fc9f17038149ef66bdee63816646cd","status":"reviewed-selected","license":"CC BY-SA 2.0","provider":"Flickr","review_id":"F212","source_id":"8645034144","author_url":"https://www.flickr.com/photos/33671002@N00/","date_texts":["Uploaded on April 13, 2013 Taken on April 10, 2013","Taken on April 10, 2013","Uploaded on April 13, 2013 Taken on April 10, 2013","Taken on April 10, 2013"],"source_url":"https://www.flickr.com/photos/33671002@N00/8645034144/","description":"","license_url":"https://creativecommons.org/licenses/by-sa/2.0/","review_note":"Tree avenue.","reviewed_on":"2026-10-24","source_text":"IMG_2053 Beach Park, Bakersfield, Rosedale Hwy and Buck Ow…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Prasad niiicedave IMG_2053 Beach Park, Bakersfield, Rosedale Hwy and Buck Owens Blvd Done 233 views 0 faves 0 comments Uploaded on April 13, 2013 Taken on April 10, 2013 David Prasad By: David Prasad IMG_2053 Beach Park, Bakersfield, Rosedale Hwy and Buck Owens Blvd Done 233 views 0 faves 0 comments Uploaded on April 13, 2013 Taken on April 10, 2013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photography.","capture_date":"2013-04-10","download_url":"https://live.staticflickr.com/8538/8645034144_0548596dc6_b.jpg","original_url":"https://live.staticflickr.com/8538/8645034144_ab986fed84_4k.jpg","pixel_review":{"method":"İndirilen kare temas sayfasında görüldü; kaynak mekân kimliğiyle eşleştirildi. Seçim kaydı final-pixel-review.json.","status":"verified","caption":"Beach Park · 2013 tarihli fotoğraf","reviewer":"Codex (AI)","review_id":"F212"},"source_title":"IMG_2053 Beach Park, Bakersfield, Rosedale Hwy and Buck Owens Blvd","downloaded_at":"2026-10-23T19:50:16.870474+00:00","download_sha256":"2df710ae44081f3852652b49a2fec6ff6733e5a5d5ac4f0f4a579595ab6cc310","downloaded_file":"downloads/2df710ae44081f3852652b49a2fec6ff6733e5a5d5ac4f0f4a579595ab6cc310.jpg","public_metadata":{"photo-models":[{"data":{"id":"8645034144","owner":{"data":{"id":"33671002@N00","isPro":true,"newFlow":true,"isAdFree":false,"location":"Fresno, CA., United States","proBadge":"standard","realname":"David Prasad","segments":{"data":[],"exportMetaType":"array"},"username":"niiicedave","buddyicon":{"data":{"large":"//live.staticflickr.com/5510/buddyicons/33671002@N00_l.jpg?1377425093#33671002@N00","small":"//live.staticflickr.com/5510/buddyicons/33671002@N00_s.jpg?1377425093#33671002@N00","medium":"//live.staticflickr.com/5510/buddyicons/33671002@N00_m.jpg?1377425093#33671002@N00","retina":"//live.staticflickr.com/5510/buddyicons/33671002@N00_r.jpg?1377425093#33671002@N00","default":"//live.staticflickr.com/5510/buddyicons/33671002@N00.jpg?1377425093#33671002@N00"},"exportMetaType":"pojo"},"dateCreated":{"data":"1163071014","exportMetaType":"serializeFunction"},"subscription":{"data":{"isPro":false,"isClosed":false,"isPastDue":false},"exportMetaType":"pojo"},"eligibleGifts":{"data":["year","month","week"],"exportMetaType":"array"},"isEligibleForGifts":true,"_flickrModelRegistry":"person-models"},"exportMetaType":"model"},"sizes":{"data":{"c":{"data":{"url":"//live.staticflickr.com/8538/8645034144_0548596dc6_c.jpg","width":800,"height":600,"displayUrl":"//live.staticflickr.com/8538/8645034144_0548596dc6_c.jpg"},"exportMetaType":"pojo"},"h":{"data":{"url":"//live.staticflickr.com/8538/8645034144_1389f5d92a_h.jpg","width":1600,"height":1200,"displayUrl":"//live.staticflickr.com/8538/8645034144_1389f5d92a_h.jpg"},"exportMetaType":"pojo"},"k":{"data":{"url":"//live.staticflickr.com/8538/8645034144_d8f65060b1_k.jpg","width":2048,"height":1536,"displayUrl":"//live.staticflickr.com/8538/8645034144_d8f65060b1_k.jpg"},"exportMetaType":"pojo"},"l":{"data":{"url":"//live.staticflickr.com/8538/8645034144_0548596dc6_b.jpg","width":1024,"height":768,"displayUrl":"//live.staticflickr.com/8538/8645034144_0548596dc6_b.jpg"},"exportMetaType":"pojo"},"m":{"data":{"url":"//live.staticflickr.com/8538/8645034144_0548596dc6.jpg","width":500,"height":375,"displayUrl":"//live.staticflickr.com/8538/8645034144_0548596dc6.jpg"},"exportMetaType":"pojo"},"n":{"data":{"url":"//live.staticflickr.com/8538/8645034144_0548596dc6_n.jpg","width":320,"height":240,"displayUrl":"//live.staticflickr.com/8538/8645034144_0548596dc6_n.jpg"},"exportMetaType":"pojo"},"o":{"data":{"url":"//live.staticflickr.com/8538/8645034144_471e6e69a1_o.jpg","width":4000,"height":3000,"displayUrl":"//live.staticflickr.com/8538/8645034144_471e6e69a1_o.jpg"},"exportMetaType":"pojo"},"q":{"data":{"url":"//live.staticflickr.com/8538/8645034144_0548596dc6_q.jpg","width":150,"height":150,"displayUrl":"//live.staticflickr.com/8538/8645034144_0548596dc6_q.jpg"},"exportMetaType":"pojo"},"s":{"data":{"url":"//live.staticflickr.com/8538/8645034144_0548596dc6_m.jpg","width":240,"height":180,"displayUrl":"//live.staticflickr.com/8538/8645034144_0548596dc6_m.jpg"},"exportMetaType":"pojo"},"t":{"data":{"url":"//live.staticflickr.com/8538/8645034144_0548596dc6_t.jpg","width":100,"height":75,"displayUrl":"//live.staticflickr.com/8538/8645034144_0548596dc6_t.jpg"},"exportMetaType":"pojo"},"w":{"data":{"url":"//live.staticflickr.com/8538/8645034144_0548596dc6_w.jpg","width":400,"height":300,"displayUrl":"//live.staticflickr.com/8538/8645034144_0548596dc6_w.jpg"},"exportMetaType":"pojo"},"z":{"data":{"url":"//live.staticflickr.com/8538/8645034144_0548596dc6_z.jpg","width":640,"height":480,"displayUrl":"//live.staticflickr.com/8538/8645034144_0548596dc6_z.jpg"},"exportMetaType":"pojo"},"3k":{"data":{"url":"//live.staticflickr.com/8538/8645034144_e3dc04c92b_3k.jpg","width":3072,"height":2304,"displayUrl":"//live.staticflickr.com/8538/8645034144_e3dc04c92b_3k.jpg"},"exportMetaType":"pojo"},"4k":{"data":{"url":"//live.staticflickr.com/8538/8645034144_ab986fed84_4k.jpg","width":4000,"height":3000,"displayUrl":"//live.staticflickr.com/8538/8645034144_ab986fed84_4k.jpg"},"exportMetaType":"pojo"},"sq":{"data":{"url":"//live.staticflickr.com/8538/8645034144_0548596dc6_s.jpg","width":75,"height":75,"displayUrl":"//live.staticflickr.com/8538/8645034144_0548596dc6_s.jpg"},"exportMetaType":"pojo"}},"exportMetaType":"pojo"},"title":"IMG_2053 Beach Park, Bakersfield, Rosedale Hwy and Buck Owens Blvd","oWidth":4000,"secret":"0548596dc6","license":5,"oHeight":3000,"rotation":0,"canAddMeta":false,"canComment":false,"engagement":{"data":{"id":"8645034144","canShare":true,"ownerNsid":"33671002@N00","reactions":{"data":{"like":{"data":{"id":"like","count":5,"canReact":true,"didViewerReact":true},"exportMetaType":"pojo"},"someOtherReaction":{"data":{"id":"someOtherReaction","count":3,"canReact":true,"didViewerReact":false},"exportMetaType":"pojo"}},"exportMetaType":"pojo"},"viewCount":233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8645034144","_flickrModelRegistry":"photo-geo-models"},"exportMetaType":"model"}],"photo-location-models":[{"data":{"id":"8645034144","geo":{"data":"~2","exportMetaType":"model"},"text":"","levels":{"data":{},"exportMetaType":"pojo"},"staticMaps":{"data":{},"exportMetaType":"pojo"},"_flickrModelRegistry":"photo-location-models"},"exportMetaType":"model"}],"photo-head-meta-models":[{"data":{"id":"8645034144","title":"IMG_2053 Beach Park, Bakersfield, Rosedale Hwy and Buck Owens Blvd","og:url":"https://www.flickr.com/photos/33671002@N00/8645034144/","og:type":"article","keywords":"day, outdoor, bakersfield, sanjoaquinvalley, beachpark, centralvalleyofcalifornia","og:image":"https://live.staticflickr.com/8538/8645034144_0548596dc6_b.jpg","og:title":"IMG_2053 Beach Park, Bakersfield, Rosedale Hwy and Buck Owens Blvd","twitter:card":"summary_large_image","twitter:image":"https://live.staticflickr.com/8538/8645034144_0548596dc6_b.jpg","og:description":"","og:image:width":1024,"og:image:height":768,"twitter:creator":"@earth2dave2","twitter:description":"Explore niiicedave's 19070 photos on Flickr!","_flickrModelRegistry":"photo-head-meta-models","twitter:app:url:ipad":"flickr://flickr.com/photos/33671002@N00/8645034144/","twitter:app:url:iphone":"flickr://flickr.com/photos/33671002@N00/8645034144/","twitter:app:url:googleplay":"https://www.flickr.com/photos/33671002@N00/8645034144/"},"exportMetaType":"model"}],"photo-license-history-models":[]},"acquisition_file":"fl-8645034144.webp","source_html_file":"/Users/atincakcayoz/corteqs/output/bakersfield-production-20261023/flickr-source-pages/8645034144.html","original_file_url":"https://live.staticflickr.com/8538/8645034144_ab986fed84_4k.jpg","proposed_identity":"Beach Park","source_html_sha256":"c60862230cc1571fb29d973165b8ad5cf28bb72840cce8da2036c4d1e85207b8","third_party_rights_review":{"basis":"Kaynakta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dönüştürüldü.","photo_attribution":{"author_url":"https://www.flickr.com/photos/33671002@N00/","modifications":"EXIF yönü uygulandı; boyut küçültülüp WebP biçimine dönüştürüldü.","original_file_url":"https://live.staticflickr.com/8538/8645034144_ab986fed84_4k.jpg"},"metadata_reviewed_on":"2026-10-24","metadata_review_status":"verified"}}</x:v>
      </x:c>
    </x:row>
    <x:row r="139" ht="300" customHeight="1">
      <x:c r="A139" s="29" t="str">
        <x:v>bakersfield:evidence:venue-22104</x:v>
      </x:c>
      <x:c r="B139" s="29" t="str">
        <x:v>bakersfield</x:v>
      </x:c>
      <x:c r="C139" s="29" t="str">
        <x:v>bakersfield:photo:venue-22104</x:v>
      </x:c>
      <x:c r="D139" s="29" t="str">
        <x:v>https://www.flickr.com/photos/33671002@N00/8645033940/</x:v>
      </x:c>
      <x:c r="E139" s="29" t="str">
        <x:v>Beach Park · 2013 tarihli fotoğraf</x:v>
      </x:c>
      <x:c r="F139" s="29" t="str">
        <x:v>David Prasad</x:v>
      </x:c>
      <x:c r="G139" s="29" t="str">
        <x:v>CC BY-SA 2.0</x:v>
      </x:c>
      <x:c r="H139" s="29" t="str">
        <x:v>https://creativecommons.org/licenses/by-sa/2.0/</x:v>
      </x:c>
      <x:c r="I139" s="29" t="str">
        <x:v>CC BY-SA 2.0</x:v>
      </x:c>
      <x:c r="J139" s="29" t="str">
        <x:v>Beach Park · 2013 tarihli fotoğraf · David Prasad · CC BY-SA 2.0 · https://www.flickr.com/photos/33671002@N00/8645033940/</x:v>
      </x:c>
      <x:c r="K13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39" s="31" t="d">
        <x:v>2026-10-24T00:00:00.000Z</x:v>
      </x:c>
      <x:c r="M139" s="29" t="str">
        <x:v>Doğrulandı</x:v>
      </x:c>
      <x:c r="N139" s="29" t="str">
        <x:v>Doğrulandı</x:v>
      </x:c>
      <x:c r="O139" s="29" t="str">
        <x:v>Fotoğraflar/bk-55a89245e7d4287ec5b11925.webp</x:v>
      </x:c>
      <x:c r="P139" s="29" t="str">
        <x:v>Beach Park · 2013 tarihli fotoğraf · İndirilen kare temas sayfasında görüldü; kaynak mekân kimliğiyle eşleştirildi. Seçim kaydı final-pixel-review.json.</x:v>
      </x:c>
      <x:c r="Q139" s="29" t="str">
        <x:v>Bu kare için uygun</x:v>
      </x:c>
      <x:c r="R13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39" s="29" t="str">
        <x:v>Lisans kanıtları/bk-55a89245e7d4287ec5b11925.source-evidence.json</x:v>
      </x:c>
      <x:c r="T139" s="29" t="str">
        <x:v>8bf71c3a72c398ca7cbaa67b549a6ba0ffa3db2145cfb73d0aa66a7c1abc352a</x:v>
      </x:c>
      <x:c r="U139" s="29" t="str">
        <x:v>Lisans kanıtları/bk-55a89245e7d4287ec5b11925.license-record.json</x:v>
      </x:c>
      <x:c r="V139" s="29" t="str">
        <x:v>c5aa41e8b4ae490dc4b9982569ed86390b7bb4290bebcf7f4136ac843f2dc2aa</x:v>
      </x:c>
      <x:c r="W139" s="29" t="str">
        <x:v>{"file":"bk-55a89245e7d4287ec5b11925.webp","width":1024,"author":"David Prasad","height":768,"sha256":"55a89245e7d4287ec5b119259c1a24ef6cc1467aa8251213583807262e1a9d9c","status":"reviewed-selected","license":"CC BY-SA 2.0","provider":"Flickr","review_id":"F213","source_id":"8645033940","author_url":"https://www.flickr.com/photos/33671002@N00/","date_texts":["Uploaded on April 13, 2013 Taken on April 10, 2013","Taken on April 10, 2013","Uploaded on April 13, 2013 Taken on April 10, 2013","Taken on April 10, 2013"],"source_url":"https://www.flickr.com/photos/33671002@N00/8645033940/","description":"","license_url":"https://creativecommons.org/licenses/by-sa/2.0/","review_note":"Lawn context; compare 212 for redundancy.","reviewed_on":"2026-10-24","source_text":"IMG_2052 Beach Park, Bakersfield, Rosedale Hwy and Buck Ow…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Prasad niiicedave IMG_2052 Beach Park, Bakersfield, Rosedale Hwy and Buck Owens Blvd Done 220 views 0 faves 0 comments Uploaded on April 13, 2013 Taken on April 10, 2013 David Prasad By: David Prasad IMG_2052 Beach Park, Bakersfield, Rosedale Hwy and Buck Owens Blvd Done 220 views 0 faves 0 comments Uploaded on April 13, 2013 Taken on April 10, 2013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photography.","capture_date":"2013-04-10","download_url":"https://live.staticflickr.com/8391/8645033940_62cebdb149_b.jpg","original_url":"https://live.staticflickr.com/8391/8645033940_f52ce63424_4k.jpg","pixel_review":{"method":"İndirilen kare temas sayfasında görüldü; kaynak mekân kimliğiyle eşleştirildi. Seçim kaydı final-pixel-review.json.","status":"verified","caption":"Beach Park · 2013 tarihli fotoğraf","reviewer":"Codex (AI)","review_id":"F213"},"source_title":"IMG_2052 Beach Park, Bakersfield, Rosedale Hwy and Buck Owens Blvd","downloaded_at":"2026-10-23T19:50:16.481711+00:00","download_sha256":"24eff9e71c0425ffb2f09350a961ce4769840ea334bb6a69556e306c77e84509","downloaded_file":"downloads/24eff9e71c0425ffb2f09350a961ce4769840ea334bb6a69556e306c77e84509.jpg","public_metadata":{"photo-models":[{"data":{"id":"8645033940","owner":{"data":{"id":"33671002@N00","isPro":true,"newFlow":true,"isAdFree":false,"location":"Fresno, CA., United States","proBadge":"standard","realname":"David Prasad","segments":{"data":[],"exportMetaType":"array"},"username":"niiicedave","buddyicon":{"data":{"large":"//live.staticflickr.com/5510/buddyicons/33671002@N00_l.jpg?1377425093#33671002@N00","small":"//live.staticflickr.com/5510/buddyicons/33671002@N00_s.jpg?1377425093#33671002@N00","medium":"//live.staticflickr.com/5510/buddyicons/33671002@N00_m.jpg?1377425093#33671002@N00","retina":"//live.staticflickr.com/5510/buddyicons/33671002@N00_r.jpg?1377425093#33671002@N00","default":"//live.staticflickr.com/5510/buddyicons/33671002@N00.jpg?1377425093#33671002@N00"},"exportMetaType":"pojo"},"dateCreated":{"data":"1163071014","exportMetaType":"serializeFunction"},"subscription":{"data":{"isPro":false,"isClosed":false,"isPastDue":false},"exportMetaType":"pojo"},"eligibleGifts":{"data":["year","month","week"],"exportMetaType":"array"},"isEligibleForGifts":true,"_flickrModelRegistry":"person-models"},"exportMetaType":"model"},"sizes":{"data":{"c":{"data":{"url":"//live.staticflickr.com/8391/8645033940_62cebdb149_c.jpg","width":800,"height":600,"displayUrl":"//live.staticflickr.com/8391/8645033940_62cebdb149_c.jpg"},"exportMetaType":"pojo"},"h":{"data":{"url":"//live.staticflickr.com/8391/8645033940_577867b8de_h.jpg","width":1600,"height":1200,"displayUrl":"//live.staticflickr.com/8391/8645033940_577867b8de_h.jpg"},"exportMetaType":"pojo"},"k":{"data":{"url":"//live.staticflickr.com/8391/8645033940_75c92121ae_k.jpg","width":2048,"height":1536,"displayUrl":"//live.staticflickr.com/8391/8645033940_75c92121ae_k.jpg"},"exportMetaType":"pojo"},"l":{"data":{"url":"//live.staticflickr.com/8391/8645033940_62cebdb149_b.jpg","width":1024,"height":768,"displayUrl":"//live.staticflickr.com/8391/8645033940_62cebdb149_b.jpg"},"exportMetaType":"pojo"},"m":{"data":{"url":"//live.staticflickr.com/8391/8645033940_62cebdb149.jpg","width":500,"height":375,"displayUrl":"//live.staticflickr.com/8391/8645033940_62cebdb149.jpg"},"exportMetaType":"pojo"},"n":{"data":{"url":"//live.staticflickr.com/8391/8645033940_62cebdb149_n.jpg","width":320,"height":240,"displayUrl":"//live.staticflickr.com/8391/8645033940_62cebdb149_n.jpg"},"exportMetaType":"pojo"},"o":{"data":{"url":"//live.staticflickr.com/8391/8645033940_fd90dbd571_o.jpg","width":4000,"height":3000,"displayUrl":"//live.staticflickr.com/8391/8645033940_fd90dbd571_o.jpg"},"exportMetaType":"pojo"},"q":{"data":{"url":"//live.staticflickr.com/8391/8645033940_62cebdb149_q.jpg","width":150,"height":150,"displayUrl":"//live.staticflickr.com/8391/8645033940_62cebdb149_q.jpg"},"exportMetaType":"pojo"},"s":{"data":{"url":"//live.staticflickr.com/8391/8645033940_62cebdb149_m.jpg","width":240,"height":180,"displayUrl":"//live.staticflickr.com/8391/8645033940_62cebdb149_m.jpg"},"exportMetaType":"pojo"},"t":{"data":{"url":"//live.staticflickr.com/8391/8645033940_62cebdb149_t.jpg","width":100,"height":75,"displayUrl":"//live.staticflickr.com/8391/8645033940_62cebdb149_t.jpg"},"exportMetaType":"pojo"},"w":{"data":{"url":"//live.staticflickr.com/8391/8645033940_62cebdb149_w.jpg","width":400,"height":300,"displayUrl":"//live.staticflickr.com/8391/8645033940_62cebdb149_w.jpg"},"exportMetaType":"pojo"},"z":{"data":{"url":"//live.staticflickr.com/8391/8645033940_62cebdb149_z.jpg","width":640,"height":480,"displayUrl":"//live.staticflickr.com/8391/8645033940_62cebdb149_z.jpg"},"exportMetaType":"pojo"},"3k":{"data":{"url":"//live.staticflickr.com/8391/8645033940_a55e1584af_3k.jpg","width":3072,"height":2304,"displayUrl":"//live.staticflickr.com/8391/8645033940_a55e1584af_3k.jpg"},"exportMetaType":"pojo"},"4k":{"data":{"url":"//live.staticflickr.com/8391/8645033940_f52ce63424_4k.jpg","width":4000,"height":3000,"displayUrl":"//live.staticflickr.com/8391/8645033940_f52ce63424_4k.jpg"},"exportMetaType":"pojo"},"sq":{"data":{"url":"//live.staticflickr.com/8391/8645033940_62cebdb149_s.jpg","width":75,"height":75,"displayUrl":"//live.staticflickr.com/8391/8645033940_62cebdb149_s.jpg"},"exportMetaType":"pojo"}},"exportMetaType":"pojo"},"title":"IMG_2052 Beach Park, Bakersfield, Rosedale Hwy and Buck Owens Blvd","oWidth":4000,"secret":"62cebdb149","license":5,"oHeight":3000,"rotation":0,"canAddMeta":false,"canComment":false,"engagement":{"data":{"id":"8645033940","canShare":true,"ownerNsid":"33671002@N00","reactions":{"data":{"like":{"data":{"id":"like","count":5,"canReact":true,"didViewerReact":true},"exportMetaType":"pojo"},"someOtherReaction":{"data":{"id":"someOtherReaction","count":3,"canReact":true,"didViewerReact":false},"exportMetaType":"pojo"}},"exportMetaType":"pojo"},"viewCount":220,"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8645033940","_flickrModelRegistry":"photo-geo-models"},"exportMetaType":"model"}],"photo-location-models":[{"data":{"id":"8645033940","geo":{"data":"~2","exportMetaType":"model"},"text":"","levels":{"data":{},"exportMetaType":"pojo"},"staticMaps":{"data":{},"exportMetaType":"pojo"},"_flickrModelRegistry":"photo-location-models"},"exportMetaType":"model"}],"photo-head-meta-models":[{"data":{"id":"8645033940","title":"IMG_2052 Beach Park, Bakersfield, Rosedale Hwy and Buck Owens Blvd","og:url":"https://www.flickr.com/photos/33671002@N00/8645033940/","og:type":"article","keywords":"day, outdoor, bakersfield, sanjoaquinvalley, beachpark, centralvalleyofcalifornia","og:image":"https://live.staticflickr.com/8391/8645033940_62cebdb149_b.jpg","og:title":"IMG_2052 Beach Park, Bakersfield, Rosedale Hwy and Buck Owens Blvd","twitter:card":"summary_large_image","twitter:image":"https://live.staticflickr.com/8391/8645033940_62cebdb149_b.jpg","og:description":"","og:image:width":1024,"og:image:height":768,"twitter:creator":"@earth2dave2","twitter:description":"Explore niiicedave's 19070 photos on Flickr!","_flickrModelRegistry":"photo-head-meta-models","twitter:app:url:ipad":"flickr://flickr.com/photos/33671002@N00/8645033940/","twitter:app:url:iphone":"flickr://flickr.com/photos/33671002@N00/8645033940/","twitter:app:url:googleplay":"https://www.flickr.com/photos/33671002@N00/8645033940/"},"exportMetaType":"model"}],"photo-license-history-models":[]},"acquisition_file":"fl-8645033940.webp","source_html_file":"/Users/atincakcayoz/corteqs/output/bakersfield-production-20261023/flickr-source-pages/8645033940.html","original_file_url":"https://live.staticflickr.com/8391/8645033940_f52ce63424_4k.jpg","proposed_identity":"Beach Park","source_html_sha256":"fc7582e3a0b8ae6abd6a7607101cc60aad114830c993e8d6746fc9b623eb37f1","third_party_rights_review":{"basis":"Kaynakta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dönüştürüldü.","photo_attribution":{"author_url":"https://www.flickr.com/photos/33671002@N00/","modifications":"EXIF yönü uygulandı; boyut küçültülüp WebP biçimine dönüştürüldü.","original_file_url":"https://live.staticflickr.com/8391/8645033940_f52ce63424_4k.jpg"},"metadata_reviewed_on":"2026-10-24","metadata_review_status":"verified"}}</x:v>
      </x:c>
    </x:row>
    <x:row r="140" ht="300" customHeight="1">
      <x:c r="A140" s="29" t="str">
        <x:v>bakersfield:evidence:venue-22105</x:v>
      </x:c>
      <x:c r="B140" s="29" t="str">
        <x:v>bakersfield</x:v>
      </x:c>
      <x:c r="C140" s="29" t="str">
        <x:v>bakersfield:photo:venue-22105</x:v>
      </x:c>
      <x:c r="D140" s="29" t="str">
        <x:v>https://www.flickr.com/photos/33671002@N00/8643937651/</x:v>
      </x:c>
      <x:c r="E140" s="29" t="str">
        <x:v>Beach Park · 2013 tarihli fotoğraf</x:v>
      </x:c>
      <x:c r="F140" s="29" t="str">
        <x:v>David Prasad</x:v>
      </x:c>
      <x:c r="G140" s="29" t="str">
        <x:v>CC BY-SA 2.0</x:v>
      </x:c>
      <x:c r="H140" s="29" t="str">
        <x:v>https://creativecommons.org/licenses/by-sa/2.0/</x:v>
      </x:c>
      <x:c r="I140" s="29" t="str">
        <x:v>CC BY-SA 2.0</x:v>
      </x:c>
      <x:c r="J140" s="29" t="str">
        <x:v>Beach Park · 2013 tarihli fotoğraf · David Prasad · CC BY-SA 2.0 · https://www.flickr.com/photos/33671002@N00/8643937651/</x:v>
      </x:c>
      <x:c r="K14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0" s="31" t="d">
        <x:v>2026-10-24T00:00:00.000Z</x:v>
      </x:c>
      <x:c r="M140" s="29" t="str">
        <x:v>Doğrulandı</x:v>
      </x:c>
      <x:c r="N140" s="29" t="str">
        <x:v>Doğrulandı</x:v>
      </x:c>
      <x:c r="O140" s="29" t="str">
        <x:v>Fotoğraflar/bk-7dd8aa628fb0f81d04ed92fb.webp</x:v>
      </x:c>
      <x:c r="P140" s="29" t="str">
        <x:v>Beach Park · 2013 tarihli fotoğraf · İndirilen kare temas sayfasında görüldü; kaynak mekân kimliğiyle eşleştirildi. Seçim kaydı final-pixel-review.json.</x:v>
      </x:c>
      <x:c r="Q140" s="29" t="str">
        <x:v>Bu kare için uygun</x:v>
      </x:c>
      <x:c r="R14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0" s="29" t="str">
        <x:v>Lisans kanıtları/bk-7dd8aa628fb0f81d04ed92fb.source-evidence.json</x:v>
      </x:c>
      <x:c r="T140" s="29" t="str">
        <x:v>6f9e2b4cb0b865d41b21e0e87945ff5a1dd2fe2965fd48e0f8df9ff135ad7891</x:v>
      </x:c>
      <x:c r="U140" s="29" t="str">
        <x:v>Lisans kanıtları/bk-7dd8aa628fb0f81d04ed92fb.license-record.json</x:v>
      </x:c>
      <x:c r="V140" s="29" t="str">
        <x:v>2f1b67b84dc47d9d0e0683e395e7722739d3b9a09568027951da365c10d29c40</x:v>
      </x:c>
      <x:c r="W140" s="29" t="str">
        <x:v>{"file":"bk-7dd8aa628fb0f81d04ed92fb.webp","width":1024,"author":"David Prasad","height":768,"sha256":"7dd8aa628fb0f81d04ed92fb50250313d156b2fbb29059627d52a83d5b6be5d0","status":"reviewed-selected","license":"CC BY-SA 2.0","provider":"Flickr","review_id":"E134","source_id":"8643937651","author_url":"https://www.flickr.com/photos/33671002@N00/","date_texts":["Uploaded on April 13, 2013 Taken on April 10, 2013","Taken on April 10, 2013","Uploaded on April 13, 2013 Taken on April 10, 2013","Taken on April 10, 2013"],"source_url":"https://www.flickr.com/photos/33671002@N00/8643937651/","description":"","license_url":"https://creativecommons.org/licenses/by-sa/2.0/","review_note":"Garden path; plaques incidental, not main artwork image.","reviewed_on":"2026-10-24","source_text":"IMG_2049 Beach Park Bakersfield - Cancer survivor's walk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Prasad niiicedave IMG_2049 Beach Park Bakersfield - Cancer survivor's walk Done 1,073 views 0 faves 0 comments Uploaded on April 13, 2013 Taken on April 10, 2013 David Prasad By: David Prasad IMG_2049 Beach Park Bakersfield - Cancer survivor's walk Done 1,073 views 0 faves 0 comments Uploaded on April 13, 2013 Taken on April 10, 2013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photography.","capture_date":"2013-04-10","download_url":"https://live.staticflickr.com/8242/8643937651_70d080be1b_b.jpg","original_url":"https://live.staticflickr.com/8242/8643937651_57372c2999_4k.jpg","pixel_review":{"method":"İndirilen kare temas sayfasında görüldü; kaynak mekân kimliğiyle eşleştirildi. Seçim kaydı final-pixel-review.json.","status":"verified","caption":"Beach Park · 2013 tarihli fotoğraf","reviewer":"Codex (AI)","review_id":"E134"},"source_title":"IMG_2049 Beach Park Bakersfield - Cancer survivor's walk","downloaded_at":"2026-10-23T19:50:37.552689+00:00","download_sha256":"6b0e84a8e900d4b4adb1a357a26a82b3e1b54ab843347b781cc1923ea97cf049","downloaded_file":"downloads/6b0e84a8e900d4b4adb1a357a26a82b3e1b54ab843347b781cc1923ea97cf049.jpg","public_metadata":{"photo-models":[{"data":{"id":"8643937651","owner":{"data":{"id":"33671002@N00","isPro":true,"newFlow":true,"isAdFree":false,"location":"Fresno, CA., United States","proBadge":"standard","realname":"David Prasad","segments":{"data":[],"exportMetaType":"array"},"username":"niiicedave","buddyicon":{"data":{"large":"//live.staticflickr.com/5510/buddyicons/33671002@N00_l.jpg?1377425093#33671002@N00","small":"//live.staticflickr.com/5510/buddyicons/33671002@N00_s.jpg?1377425093#33671002@N00","medium":"//live.staticflickr.com/5510/buddyicons/33671002@N00_m.jpg?1377425093#33671002@N00","retina":"//live.staticflickr.com/5510/buddyicons/33671002@N00_r.jpg?1377425093#33671002@N00","default":"//live.staticflickr.com/5510/buddyicons/33671002@N00.jpg?1377425093#33671002@N00"},"exportMetaType":"pojo"},"dateCreated":{"data":"1163071014","exportMetaType":"serializeFunction"},"subscription":{"data":{"isPro":false,"isClosed":false,"isPastDue":false},"exportMetaType":"pojo"},"eligibleGifts":{"data":["year","month","week"],"exportMetaType":"array"},"isEligibleForGifts":true,"_flickrModelRegistry":"person-models"},"exportMetaType":"model"},"sizes":{"data":{"c":{"data":{"url":"//live.staticflickr.com/8242/8643937651_70d080be1b_c.jpg","width":800,"height":600,"displayUrl":"//live.staticflickr.com/8242/8643937651_70d080be1b_c.jpg"},"exportMetaType":"pojo"},"h":{"data":{"url":"//live.staticflickr.com/8242/8643937651_57a849d383_h.jpg","width":1600,"height":1200,"displayUrl":"//live.staticflickr.com/8242/8643937651_57a849d383_h.jpg"},"exportMetaType":"pojo"},"k":{"data":{"url":"//live.staticflickr.com/8242/8643937651_504e0f59a0_k.jpg","width":2048,"height":1536,"displayUrl":"//live.staticflickr.com/8242/8643937651_504e0f59a0_k.jpg"},"exportMetaType":"pojo"},"l":{"data":{"url":"//live.staticflickr.com/8242/8643937651_70d080be1b_b.jpg","width":1024,"height":768,"displayUrl":"//live.staticflickr.com/8242/8643937651_70d080be1b_b.jpg"},"exportMetaType":"pojo"},"m":{"data":{"url":"//live.staticflickr.com/8242/8643937651_70d080be1b.jpg","width":500,"height":375,"displayUrl":"//live.staticflickr.com/8242/8643937651_70d080be1b.jpg"},"exportMetaType":"pojo"},"n":{"data":{"url":"//live.staticflickr.com/8242/8643937651_70d080be1b_n.jpg","width":320,"height":240,"displayUrl":"//live.staticflickr.com/8242/8643937651_70d080be1b_n.jpg"},"exportMetaType":"pojo"},"o":{"data":{"url":"//live.staticflickr.com/8242/8643937651_aba0bff436_o.jpg","width":4000,"height":3000,"displayUrl":"//live.staticflickr.com/8242/8643937651_aba0bff436_o.jpg"},"exportMetaType":"pojo"},"q":{"data":{"url":"//live.staticflickr.com/8242/8643937651_70d080be1b_q.jpg","width":150,"height":150,"displayUrl":"//live.staticflickr.com/8242/8643937651_70d080be1b_q.jpg"},"exportMetaType":"pojo"},"s":{"data":{"url":"//live.staticflickr.com/8242/8643937651_70d080be1b_m.jpg","width":240,"height":180,"displayUrl":"//live.staticflickr.com/8242/8643937651_70d080be1b_m.jpg"},"exportMetaType":"pojo"},"t":{"data":{"url":"//live.staticflickr.com/8242/8643937651_70d080be1b_t.jpg","width":100,"height":75,"displayUrl":"//live.staticflickr.com/8242/8643937651_70d080be1b_t.jpg"},"exportMetaType":"pojo"},"w":{"data":{"url":"//live.staticflickr.com/8242/8643937651_70d080be1b_w.jpg","width":400,"height":300,"displayUrl":"//live.staticflickr.com/8242/8643937651_70d080be1b_w.jpg"},"exportMetaType":"pojo"},"z":{"data":{"url":"//live.staticflickr.com/8242/8643937651_70d080be1b_z.jpg","width":640,"height":480,"displayUrl":"//live.staticflickr.com/8242/8643937651_70d080be1b_z.jpg"},"exportMetaType":"pojo"},"3k":{"data":{"url":"//live.staticflickr.com/8242/8643937651_4996ee9df0_3k.jpg","width":3072,"height":2304,"displayUrl":"//live.staticflickr.com/8242/8643937651_4996ee9df0_3k.jpg"},"exportMetaType":"pojo"},"4k":{"data":{"url":"//live.staticflickr.com/8242/8643937651_57372c2999_4k.jpg","width":4000,"height":3000,"displayUrl":"//live.staticflickr.com/8242/8643937651_57372c2999_4k.jpg"},"exportMetaType":"pojo"},"sq":{"data":{"url":"//live.staticflickr.com/8242/8643937651_70d080be1b_s.jpg","width":75,"height":75,"displayUrl":"//live.staticflickr.com/8242/8643937651_70d080be1b_s.jpg"},"exportMetaType":"pojo"}},"exportMetaType":"pojo"},"title":"IMG_2049 Beach Park Bakersfield - Cancer survivor's walk","oWidth":4000,"secret":"70d080be1b","license":5,"oHeight":3000,"rotation":0,"canAddMeta":false,"canComment":false,"engagement":{"data":{"id":"8643937651","canShare":true,"ownerNsid":"33671002@N00","reactions":{"data":{"like":{"data":{"id":"like","count":5,"canReact":true,"didViewerReact":true},"exportMetaType":"pojo"},"someOtherReaction":{"data":{"id":"someOtherReaction","count":3,"canReact":true,"didViewerReact":false},"exportMetaType":"pojo"}},"exportMetaType":"pojo"},"viewCount":1073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8643937651","hasGeo":true,"accuracy":16,"isPublic":true,"latitude":35.380582,"longitude":-119.039268,"_flickrModelRegistry":"photo-geo-models"},"exportMetaType":"model"}],"photo-location-models":[{"data":{"id":"8643937651","geo":{"data":"~2","exportMetaType":"model"},"text":"Bakersfield, California, United States","levels":{"data":{"county":{"data":{"name":"Kern","woeId":12587684},"exportMetaType":"pojo"},"region":{"data":{"name":"California","woeId":2347563},"exportMetaType":"pojo"},"country":{"data":{"name":"United States","woeId":23424977},"exportMetaType":"pojo"},"locality":{"data":{"name":"Bakersfield","woeId":2358492},"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8643937651","title":"IMG_2049 Beach Park Bakersfield - Cancer survivor's walk","og:url":"https://www.flickr.com/photos/33671002@N00/8643937651/","og:type":"article","keywords":"day, outdoor, bakersfield, sanjoaquinvalley, beachpark, cancersurvivorsmonument, centralvalleyofcalifornia","og:image":"https://live.staticflickr.com/8242/8643937651_70d080be1b_b.jpg","og:title":"IMG_2049 Beach Park Bakersfield - Cancer survivor's walk","twitter:card":"summary_large_image","twitter:image":"https://live.staticflickr.com/8242/8643937651_70d080be1b_b.jpg","og:description":"","og:image:width":1024,"og:image:height":768,"twitter:creator":"@earth2dave2","twitter:description":"Explore niiicedave's 19070 photos on Flickr!","_flickrModelRegistry":"photo-head-meta-models","twitter:app:url:ipad":"flickr://flickr.com/photos/33671002@N00/8643937651/","twitter:app:url:iphone":"flickr://flickr.com/photos/33671002@N00/8643937651/","twitter:app:url:googleplay":"https://www.flickr.com/photos/33671002@N00/8643937651/"},"exportMetaType":"model"}],"photo-license-history-models":[]},"acquisition_file":"fl-8643937651.webp","source_html_file":"/Users/atincakcayoz/corteqs/output/bakersfield-production-20261023/flickr-source-pages/8643937651.html","original_file_url":"https://live.staticflickr.com/8242/8643937651_57372c2999_4k.jpg","proposed_identity":"Beach Park Cancer Survivors Plaza","source_html_sha256":"ba495d0cdf4c0301cc842b450bdadb007dfccbb12f707c9cd837f4cf5da59b00","third_party_rights_review":{"basis":"Kaynakta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dönüştürüldü.","photo_attribution":{"author_url":"https://www.flickr.com/photos/33671002@N00/","modifications":"EXIF yönü uygulandı; boyut küçültülüp WebP biçimine dönüştürüldü.","original_file_url":"https://live.staticflickr.com/8242/8643937651_57372c2999_4k.jpg"},"metadata_reviewed_on":"2026-10-24","metadata_review_status":"verified"}}</x:v>
      </x:c>
    </x:row>
    <x:row r="141" ht="300" customHeight="1">
      <x:c r="A141" s="29" t="str">
        <x:v>bakersfield:evidence:venue-22106</x:v>
      </x:c>
      <x:c r="B141" s="29" t="str">
        <x:v>bakersfield</x:v>
      </x:c>
      <x:c r="C141" s="29" t="str">
        <x:v>bakersfield:photo:venue-22106</x:v>
      </x:c>
      <x:c r="D141" s="29" t="str">
        <x:v>https://www.flickr.com/photos/8101022@N05/52755665002/</x:v>
      </x:c>
      <x:c r="E141" s="29" t="str">
        <x:v>Beale Park’ta halkalı papağan · 2023</x:v>
      </x:c>
      <x:c r="F141" s="29" t="str">
        <x:v>ALAN SCHMIERER</x:v>
      </x:c>
      <x:c r="G141" s="29" t="str">
        <x:v>CC0 1.0</x:v>
      </x:c>
      <x:c r="H141" s="29" t="str">
        <x:v>https://creativecommons.org/publicdomain/zero/1.0/</x:v>
      </x:c>
      <x:c r="I141" s="29" t="str">
        <x:v>CC0 1.0</x:v>
      </x:c>
      <x:c r="J141" s="29" t="str">
        <x:v>Beale Park’ta halkalı papağan · 2023 · ALAN SCHMIERER · CC0 1.0 · https://www.flickr.com/photos/8101022@N05/52755665002/</x:v>
      </x:c>
      <x:c r="K14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1" s="31" t="d">
        <x:v>2026-10-24T00:00:00.000Z</x:v>
      </x:c>
      <x:c r="M141" s="29" t="str">
        <x:v>Doğrulandı</x:v>
      </x:c>
      <x:c r="N141" s="29" t="str">
        <x:v>Doğrulandı</x:v>
      </x:c>
      <x:c r="O141" s="29" t="str">
        <x:v>Fotoğraflar/bk-abee674196090c3d82a08ddb.webp</x:v>
      </x:c>
      <x:c r="P141" s="29" t="str">
        <x:v>Beale Park’ta halkalı papağan · 2023 · İndirilen kare temas sayfasında görüldü; kaynak mekân kimliğiyle eşleştirildi. Seçim kaydı final-pixel-review.json.</x:v>
      </x:c>
      <x:c r="Q141" s="29" t="str">
        <x:v>Bu kare için uygun</x:v>
      </x:c>
      <x:c r="R14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1" s="29" t="str">
        <x:v>Lisans kanıtları/bk-abee674196090c3d82a08ddb.source-evidence.json</x:v>
      </x:c>
      <x:c r="T141" s="29" t="str">
        <x:v>ead5851115fb2373f1c4810c323303af2db451f3421210cadf1fbde3b8425f98</x:v>
      </x:c>
      <x:c r="U141" s="29" t="str">
        <x:v>Lisans kanıtları/bk-abee674196090c3d82a08ddb.license-record.json</x:v>
      </x:c>
      <x:c r="V141" s="29" t="str">
        <x:v>372a53f53d39269b1c1d9de0a7d44bb2d20b066a5ff8031cda261d048d00001e</x:v>
      </x:c>
      <x:c r="W141" s="29" t="str">
        <x:v>{"file":"bk-abee674196090c3d82a08ddb.webp","width":728,"author":"ALAN SCHMIERER","height":1024,"sha256":"abee674196090c3d82a08ddb21db7ff10c039b295d978752a0ee2bfde278f0d8","status":"reviewed-selected","license":"CC0 1.0","provider":"Flickr","review_id":"X0","source_id":"52755665002","author_url":"https://www.flickr.com/photos/8101022@N05/","date_texts":["Uploaded on March 19, 2023 Taken on March 18, 2023","Taken on March 18, 2023","Uploaded on March 19, 2023 Taken on March 18, 2023","Taken on March 18, 2023"],"source_url":"https://www.flickr.com/photos/8101022@N05/52755665002/","description":"","license_url":"https://creativecommons.org/publicdomain/zero/1.0/","review_note":"Parkta görülen halkalı papağan; kaynak mekânı Beale Park olarak tanımlıyor. Parkın genel görüntüsü olarak etiketlenmeyecek.","reviewed_on":"2026-10-24","source_text":"561.5 - ROSE-RINGED PARAKEET (03-18-2023) beale park, bake…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ALAN SCHMIERER sloalan 561.5 - ROSE-RINGED PARAKEET (03-18-2023) beale park, bakersfield, kern co, ca -02 Done 274 views 2 faves 0 comments Uploaded on March 19, 2023 Taken on March 18, 2023 ALAN SCHMIERER By: ALAN SCHMIERER 561.5 - ROSE-RINGED PARAKEET (03-18-2023) beale park, bakersfield, kern co, ca -02 Done 274 views 2 faves 0 comments Uploaded on March 19, 2023 Taken on March 18, 2023 Public domain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photography.","capture_date":"2023-03-18","download_url":"https://live.staticflickr.com/65535/52755665002_3e104bc848_b.jpg","original_url":"https://live.staticflickr.com/65535/52755665002_4600fd2568_k.jpg","pixel_review":{"method":"İndirilen kare temas sayfasında görüldü; kaynak mekân kimliğiyle eşleştirildi. Seçim kaydı final-pixel-review.json.","status":"verified","caption":"Beale Park’ta halkalı papağan · 2023","reviewer":"Codex (AI)","review_id":"X0"},"source_title":"561.5 - ROSE-RINGED PARAKEET (03-18-2023) beale park, bakersfield, kern co, ca -02","downloaded_at":"2026-10-23T21:22:26.887182+00:00","download_sha256":"a9543b0b3e31110b3013a045075ca3e379481d66ddfb6836dbd72e4bc7a57988","downloaded_file":"downloads/a9543b0b3e31110b3013a045075ca3e379481d66ddfb6836dbd72e4bc7a57988.jpg","public_metadata":{"photo-models":[{"data":{"id":"52755665002","owner":{"data":{"id":"8101022@N05","isPro":true,"newFlow":true,"isAdFree":false,"location":"Morro Bay, CA, USA","proBadge":"standard","realname":"ALAN SCHMIERER","segments":{"data":[],"exportMetaType":"array"},"username":"sloalan","buddyicon":{"data":{"large":"//live.staticflickr.com/5487/buddyicons/8101022@N05_l.jpg?1376534188#8101022@N05","small":"//live.staticflickr.com/5487/buddyicons/8101022@N05_s.jpg?1376534188#8101022@N05","medium":"//live.staticflickr.com/5487/buddyicons/8101022@N05_m.jpg?1376534188#8101022@N05","retina":"//live.staticflickr.com/5487/buddyicons/8101022@N05_r.jpg?1376534188#8101022@N05","default":"//live.staticflickr.com/5487/buddyicons/8101022@N05.jpg?1376534188#8101022@N05"},"exportMetaType":"pojo"},"pathAlias":"sloalan","dateCreated":{"data":"1178287950","exportMetaType":"serializeFunction"},"subscription":{"data":{"isPro":false,"isClosed":false,"isPastDue":false},"exportMetaType":"pojo"},"eligibleGifts":{"data":["year","month","week"],"exportMetaType":"array"},"isEligibleForGifts":true,"_flickrModelRegistry":"person-models"},"exportMetaType":"model"},"sizes":{"data":{"c":{"data":{"url":"//live.staticflickr.com/65535/52755665002_3e104bc848_c.jpg","width":569,"height":800,"displayUrl":"//live.staticflickr.com/65535/52755665002_3e104bc848_c.jpg"},"exportMetaType":"pojo"},"h":{"data":{"url":"//live.staticflickr.com/65535/52755665002_50d6c96522_h.jpg","width":1138,"height":1600,"displayUrl":"//live.staticflickr.com/65535/52755665002_50d6c96522_h.jpg"},"exportMetaType":"pojo"},"k":{"data":{"url":"//live.staticflickr.com/65535/52755665002_4600fd2568_k.jpg","width":1404,"height":1974,"displayUrl":"//live.staticflickr.com/65535/52755665002_4600fd2568_k.jpg"},"exportMetaType":"pojo"},"l":{"data":{"url":"//live.staticflickr.com/65535/52755665002_3e104bc848_b.jpg","width":728,"height":1024,"displayUrl":"//live.staticflickr.com/65535/52755665002_3e104bc848_b.jpg"},"exportMetaType":"pojo"},"m":{"data":{"url":"//live.staticflickr.com/65535/52755665002_3e104bc848.jpg","width":356,"height":500,"displayUrl":"//live.staticflickr.com/65535/52755665002_3e104bc848.jpg"},"exportMetaType":"pojo"},"n":{"data":{"url":"//live.staticflickr.com/65535/52755665002_3e104bc848_n.jpg","width":228,"height":320,"displayUrl":"//live.staticflickr.com/65535/52755665002_3e104bc848_n.jpg"},"exportMetaType":"pojo"},"o":{"data":{"url":"//live.staticflickr.com/65535/52755665002_7d3c895349_o.jpg","width":1404,"height":1974,"displayUrl":"//live.staticflickr.com/65535/52755665002_7d3c895349_o.jpg"},"exportMetaType":"pojo"},"q":{"data":{"url":"//live.staticflickr.com/65535/52755665002_3e104bc848_q.jpg","width":150,"height":150,"displayUrl":"//live.staticflickr.com/65535/52755665002_3e104bc848_q.jpg"},"exportMetaType":"pojo"},"s":{"data":{"url":"//live.staticflickr.com/65535/52755665002_3e104bc848_m.jpg","width":171,"height":240,"displayUrl":"//live.staticflickr.com/65535/52755665002_3e104bc848_m.jpg"},"exportMetaType":"pojo"},"t":{"data":{"url":"//live.staticflickr.com/65535/52755665002_3e104bc848_t.jpg","width":71,"height":100,"displayUrl":"//live.staticflickr.com/65535/52755665002_3e104bc848_t.jpg"},"exportMetaType":"pojo"},"w":{"data":{"url":"//live.staticflickr.com/65535/52755665002_3e104bc848_w.jpg","width":284,"height":400,"displayUrl":"//live.staticflickr.com/65535/52755665002_3e104bc848_w.jpg"},"exportMetaType":"pojo"},"z":{"data":{"url":"//live.staticflickr.com/65535/52755665002_3e104bc848_z.jpg","width":455,"height":640,"displayUrl":"//live.staticflickr.com/65535/52755665002_3e104bc848_z.jpg"},"exportMetaType":"pojo"},"sq":{"data":{"url":"//live.staticflickr.com/65535/52755665002_3e104bc848_s.jpg","width":75,"height":75,"displayUrl":"//live.staticflickr.com/65535/52755665002_3e104bc848_s.jpg"},"exportMetaType":"pojo"}},"exportMetaType":"pojo"},"title":"561.5 - ROSE-RINGED PARAKEET (03-18-2023) beale park, bakersfield, kern co, ca -02","oWidth":1404,"secret":"3e104bc848","license":9,"oHeight":1974,"rotation":0,"canAddMeta":false,"canComment":false,"engagement":{"data":{"id":"52755665002","canShare":true,"faveCount":2,"ownerNsid":"8101022@N05","reactions":{"data":{"like":{"data":{"id":"like","count":5,"canReact":true,"didViewerReact":true},"exportMetaType":"pojo"},"someOtherReaction":{"data":{"id":"someOtherReaction","count":3,"canReact":true,"didViewerReact":false},"exportMetaType":"pojo"}},"exportMetaType":"pojo"},"viewCount":274,"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52755665002","_flickrModelRegistry":"photo-geo-models"},"exportMetaType":"model"}],"photo-location-models":[{"data":{"id":"52755665002","geo":{"data":"~2","exportMetaType":"model"},"text":"","levels":{"data":{},"exportMetaType":"pojo"},"staticMaps":{"data":{},"exportMetaType":"pojo"},"_flickrModelRegistry":"photo-location-models"},"exportMetaType":"model"}],"photo-head-meta-models":[{"data":{"id":"52755665002","title":"561.5 - ROSE-RINGED PARAKEET (03-18-2023) beale park, bakersfield, kern co, ca -02","og:url":"https://www.flickr.com/photos/sloalan/52755665002/","og:type":"article","og:image":"https://live.staticflickr.com/65535/52755665002_3e104bc848_b.jpg","og:title":"561.5 - ROSE-RINGED PARAKEET (03-18-2023) beale park, bakersfield, kern co, ca -02","twitter:card":"summary_large_image","twitter:image":"https://live.staticflickr.com/65535/52755665002_3e104bc848_b.jpg","og:description":"","og:image:width":728,"og:image:height":1024,"twitter:description":"Explore sloalan's 24250 photos on Flickr!","_flickrModelRegistry":"photo-head-meta-models","twitter:app:url:ipad":"flickr://flickr.com/photos/sloalan/52755665002/","twitter:app:url:iphone":"flickr://flickr.com/photos/sloalan/52755665002/","twitter:app:url:googleplay":"https://www.flickr.com/photos/sloalan/52755665002/"},"exportMetaType":"model"}],"photo-license-history-models":[]},"acquisition_file":"fl-52755665002.webp","source_html_file":"/Users/atincakcayoz/corteqs/output/bakersfield-completion-20261024/flickr-source-pages/52755665002.html","original_file_url":"https://live.staticflickr.com/65535/52755665002_4600fd2568_k.jpg","proposed_identity":"Beale Park","source_html_sha256":"0ab14e618be41689e126b74408fbb493646817dbabd8c73ee2197f1ba9ebdf38","third_party_rights_review":{"basis":"Kaynakta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dönüştürüldü.","photo_attribution":{"author_url":"https://www.flickr.com/photos/8101022@N05/","modifications":"EXIF yönü uygulandı; boyut küçültülüp WebP biçimine dönüştürüldü.","original_file_url":"https://live.staticflickr.com/65535/52755665002_4600fd2568_k.jpg"},"metadata_reviewed_on":"2026-10-24","metadata_review_status":"verified"}}</x:v>
      </x:c>
    </x:row>
    <x:row r="142" ht="300" customHeight="1">
      <x:c r="A142" s="29" t="str">
        <x:v>bakersfield:evidence:venue-22107</x:v>
      </x:c>
      <x:c r="B142" s="29" t="str">
        <x:v>bakersfield</x:v>
      </x:c>
      <x:c r="C142" s="29" t="str">
        <x:v>bakersfield:photo:venue-22107</x:v>
      </x:c>
      <x:c r="D142" s="29" t="str">
        <x:v>https://www.flickr.com/photos/9153440@N06/3096636269/</x:v>
      </x:c>
      <x:c r="E142" s="29" t="str">
        <x:v>Yokuts Park · 2008 tarihli fotoğraf</x:v>
      </x:c>
      <x:c r="F142" s="29" t="str">
        <x:v>Antiporda Productions LV, LLC</x:v>
      </x:c>
      <x:c r="G142" s="29" t="str">
        <x:v>CC BY 2.0</x:v>
      </x:c>
      <x:c r="H142" s="29" t="str">
        <x:v>https://creativecommons.org/licenses/by/2.0/</x:v>
      </x:c>
      <x:c r="I142" s="29" t="str">
        <x:v>CC BY 2.0</x:v>
      </x:c>
      <x:c r="J142" s="29" t="str">
        <x:v>Yokuts Park · 2008 tarihli fotoğraf · Antiporda Productions LV, LLC · CC BY 2.0 · https://www.flickr.com/photos/9153440@N06/3096636269/</x:v>
      </x:c>
      <x:c r="K14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2" s="31" t="d">
        <x:v>2026-10-24T00:00:00.000Z</x:v>
      </x:c>
      <x:c r="M142" s="29" t="str">
        <x:v>Doğrulandı</x:v>
      </x:c>
      <x:c r="N142" s="29" t="str">
        <x:v>Doğrulandı</x:v>
      </x:c>
      <x:c r="O142" s="29" t="str">
        <x:v>Fotoğraflar/bk-3f30741cc6ae685f3b1b914a.webp</x:v>
      </x:c>
      <x:c r="P142" s="29" t="str">
        <x:v>Yokuts Park · 2008 tarihli fotoğraf · İndirilen kare temas sayfasında görüldü; kaynak mekân kimliğiyle eşleştirildi. Seçim kaydı final-pixel-review.json.</x:v>
      </x:c>
      <x:c r="Q142" s="29" t="str">
        <x:v>Bu kare için uygun</x:v>
      </x:c>
      <x:c r="R14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2" s="29" t="str">
        <x:v>Lisans kanıtları/bk-3f30741cc6ae685f3b1b914a.source-evidence.json</x:v>
      </x:c>
      <x:c r="T142" s="29" t="str">
        <x:v>b4080877e6065ae26ef6ec52a547796d3792bcf20081bce297ff77944091d73e</x:v>
      </x:c>
      <x:c r="U142" s="29" t="str">
        <x:v>Lisans kanıtları/bk-3f30741cc6ae685f3b1b914a.license-record.json</x:v>
      </x:c>
      <x:c r="V142" s="29" t="str">
        <x:v>67bdb10b6bbc7b1ee19b2614d06804a17599ae82b6b6eb0788bb513448dcb323</x:v>
      </x:c>
      <x:c r="W142" s="29" t="str">
        <x:v>{"file":"bk-3f30741cc6ae685f3b1b914a.webp","width":1023,"author":"Antiporda Productions LV, LLC","height":685,"sha256":"3f30741cc6ae685f3b1b914a7e8dd5f8ccbcc99d4cb9c56bca73f56319626893","status":"reviewed-selected","license":"CC BY 2.0","provider":"Flickr","review_id":"E231","source_id":"3096636269","author_url":"https://www.flickr.com/photos/9153440@N06/","date_texts":["Uploaded on December 10, 2008 Taken on December 6, 2008","Taken on December 6, 2008","Uploaded on December 10, 2008 Taken on December 6, 2008","Taken on December 6, 2008"],"source_url":"https://www.flickr.com/photos/9153440@N06/3096636269/","description":"Lone walker at Yokuts park near the mighty Kern River","license_url":"https://creativecommons.org/licenses/by/2.0/","review_note":"River path with incidental distant walker; source exact trail required.","reviewed_on":"2026-10-24","source_text":"Yokuts Park near Kern River | Lone walker at Yokuts park nea…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Antiporda Productions LV, LLC Antiporda Productions LV, LLC Yokuts Park near Kern River Lone walker at Yokuts park near the mighty Kern River Done 2,159 views 3 faves 8 comments Uploaded on December 10, 2008 Taken on December 6, 2008 Antiporda Productions LV, LLC By: Antiporda Productions LV, LLC Yokuts Park near Kern River Lone walker at Yokuts park near the mighty Kern River Done 2,159 views 3 faves 8 comments Uploaded on December 10, 2008 Taken on December 6,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photography.","capture_date":"2008-12-06","download_url":"https://live.staticflickr.com/3080/3096636269_2b83ce8a66_b.jpg","original_url":"https://live.staticflickr.com/3080/3096636269_ff339e006f_4k.jpg","pixel_review":{"method":"İndirilen kare temas sayfasında görüldü; kaynak mekân kimliğiyle eşleştirildi. Seçim kaydı final-pixel-review.json.","status":"verified","caption":"Yokuts Park · 2008 tarihli fotoğraf","reviewer":"Codex (AI)","review_id":"E231"},"source_title":"Yokuts Park near Kern River","downloaded_at":"2026-10-23T19:50:45.901565+00:00","download_sha256":"22f1e63e18e942370c5d1e394ff2211a7fbb333809b3f85e616b8ac34d62c88a","downloaded_file":"downloads/22f1e63e18e942370c5d1e394ff2211a7fbb333809b3f85e616b8ac34d62c88a.jpg","public_metadata":{"photo-models":[{"data":{"id":"3096636269","owner":{"data":{"id":"9153440@N06","isPro":true,"newFlow":true,"isAdFree":false,"location":null,"proBadge":"standard","realname":"","segments":{"data":[],"exportMetaType":"array"},"username":"Antiporda Productions LV, LLC","buddyicon":{"data":{"large":"//live.staticflickr.com/905/buddyicons/9153440@N06_l.jpg?1526072983#9153440@N06","small":"//live.staticflickr.com/905/buddyicons/9153440@N06_s.jpg?1526072983#9153440@N06","medium":"//live.staticflickr.com/905/buddyicons/9153440@N06_m.jpg?1526072983#9153440@N06","retina":"//live.staticflickr.com/905/buddyicons/9153440@N06_r.jpg?1526072983#9153440@N06","default":"//live.staticflickr.com/905/buddyicons/9153440@N06.jpg?1526072983#9153440@N06"},"exportMetaType":"pojo"},"pathAlias":"alanant","dateCreated":{"data":"1182344502","exportMetaType":"serializeFunction"},"subscription":{"data":{"isPro":false,"isClosed":false,"isPastDue":false},"exportMetaType":"pojo"},"eligibleGifts":{"data":["year","month","week"],"exportMetaType":"array"},"isEligibleForGifts":true,"_flickrModelRegistry":"person-models"},"exportMetaType":"model"},"sizes":{"data":{"c":{"data":{"url":"//live.staticflickr.com/3080/3096636269_2b83ce8a66_c.jpg","width":800,"height":536,"displayUrl":"//live.staticflickr.com/3080/3096636269_2b83ce8a66_c.jpg"},"exportMetaType":"pojo"},"h":{"data":{"url":"//live.staticflickr.com/3080/3096636269_adbd59401e_h.jpg","width":1600,"height":1071,"displayUrl":"//live.staticflickr.com/3080/3096636269_adbd59401e_h.jpg"},"exportMetaType":"pojo"},"k":{"data":{"url":"//live.staticflickr.com/3080/3096636269_846398f661_k.jpg","width":2048,"height":1371,"displayUrl":"//live.staticflickr.com/3080/3096636269_846398f661_k.jpg"},"exportMetaType":"pojo"},"l":{"data":{"url":"//live.staticflickr.com/3080/3096636269_2b83ce8a66_b.jpg","width":1024,"height":685,"displayUrl":"//live.staticflickr.com/3080/3096636269_2b83ce8a66_b.jpg"},"exportMetaType":"pojo"},"m":{"data":{"url":"//live.staticflickr.com/3080/3096636269_2b83ce8a66.jpg","width":500,"height":335,"displayUrl":"//live.staticflickr.com/3080/3096636269_2b83ce8a66.jpg"},"exportMetaType":"pojo"},"n":{"data":{"url":"//live.staticflickr.com/3080/3096636269_2b83ce8a66_n.jpg","width":320,"height":214,"displayUrl":"//live.staticflickr.com/3080/3096636269_2b83ce8a66_n.jpg"},"exportMetaType":"pojo"},"o":{"data":{"url":"//live.staticflickr.com/3080/3096636269_06d9ef7c2d_o.jpg","width":3872,"height":2592,"displayUrl":"//live.staticflickr.com/3080/3096636269_06d9ef7c2d_o.jpg"},"exportMetaType":"pojo"},"q":{"data":{"url":"//live.staticflickr.com/3080/3096636269_2b83ce8a66_q.jpg","width":150,"height":150,"displayUrl":"//live.staticflickr.com/3080/3096636269_2b83ce8a66_q.jpg"},"exportMetaType":"pojo"},"s":{"data":{"url":"//live.staticflickr.com/3080/3096636269_2b83ce8a66_m.jpg","width":240,"height":161,"displayUrl":"//live.staticflickr.com/3080/3096636269_2b83ce8a66_m.jpg"},"exportMetaType":"pojo"},"t":{"data":{"url":"//live.staticflickr.com/3080/3096636269_2b83ce8a66_t.jpg","width":100,"height":67,"displayUrl":"//live.staticflickr.com/3080/3096636269_2b83ce8a66_t.jpg"},"exportMetaType":"pojo"},"w":{"data":{"url":"//live.staticflickr.com/3080/3096636269_2b83ce8a66_w.jpg","width":400,"height":268,"displayUrl":"//live.staticflickr.com/3080/3096636269_2b83ce8a66_w.jpg"},"exportMetaType":"pojo"},"z":{"data":{"url":"//live.staticflickr.com/3080/3096636269_2b83ce8a66_z.jpg","width":640,"height":428,"displayUrl":"//live.staticflickr.com/3080/3096636269_2b83ce8a66_z.jpg"},"exportMetaType":"pojo"},"3k":{"data":{"url":"//live.staticflickr.com/3080/3096636269_867a75d06c_3k.jpg","width":3072,"height":2056,"displayUrl":"//live.staticflickr.com/3080/3096636269_867a75d06c_3k.jpg"},"exportMetaType":"pojo"},"4k":{"data":{"url":"//live.staticflickr.com/3080/3096636269_ff339e006f_4k.jpg","width":3872,"height":2592,"displayUrl":"//live.staticflickr.com/3080/3096636269_ff339e006f_4k.jpg"},"exportMetaType":"pojo"},"sq":{"data":{"url":"//live.staticflickr.com/3080/3096636269_2b83ce8a66_s.jpg","width":75,"height":75,"displayUrl":"//live.staticflickr.com/3080/3096636269_2b83ce8a66_s.jpg"},"exportMetaType":"pojo"}},"exportMetaType":"pojo"},"title":"Yokuts Park near Kern River","oWidth":3872,"secret":"2b83ce8a66","license":4,"oHeight":2592,"rotation":0,"canAddMeta":false,"canComment":false,"engagement":{"data":{"id":"3096636269","canShare":true,"faveCount":3,"ownerNsid":"9153440@N06","reactions":{"data":{"like":{"data":{"id":"like","count":5,"canReact":true,"didViewerReact":true},"exportMetaType":"pojo"},"someOtherReaction":{"data":{"id":"someOtherReaction","count":3,"canReact":true,"didViewerReact":false},"exportMetaType":"pojo"}},"exportMetaType":"pojo"},"viewCount":2159,"canDownload":true,"commentCount":8,"_flickrModelRegistry":"photo-engagement-models"},"exportMetaType":"model"},"description":"Lone walker at Yokuts park near the mighty Kern River","safetyLevel":0,"upgradeSizes":{"data":[],"exportMetaType":"array"},"adEligibility":{"data":{"lane":1,"labels":{"data":["ProOwner"],"exportMetaType":"array"},"isAdEligible":false,"highScoreLabels":{"data":["ProOwner"],"exportMetaType":"array"}},"exportMetaType":"pojo"},"canPublicComment":true,"_flickrModelRegistry":"photo-models"},"exportMetaType":"model"}],"photo-geo-models":[{"data":{"id":"3096636269","_flickrModelRegistry":"photo-geo-models"},"exportMetaType":"model"}],"photo-location-models":[{"data":{"id":"3096636269","geo":{"data":"~2","exportMetaType":"model"},"text":"","levels":{"data":{},"exportMetaType":"pojo"},"staticMaps":{"data":{},"exportMetaType":"pojo"},"_flickrModelRegistry":"photo-location-models"},"exportMetaType":"model"}],"photo-head-meta-models":[{"data":{"id":"3096636269","title":"Yokuts Park near Kern River","og:url":"https://www.flickr.com/photos/alanant/3096636269/","og:type":"article","keywords":"park, walking, nyip, unit2, leadinglines, nikond60","og:image":"https://live.staticflickr.com/3080/3096636269_2b83ce8a66_b.jpg","og:title":"Yokuts Park near Kern River","twitter:card":"summary_large_image","twitter:image":"https://live.staticflickr.com/3080/3096636269_2b83ce8a66_b.jpg","og:description":"Lone walker at Yokuts park near the mighty Kern River","og:image:width":1024,"og:image:height":685,"twitter:creator":"@aantiporda","twitter:description":"Lone walker at Yokuts park near the mighty Kern River","_flickrModelRegistry":"photo-head-meta-models","twitter:app:url:ipad":"flickr://flickr.com/photos/alanant/3096636269/","twitter:app:url:iphone":"flickr://flickr.com/photos/alanant/3096636269/","twitter:app:url:googleplay":"https://www.flickr.com/photos/alanant/3096636269/"},"exportMetaType":"model"}],"photo-license-history-models":[]},"acquisition_file":"fl-3096636269.webp","source_html_file":"/Users/atincakcayoz/corteqs/output/bakersfield-production-20261023/flickr-source-pages/3096636269.html","original_file_url":"https://live.staticflickr.com/3080/3096636269_ff339e006f_4k.jpg","proposed_identity":"Yokuts Park","source_html_sha256":"226e969f0d5b1ff4de33d2f764e06ecc24dee931acb0339c3a51c613d3dba6a2","third_party_rights_review":{"basis":"Kaynakta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dönüştürüldü.","photo_attribution":{"author_url":"https://www.flickr.com/photos/9153440@N06/","modifications":"EXIF yönü uygulandı; boyut küçültülüp WebP biçimine dönüştürüldü.","original_file_url":"https://live.staticflickr.com/3080/3096636269_ff339e006f_4k.jpg"},"metadata_reviewed_on":"2026-10-24","metadata_review_status":"verified"}}</x:v>
      </x:c>
    </x:row>
    <x:row r="143" ht="300" customHeight="1">
      <x:c r="A143" s="29" t="str">
        <x:v>bakersfield:evidence:venue-22108</x:v>
      </x:c>
      <x:c r="B143" s="29" t="str">
        <x:v>bakersfield</x:v>
      </x:c>
      <x:c r="C143" s="29" t="str">
        <x:v>bakersfield:photo:venue-22108</x:v>
      </x:c>
      <x:c r="D143" s="29" t="str">
        <x:v>https://commons.wikimedia.org/wiki/File:Silver_Creek_Park.jpg</x:v>
      </x:c>
      <x:c r="E143" s="29" t="str">
        <x:v>Silver Creek Park.jpg</x:v>
      </x:c>
      <x:c r="F143" s="29" t="str">
        <x:v>Mx. Granger</x:v>
      </x:c>
      <x:c r="G143" s="29" t="str">
        <x:v>CC0 1.0</x:v>
      </x:c>
      <x:c r="H143" s="29" t="str">
        <x:v>https://creativecommons.org/publicdomain/zero/1.0/</x:v>
      </x:c>
      <x:c r="I143" s="29" t="str">
        <x:v>Creative Commons Zero, Public Domain Dedication</x:v>
      </x:c>
      <x:c r="J143" s="29" t="str">
        <x:v>Silver Creek Park.jpg · Mx. Granger · CC0 1.0 · https://commons.wikimedia.org/wiki/File:Silver_Creek_Park.jpg</x:v>
      </x:c>
      <x:c r="K14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3" s="31" t="d">
        <x:v>2026-10-24T00:00:00.000Z</x:v>
      </x:c>
      <x:c r="M143" s="29" t="str">
        <x:v>Doğrulandı</x:v>
      </x:c>
      <x:c r="N143" s="29" t="str">
        <x:v>Doğrulandı</x:v>
      </x:c>
      <x:c r="O143" s="29" t="str">
        <x:v>Fotoğraflar/bk-4b4bc408d7f04182d9e5252c.webp</x:v>
      </x:c>
      <x:c r="P143" s="29" t="str">
        <x:v>Silver Creek · 2021 tarihli fotoğraf · İndirilen kare temas sayfasında görüldü; kaynak mekân kimliğiyle eşleştirildi. Seçim kaydı final-pixel-review.json.</x:v>
      </x:c>
      <x:c r="Q143" s="29" t="str">
        <x:v>Bu kare için uygun</x:v>
      </x:c>
      <x:c r="R14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3" s="29" t="str">
        <x:v>Lisans kanıtları/bk-4b4bc408d7f04182d9e5252c.source-evidence.json</x:v>
      </x:c>
      <x:c r="T143" s="29" t="str">
        <x:v>ec719358d07bb760acb77e25a2ba37d90fe3cb69ba49b55cfc8188ba0d9ad8d3</x:v>
      </x:c>
      <x:c r="U143" s="29" t="str">
        <x:v>Lisans kanıtları/bk-4b4bc408d7f04182d9e5252c.license-record.json</x:v>
      </x:c>
      <x:c r="V143" s="29" t="str">
        <x:v>09b5fe452b908e3e3827a597e9b6efb051af8f256a8d887e957d68927bb1fa19</x:v>
      </x:c>
      <x:c r="W143" s="29" t="str">
        <x:v>{"file":"bk-4b4bc408d7f04182d9e5252c.webp","width":1280,"author":"Mx. Granger","height":960,"sha256":"4b4bc408d7f04182d9e5252cd916ef5c1f28d7df4681aae75240f568bf0668ec","license":"CC0 1.0","imageinfo":{"url":"https://upload.wikimedia.org/wikipedia/commons/3/33/Silver_Creek_Park.jpg?utm_source=commons.wikimedia.org&amp;utm_campaign=imageinfo&amp;utm_content=original","mime":"image/jpeg","sha1":"b95baccb90fa4545c5079e3317ea40ed2e8472ba","size":4698900,"width":4096,"height":3072,"pageid":113523748,"thumburl":"https://thumb.wikimedia.org/wikipedia/commons/thumb/3/33/Silver_Creek_Park.jpg/1280px-Silver_Creek_Park.jpg?utm_source=commons.wikimedia.org&amp;utm_campaign=imageinfo&amp;utm_content=thumbnail","timestamp":"2021-12-20T21:28:15Z","thumbwidth":1280,"extmetadata":{"Artist":{"value":"&lt;a href=\"//commons.wikimedia.org/wiki/User:Mx._Granger\" title=\"User:Mx. Granger\"&gt;Mx. Granger&lt;/a&gt;","source":"commons-desc-page"},"Credit":{"value":"&lt;span class=\"int-own-work\" lang=\"en\"&gt;Own work&lt;/span&gt;","source":"commons-desc-page"},"License":{"value":"cc0","hidden":"","source":"commons-templates"},"DateTime":{"value":"2021-12-20 21:28:15","hidden":"","source":"mediawiki-metadata"},"Categories":{"value":"CC-Zero|Parks in Kern County, California|Picnic tables in California|Self-published work|Buildings in Bakersfield, California|Nature of Bakersfield, California|Files with coordinates missing SDC location of creation","hidden":"","source":"commons-categories"},"LicenseUrl":{"value":"http://creativecommons.org/publicdomain/zero/1.0/deed.en","source":"commons-desc-page"},"ObjectName":{"value":"Silver Creek Park","source":"mediawiki-metadata"},"UsageTerms":{"value":"Creative Commons Zero, Public Domain Dedication","source":"commons-desc-page"},"Assessments":{"value":"","hidden":"","source":"commons-categories"},"Copyrighted":{"value":"True","hidden":"","source":"commons-desc-page"},"GPSLatitude":{"value":"35.304106","source":"commons-desc-page"},"GPSMapDatum":{"value":"WGS-84","hidden":"","source":"commons-desc-page"},"GPSLongitude":{"value":"-119.081891","source":"commons-desc-page"},"Restrictions":{"value":"","hidden":"","source":"commons-desc-page"},"DateTimeOriginal":{"value":"2021-12-13 07:58:05","source":"commons-desc-page"},"ImageDescription":{"value":"Silver Creek Park in Bakersfield.","source":"commons-desc-page"},"LicenseShortName":{"value":"CC0","hidden":"","source":"commons-desc-page"},"AttributionRequired":{"value":"false","hidden":"","source":"commons-desc-page"},"CommonsMetadataExtension":{"value":1.2,"hidden":"","source":"extension"}},"thumbheight":960,"thumbattribs":{"src":"https://thumb.wikimedia.org/wikipedia/commons/thumb/3/33/Silver_Creek_Park.jpg/1280px-Silver_Creek_Park.jpg?utm_source=commons.wikimedia.org&amp;utm_campaign=imageinfo&amp;utm_content=thumbnail","width":1280,"height":960,"srcset":"https://thumb.wikimedia.org/wikipedia/commons/thumb/3/33/Silver_Creek_Park.jpg/3840px-Silver_Creek_Park.jpg?utm_source=commons.wikimedia.org&amp;utm_campaign=imageinfo&amp;utm_content=thumbnail 2x","loading":"lazy","decoding":"async"},"descriptionurl":"https://commons.wikimedia.org/wiki/File:Silver_Creek_Park.jpg","responsiveUrls":{"2":"https://thumb.wikimedia.org/wikipedia/commons/thumb/3/33/Silver_Creek_Park.jpg/3840px-Silver_Creek_Park.jpg?utm_source=commons.wikimedia.org&amp;utm_campaign=imageinfo&amp;utm_content=thumbnail"},"descriptionshorturl":"https://commons.wikimedia.org/w/index.php?curid=113523748"},"selection":{"qid":"pending","kind":"candidate","title":"Bakersfield local buildings"},"author_url":"https://commons.wikimedia.org/wiki/User:Mx._Granger","derivative":"Wikimedia thumbnail decoded; EXIF orientation applied; converted to WebP quality 86; no generated pixels, no cropping.","source_url":"https://commons.wikimedia.org/wiki/File:Silver_Creek_Park.jpg","author_urls":["https://commons.wikimedia.org/wiki/User:Mx._Granger"],"description":"Silver Creek Park in Bakersfield.","license_url":"https://creativecommons.org/publicdomain/zero/1.0/","reviewed_on":"2026-10-24","capture_date":"2021-12-13 07:58:05","download_url":"https://thumb.wikimedia.org/wikipedia/commons/thumb/3/33/Silver_Creek_Park.jpg/1280px-Silver_Creek_Park.jpg?utm_source=commons.wikimedia.org&amp;utm_campaign=imageinfo&amp;utm_content=thumbnail","original_url":"https://upload.wikimedia.org/wikipedia/commons/3/33/Silver_Creek_Park.jpg?utm_source=commons.wikimedia.org&amp;utm_campaign=imageinfo&amp;utm_content=original","pixel_review":{"method":"İndirilen kare temas sayfasında görüldü; kaynak mekân kimliğiyle eşleştirildi. Seçim kaydı final-pixel-review.json.","status":"verified","caption":"Silver Creek · 2021 tarihli fotoğraf","reviewer":"Codex (AI)","review_id":"C233"},"downloaded_at":"2026-10-23T19:08:55.870928+00:00","download_sha256":"e9d8b45ae55f4554e26874c1e24b797705a52ccb4ad487ad35637fb67477bf48","downloaded_file":"downloads/e9d8b45ae55f4554e26874c1e24b797705a52ccb4ad487ad35637fb67477bf48.jpg","acquisition_file":"fe6ed95e5868da559c50a1dc.webp","commons_filename":"Silver Creek Park.jpg","original_file_url":"https://upload.wikimedia.org/wikipedia/commons/3/33/Silver_Creek_Park.jpg?utm_source=commons.wikimedia.org&amp;utm_campaign=imageinfo&amp;utm_content=original","pixel_review_status":"pending","third_party_rights_review":{"basis":"Kaynakta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dönüştürüldü.","photo_attribution":{"author_url":"https://commons.wikimedia.org/wiki/User:Mx._Granger","modifications":"EXIF yönü uygulandı; boyut küçültülüp WebP biçimine dönüştürüldü.","original_file_url":"https://upload.wikimedia.org/wikipedia/commons/3/33/Silver_Creek_Park.jpg?utm_source=commons.wikimedia.org&amp;utm_campaign=imageinfo&amp;utm_content=original"},"metadata_reviewed_on":"2026-10-24","metadata_review_status":"verified"}}</x:v>
      </x:c>
    </x:row>
    <x:row r="144" ht="300" customHeight="1">
      <x:c r="A144" s="29" t="str">
        <x:v>bakersfield:evidence:venue-22109</x:v>
      </x:c>
      <x:c r="B144" s="29" t="str">
        <x:v>bakersfield</x:v>
      </x:c>
      <x:c r="C144" s="29" t="str">
        <x:v>bakersfield:photo:venue-22109</x:v>
      </x:c>
      <x:c r="D144" s="29" t="str">
        <x:v>https://www.flickr.com/photos/98609821@N00/26346986410/</x:v>
      </x:c>
      <x:c r="E144" s="29" t="str">
        <x:v>Kern River Parkway Trail · 2016 tarihli fotoğraf</x:v>
      </x:c>
      <x:c r="F144" s="29" t="str">
        <x:v>Julie Jordan Scott</x:v>
      </x:c>
      <x:c r="G144" s="29" t="str">
        <x:v>CC BY 2.0</x:v>
      </x:c>
      <x:c r="H144" s="29" t="str">
        <x:v>https://creativecommons.org/licenses/by/2.0/</x:v>
      </x:c>
      <x:c r="I144" s="29" t="str">
        <x:v>CC BY 2.0</x:v>
      </x:c>
      <x:c r="J144" s="29" t="str">
        <x:v>Kern River Parkway Trail · 2016 tarihli fotoğraf · Julie Jordan Scott · CC BY 2.0 · https://www.flickr.com/photos/98609821@N00/26346986410/</x:v>
      </x:c>
      <x:c r="K14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4" s="31" t="d">
        <x:v>2026-10-24T00:00:00.000Z</x:v>
      </x:c>
      <x:c r="M144" s="29" t="str">
        <x:v>Doğrulandı</x:v>
      </x:c>
      <x:c r="N144" s="29" t="str">
        <x:v>Doğrulandı</x:v>
      </x:c>
      <x:c r="O144" s="29" t="str">
        <x:v>Fotoğraflar/bk-f0242978278011877d6658f1.webp</x:v>
      </x:c>
      <x:c r="P144" s="29" t="str">
        <x:v>Kern River Parkway Trail · 2016 tarihli fotoğraf · İndirilen kare temas sayfasında görüldü; kaynak mekân kimliğiyle eşleştirildi. Seçim kaydı final-pixel-review.json.</x:v>
      </x:c>
      <x:c r="Q144" s="29" t="str">
        <x:v>Bu kare için uygun</x:v>
      </x:c>
      <x:c r="R14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4" s="29" t="str">
        <x:v>Lisans kanıtları/bk-f0242978278011877d6658f1.source-evidence.json</x:v>
      </x:c>
      <x:c r="T144" s="29" t="str">
        <x:v>e395e1d9e0fa82062b2daad4852a3617ee81e4392eed8bbe3cbb51a8f0672844</x:v>
      </x:c>
      <x:c r="U144" s="29" t="str">
        <x:v>Lisans kanıtları/bk-f0242978278011877d6658f1.license-record.json</x:v>
      </x:c>
      <x:c r="V144" s="29" t="str">
        <x:v>e29cf5be14246f9862fbdbd2f7e0ddaf76ad30930341e349f436488543b671aa</x:v>
      </x:c>
      <x:c r="W144" s="29" t="str">
        <x:v>{"file":"bk-f0242978278011877d6658f1.webp","width":1024,"author":"Julie Jordan Scott","height":1024,"sha256":"f0242978278011877d6658f14969ac974c948a7f1c55a270ae364b6cef4f51fc","status":"reviewed-selected","license":"CC BY 2.0","provider":"Flickr","review_id":"F234","source_id":"26346986410","author_url":"https://www.flickr.com/photos/98609821@N00/","date_texts":["Uploaded on April 24, 2016 Taken on April 23, 2016","Taken on April 23, 2016","Uploaded on April 24, 2016 Taken on April 23, 2016","Taken on April 23, 2016"],"source_url":"https://www.flickr.com/photos/98609821@N00/26346986410/","description":"","license_url":"https://creativecommons.org/licenses/by/2.0/","review_note":"Daylight river viewed under bridge.","reviewed_on":"2026-10-24","source_text":"Kern River Parkway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Kern River Parkway Done 50 views 0 faves 0 comments Uploaded on April 24, 2016 Taken on April 23, 2016 Julie Jordan Scott By: Julie Jordan Scott Kern River Parkway Done 50 views 0 faves 0 comments Uploaded on April 24, 2016 Taken on April 23,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photography.","capture_date":"2016-04-23","download_url":"https://live.staticflickr.com/1446/26346986410_c13578652e_b.jpg","original_url":"https://live.staticflickr.com/1446/26346986410_b2ec6b7a1a_o.jpg","pixel_review":{"method":"İndirilen kare temas sayfasında görüldü; kaynak mekân kimliğiyle eşleştirildi. Seçim kaydı final-pixel-review.json.","status":"verified","caption":"Kern River Parkway Trail · 2016 tarihli fotoğraf","reviewer":"Codex (AI)","review_id":"F234"},"source_title":"Kern River Parkway","downloaded_at":"2026-10-23T19:50:17.060986+00:00","download_sha256":"a4fe3e6365b349c6e62ade824d3563544aee76dde2d5e4a4cd8bee2d555ec705","downloaded_file":"downloads/a4fe3e6365b349c6e62ade824d3563544aee76dde2d5e4a4cd8bee2d555ec705.jpg","public_metadata":{"photo-models":[{"data":{"id":"26346986410","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1446/26346986410_c13578652e_c.jpg","width":800,"height":800,"displayUrl":"//live.staticflickr.com/1446/26346986410_c13578652e_c.jpg"},"exportMetaType":"pojo"},"h":{"data":{"url":"//live.staticflickr.com/1446/26346986410_cfa984df9f_h.jpg","width":1600,"height":1600,"displayUrl":"//live.staticflickr.com/1446/26346986410_cfa984df9f_h.jpg"},"exportMetaType":"pojo"},"k":{"data":{"url":"//live.staticflickr.com/1446/26346986410_6a21007653_k.jpg","width":2048,"height":2048,"displayUrl":"//live.staticflickr.com/1446/26346986410_6a21007653_k.jpg"},"exportMetaType":"pojo"},"l":{"data":{"url":"//live.staticflickr.com/1446/26346986410_c13578652e_b.jpg","width":1024,"height":1024,"displayUrl":"//live.staticflickr.com/1446/26346986410_c13578652e_b.jpg"},"exportMetaType":"pojo"},"m":{"data":{"url":"//live.staticflickr.com/1446/26346986410_c13578652e.jpg","width":500,"height":500,"displayUrl":"//live.staticflickr.com/1446/26346986410_c13578652e.jpg"},"exportMetaType":"pojo"},"n":{"data":{"url":"//live.staticflickr.com/1446/26346986410_c13578652e_n.jpg","width":320,"height":320,"displayUrl":"//live.staticflickr.com/1446/26346986410_c13578652e_n.jpg"},"exportMetaType":"pojo"},"o":{"data":{"url":"//live.staticflickr.com/1446/26346986410_b2ec6b7a1a_o.jpg","width":2448,"height":2448,"displayUrl":"//live.staticflickr.com/1446/26346986410_b2ec6b7a1a_o.jpg"},"exportMetaType":"pojo"},"q":{"data":{"url":"//live.staticflickr.com/1446/26346986410_c13578652e_q.jpg","width":150,"height":150,"displayUrl":"//live.staticflickr.com/1446/26346986410_c13578652e_q.jpg"},"exportMetaType":"pojo"},"s":{"data":{"url":"//live.staticflickr.com/1446/26346986410_c13578652e_m.jpg","width":240,"height":240,"displayUrl":"//live.staticflickr.com/1446/26346986410_c13578652e_m.jpg"},"exportMetaType":"pojo"},"t":{"data":{"url":"//live.staticflickr.com/1446/26346986410_c13578652e_t.jpg","width":100,"height":100,"displayUrl":"//live.staticflickr.com/1446/26346986410_c13578652e_t.jpg"},"exportMetaType":"pojo"},"w":{"data":{"url":"//live.staticflickr.com/1446/26346986410_c13578652e_w.jpg","width":400,"height":400,"displayUrl":"//live.staticflickr.com/1446/26346986410_c13578652e_w.jpg"},"exportMetaType":"pojo"},"z":{"data":{"url":"//live.staticflickr.com/1446/26346986410_c13578652e_z.jpg","width":640,"height":640,"displayUrl":"//live.staticflickr.com/1446/26346986410_c13578652e_z.jpg"},"exportMetaType":"pojo"},"sq":{"data":{"url":"//live.staticflickr.com/1446/26346986410_c13578652e_s.jpg","width":75,"height":75,"displayUrl":"//live.staticflickr.com/1446/26346986410_c13578652e_s.jpg"},"exportMetaType":"pojo"}},"exportMetaType":"pojo"},"title":"Kern River Parkway","oWidth":2448,"secret":"c13578652e","license":4,"oHeight":2448,"rotation":90,"canAddMeta":false,"canComment":false,"engagement":{"data":{"id":"26346986410","canShare":true,"ownerNsid":"98609821@N00","reactions":{"data":{"like":{"data":{"id":"like","count":5,"canReact":true,"didViewerReact":true},"exportMetaType":"pojo"},"someOtherReaction":{"data":{"id":"someOtherReaction","count":3,"canReact":true,"didViewerReact":false},"exportMetaType":"pojo"}},"exportMetaType":"pojo"},"viewCount":50,"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26346986410","_flickrModelRegistry":"photo-geo-models"},"exportMetaType":"model"}],"photo-location-models":[{"data":{"id":"26346986410","geo":{"data":"~2","exportMetaType":"model"},"text":"","levels":{"data":{},"exportMetaType":"pojo"},"staticMaps":{"data":{},"exportMetaType":"pojo"},"_flickrModelRegistry":"photo-location-models"},"exportMetaType":"model"}],"photo-head-meta-models":[{"data":{"id":"26346986410","title":"Kern River Parkway","og:url":"https://www.flickr.com/photos/juliejordanscott/26346986410/","og:type":"article","og:image":"https://live.staticflickr.com/1446/26346986410_c13578652e_b.jpg","og:title":"Kern River Parkway","twitter:card":"summary_large_image","twitter:image":"https://live.staticflickr.com/1446/26346986410_c13578652e_b.jpg","og:description":"","og:image:width":1024,"og:image:height":1024,"twitter:creator":"@juliejordanscot","twitter:description":"Explore juliejordanscott's 67408 photos on Flickr!","_flickrModelRegistry":"photo-head-meta-models","twitter:app:url:ipad":"flickr://flickr.com/photos/juliejordanscott/26346986410/","twitter:app:url:iphone":"flickr://flickr.com/photos/juliejordanscott/26346986410/","twitter:app:url:googleplay":"https://www.flickr.com/photos/juliejordanscott/26346986410/"},"exportMetaType":"model"}],"photo-license-history-models":[]},"acquisition_file":"fl-26346986410.webp","source_html_file":"/Users/atincakcayoz/corteqs/output/bakersfield-production-20261023/flickr-source-pages/26346986410.html","original_file_url":"https://live.staticflickr.com/1446/26346986410_b2ec6b7a1a_o.jpg","proposed_identity":"Kern River Parkway","source_html_sha256":"b5e30879aeba545cc791a47777fbf26462e9a5d5d40f926f0f30f70f6099c166","third_party_rights_review":{"basis":"Kaynakta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dönüştürüldü.","original_file_url":"https://live.staticflickr.com/1446/26346986410_b2ec6b7a1a_o.jpg"},"metadata_reviewed_on":"2026-10-24","metadata_review_status":"verified"}}</x:v>
      </x:c>
    </x:row>
    <x:row r="145" ht="300" customHeight="1">
      <x:c r="A145" s="29" t="str">
        <x:v>bakersfield:evidence:venue-22110</x:v>
      </x:c>
      <x:c r="B145" s="29" t="str">
        <x:v>bakersfield</x:v>
      </x:c>
      <x:c r="C145" s="29" t="str">
        <x:v>bakersfield:photo:venue-22110</x:v>
      </x:c>
      <x:c r="D145" s="29" t="str">
        <x:v>https://www.flickr.com/photos/98609821@N00/22694276815/</x:v>
      </x:c>
      <x:c r="E145" s="29" t="str">
        <x:v>Kern River Parkway Trail · 2015 tarihli fotoğraf</x:v>
      </x:c>
      <x:c r="F145" s="29" t="str">
        <x:v>Julie Jordan Scott</x:v>
      </x:c>
      <x:c r="G145" s="29" t="str">
        <x:v>CC BY 2.0</x:v>
      </x:c>
      <x:c r="H145" s="29" t="str">
        <x:v>https://creativecommons.org/licenses/by/2.0/</x:v>
      </x:c>
      <x:c r="I145" s="29" t="str">
        <x:v>CC BY 2.0</x:v>
      </x:c>
      <x:c r="J145" s="29" t="str">
        <x:v>Kern River Parkway Trail · 2015 tarihli fotoğraf · Julie Jordan Scott · CC BY 2.0 · https://www.flickr.com/photos/98609821@N00/22694276815/</x:v>
      </x:c>
      <x:c r="K14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5" s="31" t="d">
        <x:v>2026-10-24T00:00:00.000Z</x:v>
      </x:c>
      <x:c r="M145" s="29" t="str">
        <x:v>Doğrulandı</x:v>
      </x:c>
      <x:c r="N145" s="29" t="str">
        <x:v>Doğrulandı</x:v>
      </x:c>
      <x:c r="O145" s="29" t="str">
        <x:v>Fotoğraflar/bk-7451d068100e6512c1e3ac2e.webp</x:v>
      </x:c>
      <x:c r="P145" s="29" t="str">
        <x:v>Kern River Parkway Trail · 2015 tarihli fotoğraf · İndirilen kare temas sayfasında görüldü; kaynak mekân kimliğiyle eşleştirildi. Seçim kaydı final-pixel-review.json.</x:v>
      </x:c>
      <x:c r="Q145" s="29" t="str">
        <x:v>Bu kare için uygun</x:v>
      </x:c>
      <x:c r="R14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5" s="29" t="str">
        <x:v>Lisans kanıtları/bk-7451d068100e6512c1e3ac2e.source-evidence.json</x:v>
      </x:c>
      <x:c r="T145" s="29" t="str">
        <x:v>7fd5b3bfbce0d523acffb9399716aa5ad9eeb4a9d1103fabde8247d910940c39</x:v>
      </x:c>
      <x:c r="U145" s="29" t="str">
        <x:v>Lisans kanıtları/bk-7451d068100e6512c1e3ac2e.license-record.json</x:v>
      </x:c>
      <x:c r="V145" s="29" t="str">
        <x:v>e7a7c374ebb2e5487ffab44345b1c773268ec69bc36cbe2250115d4890119c70</x:v>
      </x:c>
      <x:c r="W145" s="29" t="str">
        <x:v>{"file":"bk-7451d068100e6512c1e3ac2e.webp","width":768,"author":"Julie Jordan Scott","height":1024,"sha256":"7451d068100e6512c1e3ac2e23a1a1ce4def91ccc3ed168ed15990f9d8e76a43","status":"reviewed-selected","license":"CC BY 2.0","provider":"Flickr","review_id":"F238","source_id":"22694276815","author_url":"https://www.flickr.com/photos/98609821@N00/","date_texts":["Uploaded on November 2, 2015 Taken on November 1, 2015","Taken on November 1, 2015","Uploaded on November 2, 2015 Taken on November 1, 2015","Taken on November 1, 2015"],"source_url":"https://www.flickr.com/photos/98609821@N00/22694276815/","description":"","license_url":"https://creativecommons.org/licenses/by/2.0/","review_note":"Wide bridge over dry riverbed; accurate seasonal caption required.","reviewed_on":"2026-10-24","source_text":"Kern River Parkway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Kern River Parkway Done 58 views 0 faves 0 comments Uploaded on November 2, 2015 Taken on November 1, 2015 Julie Jordan Scott By: Julie Jordan Scott Kern River Parkway Done 58 views 0 faves 0 comments Uploaded on November 2, 2015 Taken on November 1, 2015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photography.","capture_date":"2015-11-01","download_url":"https://live.staticflickr.com/5667/22694276815_6e5473324e_b.jpg","original_url":"https://live.staticflickr.com/5667/22694276815_85de07cfbc_o.jpg","pixel_review":{"method":"İndirilen kare temas sayfasında görüldü; kaynak mekân kimliğiyle eşleştirildi. Seçim kaydı final-pixel-review.json.","status":"verified","caption":"Kern River Parkway Trail · 2015 tarihli fotoğraf","reviewer":"Codex (AI)","review_id":"F238"},"source_title":"Kern River Parkway","downloaded_at":"2026-10-23T19:50:17.510425+00:00","download_sha256":"80b34dfef3d0f7dd4fe6f3071e5b7ab83f7961047e116a608bd923806b34248f","downloaded_file":"downloads/80b34dfef3d0f7dd4fe6f3071e5b7ab83f7961047e116a608bd923806b34248f.jpg","public_metadata":{"photo-models":[{"data":{"id":"22694276815","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5667/22694276815_6e5473324e_c.jpg","width":600,"height":800,"displayUrl":"//live.staticflickr.com/5667/22694276815_6e5473324e_c.jpg"},"exportMetaType":"pojo"},"h":{"data":{"url":"//live.staticflickr.com/5667/22694276815_04dfa95538_h.jpg","width":1200,"height":1600,"displayUrl":"//live.staticflickr.com/5667/22694276815_04dfa95538_h.jpg"},"exportMetaType":"pojo"},"k":{"data":{"url":"//live.staticflickr.com/5667/22694276815_6b8ce83a98_k.jpg","width":1536,"height":2048,"displayUrl":"//live.staticflickr.com/5667/22694276815_6b8ce83a98_k.jpg"},"exportMetaType":"pojo"},"l":{"data":{"url":"//live.staticflickr.com/5667/22694276815_6e5473324e_b.jpg","width":768,"height":1024,"displayUrl":"//live.staticflickr.com/5667/22694276815_6e5473324e_b.jpg"},"exportMetaType":"pojo"},"m":{"data":{"url":"//live.staticflickr.com/5667/22694276815_6e5473324e.jpg","width":375,"height":500,"displayUrl":"//live.staticflickr.com/5667/22694276815_6e5473324e.jpg"},"exportMetaType":"pojo"},"n":{"data":{"url":"//live.staticflickr.com/5667/22694276815_6e5473324e_n.jpg","width":240,"height":320,"displayUrl":"//live.staticflickr.com/5667/22694276815_6e5473324e_n.jpg"},"exportMetaType":"pojo"},"o":{"data":{"url":"//live.staticflickr.com/5667/22694276815_85de07cfbc_o.jpg","width":3264,"height":2448,"displayUrl":"//live.staticflickr.com/5667/22694276815_85de07cfbc_o.jpg"},"exportMetaType":"pojo"},"q":{"data":{"url":"//live.staticflickr.com/5667/22694276815_6e5473324e_q.jpg","width":150,"height":150,"displayUrl":"//live.staticflickr.com/5667/22694276815_6e5473324e_q.jpg"},"exportMetaType":"pojo"},"s":{"data":{"url":"//live.staticflickr.com/5667/22694276815_6e5473324e_m.jpg","width":180,"height":240,"displayUrl":"//live.staticflickr.com/5667/22694276815_6e5473324e_m.jpg"},"exportMetaType":"pojo"},"t":{"data":{"url":"//live.staticflickr.com/5667/22694276815_6e5473324e_t.jpg","width":75,"height":100,"displayUrl":"//live.staticflickr.com/5667/22694276815_6e5473324e_t.jpg"},"exportMetaType":"pojo"},"w":{"data":{"url":"//live.staticflickr.com/5667/22694276815_6e5473324e_w.jpg","width":300,"height":400,"displayUrl":"//live.staticflickr.com/5667/22694276815_6e5473324e_w.jpg"},"exportMetaType":"pojo"},"z":{"data":{"url":"//live.staticflickr.com/5667/22694276815_6e5473324e_z.jpg","width":480,"height":640,"displayUrl":"//live.staticflickr.com/5667/22694276815_6e5473324e_z.jpg"},"exportMetaType":"pojo"},"3k":{"data":{"url":"//live.staticflickr.com/5667/22694276815_97c4223fee_3k.jpg","width":2304,"height":3072,"displayUrl":"//live.staticflickr.com/5667/22694276815_97c4223fee_3k.jpg"},"exportMetaType":"pojo"},"sq":{"data":{"url":"//live.staticflickr.com/5667/22694276815_6e5473324e_s.jpg","width":75,"height":75,"displayUrl":"//live.staticflickr.com/5667/22694276815_6e5473324e_s.jpg"},"exportMetaType":"pojo"}},"exportMetaType":"pojo"},"title":"Kern River Parkway","oWidth":3264,"secret":"6e5473324e","license":4,"oHeight":2448,"rotation":90,"canAddMeta":false,"canComment":false,"engagement":{"data":{"id":"22694276815","canShare":true,"ownerNsid":"98609821@N00","reactions":{"data":{"like":{"data":{"id":"like","count":5,"canReact":true,"didViewerReact":true},"exportMetaType":"pojo"},"someOtherReaction":{"data":{"id":"someOtherReaction","count":3,"canReact":true,"didViewerReact":false},"exportMetaType":"pojo"}},"exportMetaType":"pojo"},"viewCount":58,"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22694276815","_flickrModelRegistry":"photo-geo-models"},"exportMetaType":"model"}],"photo-location-models":[{"data":{"id":"22694276815","geo":{"data":"~2","exportMetaType":"model"},"text":"","levels":{"data":{},"exportMetaType":"pojo"},"staticMaps":{"data":{},"exportMetaType":"pojo"},"_flickrModelRegistry":"photo-location-models"},"exportMetaType":"model"}],"photo-head-meta-models":[{"data":{"id":"22694276815","title":"Kern River Parkway","og:url":"https://www.flickr.com/photos/juliejordanscott/22694276815/","og:type":"article","og:image":"https://live.staticflickr.com/5667/22694276815_6e5473324e_b.jpg","og:title":"Kern River Parkway","twitter:card":"summary_large_image","twitter:image":"https://live.staticflickr.com/5667/22694276815_6e5473324e_b.jpg","og:description":"","og:image:width":768,"og:image:height":1024,"twitter:creator":"@juliejordanscot","twitter:description":"Explore juliejordanscott's 67408 photos on Flickr!","_flickrModelRegistry":"photo-head-meta-models","twitter:app:url:ipad":"flickr://flickr.com/photos/juliejordanscott/22694276815/","twitter:app:url:iphone":"flickr://flickr.com/photos/juliejordanscott/22694276815/","twitter:app:url:googleplay":"https://www.flickr.com/photos/juliejordanscott/22694276815/"},"exportMetaType":"model"}],"photo-license-history-models":[]},"acquisition_file":"fl-22694276815.webp","source_html_file":"/Users/atincakcayoz/corteqs/output/bakersfield-production-20261023/flickr-source-pages/22694276815.html","original_file_url":"https://live.staticflickr.com/5667/22694276815_85de07cfbc_o.jpg","proposed_identity":"Kern River Parkway","source_html_sha256":"17c77d1481d712c1907ce8352b32b1c46939a5ba4e7bf9e5bfcd254207daaa0b","third_party_rights_review":{"basis":"Kaynakta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dönüştürüldü.","original_file_url":"https://live.staticflickr.com/5667/22694276815_85de07cfbc_o.jpg"},"metadata_reviewed_on":"2026-10-24","metadata_review_status":"verified"}}</x:v>
      </x:c>
    </x:row>
    <x:row r="146" ht="300" customHeight="1">
      <x:c r="A146" s="29" t="str">
        <x:v>bakersfield:evidence:venue-22111</x:v>
      </x:c>
      <x:c r="B146" s="29" t="str">
        <x:v>bakersfield</x:v>
      </x:c>
      <x:c r="C146" s="29" t="str">
        <x:v>bakersfield:photo:venue-22111</x:v>
      </x:c>
      <x:c r="D146" s="29" t="str">
        <x:v>https://www.flickr.com/photos/98609821@N00/32211367685/</x:v>
      </x:c>
      <x:c r="E146" s="29" t="str">
        <x:v>Kern River Parkway Trail · 2017 tarihli fotoğraf</x:v>
      </x:c>
      <x:c r="F146" s="29" t="str">
        <x:v>Julie Jordan Scott</x:v>
      </x:c>
      <x:c r="G146" s="29" t="str">
        <x:v>CC BY 2.0</x:v>
      </x:c>
      <x:c r="H146" s="29" t="str">
        <x:v>https://creativecommons.org/licenses/by/2.0/</x:v>
      </x:c>
      <x:c r="I146" s="29" t="str">
        <x:v>CC BY 2.0</x:v>
      </x:c>
      <x:c r="J146" s="29" t="str">
        <x:v>Kern River Parkway Trail · 2017 tarihli fotoğraf · Julie Jordan Scott · CC BY 2.0 · https://www.flickr.com/photos/98609821@N00/32211367685/</x:v>
      </x:c>
      <x:c r="K14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6" s="31" t="d">
        <x:v>2026-10-24T00:00:00.000Z</x:v>
      </x:c>
      <x:c r="M146" s="29" t="str">
        <x:v>Doğrulandı</x:v>
      </x:c>
      <x:c r="N146" s="29" t="str">
        <x:v>Doğrulandı</x:v>
      </x:c>
      <x:c r="O146" s="29" t="str">
        <x:v>Fotoğraflar/bk-a56e62336488e82c9f75e894.webp</x:v>
      </x:c>
      <x:c r="P146" s="29" t="str">
        <x:v>Kern River Parkway Trail · 2017 tarihli fotoğraf · İndirilen kare temas sayfasında görüldü; kaynak mekân kimliğiyle eşleştirildi. Seçim kaydı final-pixel-review.json.</x:v>
      </x:c>
      <x:c r="Q146" s="29" t="str">
        <x:v>Bu kare için uygun</x:v>
      </x:c>
      <x:c r="R14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6" s="29" t="str">
        <x:v>Lisans kanıtları/bk-a56e62336488e82c9f75e894.source-evidence.json</x:v>
      </x:c>
      <x:c r="T146" s="29" t="str">
        <x:v>81a2247be2b92ee356afe00fb9a3c1529dec81e6c6d823ff6141f797e392e590</x:v>
      </x:c>
      <x:c r="U146" s="29" t="str">
        <x:v>Lisans kanıtları/bk-a56e62336488e82c9f75e894.license-record.json</x:v>
      </x:c>
      <x:c r="V146" s="29" t="str">
        <x:v>1f7f06927cb37e24a2ec3fefc8cbe75fee329ceed9940c2b01a6cd2e4a7a8941</x:v>
      </x:c>
      <x:c r="W146" s="29" t="str">
        <x:v>{"file":"bk-a56e62336488e82c9f75e894.webp","width":1024,"author":"Julie Jordan Scott","height":768,"sha256":"a56e62336488e82c9f75e89420b3a21b42843c324c19a0c6080ad706902d12c8","status":"reviewed-selected","license":"CC BY 2.0","provider":"Flickr","review_id":"F241","source_id":"32211367685","author_url":"https://www.flickr.com/photos/98609821@N00/","date_texts":["Uploaded on January 9, 2017 Taken on January 8, 2017","Taken on January 8, 2017","Uploaded on January 9, 2017 Taken on January 8, 2017","Taken on January 8, 2017"],"source_url":"https://www.flickr.com/photos/98609821@N00/32211367685/","description":"","license_url":"https://creativecommons.org/licenses/by/2.0/","review_note":"Dawn river; exact stretch needs metadata.","reviewed_on":"2026-10-24","source_text":"Kern River Parkway, January 8 there is water in the river!…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Kern River Parkway, January 8 there is water in the river! Done 120 views 0 faves 0 comments Uploaded on January 9, 2017 Taken on January 8, 2017 Julie Jordan Scott By: Julie Jordan Scott Kern River Parkway, January 8 there is water in the river! Done 120 views 0 faves 0 comments Uploaded on January 9, 2017 Taken on January 8, 2017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photography.","capture_date":"2017-01-08","download_url":"https://live.staticflickr.com/308/32211367685_6914c2c076_b.jpg","original_url":"https://live.staticflickr.com/308/32211367685_966daa888d_4k.jpg","pixel_review":{"method":"İndirilen kare temas sayfasında görüldü; kaynak mekân kimliğiyle eşleştirildi. Seçim kaydı final-pixel-review.json.","status":"verified","caption":"Kern River Parkway Trail · 2017 tarihli fotoğraf","reviewer":"Codex (AI)","review_id":"F241"},"source_title":"Kern River Parkway, January 8 there is water in the river!","downloaded_at":"2026-10-23T19:50:17.589674+00:00","download_sha256":"426522720083dcb74fa1e773ad1cadd696fff7f7a1410e5b5adedeb68c5ad9bd","downloaded_file":"downloads/426522720083dcb74fa1e773ad1cadd696fff7f7a1410e5b5adedeb68c5ad9bd.jpg","public_metadata":{"photo-models":[{"data":{"id":"32211367685","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308/32211367685_6914c2c076_c.jpg","width":800,"height":600,"displayUrl":"//live.staticflickr.com/308/32211367685_6914c2c076_c.jpg"},"exportMetaType":"pojo"},"h":{"data":{"url":"//live.staticflickr.com/308/32211367685_78345f608d_h.jpg","width":1600,"height":1200,"displayUrl":"//live.staticflickr.com/308/32211367685_78345f608d_h.jpg"},"exportMetaType":"pojo"},"k":{"data":{"url":"//live.staticflickr.com/308/32211367685_bca44d6061_k.jpg","width":2048,"height":1536,"displayUrl":"//live.staticflickr.com/308/32211367685_bca44d6061_k.jpg"},"exportMetaType":"pojo"},"l":{"data":{"url":"//live.staticflickr.com/308/32211367685_6914c2c076_b.jpg","width":1024,"height":768,"displayUrl":"//live.staticflickr.com/308/32211367685_6914c2c076_b.jpg"},"exportMetaType":"pojo"},"m":{"data":{"url":"//live.staticflickr.com/308/32211367685_6914c2c076.jpg","width":500,"height":375,"displayUrl":"//live.staticflickr.com/308/32211367685_6914c2c076.jpg"},"exportMetaType":"pojo"},"n":{"data":{"url":"//live.staticflickr.com/308/32211367685_6914c2c076_n.jpg","width":320,"height":240,"displayUrl":"//live.staticflickr.com/308/32211367685_6914c2c076_n.jpg"},"exportMetaType":"pojo"},"o":{"data":{"url":"//live.staticflickr.com/308/32211367685_b700fbc1a0_o.jpg","width":4032,"height":3024,"displayUrl":"//live.staticflickr.com/308/32211367685_b700fbc1a0_o.jpg"},"exportMetaType":"pojo"},"q":{"data":{"url":"//live.staticflickr.com/308/32211367685_6914c2c076_q.jpg","width":150,"height":150,"displayUrl":"//live.staticflickr.com/308/32211367685_6914c2c076_q.jpg"},"exportMetaType":"pojo"},"s":{"data":{"url":"//live.staticflickr.com/308/32211367685_6914c2c076_m.jpg","width":240,"height":180,"displayUrl":"//live.staticflickr.com/308/32211367685_6914c2c076_m.jpg"},"exportMetaType":"pojo"},"t":{"data":{"url":"//live.staticflickr.com/308/32211367685_6914c2c076_t.jpg","width":100,"height":75,"displayUrl":"//live.staticflickr.com/308/32211367685_6914c2c076_t.jpg"},"exportMetaType":"pojo"},"w":{"data":{"url":"//live.staticflickr.com/308/32211367685_6914c2c076_w.jpg","width":400,"height":300,"displayUrl":"//live.staticflickr.com/308/32211367685_6914c2c076_w.jpg"},"exportMetaType":"pojo"},"z":{"data":{"url":"//live.staticflickr.com/308/32211367685_6914c2c076_z.jpg","width":640,"height":480,"displayUrl":"//live.staticflickr.com/308/32211367685_6914c2c076_z.jpg"},"exportMetaType":"pojo"},"3k":{"data":{"url":"//live.staticflickr.com/308/32211367685_54cc118616_3k.jpg","width":3072,"height":2304,"displayUrl":"//live.staticflickr.com/308/32211367685_54cc118616_3k.jpg"},"exportMetaType":"pojo"},"4k":{"data":{"url":"//live.staticflickr.com/308/32211367685_966daa888d_4k.jpg","width":4032,"height":3024,"displayUrl":"//live.staticflickr.com/308/32211367685_966daa888d_4k.jpg"},"exportMetaType":"pojo"},"sq":{"data":{"url":"//live.staticflickr.com/308/32211367685_6914c2c076_s.jpg","width":75,"height":75,"displayUrl":"//live.staticflickr.com/308/32211367685_6914c2c076_s.jpg"},"exportMetaType":"pojo"}},"exportMetaType":"pojo"},"title":"Kern River Parkway, January 8 there is water in the river!","oWidth":4032,"secret":"6914c2c076","license":4,"oHeight":3024,"rotation":0,"canAddMeta":false,"canComment":false,"engagement":{"data":{"id":"32211367685","canShare":true,"ownerNsid":"98609821@N00","reactions":{"data":{"like":{"data":{"id":"like","count":5,"canReact":true,"didViewerReact":true},"exportMetaType":"pojo"},"someOtherReaction":{"data":{"id":"someOtherReaction","count":3,"canReact":true,"didViewerReact":false},"exportMetaType":"pojo"}},"exportMetaType":"pojo"},"viewCount":120,"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32211367685","_flickrModelRegistry":"photo-geo-models"},"exportMetaType":"model"}],"photo-location-models":[{"data":{"id":"32211367685","geo":{"data":"~2","exportMetaType":"model"},"text":"","levels":{"data":{},"exportMetaType":"pojo"},"staticMaps":{"data":{},"exportMetaType":"pojo"},"_flickrModelRegistry":"photo-location-models"},"exportMetaType":"model"}],"photo-head-meta-models":[{"data":{"id":"32211367685","title":"Kern River Parkway, January 8 there is water in the river!","og:url":"https://www.flickr.com/photos/juliejordanscott/32211367685/","og:type":"article","og:image":"https://live.staticflickr.com/308/32211367685_6914c2c076_b.jpg","og:title":"Kern River Parkway, January 8 there is water in the river!","twitter:card":"summary_large_image","twitter:image":"https://live.staticflickr.com/308/32211367685_6914c2c076_b.jpg","og:description":"","og:image:width":1024,"og:image:height":768,"twitter:creator":"@juliejordanscot","twitter:description":"Explore juliejordanscott's 67408 photos on Flickr!","_flickrModelRegistry":"photo-head-meta-models","twitter:app:url:ipad":"flickr://flickr.com/photos/juliejordanscott/32211367685/","twitter:app:url:iphone":"flickr://flickr.com/photos/juliejordanscott/32211367685/","twitter:app:url:googleplay":"https://www.flickr.com/photos/juliejordanscott/32211367685/"},"exportMetaType":"model"}],"photo-license-history-models":[]},"acquisition_file":"fl-32211367685.webp","source_html_file":"/Users/atincakcayoz/corteqs/output/bakersfield-production-20261023/flickr-source-pages/32211367685.html","original_file_url":"https://live.staticflickr.com/308/32211367685_966daa888d_4k.jpg","proposed_identity":"Kern River Parkway","source_html_sha256":"5fa5d6f4bc70ff177517410db2973a368dd578a02504ce3f61bafb18e2267b94","third_party_rights_review":{"basis":"Kaynakta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dönüştürüldü.","original_file_url":"https://live.staticflickr.com/308/32211367685_966daa888d_4k.jpg"},"metadata_reviewed_on":"2026-10-24","metadata_review_status":"verified"}}</x:v>
      </x:c>
    </x:row>
    <x:row r="147" ht="300" customHeight="1">
      <x:c r="A147" s="29" t="str">
        <x:v>bakersfield:evidence:venue-22112</x:v>
      </x:c>
      <x:c r="B147" s="29" t="str">
        <x:v>bakersfield</x:v>
      </x:c>
      <x:c r="C147" s="29" t="str">
        <x:v>bakersfield:photo:venue-22112</x:v>
      </x:c>
      <x:c r="D147" s="29" t="str">
        <x:v>https://www.flickr.com/photos/9153440@N06/3137921693/</x:v>
      </x:c>
      <x:c r="E147" s="29" t="str">
        <x:v>Truxtun Lake · 2008 tarihli fotoğraf</x:v>
      </x:c>
      <x:c r="F147" s="29" t="str">
        <x:v>Antiporda Productions LV, LLC</x:v>
      </x:c>
      <x:c r="G147" s="29" t="str">
        <x:v>CC BY 2.0</x:v>
      </x:c>
      <x:c r="H147" s="29" t="str">
        <x:v>https://creativecommons.org/licenses/by/2.0/</x:v>
      </x:c>
      <x:c r="I147" s="29" t="str">
        <x:v>CC BY 2.0</x:v>
      </x:c>
      <x:c r="J147" s="29" t="str">
        <x:v>Truxtun Lake · 2008 tarihli fotoğraf · Antiporda Productions LV, LLC · CC BY 2.0 · https://www.flickr.com/photos/9153440@N06/3137921693/</x:v>
      </x:c>
      <x:c r="K14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7" s="31" t="d">
        <x:v>2026-10-24T00:00:00.000Z</x:v>
      </x:c>
      <x:c r="M147" s="29" t="str">
        <x:v>Doğrulandı</x:v>
      </x:c>
      <x:c r="N147" s="29" t="str">
        <x:v>Doğrulandı</x:v>
      </x:c>
      <x:c r="O147" s="29" t="str">
        <x:v>Fotoğraflar/bk-feb875770abf5b743a461fec.webp</x:v>
      </x:c>
      <x:c r="P147" s="29" t="str">
        <x:v>Truxtun Lake · 2008 tarihli fotoğraf · İndirilen kare temas sayfasında görüldü; kaynak mekân kimliğiyle eşleştirildi. Seçim kaydı final-pixel-review.json.</x:v>
      </x:c>
      <x:c r="Q147" s="29" t="str">
        <x:v>Bu kare için uygun</x:v>
      </x:c>
      <x:c r="R14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7" s="29" t="str">
        <x:v>Lisans kanıtları/bk-feb875770abf5b743a461fec.source-evidence.json</x:v>
      </x:c>
      <x:c r="T147" s="29" t="str">
        <x:v>8ec69097ddd5fe9710ef04fed416a855ad7f0ecea7a20ea8c0d9ac9dd7a7f36f</x:v>
      </x:c>
      <x:c r="U147" s="29" t="str">
        <x:v>Lisans kanıtları/bk-feb875770abf5b743a461fec.license-record.json</x:v>
      </x:c>
      <x:c r="V147" s="29" t="str">
        <x:v>5c3d4b6a8ff51a4f243a4062ae4335c1765b606fad3a1f1ac878065591e1af7b</x:v>
      </x:c>
      <x:c r="W147" s="29" t="str">
        <x:v>{"file":"bk-feb875770abf5b743a461fec.webp","width":1023,"author":"Antiporda Productions LV, LLC","height":685,"sha256":"feb875770abf5b743a461feced3cb1a8867366ce18ebac1746952be10fbf0e93","status":"reviewed-selected","license":"CC BY 2.0","provider":"Flickr","review_id":"N84","source_id":"3137921693","author_url":"https://www.flickr.com/photos/9153440@N06/","date_texts":["Uploaded on December 26, 2008 Taken on December 14, 2008","Taken on December 14, 2008","Uploaded on December 26, 2008 Taken on December 14, 2008","Taken on December 14, 2008"],"source_url":"https://www.flickr.com/photos/9153440@N06/3137921693/","description":"I'd call it Truxtun Lake, but you can't swim or eat the fish, so... ","license_url":"https://creativecommons.org/licenses/by/2.0/","review_note":"Downloaded pixels visually inspected; source identity remains to confirm.","reviewed_on":"2026-10-24","source_text":"Truxtun Sump | I'd call it Truxtun Lake, but you can't swim …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Antiporda Productions LV, LLC Antiporda Productions LV, LLC Truxtun Sump I'd call it Truxtun Lake, but you can't swim or eat the fish, so... Done 741 views 1 fave 5 comments Uploaded on December 26, 2008 Taken on December 14, 2008 Antiporda Productions LV, LLC By: Antiporda Productions LV, LLC Truxtun Sump I'd call it Truxtun Lake, but you can't swim or eat the fish, so... Done 741 views 1 fave 5 comments Uploaded on December 26, 2008 Taken on December 14,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photography.","capture_date":"2008-12-14","download_url":"https://live.staticflickr.com/3103/3137921693_e5282c078a_b.jpg","original_url":"https://live.staticflickr.com/3103/3137921693_5e72c7284b_4k.jpg","pixel_review":{"method":"İndirilen kare temas sayfasında görüldü; kaynak mekân kimliğiyle eşleştirildi. Seçim kaydı final-pixel-review.json.","status":"verified","caption":"Truxtun Lake · 2008 tarihli fotoğraf","reviewer":"Codex (AI)","review_id":"N84"},"source_title":"Truxtun Sump","downloaded_at":"2026-10-23T20:11:32.736314+00:00","download_sha256":"9d8c02cd2126c127df8e9b54c78409f4cc8969d213f91b75c1b97f5077b4bb23","downloaded_file":"downloads/9d8c02cd2126c127df8e9b54c78409f4cc8969d213f91b75c1b97f5077b4bb23.jpg","public_metadata":{"photo-models":[{"data":{"id":"3137921693","owner":{"data":{"id":"9153440@N06","isPro":true,"newFlow":true,"isAdFree":false,"location":null,"proBadge":"standard","realname":"","segments":{"data":[],"exportMetaType":"array"},"username":"Antiporda Productions LV, LLC","buddyicon":{"data":{"large":"//live.staticflickr.com/905/buddyicons/9153440@N06_l.jpg?1526072983#9153440@N06","small":"//live.staticflickr.com/905/buddyicons/9153440@N06_s.jpg?1526072983#9153440@N06","medium":"//live.staticflickr.com/905/buddyicons/9153440@N06_m.jpg?1526072983#9153440@N06","retina":"//live.staticflickr.com/905/buddyicons/9153440@N06_r.jpg?1526072983#9153440@N06","default":"//live.staticflickr.com/905/buddyicons/9153440@N06.jpg?1526072983#9153440@N06"},"exportMetaType":"pojo"},"pathAlias":"alanant","dateCreated":{"data":"1182344502","exportMetaType":"serializeFunction"},"subscription":{"data":{"isPro":false,"isClosed":false,"isPastDue":false},"exportMetaType":"pojo"},"eligibleGifts":{"data":["year","month","week"],"exportMetaType":"array"},"isEligibleForGifts":true,"_flickrModelRegistry":"person-models"},"exportMetaType":"model"},"sizes":{"data":{"c":{"data":{"url":"//live.staticflickr.com/3103/3137921693_e5282c078a_c.jpg","width":800,"height":536,"displayUrl":"//live.staticflickr.com/3103/3137921693_e5282c078a_c.jpg"},"exportMetaType":"pojo"},"h":{"data":{"url":"//live.staticflickr.com/3103/3137921693_e68507ed60_h.jpg","width":1600,"height":1071,"displayUrl":"//live.staticflickr.com/3103/3137921693_e68507ed60_h.jpg"},"exportMetaType":"pojo"},"k":{"data":{"url":"//live.staticflickr.com/3103/3137921693_05cd8f103c_k.jpg","width":2048,"height":1371,"displayUrl":"//live.staticflickr.com/3103/3137921693_05cd8f103c_k.jpg"},"exportMetaType":"pojo"},"l":{"data":{"url":"//live.staticflickr.com/3103/3137921693_e5282c078a_b.jpg","width":1024,"height":685,"displayUrl":"//live.staticflickr.com/3103/3137921693_e5282c078a_b.jpg"},"exportMetaType":"pojo"},"m":{"data":{"url":"//live.staticflickr.com/3103/3137921693_e5282c078a.jpg","width":500,"height":335,"displayUrl":"//live.staticflickr.com/3103/3137921693_e5282c078a.jpg"},"exportMetaType":"pojo"},"n":{"data":{"url":"//live.staticflickr.com/3103/3137921693_e5282c078a_n.jpg","width":320,"height":214,"displayUrl":"//live.staticflickr.com/3103/3137921693_e5282c078a_n.jpg"},"exportMetaType":"pojo"},"o":{"data":{"url":"//live.staticflickr.com/3103/3137921693_7cb6d2c04a_o.jpg","width":3872,"height":2592,"displayUrl":"//live.staticflickr.com/3103/3137921693_7cb6d2c04a_o.jpg"},"exportMetaType":"pojo"},"q":{"data":{"url":"//live.staticflickr.com/3103/3137921693_e5282c078a_q.jpg","width":150,"height":150,"displayUrl":"//live.staticflickr.com/3103/3137921693_e5282c078a_q.jpg"},"exportMetaType":"pojo"},"s":{"data":{"url":"//live.staticflickr.com/3103/3137921693_e5282c078a_m.jpg","width":240,"height":161,"displayUrl":"//live.staticflickr.com/3103/3137921693_e5282c078a_m.jpg"},"exportMetaType":"pojo"},"t":{"data":{"url":"//live.staticflickr.com/3103/3137921693_e5282c078a_t.jpg","width":100,"height":67,"displayUrl":"//live.staticflickr.com/3103/3137921693_e5282c078a_t.jpg"},"exportMetaType":"pojo"},"w":{"data":{"url":"//live.staticflickr.com/3103/3137921693_e5282c078a_w.jpg","width":400,"height":268,"displayUrl":"//live.staticflickr.com/3103/3137921693_e5282c078a_w.jpg"},"exportMetaType":"pojo"},"z":{"data":{"url":"//live.staticflickr.com/3103/3137921693_e5282c078a_z.jpg","width":640,"height":428,"displayUrl":"//live.staticflickr.com/3103/3137921693_e5282c078a_z.jpg"},"exportMetaType":"pojo"},"3k":{"data":{"url":"//live.staticflickr.com/3103/3137921693_8eba885543_3k.jpg","width":3072,"height":2056,"displayUrl":"//live.staticflickr.com/3103/3137921693_8eba885543_3k.jpg"},"exportMetaType":"pojo"},"4k":{"data":{"url":"//live.staticflickr.com/3103/3137921693_5e72c7284b_4k.jpg","width":3872,"height":2592,"displayUrl":"//live.staticflickr.com/3103/3137921693_5e72c7284b_4k.jpg"},"exportMetaType":"pojo"},"sq":{"data":{"url":"//live.staticflickr.com/3103/3137921693_e5282c078a_s.jpg","width":75,"height":75,"displayUrl":"//live.staticflickr.com/3103/3137921693_e5282c078a_s.jpg"},"exportMetaType":"pojo"}},"exportMetaType":"pojo"},"title":"Truxtun Sump","oWidth":3872,"secret":"e5282c078a","license":4,"oHeight":2592,"rotation":0,"canAddMeta":false,"canComment":false,"engagement":{"data":{"id":"3137921693","canShare":true,"faveCount":1,"ownerNsid":"9153440@N06","reactions":{"data":{"like":{"data":{"id":"like","count":5,"canReact":true,"didViewerReact":true},"exportMetaType":"pojo"},"someOtherReaction":{"data":{"id":"someOtherReaction","count":3,"canReact":true,"didViewerReact":false},"exportMetaType":"pojo"}},"exportMetaType":"pojo"},"viewCount":741,"canDownload":true,"commentCount":5,"_flickrModelRegistry":"photo-engagement-models"},"exportMetaType":"model"},"description":"I'd call it Truxtun Lake, but you can't swim or eat the fish, so... ","safetyLevel":0,"upgradeSizes":{"data":[],"exportMetaType":"array"},"adEligibility":{"data":{"lane":1,"labels":{"data":["ProOwner"],"exportMetaType":"array"},"isAdEligible":false,"highScoreLabels":{"data":["ProOwner"],"exportMetaType":"array"}},"exportMetaType":"pojo"},"canPublicComment":true,"_flickrModelRegistry":"photo-models"},"exportMetaType":"model"}],"photo-geo-models":[{"data":{"id":"3137921693","_flickrModelRegistry":"photo-geo-models"},"exportMetaType":"model"}],"photo-location-models":[{"data":{"id":"3137921693","geo":{"data":"~2","exportMetaType":"model"},"text":"","levels":{"data":{},"exportMetaType":"pojo"},"staticMaps":{"data":{},"exportMetaType":"pojo"},"_flickrModelRegistry":"photo-location-models"},"exportMetaType":"model"}],"photo-head-meta-models":[{"data":{"id":"3137921693","title":"Truxtun Sump","og:url":"https://www.flickr.com/photos/alanant/3137921693/","og:type":"article","keywords":"lake, reflection, reflexions, bakersfield, kerncounty, nikond60","og:image":"https://live.staticflickr.com/3103/3137921693_e5282c078a_b.jpg","og:title":"Truxtun Sump","twitter:card":"summary_large_image","twitter:image":"https://live.staticflickr.com/3103/3137921693_e5282c078a_b.jpg","og:description":"I'd call it Truxtun Lake, but you can't swim or eat the fish, so... ","og:image:width":1024,"og:image:height":685,"twitter:creator":"@aantiporda","twitter:description":"I'd call it Truxtun Lake, but you can't swim or eat the fish, so... ","_flickrModelRegistry":"photo-head-meta-models","twitter:app:url:ipad":"flickr://flickr.com/photos/alanant/3137921693/","twitter:app:url:iphone":"flickr://flickr.com/photos/alanant/3137921693/","twitter:app:url:googleplay":"https://www.flickr.com/photos/alanant/3137921693/"},"exportMetaType":"model"}],"photo-license-history-models":[]},"acquisition_file":"fl-3137921693.webp","source_html_file":"/Users/atincakcayoz/corteqs/output/bakersfield-production-20261023/flickr-source-pages/3137921693.html","original_file_url":"https://live.staticflickr.com/3103/3137921693_5e72c7284b_4k.jpg","proposed_identity":"Truxtun Lake","source_html_sha256":"fbefce88e2eca5d4b3becd789d8d1a3daaf643b2c12fb34746231e311c6d2a3f","third_party_rights_review":{"basis":"Kaynakta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dönüştürüldü.","photo_attribution":{"author_url":"https://www.flickr.com/photos/9153440@N06/","modifications":"EXIF yönü uygulandı; boyut küçültülüp WebP biçimine dönüştürüldü.","original_file_url":"https://live.staticflickr.com/3103/3137921693_5e72c7284b_4k.jpg"},"metadata_reviewed_on":"2026-10-24","metadata_review_status":"verified"}}</x:v>
      </x:c>
    </x:row>
    <x:row r="148" ht="300" customHeight="1">
      <x:c r="A148" s="29" t="str">
        <x:v>bakersfield:evidence:venue-22113</x:v>
      </x:c>
      <x:c r="B148" s="29" t="str">
        <x:v>bakersfield</x:v>
      </x:c>
      <x:c r="C148" s="29" t="str">
        <x:v>bakersfield:photo:venue-22113</x:v>
      </x:c>
      <x:c r="D148" s="29" t="str">
        <x:v>https://commons.wikimedia.org/wiki/File:Sam_Lynn_Sunset.JPG</x:v>
      </x:c>
      <x:c r="E148" s="29" t="str">
        <x:v>Sam Lynn Sunset.JPG</x:v>
      </x:c>
      <x:c r="F148" s="29" t="str">
        <x:v>Damonford</x:v>
      </x:c>
      <x:c r="G148" s="29" t="str">
        <x:v>CC BY-SA 4.0</x:v>
      </x:c>
      <x:c r="H148" s="29" t="str">
        <x:v>https://creativecommons.org/licenses/by-sa/4.0</x:v>
      </x:c>
      <x:c r="I148" s="29" t="str">
        <x:v>Creative Commons Attribution-Share Alike 4.0</x:v>
      </x:c>
      <x:c r="J148" s="29" t="str">
        <x:v>Sam Lynn Sunset.JPG · Damonford · CC BY-SA 4.0 · https://commons.wikimedia.org/wiki/File:Sam_Lynn_Sunset.JPG</x:v>
      </x:c>
      <x:c r="K14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8" s="31" t="d">
        <x:v>2026-10-24T00:00:00.000Z</x:v>
      </x:c>
      <x:c r="M148" s="29" t="str">
        <x:v>Doğrulandı</x:v>
      </x:c>
      <x:c r="N148" s="29" t="str">
        <x:v>Doğrulandı</x:v>
      </x:c>
      <x:c r="O148" s="29" t="str">
        <x:v>Fotoğraflar/bk-0b98bc6e36d1b5e34697d6ef.webp</x:v>
      </x:c>
      <x:c r="P148" s="29" t="str">
        <x:v>Sam Lynn Ballpark · 2014 tarihli fotoğraf · İndirilen kare temas sayfasında görüldü; kaynak mekân kimliğiyle eşleştirildi. Seçim kaydı final-pixel-review.json.</x:v>
      </x:c>
      <x:c r="Q148" s="29" t="str">
        <x:v>Bu kare için uygun</x:v>
      </x:c>
      <x:c r="R14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8" s="29" t="str">
        <x:v>Lisans kanıtları/bk-0b98bc6e36d1b5e34697d6ef.source-evidence.json</x:v>
      </x:c>
      <x:c r="T148" s="29" t="str">
        <x:v>3ca30f083a5acbdd5e78c7fad37c27b6b2e053653f3dd140e0864b6d83e79808</x:v>
      </x:c>
      <x:c r="U148" s="29" t="str">
        <x:v>Lisans kanıtları/bk-0b98bc6e36d1b5e34697d6ef.license-record.json</x:v>
      </x:c>
      <x:c r="V148" s="29" t="str">
        <x:v>7665ff940035a613c58e112728c33f057b01db718c28fbb29ddc6d3297089ae3</x:v>
      </x:c>
      <x:c r="W148" s="29" t="str">
        <x:v>{"file":"bk-0b98bc6e36d1b5e34697d6ef.webp","width":1024,"author":"Damonford","height":764,"sha256":"0b98bc6e36d1b5e34697d6efbad442a2579e73d422c68451a4734479ce830178","license":"CC BY-SA 4.0","imageinfo":{"url":"https://upload.wikimedia.org/wikipedia/commons/2/2d/Sam_Lynn_Sunset.JPG?utm_source=commons.wikimedia.org&amp;utm_campaign=imageinfo&amp;utm_content=original","mime":"image/jpeg","sha1":"ba0bf2e5f52243c2c86545c1d0d65bda3835761b","size":200394,"width":1024,"height":764,"pageid":34142264,"thumburl":"https://upload.wikimedia.org/wikipedia/commons/2/2d/Sam_Lynn_Sunset.JPG?utm_source=commons.wikimedia.org&amp;utm_campaign=imageinfo&amp;utm_content=thumbnail_unscaled","timestamp":"2014-07-21T22:55:04Z","thumbwidth":1280,"extmetadata":{"Artist":{"value":"&lt;a href=\"//commons.wikimedia.org/w/index.php?title=User:Damonford&amp;amp;action=edit&amp;amp;redlink=1\" class=\"new\" title=\"User:Damonford (page does not exist)\"&gt;Damonford&lt;/a&gt;","source":"commons-desc-page"},"Credit":{"value":"&lt;span class=\"int-own-work\" lang=\"en\"&gt;Own work&lt;/span&gt;","source":"commons-desc-page"},"License":{"value":"cc-by-sa-4.0","hidden":"","source":"commons-templates"},"DateTime":{"value":"2014-07-21 22:55:04","hidden":"","source":"mediawiki-metadata"},"Categories":{"value":"Self-published work|Bakersfield Blaze","hidden":"","source":"commons-categories"},"LicenseUrl":{"value":"https://creativecommons.org/licenses/by-sa/4.0","source":"commons-desc-page"},"ObjectName":{"value":"Sam Lynn Sunset","source":"mediawiki-metadata"},"UsageTerms":{"value":"Creative Commons Attribution-Share Alike 4.0","source":"commons-desc-page"},"Assessments":{"value":"","hidden":"","source":"commons-categories"},"Copyrighted":{"value":"True","hidden":"","source":"commons-desc-page"},"Restrictions":{"value":"","hidden":"","source":"commons-desc-page"},"DateTimeOriginal":{"value":"2014-07-21 15:53:48","source":"commons-desc-page"},"ImageDescription":{"value":"Best sunset in professional baseball!","source":"commons-desc-page"},"LicenseShortName":{"value":"CC BY-SA 4.0","hidden":"","source":"commons-desc-page"},"AttributionRequired":{"value":"true","hidden":"","source":"commons-desc-page"},"CommonsMetadataExtension":{"value":1.2,"hidden":"","source":"extension"}},"thumbheight":955,"thumbattribs":{"src":"https://upload.wikimedia.org/wikipedia/commons/2/2d/Sam_Lynn_Sunset.JPG?utm_source=commons.wikimedia.org&amp;utm_campaign=imageinfo&amp;utm_content=thumbnail_unscaled","width":1280,"height":955,"loading":"lazy","decoding":"async"},"descriptionurl":"https://commons.wikimedia.org/wiki/File:Sam_Lynn_Sunset.JPG","descriptionshorturl":"https://commons.wikimedia.org/w/index.php?curid=34142264"},"selection":{"qid":"pending","kind":"candidate","title":"Bakersfield regional research"},"author_url":"","derivative":"Wikimedia thumbnail decoded; EXIF orientation applied; converted to WebP quality 86; no generated pixels, no cropping.","source_url":"https://commons.wikimedia.org/wiki/File:Sam_Lynn_Sunset.JPG","author_urls":[],"description":"Best sunset in professional baseball!","license_url":"https://creativecommons.org/licenses/by-sa/4.0","reviewed_on":"2026-10-24","capture_date":"2014-07-21 15:53:48","download_url":"https://upload.wikimedia.org/wikipedia/commons/2/2d/Sam_Lynn_Sunset.JPG?utm_source=commons.wikimedia.org&amp;utm_campaign=imageinfo&amp;utm_content=thumbnail_unscaled","original_url":"https://upload.wikimedia.org/wikipedia/commons/2/2d/Sam_Lynn_Sunset.JPG?utm_source=commons.wikimedia.org&amp;utm_campaign=imageinfo&amp;utm_content=original","pixel_review":{"method":"İndirilen kare temas sayfasında görüldü; kaynak mekân kimliğiyle eşleştirildi. Seçim kaydı final-pixel-review.json.","status":"verified","caption":"Sam Lynn Ballpark · 2014 tarihli fotoğraf","reviewer":"Codex (AI)","review_id":"R28"},"downloaded_at":"2026-10-23T20:01:03.366386+00:00","download_sha256":"7cb50e241b601b76e1871abc616cc3dbfd0ad4e8b6b19441dc64147ee47dcb96","downloaded_file":"downloads/7cb50e241b601b76e1871abc616cc3dbfd0ad4e8b6b19441dc64147ee47dcb96.jpg","acquisition_file":"f03ebecca4eea509c3e23bb5.webp","commons_filename":"Sam Lynn Sunset.JPG","original_file_url":"https://upload.wikimedia.org/wikipedia/commons/2/2d/Sam_Lynn_Sunset.JPG?utm_source=commons.wikimedia.org&amp;utm_campaign=imageinfo&amp;utm_content=original","pixel_review_status":"pending","third_party_rights_review":{"basis":"Kaynakta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dönüştürüldü.","original_file_url":"https://upload.wikimedia.org/wikipedia/commons/2/2d/Sam_Lynn_Sunset.JPG?utm_source=commons.wikimedia.org&amp;utm_campaign=imageinfo&amp;utm_content=original"},"metadata_reviewed_on":"2026-10-24","metadata_review_status":"verified"}}</x:v>
      </x:c>
    </x:row>
    <x:row r="149" ht="300" customHeight="1">
      <x:c r="A149" s="29" t="str">
        <x:v>bakersfield:evidence:venue-22114</x:v>
      </x:c>
      <x:c r="B149" s="29" t="str">
        <x:v>bakersfield</x:v>
      </x:c>
      <x:c r="C149" s="29" t="str">
        <x:v>bakersfield:photo:venue-22114</x:v>
      </x:c>
      <x:c r="D149" s="29" t="str">
        <x:v>https://commons.wikimedia.org/wiki/File:Memorial_Stadium_-_Bakersfield.jpg</x:v>
      </x:c>
      <x:c r="E149" s="29" t="str">
        <x:v>Memorial Stadium - Bakersfield.jpg</x:v>
      </x:c>
      <x:c r="F149" s="29" t="str">
        <x:v>Urry1</x:v>
      </x:c>
      <x:c r="G149" s="29" t="str">
        <x:v>CC BY-SA 4.0</x:v>
      </x:c>
      <x:c r="H149" s="29" t="str">
        <x:v>https://creativecommons.org/licenses/by-sa/4.0</x:v>
      </x:c>
      <x:c r="I149" s="29" t="str">
        <x:v>Creative Commons Attribution-Share Alike 4.0</x:v>
      </x:c>
      <x:c r="J149" s="29" t="str">
        <x:v>Memorial Stadium - Bakersfield.jpg · Urry1 · CC BY-SA 4.0 · https://commons.wikimedia.org/wiki/File:Memorial_Stadium_-_Bakersfield.jpg</x:v>
      </x:c>
      <x:c r="K14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49" s="31" t="d">
        <x:v>2026-10-24T00:00:00.000Z</x:v>
      </x:c>
      <x:c r="M149" s="29" t="str">
        <x:v>Doğrulandı</x:v>
      </x:c>
      <x:c r="N149" s="29" t="str">
        <x:v>Doğrulandı</x:v>
      </x:c>
      <x:c r="O149" s="29" t="str">
        <x:v>Fotoğraflar/bk-61143258766ad2a5a04fa61a.webp</x:v>
      </x:c>
      <x:c r="P149" s="29" t="str">
        <x:v>Memorial Stadium – Bakersfield College · 2022 tarihli fotoğraf · İndirilen kare temas sayfasında görüldü; kaynak mekân kimliğiyle eşleştirildi. Seçim kaydı final-pixel-review.json.</x:v>
      </x:c>
      <x:c r="Q149" s="29" t="str">
        <x:v>Bu kare için uygun</x:v>
      </x:c>
      <x:c r="R14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49" s="29" t="str">
        <x:v>Lisans kanıtları/bk-61143258766ad2a5a04fa61a.source-evidence.json</x:v>
      </x:c>
      <x:c r="T149" s="29" t="str">
        <x:v>d7717b583665af1375275b22a5c5e358e976b46a5c65301201af60ad55a213a9</x:v>
      </x:c>
      <x:c r="U149" s="29" t="str">
        <x:v>Lisans kanıtları/bk-61143258766ad2a5a04fa61a.license-record.json</x:v>
      </x:c>
      <x:c r="V149" s="29" t="str">
        <x:v>1a52c4ca51181562bd5a22a9f5fe94bac3da37d4e0f22d089790f264067a002c</x:v>
      </x:c>
      <x:c r="W149" s="29" t="str">
        <x:v>{"file":"bk-61143258766ad2a5a04fa61a.webp","width":1280,"author":"Urry1","height":828,"sha256":"61143258766ad2a5a04fa61addefad7df0569826a33a06b8ef90960fc0a9d982","license":"CC BY-SA 4.0","imageinfo":{"url":"https://upload.wikimedia.org/wikipedia/commons/2/24/Memorial_Stadium_-_Bakersfield.jpg?utm_source=commons.wikimedia.org&amp;utm_campaign=imageinfo&amp;utm_content=original","mime":"image/jpeg","sha1":"42fc906ee7751f19f20fc257fa2895bb329b96db","size":1239236,"width":2550,"height":1650,"pageid":122777173,"thumburl":"https://thumb.wikimedia.org/wikipedia/commons/thumb/2/24/Memorial_Stadium_-_Bakersfield.jpg/1280px-Memorial_Stadium_-_Bakersfield.jpg?utm_source=commons.wikimedia.org&amp;utm_campaign=imageinfo&amp;utm_content=thumbnail","timestamp":"2022-09-07T20:21:46Z","thumbwidth":1280,"extmetadata":{"Artist":{"value":"&lt;a href=\"//commons.wikimedia.org/w/index.php?title=User:Urry1&amp;amp;action=edit&amp;amp;redlink=1\" class=\"new\" title=\"User:Urry1 (page does not exist)\"&gt;Urry1&lt;/a&gt;","source":"commons-desc-page"},"Credit":{"value":"&lt;span class=\"int-own-work\" lang=\"en\"&gt;Own work&lt;/span&gt;","source":"commons-desc-page"},"License":{"value":"cc-by-sa-4.0","hidden":"","source":"commons-templates"},"DateTime":{"value":"2022-09-07 20:21:46","hidden":"","source":"mediawiki-metadata"},"Categories":{"value":"Self-published work|Memorial Stadium (Bakersfield College)","hidden":"","source":"commons-categories"},"LicenseUrl":{"value":"https://creativecommons.org/licenses/by-sa/4.0","source":"commons-desc-page"},"ObjectName":{"value":"Memorial Stadium - Bakersfield","source":"mediawiki-metadata"},"UsageTerms":{"value":"Creative Commons Attribution-Share Alike 4.0","source":"commons-desc-page"},"Assessments":{"value":"","hidden":"","source":"commons-categories"},"Copyrighted":{"value":"True","hidden":"","source":"commons-desc-page"},"Restrictions":{"value":"","hidden":"","source":"commons-desc-page"},"DateTimeOriginal":{"value":"2022-09-07","source":"commons-desc-page"},"ImageDescription":{"value":"Bakersfield College - Memorial Stadium at dusk","source":"commons-desc-page"},"LicenseShortName":{"value":"CC BY-SA 4.0","hidden":"","source":"commons-desc-page"},"AttributionRequired":{"value":"true","hidden":"","source":"commons-desc-page"},"CommonsMetadataExtension":{"value":1.2,"hidden":"","source":"extension"}},"thumbheight":828,"thumbattribs":{"src":"https://thumb.wikimedia.org/wikipedia/commons/thumb/2/24/Memorial_Stadium_-_Bakersfield.jpg/1280px-Memorial_Stadium_-_Bakersfield.jpg?utm_source=commons.wikimedia.org&amp;utm_campaign=imageinfo&amp;utm_content=thumbnail","width":1280,"height":828,"srcset":"https://upload.wikimedia.org/wikipedia/commons/2/24/Memorial_Stadium_-_Bakersfield.jpg?utm_source=commons.wikimedia.org&amp;utm_campaign=imageinfo&amp;utm_content=thumbnail_unscaled 2x","loading":"lazy","decoding":"async"},"descriptionurl":"https://commons.wikimedia.org/wiki/File:Memorial_Stadium_-_Bakersfield.jpg","responsiveUrls":{"2":"https://upload.wikimedia.org/wikipedia/commons/2/24/Memorial_Stadium_-_Bakersfield.jpg?utm_source=commons.wikimedia.org&amp;utm_campaign=imageinfo&amp;utm_content=thumbnail_unscaled"},"descriptionshorturl":"https://commons.wikimedia.org/w/index.php?curid=122777173"},"selection":{"qid":"pending","kind":"candidate","title":"Bakersfield local buildings"},"author_url":"","derivative":"Wikimedia thumbnail decoded; EXIF orientation applied; converted to WebP quality 86; no generated pixels, no cropping.","source_url":"https://commons.wikimedia.org/wiki/File:Memorial_Stadium_-_Bakersfield.jpg","author_urls":[],"description":"Bakersfield College - Memorial Stadium at dusk","license_url":"https://creativecommons.org/licenses/by-sa/4.0","reviewed_on":"2026-10-24","capture_date":"2022-09-07","download_url":"https://thumb.wikimedia.org/wikipedia/commons/thumb/2/24/Memorial_Stadium_-_Bakersfield.jpg/1280px-Memorial_Stadium_-_Bakersfield.jpg?utm_source=commons.wikimedia.org&amp;utm_campaign=imageinfo&amp;utm_content=thumbnail","original_url":"https://upload.wikimedia.org/wikipedia/commons/2/24/Memorial_Stadium_-_Bakersfield.jpg?utm_source=commons.wikimedia.org&amp;utm_campaign=imageinfo&amp;utm_content=original","pixel_review":{"method":"İndirilen kare temas sayfasında görüldü; kaynak mekân kimliğiyle eşleştirildi. Seçim kaydı final-pixel-review.json.","status":"verified","caption":"Memorial Stadium – Bakersfield College · 2022 tarihli fotoğraf","reviewer":"Codex (AI)","review_id":"C205"},"downloaded_at":"2026-10-23T19:08:51.049419+00:00","download_sha256":"241f074e4a1605b80b6ce8ca111b6222dbe239d0e297436389d9213b7f5dfed7","downloaded_file":"downloads/241f074e4a1605b80b6ce8ca111b6222dbe239d0e297436389d9213b7f5dfed7.jpg","acquisition_file":"ba6f13558bcd07e89bc0d5f9.webp","commons_filename":"Memorial Stadium - Bakersfield.jpg","original_file_url":"https://upload.wikimedia.org/wikipedia/commons/2/24/Memorial_Stadium_-_Bakersfiel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2/24/Memorial_Stadium_-_Bakersfield.jpg?utm_source=commons.wikimedia.org&amp;utm_campaign=imageinfo&amp;utm_content=original"},"metadata_reviewed_on":"2026-10-24","metadata_review_status":"verified"}}</x:v>
      </x:c>
    </x:row>
    <x:row r="150" ht="300" customHeight="1">
      <x:c r="A150" s="29" t="str">
        <x:v>bakersfield:evidence:venue-22115</x:v>
      </x:c>
      <x:c r="B150" s="29" t="str">
        <x:v>bakersfield</x:v>
      </x:c>
      <x:c r="C150" s="29" t="str">
        <x:v>bakersfield:photo:venue-22115</x:v>
      </x:c>
      <x:c r="D150" s="29" t="str">
        <x:v>https://commons.wikimedia.org/wiki/File:Main_Soccer_Field_(Cal_State_Bakersfield).jpg</x:v>
      </x:c>
      <x:c r="E150" s="29" t="str">
        <x:v>Main Soccer Field (Cal State Bakersfield).jpg</x:v>
      </x:c>
      <x:c r="F150" s="29" t="str">
        <x:v>Spatms</x:v>
      </x:c>
      <x:c r="G150" s="29" t="str">
        <x:v>CC BY-SA 4.0</x:v>
      </x:c>
      <x:c r="H150" s="29" t="str">
        <x:v>https://creativecommons.org/licenses/by-sa/4.0</x:v>
      </x:c>
      <x:c r="I150" s="29" t="str">
        <x:v>Creative Commons Attribution-Share Alike 4.0</x:v>
      </x:c>
      <x:c r="J150" s="29" t="str">
        <x:v>Main Soccer Field (Cal State Bakersfield).jpg · Spatms · CC BY-SA 4.0 · https://commons.wikimedia.org/wiki/File:Main_Soccer_Field_(Cal_State_Bakersfield).jpg</x:v>
      </x:c>
      <x:c r="K15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0" s="31" t="d">
        <x:v>2026-10-24T00:00:00.000Z</x:v>
      </x:c>
      <x:c r="M150" s="29" t="str">
        <x:v>Doğrulandı</x:v>
      </x:c>
      <x:c r="N150" s="29" t="str">
        <x:v>Doğrulandı</x:v>
      </x:c>
      <x:c r="O150" s="29" t="str">
        <x:v>Fotoğraflar/bk-79e1270a75034ce8a665e869.webp</x:v>
      </x:c>
      <x:c r="P150" s="29" t="str">
        <x:v>Stockdale / CSU Bakersfield çevresi · 2017 tarihli fotoğraf · İndirilen kare temas sayfasında görüldü; kaynak mekân kimliğiyle eşleştirildi. Seçim kaydı final-pixel-review.json.</x:v>
      </x:c>
      <x:c r="Q150" s="29" t="str">
        <x:v>Bu kare için uygun</x:v>
      </x:c>
      <x:c r="R15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0" s="29" t="str">
        <x:v>Lisans kanıtları/bk-79e1270a75034ce8a665e869.source-evidence.json</x:v>
      </x:c>
      <x:c r="T150" s="29" t="str">
        <x:v>6aa6985e531ff1f2057e5d8d315bb1785f6c9783d71cead984831841fe3f44ef</x:v>
      </x:c>
      <x:c r="U150" s="29" t="str">
        <x:v>Lisans kanıtları/bk-79e1270a75034ce8a665e869.license-record.json</x:v>
      </x:c>
      <x:c r="V150" s="29" t="str">
        <x:v>f60444f3738db594208423fffb4f82c207facde577000d773b3529607d1cdd3d</x:v>
      </x:c>
      <x:c r="W150" s="29" t="str">
        <x:v>{"file":"bk-79e1270a75034ce8a665e869.webp","width":1280,"author":"Spatms","height":720,"sha256":"79e1270a75034ce8a665e8698ca20de46fd1f43d8aa01087cb4a2065752e42db","license":"CC BY-SA 4.0","imageinfo":{"url":"https://upload.wikimedia.org/wikipedia/commons/a/a7/Main_Soccer_Field_%28Cal_State_Bakersfield%29.jpg?utm_source=commons.wikimedia.org&amp;utm_campaign=imageinfo&amp;utm_content=original","mime":"image/jpeg","sha1":"6077d84520f2485cf6ba2443259ddd99f80c59ae","size":3421994,"width":5245,"height":2949,"pageid":63457831,"thumburl":"https://thumb.wikimedia.org/wikipedia/commons/thumb/a/a7/Main_Soccer_Field_%28Cal_State_Bakersfield%29.jpg/1280px-Main_Soccer_Field_%28Cal_State_Bakersfield%29.jpg?utm_source=commons.wikimedia.org&amp;utm_campaign=imageinfo&amp;utm_content=thumbnail","timestamp":"2017-10-19T04:12:03Z","thumbwidth":1280,"extmetadata":{"Artist":{"value":"&lt;a href=\"//commons.wikimedia.org/wiki/User:Spatms\" title=\"User:Spatms\"&gt;Spatms&lt;/a&gt;","source":"commons-desc-page"},"Credit":{"value":"&lt;span class=\"int-own-work\" lang=\"en\"&gt;Own work&lt;/span&gt;","source":"commons-desc-page"},"License":{"value":"cc-by-sa-4.0","hidden":"","source":"commons-templates"},"DateTime":{"value":"2017-10-19 04:12:03","hidden":"","source":"mediawiki-metadata"},"Categories":{"value":"Association football venues in California|College soccer venues in the United States|Association football in the United States in 2017|Self-published work|Cal State Bakersfield Roadrunners men's soccer|California State University, Bakersfield sports venues|Cal State Bakersfield Roadrunners women's soccer","hidden":"","source":"commons-categories"},"LicenseUrl":{"value":"https://creativecommons.org/licenses/by-sa/4.0","source":"commons-desc-page"},"ObjectName":{"value":"Main Soccer Field (Cal State Bakersfield)","source":"mediawiki-metadata"},"UsageTerms":{"value":"Creative Commons Attribution-Share Alike 4.0","source":"commons-desc-page"},"Assessments":{"value":"","hidden":"","source":"commons-categories"},"Copyrighted":{"value":"True","hidden":"","source":"commons-desc-page"},"Restrictions":{"value":"","hidden":"","source":"commons-desc-page"},"DateTimeOriginal":{"value":"2017-10-14 15:30:04","source":"commons-desc-page"},"ImageDescription":{"value":"Main Soccer Field (Cal State Bakersfield)","source":"commons-desc-page"},"LicenseShortName":{"value":"CC BY-SA 4.0","hidden":"","source":"commons-desc-page"},"AttributionRequired":{"value":"true","hidden":"","source":"commons-desc-page"},"CommonsMetadataExtension":{"value":1.2,"hidden":"","source":"extension"}},"thumbheight":720,"thumbattribs":{"src":"https://thumb.wikimedia.org/wikipedia/commons/thumb/a/a7/Main_Soccer_Field_%28Cal_State_Bakersfield%29.jpg/1280px-Main_Soccer_Field_%28Cal_State_Bakersfield%29.jpg?utm_source=commons.wikimedia.org&amp;utm_campaign=imageinfo&amp;utm_content=thumbnail","width":1280,"height":720,"srcset":"https://thumb.wikimedia.org/wikipedia/commons/thumb/a/a7/Main_Soccer_Field_%28Cal_State_Bakersfield%29.jpg/3840px-Main_Soccer_Field_%28Cal_State_Bakersfield%29.jpg?utm_source=commons.wikimedia.org&amp;utm_campaign=imageinfo&amp;utm_content=thumbnail 2x","loading":"lazy","decoding":"async"},"descriptionurl":"https://commons.wikimedia.org/wiki/File:Main_Soccer_Field_(Cal_State_Bakersfield).jpg","responsiveUrls":{"2":"https://thumb.wikimedia.org/wikipedia/commons/thumb/a/a7/Main_Soccer_Field_%28Cal_State_Bakersfield%29.jpg/3840px-Main_Soccer_Field_%28Cal_State_Bakersfield%29.jpg?utm_source=commons.wikimedia.org&amp;utm_campaign=imageinfo&amp;utm_content=thumbnail"},"descriptionshorturl":"https://commons.wikimedia.org/w/index.php?curid=63457831"},"selection":{"qid":"pending","kind":"candidate","title":"Bakersfield local buildings"},"author_url":"https://commons.wikimedia.org/wiki/User:Spatms","derivative":"Wikimedia thumbnail decoded; EXIF orientation applied; converted to WebP quality 86; no generated pixels, no cropping.","source_url":"https://commons.wikimedia.org/wiki/File:Main_Soccer_Field_(Cal_State_Bakersfield).jpg","author_urls":["https://commons.wikimedia.org/wiki/User:Spatms"],"description":"Main Soccer Field (Cal State Bakersfield)","license_url":"https://creativecommons.org/licenses/by-sa/4.0","reviewed_on":"2026-10-24","capture_date":"2017-10-14 15:30:04","download_url":"https://thumb.wikimedia.org/wikipedia/commons/thumb/a/a7/Main_Soccer_Field_%28Cal_State_Bakersfield%29.jpg/1280px-Main_Soccer_Field_%28Cal_State_Bakersfield%29.jpg?utm_source=commons.wikimedia.org&amp;utm_campaign=imageinfo&amp;utm_content=thumbnail","original_url":"https://upload.wikimedia.org/wikipedia/commons/a/a7/Main_Soccer_Field_%28Cal_State_Bakersfield%29.jpg?utm_source=commons.wikimedia.org&amp;utm_campaign=imageinfo&amp;utm_content=original","pixel_review":{"method":"İndirilen kare temas sayfasında görüldü; kaynak mekân kimliğiyle eşleştirildi. Seçim kaydı final-pixel-review.json.","status":"verified","caption":"Stockdale / CSU Bakersfield çevresi · 2017 tarihli fotoğraf","reviewer":"Codex (AI)","review_id":"C199"},"downloaded_at":"2026-10-23T19:08:47.303721+00:00","download_sha256":"9bd36051dc603f036f9a03bd8d1e7a96586472125ab567d71cc3853c31f7defa","downloaded_file":"downloads/9bd36051dc603f036f9a03bd8d1e7a96586472125ab567d71cc3853c31f7defa.jpg","acquisition_file":"6a5d0400d483f12b884175dd.webp","commons_filename":"Main Soccer Field (Cal State Bakersfield).jpg","original_file_url":"https://upload.wikimedia.org/wikipedia/commons/a/a7/Main_Soccer_Field_%28Cal_State_Bakersfield%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dönüştürüldü.","photo_attribution":{"author_url":"https://commons.wikimedia.org/wiki/User:Spatms","modifications":"EXIF yönü uygulandı; boyut küçültülüp WebP biçimine dönüştürüldü.","original_file_url":"https://upload.wikimedia.org/wikipedia/commons/a/a7/Main_Soccer_Field_%28Cal_State_Bakersfield%29.jpg?utm_source=commons.wikimedia.org&amp;utm_campaign=imageinfo&amp;utm_content=original"},"metadata_reviewed_on":"2026-10-24","metadata_review_status":"verified"}}</x:v>
      </x:c>
    </x:row>
    <x:row r="151" ht="300" customHeight="1">
      <x:c r="A151" s="29" t="str">
        <x:v>bakersfield:evidence:venue-22116</x:v>
      </x:c>
      <x:c r="B151" s="29" t="str">
        <x:v>bakersfield</x:v>
      </x:c>
      <x:c r="C151" s="29" t="str">
        <x:v>bakersfield:photo:venue-22116</x:v>
      </x:c>
      <x:c r="D151" s="29" t="str">
        <x:v>https://commons.wikimedia.org/wiki/File:Aerial_Photo_of_Kern_County_Raceway.JPG</x:v>
      </x:c>
      <x:c r="E151" s="29" t="str">
        <x:v>Aerial Photo of Kern County Raceway.JPG</x:v>
      </x:c>
      <x:c r="F151" s="29" t="str">
        <x:v>Rickybassman</x:v>
      </x:c>
      <x:c r="G151" s="29" t="str">
        <x:v>CC BY-SA 4.0</x:v>
      </x:c>
      <x:c r="H151" s="29" t="str">
        <x:v>https://creativecommons.org/licenses/by-sa/4.0</x:v>
      </x:c>
      <x:c r="I151" s="29" t="str">
        <x:v>Creative Commons Attribution-Share Alike 4.0</x:v>
      </x:c>
      <x:c r="J151" s="29" t="str">
        <x:v>Aerial Photo of Kern County Raceway.JPG · Rickybassman · CC BY-SA 4.0 · https://commons.wikimedia.org/wiki/File:Aerial_Photo_of_Kern_County_Raceway.JPG</x:v>
      </x:c>
      <x:c r="K15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1" s="31" t="d">
        <x:v>2026-10-24T00:00:00.000Z</x:v>
      </x:c>
      <x:c r="M151" s="29" t="str">
        <x:v>Doğrulandı</x:v>
      </x:c>
      <x:c r="N151" s="29" t="str">
        <x:v>Doğrulandı</x:v>
      </x:c>
      <x:c r="O151" s="29" t="str">
        <x:v>Fotoğraflar/bk-0901a0da75c9fc5ec3b33105.webp</x:v>
      </x:c>
      <x:c r="P151" s="29" t="str">
        <x:v>Kevin Harvick's Kern Raceway · 2013 tarihli fotoğraf · İndirilen kare temas sayfasında görüldü; kaynak mekân kimliğiyle eşleştirildi. Seçim kaydı final-pixel-review.json.</x:v>
      </x:c>
      <x:c r="Q151" s="29" t="str">
        <x:v>Bu kare için uygun</x:v>
      </x:c>
      <x:c r="R15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1" s="29" t="str">
        <x:v>Lisans kanıtları/bk-0901a0da75c9fc5ec3b33105.source-evidence.json</x:v>
      </x:c>
      <x:c r="T151" s="29" t="str">
        <x:v>bdb28d6b0b4a06861ad31c0d441ff11f5cc47dadf6a281a3e07a227a5aa2cd34</x:v>
      </x:c>
      <x:c r="U151" s="29" t="str">
        <x:v>Lisans kanıtları/bk-0901a0da75c9fc5ec3b33105.license-record.json</x:v>
      </x:c>
      <x:c r="V151" s="29" t="str">
        <x:v>c46f527a24b51f45d889770303de866549c9c6ef9d46d4439dcdc0e232bd4b17</x:v>
      </x:c>
      <x:c r="W151" s="29" t="str">
        <x:v>{"file":"bk-0901a0da75c9fc5ec3b33105.webp","width":1280,"author":"Rickybassman","height":771,"sha256":"0901a0da75c9fc5ec3b33105098bf2f67ed451212fa01e30e1a68b0d9f541a2a","license":"CC BY-SA 4.0","imageinfo":{"url":"https://upload.wikimedia.org/wikipedia/commons/c/cf/Aerial_Photo_of_Kern_County_Raceway.JPG?utm_source=commons.wikimedia.org&amp;utm_campaign=imageinfo&amp;utm_content=original","mime":"image/jpeg","sha1":"ed8873e4d9b8d2d2a79a38b413075ffcd23dd579","size":3503116,"width":4397,"height":2649,"pageid":36211460,"thumburl":"https://thumb.wikimedia.org/wikipedia/commons/thumb/c/cf/Aerial_Photo_of_Kern_County_Raceway.JPG/1280px-Aerial_Photo_of_Kern_County_Raceway.JPG?utm_source=commons.wikimedia.org&amp;utm_campaign=imageinfo&amp;utm_content=thumbnail","timestamp":"2014-10-17T14:47:23Z","thumbwidth":1280,"extmetadata":{"Artist":{"value":"&lt;a href=\"//commons.wikimedia.org/w/index.php?title=User:Rickybassman&amp;amp;action=edit&amp;amp;redlink=1\" class=\"new\" title=\"User:Rickybassman (page does not exist)\"&gt;Rickybassman&lt;/a&gt;","source":"commons-desc-page"},"Credit":{"value":"&lt;span class=\"int-own-work\" lang=\"en\"&gt;Own work&lt;/span&gt;","source":"commons-desc-page"},"License":{"value":"cc-by-sa-4.0","hidden":"","source":"commons-templates"},"DateTime":{"value":"2014-10-17 14:47:23","hidden":"","source":"mediawiki-metadata"},"Categories":{"value":"Taken with Nikon D7000|Kern County Raceway Park|Self-published work","hidden":"","source":"commons-categories"},"LicenseUrl":{"value":"https://creativecommons.org/licenses/by-sa/4.0","source":"commons-desc-page"},"ObjectName":{"value":"Aerial Photo of Kern County Raceway","source":"mediawiki-metadata"},"UsageTerms":{"value":"Creative Commons Attribution-Share Alike 4.0","source":"commons-desc-page"},"Assessments":{"value":"","hidden":"","source":"commons-categories"},"Copyrighted":{"value":"True","hidden":"","source":"commons-desc-page"},"Restrictions":{"value":"","hidden":"","source":"commons-desc-page"},"DateTimeOriginal":{"value":"2013-03-25 00:09:16","source":"commons-desc-page"},"ImageDescription":{"value":"Kern County Raceway Aerial","source":"commons-desc-page"},"LicenseShortName":{"value":"CC BY-SA 4.0","hidden":"","source":"commons-desc-page"},"AttributionRequired":{"value":"true","hidden":"","source":"commons-desc-page"},"CommonsMetadataExtension":{"value":1.2,"hidden":"","source":"extension"}},"thumbheight":771,"thumbattribs":{"src":"https://thumb.wikimedia.org/wikipedia/commons/thumb/c/cf/Aerial_Photo_of_Kern_County_Raceway.JPG/1280px-Aerial_Photo_of_Kern_County_Raceway.JPG?utm_source=commons.wikimedia.org&amp;utm_campaign=imageinfo&amp;utm_content=thumbnail","width":1280,"height":771,"srcset":"https://thumb.wikimedia.org/wikipedia/commons/thumb/c/cf/Aerial_Photo_of_Kern_County_Raceway.JPG/3840px-Aerial_Photo_of_Kern_County_Raceway.JPG?utm_source=commons.wikimedia.org&amp;utm_campaign=imageinfo&amp;utm_content=thumbnail 2x","loading":"lazy","decoding":"async"},"descriptionurl":"https://commons.wikimedia.org/wiki/File:Aerial_Photo_of_Kern_County_Raceway.JPG","responsiveUrls":{"2":"https://thumb.wikimedia.org/wikipedia/commons/thumb/c/cf/Aerial_Photo_of_Kern_County_Raceway.JPG/3840px-Aerial_Photo_of_Kern_County_Raceway.JPG?utm_source=commons.wikimedia.org&amp;utm_campaign=imageinfo&amp;utm_content=thumbnail"},"descriptionshorturl":"https://commons.wikimedia.org/w/index.php?curid=36211460"},"selection":{"qid":"pending","kind":"candidate","title":"Kern County Raceway Park"},"author_url":"","derivative":"Wikimedia thumbnail decoded; EXIF orientation applied; converted to WebP quality 86; no generated pixels, no cropping.","source_url":"https://commons.wikimedia.org/wiki/File:Aerial_Photo_of_Kern_County_Raceway.JPG","author_urls":[],"description":"Kern County Raceway Aerial","license_url":"https://creativecommons.org/licenses/by-sa/4.0","reviewed_on":"2026-10-24","capture_date":"2013-03-25 00:09:16","download_url":"https://thumb.wikimedia.org/wikipedia/commons/thumb/c/cf/Aerial_Photo_of_Kern_County_Raceway.JPG/1280px-Aerial_Photo_of_Kern_County_Raceway.JPG?utm_source=commons.wikimedia.org&amp;utm_campaign=imageinfo&amp;utm_content=thumbnail","original_url":"https://upload.wikimedia.org/wikipedia/commons/c/cf/Aerial_Photo_of_Kern_County_Raceway.JPG?utm_source=commons.wikimedia.org&amp;utm_campaign=imageinfo&amp;utm_content=original","pixel_review":{"method":"İndirilen kare temas sayfasında görüldü; kaynak mekân kimliğiyle eşleştirildi. Seçim kaydı final-pixel-review.json.","status":"verified","caption":"Kevin Harvick's Kern Raceway · 2013 tarihli fotoğraf","reviewer":"Codex (AI)","review_id":"C43"},"downloaded_at":"2026-10-23T19:09:51.699238+00:00","download_sha256":"ba3c6995ed19890275baa38bbc765a5b6e3f7132c08047aa2ee312103606e8e3","downloaded_file":"downloads/ba3c6995ed19890275baa38bbc765a5b6e3f7132c08047aa2ee312103606e8e3.jpg","acquisition_file":"b14a749ba6cfe10d5cdd2a15.webp","commons_filename":"Aerial Photo of Kern County Raceway.JPG","original_file_url":"https://upload.wikimedia.org/wikipedia/commons/c/cf/Aerial_Photo_of_Kern_County_Raceway.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c/cf/Aerial_Photo_of_Kern_County_Raceway.JPG?utm_source=commons.wikimedia.org&amp;utm_campaign=imageinfo&amp;utm_content=original"},"metadata_reviewed_on":"2026-10-24","metadata_review_status":"verified"}}</x:v>
      </x:c>
    </x:row>
    <x:row r="152" ht="300" customHeight="1">
      <x:c r="A152" s="29" t="str">
        <x:v>bakersfield:evidence:venue-22117</x:v>
      </x:c>
      <x:c r="B152" s="29" t="str">
        <x:v>bakersfield</x:v>
      </x:c>
      <x:c r="C152" s="29" t="str">
        <x:v>bakersfield:photo:venue-22117</x:v>
      </x:c>
      <x:c r="D152" s="29" t="str">
        <x:v>https://commons.wikimedia.org/wiki/File:Bakersfield_Amtrak_Station.jpg</x:v>
      </x:c>
      <x:c r="E152" s="29" t="str">
        <x:v>Bakersfield Amtrak Station.jpg</x:v>
      </x:c>
      <x:c r="F152" s="29" t="str">
        <x:v>LHOON</x:v>
      </x:c>
      <x:c r="G152" s="29" t="str">
        <x:v>CC BY-SA 2.0</x:v>
      </x:c>
      <x:c r="H152" s="29" t="str">
        <x:v>https://creativecommons.org/licenses/by-sa/2.0</x:v>
      </x:c>
      <x:c r="I152" s="29" t="str">
        <x:v>Creative Commons Attribution-Share Alike 2.0</x:v>
      </x:c>
      <x:c r="J152" s="29" t="str">
        <x:v>Bakersfield Amtrak Station.jpg · LHOON · CC BY-SA 2.0 · https://commons.wikimedia.org/wiki/File:Bakersfield_Amtrak_Station.jpg</x:v>
      </x:c>
      <x:c r="K15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2" s="31" t="d">
        <x:v>2026-10-24T00:00:00.000Z</x:v>
      </x:c>
      <x:c r="M152" s="29" t="str">
        <x:v>Doğrulandı</x:v>
      </x:c>
      <x:c r="N152" s="29" t="str">
        <x:v>Doğrulandı</x:v>
      </x:c>
      <x:c r="O152" s="29" t="str">
        <x:v>Fotoğraflar/bk-a4bb765e3be69d9d05938b74.webp</x:v>
      </x:c>
      <x:c r="P152" s="29" t="str">
        <x:v>Bakersfield Amtrak Station · 2003 tarihli fotoğraf · İndirilen kare temas sayfasında görüldü; kaynak mekân kimliğiyle eşleştirildi. Seçim kaydı final-pixel-review.json.</x:v>
      </x:c>
      <x:c r="Q152" s="29" t="str">
        <x:v>Bu kare için uygun</x:v>
      </x:c>
      <x:c r="R15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2" s="29" t="str">
        <x:v>Lisans kanıtları/bk-a4bb765e3be69d9d05938b74.source-evidence.json</x:v>
      </x:c>
      <x:c r="T152" s="29" t="str">
        <x:v>f0debcbb40cc92852900ce11039e18519aa60e001e0093f9be33b75cafa0b90d</x:v>
      </x:c>
      <x:c r="U152" s="29" t="str">
        <x:v>Lisans kanıtları/bk-a4bb765e3be69d9d05938b74.license-record.json</x:v>
      </x:c>
      <x:c r="V152" s="29" t="str">
        <x:v>beb254d6efcb621b218399ab76e6f8f182e6a4a0e9733897b16ca7051f6582d0</x:v>
      </x:c>
      <x:c r="W152" s="29" t="str">
        <x:v>{"file":"bk-a4bb765e3be69d9d05938b74.webp","width":1280,"author":"LHOON","height":853,"sha256":"a4bb765e3be69d9d05938b74af65e696dd95a3cab5d5bcf6435f90f29a5f9ca9","license":"CC BY-SA 2.0","imageinfo":{"url":"https://upload.wikimedia.org/wikipedia/commons/4/4a/Bakersfield_Amtrak_Station.jpg?utm_source=commons.wikimedia.org&amp;utm_campaign=imageinfo&amp;utm_content=original","mime":"image/jpeg","sha1":"b7f22d283d7268a0b8168f679dc279c8618e170d","size":460945,"width":1800,"height":1200,"pageid":1460560,"thumburl":"https://thumb.wikimedia.org/wikipedia/commons/thumb/4/4a/Bakersfield_Amtrak_Station.jpg/1280px-Bakersfield_Amtrak_Station.jpg?utm_source=commons.wikimedia.org&amp;utm_campaign=imageinfo&amp;utm_content=thumbnail","timestamp":"2009-10-13T00:40:34Z","thumbwidth":1280,"extmetadata":{"Artist":{"value":"&lt;a rel=\"nofollow\" class=\"external text\" href=\"https://www.flickr.com/people/lhoon/\"&gt;LHOON&lt;/a&gt;","source":"commons-desc-page"},"Credit":{"value":"&lt;a rel=\"nofollow\" class=\"external text\" href=\"https://www.flickr.com/photos/lhoon/318842664/\"&gt;flickr&lt;/a&gt;","source":"commons-desc-page"},"License":{"value":"cc-by-sa-2.0","hidden":"","source":"commons-templates"},"DateTime":{"value":"2009-10-13 00:40:34","hidden":"","source":"mediawiki-metadata"},"Categories":{"value":"2003 in California|Taken with Fujifilm MX-2700|Bakersfield station (Amtrak)|Flickr images reviewed by FlickreviewR|Photographs by Peter Van den Bossche|March 2003 in the United States|Kugel fountains in the United States","hidden":"","source":"commons-categories"},"LicenseUrl":{"value":"https://creativecommons.org/licenses/by-sa/2.0","source":"commons-desc-page"},"ObjectName":{"value":"Bakersfield Amtrak Station","source":"mediawiki-metadata"},"Permission":{"value":"&lt;table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was originally posted to &lt;a href=\"https://en.wikipedia.org/wiki/Flickr\" class=\"extiw\" title=\"w:Flickr\"&gt;Flickr&lt;/a&gt; by LHOON at &lt;a rel=\"nofollow\" class=\"external free\" href=\"https://www.flickr.com/photos/12814307@N00/318842664\"&gt;https://www.flickr.com/photos/12814307@N00/318842664&lt;/a&gt;. It was reviewed on 00:40, 13 October 2009 (UTC) by &lt;span id=\"flickr_upload_bot_reviewer\"&gt;&lt;a href=\"//commons.wikimedia.org/wiki/User:FlickreviewR\" title=\"User:FlickreviewR\"&gt;FlickreviewR&lt;/a&gt;&lt;/span&gt;, who found it to be licensed under the terms of the cc-by-sa-2.0, which is compatible with the Commons. It is, however, not the same license as specified on upload, which was the cc-by-2.5, and it is unknown whether that license ever was valid.\n&lt;/td&gt;\n&lt;td&gt;&lt;span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data-file-height=\"512\"&gt;&lt;/span&gt;&lt;/span&gt;\n&lt;/td&gt;&lt;/tr&gt;&lt;/tbody&gt;&lt;/table&gt;Creative Commons 2.0","hidden":"","source":"commons-desc-page"},"UsageTerms":{"value":"Creative Commons Attribution-Share Alike 2.0","source":"commons-desc-page"},"Assessments":{"value":"","hidden":"","source":"commons-categories"},"Copyrighted":{"value":"True","hidden":"","source":"commons-desc-page"},"Restrictions":{"value":"","hidden":"","source":"commons-desc-page"},"DateTimeOriginal":{"value":"2003-03-23","source":"commons-desc-page"},"ImageDescription":{"value":"Amtrak station in Bakersfield, California","source":"commons-desc-page"},"LicenseShortName":{"value":"CC BY-SA 2.0","hidden":"","source":"commons-desc-page"},"AttributionRequired":{"value":"true","hidden":"","source":"commons-desc-page"},"CommonsMetadataExtension":{"value":1.2,"hidden":"","source":"extension"}},"thumbheight":853,"thumbattribs":{"src":"https://thumb.wikimedia.org/wikipedia/commons/thumb/4/4a/Bakersfield_Amtrak_Station.jpg/1280px-Bakersfield_Amtrak_Station.jpg?utm_source=commons.wikimedia.org&amp;utm_campaign=imageinfo&amp;utm_content=thumbnail","width":1280,"height":853,"srcset":"https://upload.wikimedia.org/wikipedia/commons/4/4a/Bakersfield_Amtrak_Station.jpg?utm_source=commons.wikimedia.org&amp;utm_campaign=imageinfo&amp;utm_content=thumbnail_unscaled 2x","loading":"lazy","decoding":"async"},"descriptionurl":"https://commons.wikimedia.org/wiki/File:Bakersfield_Amtrak_Station.jpg","responsiveUrls":{"2":"https://upload.wikimedia.org/wikipedia/commons/4/4a/Bakersfield_Amtrak_Station.jpg?utm_source=commons.wikimedia.org&amp;utm_campaign=imageinfo&amp;utm_content=thumbnail_unscaled"},"descriptionshorturl":"https://commons.wikimedia.org/w/index.php?curid=1460560"},"selection":{"qid":"pending","kind":"candidate","title":"Additional local candidates"},"author_url":"https://www.flickr.com/people/lhoon/","derivative":"Wikimedia thumbnail decoded; EXIF orientation applied; converted to WebP quality 86; no generated pixels, no cropping.","source_url":"https://commons.wikimedia.org/wiki/File:Bakersfield_Amtrak_Station.jpg","author_urls":["https://www.flickr.com/people/lhoon/"],"description":"Amtrak station in Bakersfield, California","license_url":"https://creativecommons.org/licenses/by-sa/2.0","reviewed_on":"2026-10-24","capture_date":"2003-03-23","download_url":"https://thumb.wikimedia.org/wikipedia/commons/thumb/4/4a/Bakersfield_Amtrak_Station.jpg/1280px-Bakersfield_Amtrak_Station.jpg?utm_source=commons.wikimedia.org&amp;utm_campaign=imageinfo&amp;utm_content=thumbnail","original_url":"https://upload.wikimedia.org/wikipedia/commons/4/4a/Bakersfield_Amtrak_Station.jpg?utm_source=commons.wikimedia.org&amp;utm_campaign=imageinfo&amp;utm_content=original","pixel_review":{"method":"İndirilen kare temas sayfasında görüldü; kaynak mekân kimliğiyle eşleştirildi. Seçim kaydı final-pixel-review.json.","status":"verified","caption":"Bakersfield Amtrak Station · 2003 tarihli fotoğraf","reviewer":"Codex (AI)","review_id":"A4"},"downloaded_at":"2026-10-23T19:34:15.520733+00:00","download_sha256":"6efaa0204b6fae3f5037701425db2d3f67971e1cf5f9daed67658b93c35a90df","downloaded_file":"downloads/6efaa0204b6fae3f5037701425db2d3f67971e1cf5f9daed67658b93c35a90df.jpg","acquisition_file":"92682154c547f69f6e4f94e4.webp","commons_filename":"Bakersfield Amtrak Station.jpg","original_file_url":"https://upload.wikimedia.org/wikipedia/commons/4/4a/Bakersfield_Amtrak_Statio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dönüştürüldü.","photo_attribution":{"author_url":"https://www.flickr.com/people/lhoon/","modifications":"EXIF yönü uygulandı; boyut küçültülüp WebP biçimine dönüştürüldü.","original_file_url":"https://upload.wikimedia.org/wikipedia/commons/4/4a/Bakersfield_Amtrak_Station.jpg?utm_source=commons.wikimedia.org&amp;utm_campaign=imageinfo&amp;utm_content=original"},"metadata_reviewed_on":"2026-10-24","metadata_review_status":"verified"}}</x:v>
      </x:c>
    </x:row>
    <x:row r="153" ht="300" customHeight="1">
      <x:c r="A153" s="29" t="str">
        <x:v>bakersfield:evidence:venue-22118</x:v>
      </x:c>
      <x:c r="B153" s="29" t="str">
        <x:v>bakersfield</x:v>
      </x:c>
      <x:c r="C153" s="29" t="str">
        <x:v>bakersfield:photo:venue-22118</x:v>
      </x:c>
      <x:c r="D153" s="29" t="str">
        <x:v>https://commons.wikimedia.org/wiki/File:Bakersfield_Station_2048_02.JPG</x:v>
      </x:c>
      <x:c r="E153" s="29" t="str">
        <x:v>Bakersfield Station 2048 02.JPG</x:v>
      </x:c>
      <x:c r="F153" s="29" t="str">
        <x:v>Pedro Xing</x:v>
      </x:c>
      <x:c r="G153" s="29" t="str">
        <x:v>CC0 1.0</x:v>
      </x:c>
      <x:c r="H153" s="29" t="str">
        <x:v>https://creativecommons.org/publicdomain/zero/1.0/</x:v>
      </x:c>
      <x:c r="I153" s="29" t="str">
        <x:v>Creative Commons Zero, Public Domain Dedication</x:v>
      </x:c>
      <x:c r="J153" s="29" t="str">
        <x:v>Bakersfield Station 2048 02.JPG · Pedro Xing · CC0 1.0 · https://commons.wikimedia.org/wiki/File:Bakersfield_Station_2048_02.JPG</x:v>
      </x:c>
      <x:c r="K15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3" s="31" t="d">
        <x:v>2026-10-24T00:00:00.000Z</x:v>
      </x:c>
      <x:c r="M153" s="29" t="str">
        <x:v>Doğrulandı</x:v>
      </x:c>
      <x:c r="N153" s="29" t="str">
        <x:v>Doğrulandı</x:v>
      </x:c>
      <x:c r="O153" s="29" t="str">
        <x:v>Fotoğraflar/bk-98f221190fbb231403f94f10.webp</x:v>
      </x:c>
      <x:c r="P153" s="29" t="str">
        <x:v>Bakersfield Amtrak Station · 2012 tarihli fotoğraf · İndirilen kare temas sayfasında görüldü; kaynak mekân kimliğiyle eşleştirildi. Seçim kaydı final-pixel-review.json.</x:v>
      </x:c>
      <x:c r="Q153" s="29" t="str">
        <x:v>Bu kare için uygun</x:v>
      </x:c>
      <x:c r="R15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3" s="29" t="str">
        <x:v>Lisans kanıtları/bk-98f221190fbb231403f94f10.source-evidence.json</x:v>
      </x:c>
      <x:c r="T153" s="29" t="str">
        <x:v>fb83b5f3220a1eafd436af34373d82c0fe56334bc0b73446b157028f154cf2f4</x:v>
      </x:c>
      <x:c r="U153" s="29" t="str">
        <x:v>Lisans kanıtları/bk-98f221190fbb231403f94f10.license-record.json</x:v>
      </x:c>
      <x:c r="V153" s="29" t="str">
        <x:v>59f244ca4b431f7fb0fc2066033ec2d5871e70c833d8cdb5023377a9900f8c40</x:v>
      </x:c>
      <x:c r="W153" s="29" t="str">
        <x:v>{"file":"bk-98f221190fbb231403f94f10.webp","width":1280,"author":"Pedro Xing","height":960,"sha256":"98f221190fbb231403f94f10054daa58b43f9de978f3c105bb43349072ab3133","license":"CC0 1.0","imageinfo":{"url":"https://upload.wikimedia.org/wikipedia/commons/d/da/Bakersfield_Station_2048_02.JPG?utm_source=commons.wikimedia.org&amp;utm_campaign=imageinfo&amp;utm_content=original","mime":"image/jpeg","sha1":"7b207a6aec93d398965b831b0587cdba1c2a1174","size":697355,"width":2048,"height":1536,"pageid":22068152,"thumburl":"https://thumb.wikimedia.org/wikipedia/commons/thumb/d/da/Bakersfield_Station_2048_02.JPG/1280px-Bakersfield_Station_2048_02.JPG?utm_source=commons.wikimedia.org&amp;utm_campaign=imageinfo&amp;utm_content=thumbnail","timestamp":"2012-10-14T12:19:53Z","thumbwidth":1280,"extmetadata":{"Artist":{"value":"&lt;a href=\"//commons.wikimedia.org/wiki/User:Pedro_Xing\" title=\"User:Pedro Xing\"&gt;Pedro Xing&lt;/a&gt;","source":"commons-desc-page"},"Credit":{"value":"&lt;span class=\"int-own-work\" lang=\"en\"&gt;Own work&lt;/span&gt;","source":"commons-desc-page"},"License":{"value":"cc0","hidden":"","source":"commons-templates"},"DateTime":{"value":"2012-10-14 12:19:53","hidden":"","source":"mediawiki-metadata"},"Categories":{"value":"Taken with Canon PowerShot A510|CC-Zero|Bakersfield station (Amtrak)|Self-published work|Files with coordinates missing SDC location of creation","hidden":"","source":"commons-categories"},"LicenseUrl":{"value":"http://creativecommons.org/publicdomain/zero/1.0/deed.en","source":"commons-desc-page"},"ObjectName":{"value":"Bakersfield Station 2048 02","source":"mediawiki-metadata"},"UsageTerms":{"value":"Creative Commons Zero, Public Domain Dedication","source":"commons-desc-page"},"Assessments":{"value":"","hidden":"","source":"commons-categories"},"Copyrighted":{"value":"True","hidden":"","source":"commons-desc-page"},"GPSLatitude":{"value":"35.372220","source":"commons-desc-page"},"GPSMapDatum":{"value":"WGS-84","hidden":"","source":"commons-desc-page"},"GPSLongitude":{"value":"-119.009720","source":"commons-desc-page"},"Restrictions":{"value":"","hidden":"","source":"commons-desc-page"},"DateTimeOriginal":{"value":"2012-10-06 09:08:55","source":"commons-desc-page"},"ImageDescription":{"value":"The &lt;a href=\"https://en.wikipedia.org/wiki/Bakersfield_(Amtrak_station)\" class=\"extiw\" title=\"en:Bakersfield (Amtrak station)\"&gt;Bakersfield (Amtrak station)&lt;/a&gt; in Bakersfield, California, USA.","source":"commons-desc-page"},"LicenseShortName":{"value":"CC0","hidden":"","source":"commons-desc-page"},"AttributionRequired":{"value":"false","hidden":"","source":"commons-desc-page"},"CommonsMetadataExtension":{"value":1.2,"hidden":"","source":"extension"}},"thumbheight":960,"thumbattribs":{"src":"https://thumb.wikimedia.org/wikipedia/commons/thumb/d/da/Bakersfield_Station_2048_02.JPG/1280px-Bakersfield_Station_2048_02.JPG?utm_source=commons.wikimedia.org&amp;utm_campaign=imageinfo&amp;utm_content=thumbnail","width":1280,"height":960,"srcset":"https://upload.wikimedia.org/wikipedia/commons/d/da/Bakersfield_Station_2048_02.JPG?utm_source=commons.wikimedia.org&amp;utm_campaign=imageinfo&amp;utm_content=thumbnail_unscaled 2x","loading":"lazy","decoding":"async"},"descriptionurl":"https://commons.wikimedia.org/wiki/File:Bakersfield_Station_2048_02.JPG","responsiveUrls":{"2":"https://upload.wikimedia.org/wikipedia/commons/d/da/Bakersfield_Station_2048_02.JPG?utm_source=commons.wikimedia.org&amp;utm_campaign=imageinfo&amp;utm_content=thumbnail_unscaled"},"descriptionshorturl":"https://commons.wikimedia.org/w/index.php?curid=22068152"},"selection":{"qid":"pending","kind":"candidate","title":"Additional local candidates"},"author_url":"https://commons.wikimedia.org/wiki/User:Pedro_Xing","derivative":"Wikimedia thumbnail decoded; EXIF orientation applied; converted to WebP quality 86; no generated pixels, no cropping.","source_url":"https://commons.wikimedia.org/wiki/File:Bakersfield_Station_2048_02.JPG","author_urls":["https://commons.wikimedia.org/wiki/User:Pedro_Xing"],"description":"The Bakersfield (Amtrak station) in Bakersfield, California, USA.","license_url":"https://creativecommons.org/publicdomain/zero/1.0/","reviewed_on":"2026-10-24","capture_date":"2012-10-06 09:08:55","download_url":"https://thumb.wikimedia.org/wikipedia/commons/thumb/d/da/Bakersfield_Station_2048_02.JPG/1280px-Bakersfield_Station_2048_02.JPG?utm_source=commons.wikimedia.org&amp;utm_campaign=imageinfo&amp;utm_content=thumbnail","original_url":"https://upload.wikimedia.org/wikipedia/commons/d/da/Bakersfield_Station_2048_02.JPG?utm_source=commons.wikimedia.org&amp;utm_campaign=imageinfo&amp;utm_content=original","pixel_review":{"method":"İndirilen kare temas sayfasında görüldü; kaynak mekân kimliğiyle eşleştirildi. Seçim kaydı final-pixel-review.json.","status":"verified","caption":"Bakersfield Amtrak Station · 2012 tarihli fotoğraf","reviewer":"Codex (AI)","review_id":"A5"},"downloaded_at":"2026-10-23T19:34:16.972160+00:00","download_sha256":"81ef6a2f68a6e568bb8ba16d57bed9f6b57a64d1dc3f7ae44809d3dbb586c9f1","downloaded_file":"downloads/81ef6a2f68a6e568bb8ba16d57bed9f6b57a64d1dc3f7ae44809d3dbb586c9f1.jpg","acquisition_file":"ea5e4112b71140b53c66a7d1.webp","commons_filename":"Bakersfield Station 2048 02.JPG","original_file_url":"https://upload.wikimedia.org/wikipedia/commons/d/da/Bakersfield_Station_2048_02.JPG?utm_source=commons.wikimedia.org&amp;utm_campaign=imageinfo&amp;utm_content=original","pixel_review_status":"pending","third_party_rights_review":{"basis":"Kaynakta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dönüştürüldü.","photo_attribution":{"author_url":"https://commons.wikimedia.org/wiki/User:Pedro_Xing","modifications":"EXIF yönü uygulandı; boyut küçültülüp WebP biçimine dönüştürüldü.","original_file_url":"https://upload.wikimedia.org/wikipedia/commons/d/da/Bakersfield_Station_2048_02.JPG?utm_source=commons.wikimedia.org&amp;utm_campaign=imageinfo&amp;utm_content=original"},"metadata_reviewed_on":"2026-10-24","metadata_review_status":"verified"}}</x:v>
      </x:c>
    </x:row>
    <x:row r="154" ht="300" customHeight="1">
      <x:c r="A154" s="29" t="str">
        <x:v>bakersfield:evidence:venue-22119</x:v>
      </x:c>
      <x:c r="B154" s="29" t="str">
        <x:v>bakersfield</x:v>
      </x:c>
      <x:c r="C154" s="29" t="str">
        <x:v>bakersfield:photo:venue-22119</x:v>
      </x:c>
      <x:c r="D154" s="29" t="str">
        <x:v>https://commons.wikimedia.org/wiki/File:Bakersfield_Station_2050_04.JPG</x:v>
      </x:c>
      <x:c r="E154" s="29" t="str">
        <x:v>Bakersfield Station 2050 04.JPG</x:v>
      </x:c>
      <x:c r="F154" s="29" t="str">
        <x:v>Pedro Xing</x:v>
      </x:c>
      <x:c r="G154" s="29" t="str">
        <x:v>CC0 1.0</x:v>
      </x:c>
      <x:c r="H154" s="29" t="str">
        <x:v>https://creativecommons.org/publicdomain/zero/1.0/</x:v>
      </x:c>
      <x:c r="I154" s="29" t="str">
        <x:v>Creative Commons Zero, Public Domain Dedication</x:v>
      </x:c>
      <x:c r="J154" s="29" t="str">
        <x:v>Bakersfield Station 2050 04.JPG · Pedro Xing · CC0 1.0 · https://commons.wikimedia.org/wiki/File:Bakersfield_Station_2050_04.JPG</x:v>
      </x:c>
      <x:c r="K15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4" s="31" t="d">
        <x:v>2026-10-24T00:00:00.000Z</x:v>
      </x:c>
      <x:c r="M154" s="29" t="str">
        <x:v>Doğrulandı</x:v>
      </x:c>
      <x:c r="N154" s="29" t="str">
        <x:v>Doğrulandı</x:v>
      </x:c>
      <x:c r="O154" s="29" t="str">
        <x:v>Fotoğraflar/bk-c7d84c3863476ca8b8ed0d61.webp</x:v>
      </x:c>
      <x:c r="P154" s="29" t="str">
        <x:v>Bakersfield Amtrak Station · 2012 tarihli fotoğraf · İndirilen kare temas sayfasında görüldü; kaynak mekân kimliğiyle eşleştirildi. Seçim kaydı final-pixel-review.json.</x:v>
      </x:c>
      <x:c r="Q154" s="29" t="str">
        <x:v>Bu kare için uygun</x:v>
      </x:c>
      <x:c r="R15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4" s="29" t="str">
        <x:v>Lisans kanıtları/bk-c7d84c3863476ca8b8ed0d61.source-evidence.json</x:v>
      </x:c>
      <x:c r="T154" s="29" t="str">
        <x:v>bc2be0f9a68fe24aced74719846567792767f1a87b2366c0be5c064ba232767e</x:v>
      </x:c>
      <x:c r="U154" s="29" t="str">
        <x:v>Lisans kanıtları/bk-c7d84c3863476ca8b8ed0d61.license-record.json</x:v>
      </x:c>
      <x:c r="V154" s="29" t="str">
        <x:v>3a06ff205c3bf0402e6b0a1e2ec0ca19550ad4f8688a4ff81a480d77d0a6a192</x:v>
      </x:c>
      <x:c r="W154" s="29" t="str">
        <x:v>{"file":"bk-c7d84c3863476ca8b8ed0d61.webp","width":1080,"author":"Pedro Xing","height":1440,"sha256":"c7d84c3863476ca8b8ed0d61b6a99971e2fb207bde925825c0675ff669852100","license":"CC0 1.0","imageinfo":{"url":"https://upload.wikimedia.org/wikipedia/commons/0/0e/Bakersfield_Station_2050_04.JPG?utm_source=commons.wikimedia.org&amp;utm_campaign=imageinfo&amp;utm_content=original","mime":"image/jpeg","sha1":"9275f3639fbc4b7b6d66e9b060144ff980546236","size":736352,"width":1536,"height":2048,"pageid":22068154,"thumburl":"https://thumb.wikimedia.org/wikipedia/commons/thumb/0/0e/Bakersfield_Station_2050_04.JPG/1280px-Bakersfield_Station_2050_04.JPG?utm_source=commons.wikimedia.org&amp;utm_campaign=imageinfo&amp;utm_content=thumbnail","timestamp":"2012-10-14T12:19:55Z","thumbwidth":1280,"extmetadata":{"Artist":{"value":"&lt;a href=\"//commons.wikimedia.org/wiki/User:Pedro_Xing\" title=\"User:Pedro Xing\"&gt;Pedro Xing&lt;/a&gt;","source":"commons-desc-page"},"Credit":{"value":"&lt;span class=\"int-own-work\" lang=\"en\"&gt;Own work&lt;/span&gt;","source":"commons-desc-page"},"License":{"value":"cc0","hidden":"","source":"commons-templates"},"DateTime":{"value":"2012-10-14 12:19:55","hidden":"","source":"mediawiki-metadata"},"Categories":{"value":"Taken with Canon PowerShot A510|CC-Zero|Bakersfield station (Amtrak)|Interiors of train stations in California|Self-published work|Files with coordinates missing SDC location of creation","hidden":"","source":"commons-categories"},"LicenseUrl":{"value":"http://creativecommons.org/publicdomain/zero/1.0/deed.en","source":"commons-desc-page"},"ObjectName":{"value":"Bakersfield Station 2050 04","source":"mediawiki-metadata"},"UsageTerms":{"value":"Creative Commons Zero, Public Domain Dedication","source":"commons-desc-page"},"Assessments":{"value":"","hidden":"","source":"commons-categories"},"Copyrighted":{"value":"True","hidden":"","source":"commons-desc-page"},"GPSLatitude":{"value":"35.372220","source":"commons-desc-page"},"GPSMapDatum":{"value":"WGS-84","hidden":"","source":"commons-desc-page"},"GPSLongitude":{"value":"-119.009720","source":"commons-desc-page"},"Restrictions":{"value":"","hidden":"","source":"commons-desc-page"},"DateTimeOriginal":{"value":"2012-10-06 09:09:51","source":"commons-desc-page"},"ImageDescription":{"value":"The &lt;a href=\"https://en.wikipedia.org/wiki/Bakersfield_(Amtrak_station)\" class=\"extiw\" title=\"en:Bakersfield (Amtrak station)\"&gt;Bakersfield (Amtrak station)&lt;/a&gt; in Bakersfield, California, USA.","source":"commons-desc-page"},"LicenseShortName":{"value":"CC0","hidden":"","source":"commons-desc-page"},"AttributionRequired":{"value":"false","hidden":"","source":"commons-desc-page"},"CommonsMetadataExtension":{"value":1.2,"hidden":"","source":"extension"}},"thumbheight":1707,"thumbattribs":{"src":"https://thumb.wikimedia.org/wikipedia/commons/thumb/0/0e/Bakersfield_Station_2050_04.JPG/1280px-Bakersfield_Station_2050_04.JPG?utm_source=commons.wikimedia.org&amp;utm_campaign=imageinfo&amp;utm_content=thumbnail","width":1280,"height":1707,"loading":"lazy","decoding":"async"},"descriptionurl":"https://commons.wikimedia.org/wiki/File:Bakersfield_Station_2050_04.JPG","descriptionshorturl":"https://commons.wikimedia.org/w/index.php?curid=22068154"},"selection":{"qid":"pending","kind":"candidate","title":"Additional local candidates"},"author_url":"https://commons.wikimedia.org/wiki/User:Pedro_Xing","derivative":"Wikimedia thumbnail decoded; EXIF orientation applied; converted to WebP quality 86; no generated pixels, no cropping.","source_url":"https://commons.wikimedia.org/wiki/File:Bakersfield_Station_2050_04.JPG","author_urls":["https://commons.wikimedia.org/wiki/User:Pedro_Xing"],"description":"The Bakersfield (Amtrak station) in Bakersfield, California, USA.","license_url":"https://creativecommons.org/publicdomain/zero/1.0/","reviewed_on":"2026-10-24","capture_date":"2012-10-06 09:09:51","download_url":"https://thumb.wikimedia.org/wikipedia/commons/thumb/0/0e/Bakersfield_Station_2050_04.JPG/1280px-Bakersfield_Station_2050_04.JPG?utm_source=commons.wikimedia.org&amp;utm_campaign=imageinfo&amp;utm_content=thumbnail","original_url":"https://upload.wikimedia.org/wikipedia/commons/0/0e/Bakersfield_Station_2050_04.JPG?utm_source=commons.wikimedia.org&amp;utm_campaign=imageinfo&amp;utm_content=original","pixel_review":{"method":"İndirilen kare temas sayfasında görüldü; kaynak mekân kimliğiyle eşleştirildi. Seçim kaydı final-pixel-review.json.","status":"verified","caption":"Bakersfield Amtrak Station · 2012 tarihli fotoğraf","reviewer":"Codex (AI)","review_id":"A6"},"downloaded_at":"2026-10-23T19:34:17.933143+00:00","download_sha256":"c2f2e68bb5bd9afeff204b1d462267f2596daa796cae9223cbd7e7351e6a9d6a","downloaded_file":"downloads/c2f2e68bb5bd9afeff204b1d462267f2596daa796cae9223cbd7e7351e6a9d6a.jpg","acquisition_file":"d4f33e868bc76205fed70a02.webp","commons_filename":"Bakersfield Station 2050 04.JPG","original_file_url":"https://upload.wikimedia.org/wikipedia/commons/0/0e/Bakersfield_Station_2050_04.JPG?utm_source=commons.wikimedia.org&amp;utm_campaign=imageinfo&amp;utm_content=original","pixel_review_status":"pending","third_party_rights_review":{"basis":"Kaynakta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dönüştürüldü.","photo_attribution":{"author_url":"https://commons.wikimedia.org/wiki/User:Pedro_Xing","modifications":"EXIF yönü uygulandı; boyut küçültülüp WebP biçimine dönüştürüldü.","original_file_url":"https://upload.wikimedia.org/wikipedia/commons/0/0e/Bakersfield_Station_2050_04.JPG?utm_source=commons.wikimedia.org&amp;utm_campaign=imageinfo&amp;utm_content=original"},"metadata_reviewed_on":"2026-10-24","metadata_review_status":"verified"}}</x:v>
      </x:c>
    </x:row>
    <x:row r="155" ht="300" customHeight="1">
      <x:c r="A155" s="29" t="str">
        <x:v>bakersfield:evidence:venue-22120</x:v>
      </x:c>
      <x:c r="B155" s="29" t="str">
        <x:v>bakersfield</x:v>
      </x:c>
      <x:c r="C155" s="29" t="str">
        <x:v>bakersfield:photo:venue-22120</x:v>
      </x:c>
      <x:c r="D155" s="29" t="str">
        <x:v>https://commons.wikimedia.org/wiki/File:Bakersfield_Station_2052_06.JPG</x:v>
      </x:c>
      <x:c r="E155" s="29" t="str">
        <x:v>Bakersfield Station 2052 06.JPG</x:v>
      </x:c>
      <x:c r="F155" s="29" t="str">
        <x:v>Pedro Xing</x:v>
      </x:c>
      <x:c r="G155" s="29" t="str">
        <x:v>CC0 1.0</x:v>
      </x:c>
      <x:c r="H155" s="29" t="str">
        <x:v>https://creativecommons.org/publicdomain/zero/1.0/</x:v>
      </x:c>
      <x:c r="I155" s="29" t="str">
        <x:v>Creative Commons Zero, Public Domain Dedication</x:v>
      </x:c>
      <x:c r="J155" s="29" t="str">
        <x:v>Bakersfield Station 2052 06.JPG · Pedro Xing · CC0 1.0 · https://commons.wikimedia.org/wiki/File:Bakersfield_Station_2052_06.JPG</x:v>
      </x:c>
      <x:c r="K15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5" s="31" t="d">
        <x:v>2026-10-24T00:00:00.000Z</x:v>
      </x:c>
      <x:c r="M155" s="29" t="str">
        <x:v>Doğrulandı</x:v>
      </x:c>
      <x:c r="N155" s="29" t="str">
        <x:v>Doğrulandı</x:v>
      </x:c>
      <x:c r="O155" s="29" t="str">
        <x:v>Fotoğraflar/bk-aa22ef2ba0598cce4333bf97.webp</x:v>
      </x:c>
      <x:c r="P155" s="29" t="str">
        <x:v>Bakersfield Amtrak Station · 2012 tarihli fotoğraf · İndirilen kare temas sayfasında görüldü; kaynak mekân kimliğiyle eşleştirildi. Seçim kaydı final-pixel-review.json.</x:v>
      </x:c>
      <x:c r="Q155" s="29" t="str">
        <x:v>Bu kare için uygun</x:v>
      </x:c>
      <x:c r="R15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5" s="29" t="str">
        <x:v>Lisans kanıtları/bk-aa22ef2ba0598cce4333bf97.source-evidence.json</x:v>
      </x:c>
      <x:c r="T155" s="29" t="str">
        <x:v>3a443ac787a54db055396a18984b95604d82a8d90ab823ba77049c6252d4836f</x:v>
      </x:c>
      <x:c r="U155" s="29" t="str">
        <x:v>Lisans kanıtları/bk-aa22ef2ba0598cce4333bf97.license-record.json</x:v>
      </x:c>
      <x:c r="V155" s="29" t="str">
        <x:v>7aaa25475836d2702e1d43983caa37bacb13854a46f49154069304eab4bfeda6</x:v>
      </x:c>
      <x:c r="W155" s="29" t="str">
        <x:v>{"file":"bk-aa22ef2ba0598cce4333bf97.webp","width":1080,"author":"Pedro Xing","height":1440,"sha256":"aa22ef2ba0598cce4333bf977e0627565e60db5445425f9755a4fce624532343","license":"CC0 1.0","imageinfo":{"url":"https://upload.wikimedia.org/wikipedia/commons/3/3c/Bakersfield_Station_2052_06.JPG?utm_source=commons.wikimedia.org&amp;utm_campaign=imageinfo&amp;utm_content=original","mime":"image/jpeg","sha1":"ebe3bc6e4420e13d39a860954d5fe61378063fe9","size":596146,"width":1536,"height":2048,"pageid":22068153,"thumburl":"https://thumb.wikimedia.org/wikipedia/commons/thumb/3/3c/Bakersfield_Station_2052_06.JPG/1280px-Bakersfield_Station_2052_06.JPG?utm_source=commons.wikimedia.org&amp;utm_campaign=imageinfo&amp;utm_content=thumbnail","timestamp":"2012-10-14T12:19:56Z","thumbwidth":1280,"extmetadata":{"Artist":{"value":"&lt;a href=\"//commons.wikimedia.org/wiki/User:Pedro_Xing\" title=\"User:Pedro Xing\"&gt;Pedro Xing&lt;/a&gt;","source":"commons-desc-page"},"Credit":{"value":"&lt;span class=\"int-own-work\" lang=\"en\"&gt;Own work&lt;/span&gt;","source":"commons-desc-page"},"License":{"value":"cc0","hidden":"","source":"commons-templates"},"DateTime":{"value":"2012-10-14 12:19:56","hidden":"","source":"mediawiki-metadata"},"Categories":{"value":"Taken with Canon PowerShot A510|CC-Zero|Bakersfield station (Amtrak)|Interiors of train stations in California|Self-published work|Train station clocks in the United States|Time 09:06|Files with coordinates missing SDC location of creation|Bus station clocks in the United States","hidden":"","source":"commons-categories"},"LicenseUrl":{"value":"http://creativecommons.org/publicdomain/zero/1.0/deed.en","source":"commons-desc-page"},"ObjectName":{"value":"Bakersfield Station 2052 06","source":"mediawiki-metadata"},"UsageTerms":{"value":"Creative Commons Zero, Public Domain Dedication","source":"commons-desc-page"},"Assessments":{"value":"","hidden":"","source":"commons-categories"},"Copyrighted":{"value":"True","hidden":"","source":"commons-desc-page"},"GPSLatitude":{"value":"35.372220","source":"commons-desc-page"},"GPSMapDatum":{"value":"WGS-84","hidden":"","source":"commons-desc-page"},"GPSLongitude":{"value":"-119.009720","source":"commons-desc-page"},"Restrictions":{"value":"","hidden":"","source":"commons-desc-page"},"DateTimeOriginal":{"value":"2012-10-06 09:10:25","source":"commons-desc-page"},"ImageDescription":{"value":"The &lt;a href=\"https://en.wikipedia.org/wiki/Bakersfield_(Amtrak_station)\" class=\"extiw\" title=\"en:Bakersfield (Amtrak station)\"&gt;Bakersfield (Amtrak station)&lt;/a&gt; in Bakersfield, California, USA.","source":"commons-desc-page"},"LicenseShortName":{"value":"CC0","hidden":"","source":"commons-desc-page"},"AttributionRequired":{"value":"false","hidden":"","source":"commons-desc-page"},"CommonsMetadataExtension":{"value":1.2,"hidden":"","source":"extension"}},"thumbheight":1707,"thumbattribs":{"src":"https://thumb.wikimedia.org/wikipedia/commons/thumb/3/3c/Bakersfield_Station_2052_06.JPG/1280px-Bakersfield_Station_2052_06.JPG?utm_source=commons.wikimedia.org&amp;utm_campaign=imageinfo&amp;utm_content=thumbnail","width":1280,"height":1707,"loading":"lazy","decoding":"async"},"descriptionurl":"https://commons.wikimedia.org/wiki/File:Bakersfield_Station_2052_06.JPG","descriptionshorturl":"https://commons.wikimedia.org/w/index.php?curid=22068153"},"selection":{"qid":"pending","kind":"candidate","title":"Additional local candidates"},"author_url":"https://commons.wikimedia.org/wiki/User:Pedro_Xing","derivative":"Wikimedia thumbnail decoded; EXIF orientation applied; converted to WebP quality 86; no generated pixels, no cropping.","source_url":"https://commons.wikimedia.org/wiki/File:Bakersfield_Station_2052_06.JPG","author_urls":["https://commons.wikimedia.org/wiki/User:Pedro_Xing"],"description":"The Bakersfield (Amtrak station) in Bakersfield, California, USA.","license_url":"https://creativecommons.org/publicdomain/zero/1.0/","reviewed_on":"2026-10-24","capture_date":"2012-10-06 09:10:25","download_url":"https://thumb.wikimedia.org/wikipedia/commons/thumb/3/3c/Bakersfield_Station_2052_06.JPG/1280px-Bakersfield_Station_2052_06.JPG?utm_source=commons.wikimedia.org&amp;utm_campaign=imageinfo&amp;utm_content=thumbnail","original_url":"https://upload.wikimedia.org/wikipedia/commons/3/3c/Bakersfield_Station_2052_06.JPG?utm_source=commons.wikimedia.org&amp;utm_campaign=imageinfo&amp;utm_content=original","pixel_review":{"method":"İndirilen kare temas sayfasında görüldü; kaynak mekân kimliğiyle eşleştirildi. Seçim kaydı final-pixel-review.json.","status":"verified","caption":"Bakersfield Amtrak Station · 2012 tarihli fotoğraf","reviewer":"Codex (AI)","review_id":"A8"},"downloaded_at":"2026-10-23T19:34:18.878610+00:00","download_sha256":"ee8c5c4d5d718180c86ddb0db77786ce45fed730fc3d96b95ebffc63e9895ce2","downloaded_file":"downloads/ee8c5c4d5d718180c86ddb0db77786ce45fed730fc3d96b95ebffc63e9895ce2.jpg","acquisition_file":"e948b27eef6cf61836d3916e.webp","commons_filename":"Bakersfield Station 2052 06.JPG","original_file_url":"https://upload.wikimedia.org/wikipedia/commons/3/3c/Bakersfield_Station_2052_06.JPG?utm_source=commons.wikimedia.org&amp;utm_campaign=imageinfo&amp;utm_content=original","pixel_review_status":"pending","third_party_rights_review":{"basis":"Kaynakta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dönüştürüldü.","photo_attribution":{"author_url":"https://commons.wikimedia.org/wiki/User:Pedro_Xing","modifications":"EXIF yönü uygulandı; boyut küçültülüp WebP biçimine dönüştürüldü.","original_file_url":"https://upload.wikimedia.org/wikipedia/commons/3/3c/Bakersfield_Station_2052_06.JPG?utm_source=commons.wikimedia.org&amp;utm_campaign=imageinfo&amp;utm_content=original"},"metadata_reviewed_on":"2026-10-24","metadata_review_status":"verified"}}</x:v>
      </x:c>
    </x:row>
    <x:row r="156" ht="300" customHeight="1">
      <x:c r="A156" s="29" t="str">
        <x:v>bakersfield:evidence:venue-22121</x:v>
      </x:c>
      <x:c r="B156" s="29" t="str">
        <x:v>bakersfield</x:v>
      </x:c>
      <x:c r="C156" s="29" t="str">
        <x:v>bakersfield:photo:venue-22121</x:v>
      </x:c>
      <x:c r="D156" s="29" t="str">
        <x:v>https://commons.wikimedia.org/wiki/File:Bakersfield_Station_2061_15.JPG</x:v>
      </x:c>
      <x:c r="E156" s="29" t="str">
        <x:v>Bakersfield Station 2061 15.JPG</x:v>
      </x:c>
      <x:c r="F156" s="29" t="str">
        <x:v>Pedro Xing</x:v>
      </x:c>
      <x:c r="G156" s="29" t="str">
        <x:v>CC0 1.0</x:v>
      </x:c>
      <x:c r="H156" s="29" t="str">
        <x:v>https://creativecommons.org/publicdomain/zero/1.0/</x:v>
      </x:c>
      <x:c r="I156" s="29" t="str">
        <x:v>Creative Commons Zero, Public Domain Dedication</x:v>
      </x:c>
      <x:c r="J156" s="29" t="str">
        <x:v>Bakersfield Station 2061 15.JPG · Pedro Xing · CC0 1.0 · https://commons.wikimedia.org/wiki/File:Bakersfield_Station_2061_15.JPG</x:v>
      </x:c>
      <x:c r="K15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6" s="31" t="d">
        <x:v>2026-10-24T00:00:00.000Z</x:v>
      </x:c>
      <x:c r="M156" s="29" t="str">
        <x:v>Doğrulandı</x:v>
      </x:c>
      <x:c r="N156" s="29" t="str">
        <x:v>Doğrulandı</x:v>
      </x:c>
      <x:c r="O156" s="29" t="str">
        <x:v>Fotoğraflar/bk-b7b97be41f1701a983d4f97f.webp</x:v>
      </x:c>
      <x:c r="P156" s="29" t="str">
        <x:v>Bakersfield Amtrak Station · 2012 tarihli fotoğraf · İndirilen kare temas sayfasında görüldü; kaynak mekân kimliğiyle eşleştirildi. Seçim kaydı final-pixel-review.json.</x:v>
      </x:c>
      <x:c r="Q156" s="29" t="str">
        <x:v>Bu kare için uygun</x:v>
      </x:c>
      <x:c r="R15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6" s="29" t="str">
        <x:v>Lisans kanıtları/bk-b7b97be41f1701a983d4f97f.source-evidence.json</x:v>
      </x:c>
      <x:c r="T156" s="29" t="str">
        <x:v>90c27539fa36e232c4a2750d126d7976fd4ad3de997701a261cf5ba5747d7944</x:v>
      </x:c>
      <x:c r="U156" s="29" t="str">
        <x:v>Lisans kanıtları/bk-b7b97be41f1701a983d4f97f.license-record.json</x:v>
      </x:c>
      <x:c r="V156" s="29" t="str">
        <x:v>116b737df55ae5c1622f935900156785c814023ff9e99dd97bfc3572608cf078</x:v>
      </x:c>
      <x:c r="W156" s="29" t="str">
        <x:v>{"file":"bk-b7b97be41f1701a983d4f97f.webp","width":1280,"author":"Pedro Xing","height":960,"sha256":"b7b97be41f1701a983d4f97f0a64866f7fd669f462aa9427cc6c8ae89bd967e3","license":"CC0 1.0","imageinfo":{"url":"https://upload.wikimedia.org/wikipedia/commons/1/14/Bakersfield_Station_2061_15.JPG?utm_source=commons.wikimedia.org&amp;utm_campaign=imageinfo&amp;utm_content=original","mime":"image/jpeg","sha1":"b1364772567951209370e2a1c0331096d518b31e","size":724155,"width":2048,"height":1536,"pageid":22068163,"thumburl":"https://thumb.wikimedia.org/wikipedia/commons/thumb/1/14/Bakersfield_Station_2061_15.JPG/1280px-Bakersfield_Station_2061_15.JPG?utm_source=commons.wikimedia.org&amp;utm_campaign=imageinfo&amp;utm_content=thumbnail","timestamp":"2012-10-14T12:20:07Z","thumbwidth":1280,"extmetadata":{"Artist":{"value":"&lt;a href=\"//commons.wikimedia.org/wiki/User:Pedro_Xing\" title=\"User:Pedro Xing\"&gt;Pedro Xing&lt;/a&gt;","source":"commons-desc-page"},"Credit":{"value":"&lt;span class=\"int-own-work\" lang=\"en\"&gt;Own work&lt;/span&gt;","source":"commons-desc-page"},"License":{"value":"cc0","hidden":"","source":"commons-templates"},"DateTime":{"value":"2012-10-14 12:20:07","hidden":"","source":"mediawiki-metadata"},"Categories":{"value":"Taken with Canon PowerShot A510|CC-Zero|San Joaquin (train)|Bakersfield station (Amtrak)|Trains at train stations in California|Self-published work|Amtrak in 2012|Number 6963 on rail vehicles|Files with coordinates missing SDC location of creation|United States photographs taken on 2012-10-06|October 2012 in rail transport in the United States|Railway photographs taken on 2012-10-06|October 2012 in Bakersfield, California|Amtrak California liveries|Surfliner cab cars|California Car cab cars","hidden":"","source":"commons-categories"},"LicenseUrl":{"value":"http://creativecommons.org/publicdomain/zero/1.0/deed.en","source":"commons-desc-page"},"ObjectName":{"value":"Bakersfield Station 2061 15","source":"mediawiki-metadata"},"UsageTerms":{"value":"Creative Commons Zero, Public Domain Dedication","source":"commons-desc-page"},"Assessments":{"value":"","hidden":"","source":"commons-categories"},"Copyrighted":{"value":"True","hidden":"","source":"commons-desc-page"},"GPSLatitude":{"value":"35.372220","source":"commons-desc-page"},"GPSMapDatum":{"value":"WGS-84","hidden":"","source":"commons-desc-page"},"GPSLongitude":{"value":"-119.009720","source":"commons-desc-page"},"Restrictions":{"value":"","hidden":"","source":"commons-desc-page"},"DateTimeOriginal":{"value":"2012-10-06 09:19:04","source":"commons-desc-page"},"ImageDescription":{"value":"The &lt;a href=\"https://en.wikipedia.org/wiki/Bakersfield_(Amtrak_station)\" class=\"extiw\" title=\"en:Bakersfield (Amtrak station)\"&gt;Bakersfield (Amtrak station)&lt;/a&gt; in Bakersfield, California, USA.","source":"commons-desc-page"},"LicenseShortName":{"value":"CC0","hidden":"","source":"commons-desc-page"},"AttributionRequired":{"value":"false","hidden":"","source":"commons-desc-page"},"CommonsMetadataExtension":{"value":1.2,"hidden":"","source":"extension"}},"thumbheight":960,"thumbattribs":{"src":"https://thumb.wikimedia.org/wikipedia/commons/thumb/1/14/Bakersfield_Station_2061_15.JPG/1280px-Bakersfield_Station_2061_15.JPG?utm_source=commons.wikimedia.org&amp;utm_campaign=imageinfo&amp;utm_content=thumbnail","width":1280,"height":960,"srcset":"https://upload.wikimedia.org/wikipedia/commons/1/14/Bakersfield_Station_2061_15.JPG?utm_source=commons.wikimedia.org&amp;utm_campaign=imageinfo&amp;utm_content=thumbnail_unscaled 2x","loading":"lazy","decoding":"async"},"descriptionurl":"https://commons.wikimedia.org/wiki/File:Bakersfield_Station_2061_15.JPG","responsiveUrls":{"2":"https://upload.wikimedia.org/wikipedia/commons/1/14/Bakersfield_Station_2061_15.JPG?utm_source=commons.wikimedia.org&amp;utm_campaign=imageinfo&amp;utm_content=thumbnail_unscaled"},"descriptionshorturl":"https://commons.wikimedia.org/w/index.php?curid=22068163"},"selection":{"qid":"pending","kind":"candidate","title":"Additional local candidates"},"author_url":"https://commons.wikimedia.org/wiki/User:Pedro_Xing","derivative":"Wikimedia thumbnail decoded; EXIF orientation applied; converted to WebP quality 86; no generated pixels, no cropping.","source_url":"https://commons.wikimedia.org/wiki/File:Bakersfield_Station_2061_15.JPG","author_urls":["https://commons.wikimedia.org/wiki/User:Pedro_Xing"],"description":"The Bakersfield (Amtrak station) in Bakersfield, California, USA.","license_url":"https://creativecommons.org/publicdomain/zero/1.0/","reviewed_on":"2026-10-24","capture_date":"2012-10-06 09:19:04","download_url":"https://thumb.wikimedia.org/wikipedia/commons/thumb/1/14/Bakersfield_Station_2061_15.JPG/1280px-Bakersfield_Station_2061_15.JPG?utm_source=commons.wikimedia.org&amp;utm_campaign=imageinfo&amp;utm_content=thumbnail","original_url":"https://upload.wikimedia.org/wikipedia/commons/1/14/Bakersfield_Station_2061_15.JPG?utm_source=commons.wikimedia.org&amp;utm_campaign=imageinfo&amp;utm_content=original","pixel_review":{"method":"İndirilen kare temas sayfasında görüldü; kaynak mekân kimliğiyle eşleştirildi. Seçim kaydı final-pixel-review.json.","status":"verified","caption":"Bakersfield Amtrak Station · 2012 tarihli fotoğraf","reviewer":"Codex (AI)","review_id":"A9"},"downloaded_at":"2026-10-23T19:34:19.919800+00:00","download_sha256":"0045eb7c2338a429a98470040cb44755d5c136652ebc6481c621c8fc9e67edec","downloaded_file":"downloads/0045eb7c2338a429a98470040cb44755d5c136652ebc6481c621c8fc9e67edec.jpg","acquisition_file":"15fc2e3081785fec62a94064.webp","commons_filename":"Bakersfield Station 2061 15.JPG","original_file_url":"https://upload.wikimedia.org/wikipedia/commons/1/14/Bakersfield_Station_2061_15.JPG?utm_source=commons.wikimedia.org&amp;utm_campaign=imageinfo&amp;utm_content=original","pixel_review_status":"pending","third_party_rights_review":{"basis":"Kaynakta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dönüştürüldü.","photo_attribution":{"author_url":"https://commons.wikimedia.org/wiki/User:Pedro_Xing","modifications":"EXIF yönü uygulandı; boyut küçültülüp WebP biçimine dönüştürüldü.","original_file_url":"https://upload.wikimedia.org/wikipedia/commons/1/14/Bakersfield_Station_2061_15.JPG?utm_source=commons.wikimedia.org&amp;utm_campaign=imageinfo&amp;utm_content=original"},"metadata_reviewed_on":"2026-10-24","metadata_review_status":"verified"}}</x:v>
      </x:c>
    </x:row>
    <x:row r="157" ht="300" customHeight="1">
      <x:c r="A157" s="29" t="str">
        <x:v>bakersfield:evidence:venue-22122</x:v>
      </x:c>
      <x:c r="B157" s="29" t="str">
        <x:v>bakersfield</x:v>
      </x:c>
      <x:c r="C157" s="29" t="str">
        <x:v>bakersfield:photo:venue-22122</x:v>
      </x:c>
      <x:c r="D157" s="29" t="str">
        <x:v>https://commons.wikimedia.org/wiki/File:Bakersfield_Station_2054_08.JPG</x:v>
      </x:c>
      <x:c r="E157" s="29" t="str">
        <x:v>Bakersfield Station 2054 08.JPG</x:v>
      </x:c>
      <x:c r="F157" s="29" t="str">
        <x:v>Pedro Xing</x:v>
      </x:c>
      <x:c r="G157" s="29" t="str">
        <x:v>CC0 1.0</x:v>
      </x:c>
      <x:c r="H157" s="29" t="str">
        <x:v>https://creativecommons.org/publicdomain/zero/1.0/</x:v>
      </x:c>
      <x:c r="I157" s="29" t="str">
        <x:v>Creative Commons Zero, Public Domain Dedication</x:v>
      </x:c>
      <x:c r="J157" s="29" t="str">
        <x:v>Bakersfield Station 2054 08.JPG · Pedro Xing · CC0 1.0 · https://commons.wikimedia.org/wiki/File:Bakersfield_Station_2054_08.JPG</x:v>
      </x:c>
      <x:c r="K15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7" s="31" t="d">
        <x:v>2026-10-24T00:00:00.000Z</x:v>
      </x:c>
      <x:c r="M157" s="29" t="str">
        <x:v>Doğrulandı</x:v>
      </x:c>
      <x:c r="N157" s="29" t="str">
        <x:v>Doğrulandı</x:v>
      </x:c>
      <x:c r="O157" s="29" t="str">
        <x:v>Fotoğraflar/bk-a9948a3dde61666eac75e3eb.webp</x:v>
      </x:c>
      <x:c r="P157" s="29" t="str">
        <x:v>Bakersfield Amtrak Station · 2012 tarihli fotoğraf · İndirilen kare temas sayfasında görüldü; kaynak mekân kimliğiyle eşleştirildi. Seçim kaydı final-pixel-review.json.</x:v>
      </x:c>
      <x:c r="Q157" s="29" t="str">
        <x:v>Bu kare için uygun</x:v>
      </x:c>
      <x:c r="R15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7" s="29" t="str">
        <x:v>Lisans kanıtları/bk-a9948a3dde61666eac75e3eb.source-evidence.json</x:v>
      </x:c>
      <x:c r="T157" s="29" t="str">
        <x:v>66e7f4040b7a889f29bd8467e3284a16988f373ced518e05a87972f6d84ad82f</x:v>
      </x:c>
      <x:c r="U157" s="29" t="str">
        <x:v>Lisans kanıtları/bk-a9948a3dde61666eac75e3eb.license-record.json</x:v>
      </x:c>
      <x:c r="V157" s="29" t="str">
        <x:v>c9ba91a1956509313e62637ab9c82db669fe6375d09018249e203372bccb3752</x:v>
      </x:c>
      <x:c r="W157" s="29" t="str">
        <x:v>{"file":"bk-a9948a3dde61666eac75e3eb.webp","width":1280,"author":"Pedro Xing","height":960,"sha256":"a9948a3dde61666eac75e3eb360ae9dbed86126808209ef15d5fff526a73d1ca","license":"CC0 1.0","imageinfo":{"url":"https://upload.wikimedia.org/wikipedia/commons/b/b2/Bakersfield_Station_2054_08.JPG?utm_source=commons.wikimedia.org&amp;utm_campaign=imageinfo&amp;utm_content=original","mime":"image/jpeg","sha1":"c783026cd6133e9fba8dcae20530cc76257c60c0","size":725574,"width":2048,"height":1536,"pageid":22068158,"thumburl":"https://thumb.wikimedia.org/wikipedia/commons/thumb/b/b2/Bakersfield_Station_2054_08.JPG/1280px-Bakersfield_Station_2054_08.JPG?utm_source=commons.wikimedia.org&amp;utm_campaign=imageinfo&amp;utm_content=thumbnail","timestamp":"2012-10-14T12:19:59Z","thumbwidth":1280,"extmetadata":{"Artist":{"value":"&lt;a rel=\"mw:WikiLink\" href=\"https://commons.wikimedia.org/wiki/User:Pedro_Xing\" title=\"User:Pedro Xing\"&gt;Pedro Xing&lt;/a&gt;","source":"commons-desc-page"},"Credit":{"value":"&lt;span class=\"int-own-work\" lang=\"en\"&gt;Own work&lt;/span&gt;","source":"commons-desc-page"},"License":{"value":"cc0","hidden":"","source":"commons-templates"},"DateTime":{"value":"2012-10-14 12:19:59","hidden":"","source":"mediawiki-metadata"},"Categories":{"value":"Taken with Canon PowerShot A510|CC-Zero|Bakersfield station (Amtrak)|Self-published work|Files with coordinates missing SDC location of creation","hidden":"","source":"commons-categories"},"LicenseUrl":{"value":"http://creativecommons.org/publicdomain/zero/1.0/deed.en","source":"commons-desc-page"},"ObjectName":{"value":"Bakersfield Station 2054 08","source":"mediawiki-metadata"},"UsageTerms":{"value":"Creative Commons Zero, Public Domain Dedication","source":"commons-desc-page"},"Assessments":{"value":"","hidden":"","source":"commons-categories"},"Copyrighted":{"value":"True","hidden":"","source":"commons-desc-page"},"GPSLatitude":{"value":"35.372220","source":"commons-desc-page"},"GPSMapDatum":{"value":"WGS-84","hidden":"","source":"commons-desc-page"},"GPSLongitude":{"value":"-119.009720","source":"commons-desc-page"},"Restrictions":{"value":"","hidden":"","source":"commons-desc-page"},"DateTimeOriginal":{"value":"2012-10-06 09:12:22","source":"commons-desc-page"},"ImageDescription":{"value":"The &lt;a rel=\"mw:WikiLink/Interwiki\" href=\"https://en.wikipedia.org/wiki/Bakersfield%20(Amtrak%20station)\" title=\"en:Bakersfield (Amtrak station)\" class=\"extiw\"&gt;Bakersfield (Amtrak station)&lt;/a&gt; in Bakersfield, California, USA.","source":"commons-desc-page"},"LicenseShortName":{"value":"CC0","hidden":"","source":"commons-desc-page"},"AttributionRequired":{"value":"false","hidden":"","source":"commons-desc-page"},"CommonsMetadataExtension":{"value":1.2,"hidden":"","source":"extension"}},"thumbheight":960,"thumbattribs":{"src":"https://thumb.wikimedia.org/wikipedia/commons/thumb/b/b2/Bakersfield_Station_2054_08.JPG/1280px-Bakersfield_Station_2054_08.JPG?utm_source=commons.wikimedia.org&amp;utm_campaign=imageinfo&amp;utm_content=thumbnail","width":1280,"height":960,"srcset":"https://upload.wikimedia.org/wikipedia/commons/b/b2/Bakersfield_Station_2054_08.JPG?utm_source=commons.wikimedia.org&amp;utm_campaign=imageinfo&amp;utm_content=thumbnail_unscaled 2x","loading":"lazy","decoding":"async"},"descriptionurl":"https://commons.wikimedia.org/wiki/File:Bakersfield_Station_2054_08.JPG","responsiveUrls":{"2":"https://upload.wikimedia.org/wikipedia/commons/b/b2/Bakersfield_Station_2054_08.JPG?utm_source=commons.wikimedia.org&amp;utm_campaign=imageinfo&amp;utm_content=thumbnail_unscaled"},"descriptionshorturl":"https://commons.wikimedia.org/w/index.php?curid=22068158"},"selection":{"qid":"pending","kind":"candidate","title":"Additional local candidates"},"author_url":"https://commons.wikimedia.org/wiki/User:Pedro_Xing","derivative":"Wikimedia thumbnail decoded; EXIF orientation applied; converted to WebP quality 86; no generated pixels, no cropping.","source_url":"https://commons.wikimedia.org/wiki/File:Bakersfield_Station_2054_08.JPG","author_urls":["https://commons.wikimedia.org/wiki/User:Pedro_Xing"],"description":"The Bakersfield (Amtrak station) in Bakersfield, California, USA.","license_url":"https://creativecommons.org/publicdomain/zero/1.0/","reviewed_on":"2026-10-24","capture_date":"2012-10-06 09:12:22","download_url":"https://thumb.wikimedia.org/wikipedia/commons/thumb/b/b2/Bakersfield_Station_2054_08.JPG/1280px-Bakersfield_Station_2054_08.JPG?utm_source=commons.wikimedia.org&amp;utm_campaign=imageinfo&amp;utm_content=thumbnail","original_url":"https://upload.wikimedia.org/wikipedia/commons/b/b2/Bakersfield_Station_2054_08.JPG?utm_source=commons.wikimedia.org&amp;utm_campaign=imageinfo&amp;utm_content=original","pixel_review":{"method":"İndirilen kare temas sayfasında görüldü; kaynak mekân kimliğiyle eşleştirildi. Seçim kaydı final-pixel-review.json.","status":"verified","caption":"Bakersfield Amtrak Station · 2012 tarihli fotoğraf","reviewer":"Codex (AI)","review_id":"A15"},"downloaded_at":"2026-10-23T19:34:25.356182+00:00","download_sha256":"d008cd60e15162f7df8ebcc8c96dfccaac8d49b984a0d95f6126128ec9c54bcc","downloaded_file":"downloads/d008cd60e15162f7df8ebcc8c96dfccaac8d49b984a0d95f6126128ec9c54bcc.jpg","acquisition_file":"9818f1755c28d6118af07af0.webp","commons_filename":"Bakersfield Station 2054 08.JPG","original_file_url":"https://upload.wikimedia.org/wikipedia/commons/b/b2/Bakersfield_Station_2054_08.JPG?utm_source=commons.wikimedia.org&amp;utm_campaign=imageinfo&amp;utm_content=original","pixel_review_status":"pending","third_party_rights_review":{"basis":"Kaynakta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dönüştürüldü.","photo_attribution":{"author_url":"https://commons.wikimedia.org/wiki/User:Pedro_Xing","modifications":"EXIF yönü uygulandı; boyut küçültülüp WebP biçimine dönüştürüldü.","original_file_url":"https://upload.wikimedia.org/wikipedia/commons/b/b2/Bakersfield_Station_2054_08.JPG?utm_source=commons.wikimedia.org&amp;utm_campaign=imageinfo&amp;utm_content=original"},"metadata_reviewed_on":"2026-10-24","metadata_review_status":"verified"}}</x:v>
      </x:c>
    </x:row>
    <x:row r="158" ht="300" customHeight="1">
      <x:c r="A158" s="29" t="str">
        <x:v>bakersfield:evidence:venue-22123</x:v>
      </x:c>
      <x:c r="B158" s="29" t="str">
        <x:v>bakersfield</x:v>
      </x:c>
      <x:c r="C158" s="29" t="str">
        <x:v>bakersfield:photo:venue-22123</x:v>
      </x:c>
      <x:c r="D158" s="29" t="str">
        <x:v>https://commons.wikimedia.org/wiki/File:Beale_Memorial_Library_Entrance.jpg</x:v>
      </x:c>
      <x:c r="E158" s="29" t="str">
        <x:v>Beale Memorial Library Entrance.jpg</x:v>
      </x:c>
      <x:c r="F158" s="29" t="str">
        <x:v>Skyman9999</x:v>
      </x:c>
      <x:c r="G158" s="29" t="str">
        <x:v>CC0 1.0</x:v>
      </x:c>
      <x:c r="H158" s="29" t="str">
        <x:v>https://creativecommons.org/publicdomain/zero/1.0/</x:v>
      </x:c>
      <x:c r="I158" s="29" t="str">
        <x:v>Creative Commons Zero, Public Domain Dedication</x:v>
      </x:c>
      <x:c r="J158" s="29" t="str">
        <x:v>Beale Memorial Library Entrance.jpg · Skyman9999 · CC0 1.0 · https://commons.wikimedia.org/wiki/File:Beale_Memorial_Library_Entrance.jpg</x:v>
      </x:c>
      <x:c r="K15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8" s="31" t="d">
        <x:v>2026-10-24T00:00:00.000Z</x:v>
      </x:c>
      <x:c r="M158" s="29" t="str">
        <x:v>Doğrulandı</x:v>
      </x:c>
      <x:c r="N158" s="29" t="str">
        <x:v>Doğrulandı</x:v>
      </x:c>
      <x:c r="O158" s="29" t="str">
        <x:v>Fotoğraflar/bk-e2172475b13d9072b5147713.webp</x:v>
      </x:c>
      <x:c r="P158" s="29" t="str">
        <x:v>Beale Memorial Library · 2011 tarihli fotoğraf · İndirilen kare temas sayfasında görüldü; kaynak mekân kimliğiyle eşleştirildi. Seçim kaydı final-pixel-review.json.</x:v>
      </x:c>
      <x:c r="Q158" s="29" t="str">
        <x:v>Bu kare için uygun</x:v>
      </x:c>
      <x:c r="R15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8" s="29" t="str">
        <x:v>Lisans kanıtları/bk-e2172475b13d9072b5147713.source-evidence.json</x:v>
      </x:c>
      <x:c r="T158" s="29" t="str">
        <x:v>b9de0b5899d16377c9811de3b1c9da5c1cb4ea01048129add52f4a23f75152bf</x:v>
      </x:c>
      <x:c r="U158" s="29" t="str">
        <x:v>Lisans kanıtları/bk-e2172475b13d9072b5147713.license-record.json</x:v>
      </x:c>
      <x:c r="V158" s="29" t="str">
        <x:v>b56e86a604dda578bb4564f7d7a7744eca780dcea02f2208b591b37e2017d8b6</x:v>
      </x:c>
      <x:c r="W158" s="29" t="str">
        <x:v>{"file":"bk-e2172475b13d9072b5147713.webp","width":1280,"author":"Skyman9999","height":851,"sha256":"e2172475b13d9072b5147713fb4a79722fcaa668b075f3a7190a6eeaf1af9804","license":"CC0 1.0","imageinfo":{"url":"https://upload.wikimedia.org/wikipedia/commons/e/e1/Beale_Memorial_Library_Entrance.jpg?utm_source=commons.wikimedia.org&amp;utm_campaign=imageinfo&amp;utm_content=original","mime":"image/jpeg","sha1":"e859b1091403e5cbafc86de712f493a3cc692ea1","size":2490869,"width":3008,"height":2000,"pageid":17273249,"thumburl":"https://thumb.wikimedia.org/wikipedia/commons/thumb/e/e1/Beale_Memorial_Library_Entrance.jpg/1280px-Beale_Memorial_Library_Entrance.jpg?utm_source=commons.wikimedia.org&amp;utm_campaign=imageinfo&amp;utm_content=thumbnail","timestamp":"2011-11-08T01:20:13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work&lt;/span&gt;","source":"commons-desc-page"},"License":{"value":"cc0","hidden":"","source":"commons-templates"},"DateTime":{"value":"2011-11-08 01:20:13","hidden":"","source":"mediawiki-metadata"},"Categories":{"value":"Taken with Nikon D50|CC-Zero|Kern County Library|Self-published work","hidden":"","source":"commons-categories"},"LicenseUrl":{"value":"http://creativecommons.org/publicdomain/zero/1.0/deed.en","source":"commons-desc-page"},"ObjectName":{"value":"Beale Memorial Library Entrance","source":"mediawiki-metadata"},"UsageTerms":{"value":"Creative Commons Zero, Public Domain Dedication","source":"commons-desc-page"},"Assessments":{"value":"","hidden":"","source":"commons-categories"},"Copyrighted":{"value":"True","hidden":"","source":"commons-desc-page"},"Restrictions":{"value":"","hidden":"","source":"commons-desc-page"},"DateTimeOriginal":{"value":"2011-09-07","source":"commons-desc-page"},"ImageDescription":{"value":"Entrance for the Beale Memorial Library.","source":"commons-desc-page"},"LicenseShortName":{"value":"CC0","hidden":"","source":"commons-desc-page"},"AttributionRequired":{"value":"false","hidden":"","source":"commons-desc-page"},"CommonsMetadataExtension":{"value":1.2,"hidden":"","source":"extension"}},"thumbheight":851,"thumbattribs":{"src":"https://thumb.wikimedia.org/wikipedia/commons/thumb/e/e1/Beale_Memorial_Library_Entrance.jpg/1280px-Beale_Memorial_Library_Entrance.jpg?utm_source=commons.wikimedia.org&amp;utm_campaign=imageinfo&amp;utm_content=thumbnail","width":1280,"height":851,"srcset":"https://upload.wikimedia.org/wikipedia/commons/e/e1/Beale_Memorial_Library_Entrance.jpg?utm_source=commons.wikimedia.org&amp;utm_campaign=imageinfo&amp;utm_content=thumbnail_unscaled 2x","loading":"lazy","decoding":"async"},"descriptionurl":"https://commons.wikimedia.org/wiki/File:Beale_Memorial_Library_Entrance.jpg","responsiveUrls":{"2":"https://upload.wikimedia.org/wikipedia/commons/e/e1/Beale_Memorial_Library_Entrance.jpg?utm_source=commons.wikimedia.org&amp;utm_campaign=imageinfo&amp;utm_content=thumbnail_unscaled"},"descriptionshorturl":"https://commons.wikimedia.org/w/index.php?curid=17273249"},"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cropping.","source_url":"https://commons.wikimedia.org/wiki/File:Beale_Memorial_Library_Entrance.jpg","author_urls":["https://commons.wikimedia.org/wiki/User:Skyman9999"],"description":"Entrance for the Beale Memorial Library.","license_url":"https://creativecommons.org/publicdomain/zero/1.0/","reviewed_on":"2026-10-24","capture_date":"2011-09-07","download_url":"https://thumb.wikimedia.org/wikipedia/commons/thumb/e/e1/Beale_Memorial_Library_Entrance.jpg/1280px-Beale_Memorial_Library_Entrance.jpg?utm_source=commons.wikimedia.org&amp;utm_campaign=imageinfo&amp;utm_content=thumbnail","original_url":"https://upload.wikimedia.org/wikipedia/commons/e/e1/Beale_Memorial_Library_Entrance.jpg?utm_source=commons.wikimedia.org&amp;utm_campaign=imageinfo&amp;utm_content=original","pixel_review":{"method":"İndirilen kare temas sayfasında görüldü; kaynak mekân kimliğiyle eşleştirildi. Seçim kaydı final-pixel-review.json.","status":"verified","caption":"Beale Memorial Library · 2011 tarihli fotoğraf","reviewer":"Codex (AI)","review_id":"C66"},"downloaded_at":"2026-10-23T19:08:15.218316+00:00","download_sha256":"e0e9416392ac9ed512d7dc4347c2cdfc5775252b89da1b51976064e77a433d31","downloaded_file":"downloads/e0e9416392ac9ed512d7dc4347c2cdfc5775252b89da1b51976064e77a433d31.jpg","acquisition_file":"20db5c326b234c0861d55f0a.webp","commons_filename":"Beale Memorial Library Entrance.jpg","original_file_url":"https://upload.wikimedia.org/wikipedia/commons/e/e1/Beale_Memorial_Library_Entranc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e/e1/Beale_Memorial_Library_Entrance.jpg?utm_source=commons.wikimedia.org&amp;utm_campaign=imageinfo&amp;utm_content=original"},"metadata_reviewed_on":"2026-10-24","metadata_review_status":"verified"}}</x:v>
      </x:c>
    </x:row>
    <x:row r="159" ht="300" customHeight="1">
      <x:c r="A159" s="29" t="str">
        <x:v>bakersfield:evidence:venue-22124</x:v>
      </x:c>
      <x:c r="B159" s="29" t="str">
        <x:v>bakersfield</x:v>
      </x:c>
      <x:c r="C159" s="29" t="str">
        <x:v>bakersfield:photo:venue-22124</x:v>
      </x:c>
      <x:c r="D159" s="29" t="str">
        <x:v>https://www.flickr.com/photos/98609821@N00/50623084316/</x:v>
      </x:c>
      <x:c r="E159" s="29" t="str">
        <x:v>Union Cemetery · 2020 tarihli fotoğraf</x:v>
      </x:c>
      <x:c r="F159" s="29" t="str">
        <x:v>Julie Jordan Scott</x:v>
      </x:c>
      <x:c r="G159" s="29" t="str">
        <x:v>CC BY 2.0</x:v>
      </x:c>
      <x:c r="H159" s="29" t="str">
        <x:v>https://creativecommons.org/licenses/by/2.0/</x:v>
      </x:c>
      <x:c r="I159" s="29" t="str">
        <x:v>CC BY 2.0</x:v>
      </x:c>
      <x:c r="J159" s="29" t="str">
        <x:v>Union Cemetery · 2020 tarihli fotoğraf · Julie Jordan Scott · CC BY 2.0 · https://www.flickr.com/photos/98609821@N00/50623084316/</x:v>
      </x:c>
      <x:c r="K15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59" s="31" t="d">
        <x:v>2026-10-24T00:00:00.000Z</x:v>
      </x:c>
      <x:c r="M159" s="29" t="str">
        <x:v>Doğrulandı</x:v>
      </x:c>
      <x:c r="N159" s="29" t="str">
        <x:v>Doğrulandı</x:v>
      </x:c>
      <x:c r="O159" s="29" t="str">
        <x:v>Fotoğraflar/bk-a7a8b89be7f142104a54cdb3.webp</x:v>
      </x:c>
      <x:c r="P159" s="29" t="str">
        <x:v>Union Cemetery · 2020 tarihli fotoğraf · İndirilen kare temas sayfasında görüldü; kaynak mekân kimliğiyle eşleştirildi. Seçim kaydı final-pixel-review.json.</x:v>
      </x:c>
      <x:c r="Q159" s="29" t="str">
        <x:v>Bu kare için uygun</x:v>
      </x:c>
      <x:c r="R15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59" s="29" t="str">
        <x:v>Lisans kanıtları/bk-a7a8b89be7f142104a54cdb3.source-evidence.json</x:v>
      </x:c>
      <x:c r="T159" s="29" t="str">
        <x:v>beb15dc00339a221c6ab9dcbcb6393dd17919040d49cb47d7604ac271a6b7e5a</x:v>
      </x:c>
      <x:c r="U159" s="29" t="str">
        <x:v>Lisans kanıtları/bk-a7a8b89be7f142104a54cdb3.license-record.json</x:v>
      </x:c>
      <x:c r="V159" s="29" t="str">
        <x:v>8cecf6c81d5ba6b82df0a9575f0eba839658bf88efd3f75c5716c4fe499d9241</x:v>
      </x:c>
      <x:c r="W159" s="29" t="str">
        <x:v>{"file":"bk-a7a8b89be7f142104a54cdb3.webp","width":1024,"author":"Julie Jordan Scott","height":768,"sha256":"a7a8b89be7f142104a54cdb3b6badc1a4941143c624d2c48981353db099a1618","status":"reviewed-selected","license":"CC BY 2.0","provider":"Flickr","review_id":"E29","source_id":"50623084316","author_url":"https://www.flickr.com/photos/98609821@N00/","date_texts":["Uploaded on November 20, 2020 Taken on November 19, 2020","Taken on November 19, 2020","Uploaded on November 20, 2020 Taken on November 19, 2020","Taken on November 19, 2020"],"source_url":"https://www.flickr.com/photos/98609821@N00/50623084316/","description":"Cypress trees, headstones and a gloriously bleak November morning.","license_url":"https://creativecommons.org/licenses/by/2.0/","review_note":"Wide landscape; tree-lined cemetery, source identity pending.","reviewed_on":"2026-10-24","source_text":"Cemetery visit: Union Cemetery | Cypress trees, headstones a…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Cemetery visit: Union Cemetery Cypress trees, headstones and a gloriously bleak November morning. Done 84 views 0 faves 0 comments Uploaded on November 20, 2020 Taken on November 19, 2020 Julie Jordan Scott By: Julie Jordan Scott Cemetery visit: Union Cemetery Cypress trees, headstones and a gloriously bleak November morning. Done 84 views 0 faves 0 comments Uploaded on November 20, 2020 Taken on November 19, 2020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photography.","capture_date":"2020-11-19","download_url":"https://live.staticflickr.com/65535/50623084316_2a526f8139_b.jpg","original_url":"https://live.staticflickr.com/65535/50623084316_c46a5aa2e4_4k.jpg","pixel_review":{"method":"İndirilen kare temas sayfasında görüldü; kaynak mekân kimliğiyle eşleştirildi. Seçim kaydı final-pixel-review.json.","status":"verified","caption":"Union Cemetery · 2020 tarihli fotoğraf","reviewer":"Codex (AI)","review_id":"E29"},"source_title":"Cemetery visit: Union Cemetery","downloaded_at":"2026-10-23T19:50:32.475936+00:00","download_sha256":"977350050729bf427c9be322807d8007e58c35c1f531dd6b3c883acb86cc612f","downloaded_file":"downloads/977350050729bf427c9be322807d8007e58c35c1f531dd6b3c883acb86cc612f.jpg","public_metadata":{"photo-models":[{"data":{"id":"50623084316","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65535/50623084316_2a526f8139_c.jpg","width":800,"height":600,"displayUrl":"//live.staticflickr.com/65535/50623084316_2a526f8139_c.jpg"},"exportMetaType":"pojo"},"h":{"data":{"url":"//live.staticflickr.com/65535/50623084316_c4e4df91da_h.jpg","width":1600,"height":1200,"displayUrl":"//live.staticflickr.com/65535/50623084316_c4e4df91da_h.jpg"},"exportMetaType":"pojo"},"k":{"data":{"url":"//live.staticflickr.com/65535/50623084316_4c503d5c25_k.jpg","width":2048,"height":1536,"displayUrl":"//live.staticflickr.com/65535/50623084316_4c503d5c25_k.jpg"},"exportMetaType":"pojo"},"l":{"data":{"url":"//live.staticflickr.com/65535/50623084316_2a526f8139_b.jpg","width":1024,"height":768,"displayUrl":"//live.staticflickr.com/65535/50623084316_2a526f8139_b.jpg"},"exportMetaType":"pojo"},"m":{"data":{"url":"//live.staticflickr.com/65535/50623084316_2a526f8139.jpg","width":500,"height":375,"displayUrl":"//live.staticflickr.com/65535/50623084316_2a526f8139.jpg"},"exportMetaType":"pojo"},"n":{"data":{"url":"//live.staticflickr.com/65535/50623084316_2a526f8139_n.jpg","width":320,"height":240,"displayUrl":"//live.staticflickr.com/65535/50623084316_2a526f8139_n.jpg"},"exportMetaType":"pojo"},"o":{"data":{"url":"//live.staticflickr.com/65535/50623084316_b78e21aeca_o.jpg","width":4032,"height":3024,"displayUrl":"//live.staticflickr.com/65535/50623084316_b78e21aeca_o.jpg"},"exportMetaType":"pojo"},"q":{"data":{"url":"//live.staticflickr.com/65535/50623084316_2a526f8139_q.jpg","width":150,"height":150,"displayUrl":"//live.staticflickr.com/65535/50623084316_2a526f8139_q.jpg"},"exportMetaType":"pojo"},"s":{"data":{"url":"//live.staticflickr.com/65535/50623084316_2a526f8139_m.jpg","width":240,"height":180,"displayUrl":"//live.staticflickr.com/65535/50623084316_2a526f8139_m.jpg"},"exportMetaType":"pojo"},"t":{"data":{"url":"//live.staticflickr.com/65535/50623084316_2a526f8139_t.jpg","width":100,"height":75,"displayUrl":"//live.staticflickr.com/65535/50623084316_2a526f8139_t.jpg"},"exportMetaType":"pojo"},"w":{"data":{"url":"//live.staticflickr.com/65535/50623084316_2a526f8139_w.jpg","width":400,"height":300,"displayUrl":"//live.staticflickr.com/65535/50623084316_2a526f8139_w.jpg"},"exportMetaType":"pojo"},"z":{"data":{"url":"//live.staticflickr.com/65535/50623084316_2a526f8139_z.jpg","width":640,"height":480,"displayUrl":"//live.staticflickr.com/65535/50623084316_2a526f8139_z.jpg"},"exportMetaType":"pojo"},"3k":{"data":{"url":"//live.staticflickr.com/65535/50623084316_e764505899_3k.jpg","width":3072,"height":2304,"displayUrl":"//live.staticflickr.com/65535/50623084316_e764505899_3k.jpg"},"exportMetaType":"pojo"},"4k":{"data":{"url":"//live.staticflickr.com/65535/50623084316_c46a5aa2e4_4k.jpg","width":4032,"height":3024,"displayUrl":"//live.staticflickr.com/65535/50623084316_c46a5aa2e4_4k.jpg"},"exportMetaType":"pojo"},"sq":{"data":{"url":"//live.staticflickr.com/65535/50623084316_2a526f8139_s.jpg","width":75,"height":75,"displayUrl":"//live.staticflickr.com/65535/50623084316_2a526f8139_s.jpg"},"exportMetaType":"pojo"}},"exportMetaType":"pojo"},"title":"Cemetery visit: Union Cemetery","oWidth":4032,"secret":"2a526f8139","license":4,"oHeight":3024,"rotation":0,"canAddMeta":false,"canComment":false,"engagement":{"data":{"id":"50623084316","canShare":true,"ownerNsid":"98609821@N00","reactions":{"data":{"like":{"data":{"id":"like","count":5,"canReact":true,"didViewerReact":true},"exportMetaType":"pojo"},"someOtherReaction":{"data":{"id":"someOtherReaction","count":3,"canReact":true,"didViewerReact":false},"exportMetaType":"pojo"}},"exportMetaType":"pojo"},"viewCount":84,"canDownload":true,"_flickrModelRegistry":"photo-engagement-models"},"exportMetaType":"model"},"description":"Cypress trees, headstones and a gloriously bleak November morning.","safetyLevel":0,"upgradeSizes":{"data":[],"exportMetaType":"array"},"adEligibility":{"data":{"lane":1,"labels":{"data":["ProOwner"],"exportMetaType":"array"},"isAdEligible":false,"highScoreLabels":{"data":["ProOwner"],"exportMetaType":"array"}},"exportMetaType":"pojo"},"canPublicComment":true,"_flickrModelRegistry":"photo-models"},"exportMetaType":"model"}],"photo-geo-models":[{"data":{"id":"50623084316","_flickrModelRegistry":"photo-geo-models"},"exportMetaType":"model"}],"photo-location-models":[{"data":{"id":"50623084316","geo":{"data":"~2","exportMetaType":"model"},"text":"","levels":{"data":{},"exportMetaType":"pojo"},"staticMaps":{"data":{},"exportMetaType":"pojo"},"_flickrModelRegistry":"photo-location-models"},"exportMetaType":"model"}],"photo-head-meta-models":[{"data":{"id":"50623084316","title":"Cemetery visit: Union Cemetery","og:url":"https://www.flickr.com/photos/juliejordanscott/50623084316/","og:type":"article","keywords":"graveyardscemeterybakersfieldcemeteryunioncemeterycemetery","og:image":"https://live.staticflickr.com/65535/50623084316_2a526f8139_b.jpg","og:title":"Cemetery visit: Union Cemetery","twitter:card":"summary_large_image","twitter:image":"https://live.staticflickr.com/65535/50623084316_2a526f8139_b.jpg","og:description":"Cypress trees, headstones and a gloriously bleak November morning.","og:image:width":1024,"og:image:height":768,"twitter:creator":"@juliejordanscot","twitter:description":"Cypress trees, headstones and a gloriously bleak November morning.","_flickrModelRegistry":"photo-head-meta-models","twitter:app:url:ipad":"flickr://flickr.com/photos/juliejordanscott/50623084316/","twitter:app:url:iphone":"flickr://flickr.com/photos/juliejordanscott/50623084316/","twitter:app:url:googleplay":"https://www.flickr.com/photos/juliejordanscott/50623084316/"},"exportMetaType":"model"}],"photo-license-history-models":[]},"acquisition_file":"fl-50623084316.webp","source_html_file":"/Users/atincakcayoz/corteqs/output/bakersfield-production-20261023/flickr-source-pages/50623084316.html","original_file_url":"https://live.staticflickr.com/65535/50623084316_c46a5aa2e4_4k.jpg","proposed_identity":"Union Cemetery","source_html_sha256":"3e6d6d06c76273545f492b78e28afc30e276f4508b66068ada1713626b56c68c","third_party_rights_review":{"basis":"Kaynakta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dönüştürüldü.","original_file_url":"https://live.staticflickr.com/65535/50623084316_c46a5aa2e4_4k.jpg"},"metadata_reviewed_on":"2026-10-24","metadata_review_status":"verified"}}</x:v>
      </x:c>
    </x:row>
    <x:row r="160" ht="300" customHeight="1">
      <x:c r="A160" s="29" t="str">
        <x:v>bakersfield:evidence:venue-22125</x:v>
      </x:c>
      <x:c r="B160" s="29" t="str">
        <x:v>bakersfield</x:v>
      </x:c>
      <x:c r="C160" s="29" t="str">
        <x:v>bakersfield:photo:venue-22125</x:v>
      </x:c>
      <x:c r="D160" s="29" t="str">
        <x:v>https://www.flickr.com/photos/98609821@N00/50623194692/</x:v>
      </x:c>
      <x:c r="E160" s="29" t="str">
        <x:v>Union Cemetery · 2020 tarihli fotoğraf</x:v>
      </x:c>
      <x:c r="F160" s="29" t="str">
        <x:v>Julie Jordan Scott</x:v>
      </x:c>
      <x:c r="G160" s="29" t="str">
        <x:v>CC BY 2.0</x:v>
      </x:c>
      <x:c r="H160" s="29" t="str">
        <x:v>https://creativecommons.org/licenses/by/2.0/</x:v>
      </x:c>
      <x:c r="I160" s="29" t="str">
        <x:v>CC BY 2.0</x:v>
      </x:c>
      <x:c r="J160" s="29" t="str">
        <x:v>Union Cemetery · 2020 tarihli fotoğraf · Julie Jordan Scott · CC BY 2.0 · https://www.flickr.com/photos/98609821@N00/50623194692/</x:v>
      </x:c>
      <x:c r="K16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0" s="31" t="d">
        <x:v>2026-10-24T00:00:00.000Z</x:v>
      </x:c>
      <x:c r="M160" s="29" t="str">
        <x:v>Doğrulandı</x:v>
      </x:c>
      <x:c r="N160" s="29" t="str">
        <x:v>Doğrulandı</x:v>
      </x:c>
      <x:c r="O160" s="29" t="str">
        <x:v>Fotoğraflar/bk-7d0996d92c2ed981dd3582e0.webp</x:v>
      </x:c>
      <x:c r="P160" s="29" t="str">
        <x:v>Union Cemetery · 2020 tarihli fotoğraf · İndirilen kare temas sayfasında görüldü; kaynak mekân kimliğiyle eşleştirildi. Seçim kaydı final-pixel-review.json.</x:v>
      </x:c>
      <x:c r="Q160" s="29" t="str">
        <x:v>Bu kare için uygun</x:v>
      </x:c>
      <x:c r="R16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0" s="29" t="str">
        <x:v>Lisans kanıtları/bk-7d0996d92c2ed981dd3582e0.source-evidence.json</x:v>
      </x:c>
      <x:c r="T160" s="29" t="str">
        <x:v>233f265a89b0fcf9b6ebe3658d32e2683f847928a5a0e8f7dfe1d1c14129f828</x:v>
      </x:c>
      <x:c r="U160" s="29" t="str">
        <x:v>Lisans kanıtları/bk-7d0996d92c2ed981dd3582e0.license-record.json</x:v>
      </x:c>
      <x:c r="V160" s="29" t="str">
        <x:v>eb0d14b91c232d3c4b051ebead70affcf3fd3723454da7bf3a992269b28711c1</x:v>
      </x:c>
      <x:c r="W160" s="29" t="str">
        <x:v>{"file":"bk-7d0996d92c2ed981dd3582e0.webp","width":1024,"author":"Julie Jordan Scott","height":768,"sha256":"7d0996d92c2ed981dd3582e0740d381f935b1fc762c4a744078e458f40245276","status":"reviewed-selected","license":"CC BY 2.0","provider":"Flickr","review_id":"E35","source_id":"50623194692","author_url":"https://www.flickr.com/photos/98609821@N00/","date_texts":["Uploaded on November 20, 2020 Taken on November 19, 2020","Taken on November 19, 2020","Uploaded on November 20, 2020 Taken on November 19, 2020","Taken on November 19, 2020"],"source_url":"https://www.flickr.com/photos/98609821@N00/50623194692/","description":"Cypress trees, headstones and a gloriously bleak November morning.","license_url":"https://creativecommons.org/licenses/by/2.0/","review_note":"Mausoleum in grounds; compare 36 for visual variety.","reviewed_on":"2026-10-24","source_text":"Cemetery visit: Union Cemetery | Cypress trees, headstones a…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Cemetery visit: Union Cemetery Cypress trees, headstones and a gloriously bleak November morning. Done 68 views 0 faves 0 comments Uploaded on November 20, 2020 Taken on November 19, 2020 Julie Jordan Scott By: Julie Jordan Scott Cemetery visit: Union Cemetery Cypress trees, headstones and a gloriously bleak November morning. Done 68 views 0 faves 0 comments Uploaded on November 20, 2020 Taken on November 19, 2020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photography.","capture_date":"2020-11-19","download_url":"https://live.staticflickr.com/65535/50623194692_756e1d1409_b.jpg","original_url":"https://live.staticflickr.com/65535/50623194692_bd6327450c_4k.jpg","pixel_review":{"method":"İndirilen kare temas sayfasında görüldü; kaynak mekân kimliğiyle eşleştirildi. Seçim kaydı final-pixel-review.json.","status":"verified","caption":"Union Cemetery · 2020 tarihli fotoğraf","reviewer":"Codex (AI)","review_id":"E35"},"source_title":"Cemetery visit: Union Cemetery","downloaded_at":"2026-10-23T19:50:32.924366+00:00","download_sha256":"acfc3ae8ce1fe187f062ca1c5b425e360046e4cf126e7c64bbd4a5b6ce3139d4","downloaded_file":"downloads/acfc3ae8ce1fe187f062ca1c5b425e360046e4cf126e7c64bbd4a5b6ce3139d4.jpg","public_metadata":{"photo-models":[{"data":{"id":"50623194692","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65535/50623194692_756e1d1409_c.jpg","width":800,"height":600,"displayUrl":"//live.staticflickr.com/65535/50623194692_756e1d1409_c.jpg"},"exportMetaType":"pojo"},"h":{"data":{"url":"//live.staticflickr.com/65535/50623194692_43bdabbba8_h.jpg","width":1600,"height":1200,"displayUrl":"//live.staticflickr.com/65535/50623194692_43bdabbba8_h.jpg"},"exportMetaType":"pojo"},"k":{"data":{"url":"//live.staticflickr.com/65535/50623194692_9050980039_k.jpg","width":2048,"height":1536,"displayUrl":"//live.staticflickr.com/65535/50623194692_9050980039_k.jpg"},"exportMetaType":"pojo"},"l":{"data":{"url":"//live.staticflickr.com/65535/50623194692_756e1d1409_b.jpg","width":1024,"height":768,"displayUrl":"//live.staticflickr.com/65535/50623194692_756e1d1409_b.jpg"},"exportMetaType":"pojo"},"m":{"data":{"url":"//live.staticflickr.com/65535/50623194692_756e1d1409.jpg","width":500,"height":375,"displayUrl":"//live.staticflickr.com/65535/50623194692_756e1d1409.jpg"},"exportMetaType":"pojo"},"n":{"data":{"url":"//live.staticflickr.com/65535/50623194692_756e1d1409_n.jpg","width":320,"height":240,"displayUrl":"//live.staticflickr.com/65535/50623194692_756e1d1409_n.jpg"},"exportMetaType":"pojo"},"o":{"data":{"url":"//live.staticflickr.com/65535/50623194692_f2f684811e_o.jpg","width":4032,"height":3024,"displayUrl":"//live.staticflickr.com/65535/50623194692_f2f684811e_o.jpg"},"exportMetaType":"pojo"},"q":{"data":{"url":"//live.staticflickr.com/65535/50623194692_756e1d1409_q.jpg","width":150,"height":150,"displayUrl":"//live.staticflickr.com/65535/50623194692_756e1d1409_q.jpg"},"exportMetaType":"pojo"},"s":{"data":{"url":"//live.staticflickr.com/65535/50623194692_756e1d1409_m.jpg","width":240,"height":180,"displayUrl":"//live.staticflickr.com/65535/50623194692_756e1d1409_m.jpg"},"exportMetaType":"pojo"},"t":{"data":{"url":"//live.staticflickr.com/65535/50623194692_756e1d1409_t.jpg","width":100,"height":75,"displayUrl":"//live.staticflickr.com/65535/50623194692_756e1d1409_t.jpg"},"exportMetaType":"pojo"},"w":{"data":{"url":"//live.staticflickr.com/65535/50623194692_756e1d1409_w.jpg","width":400,"height":300,"displayUrl":"//live.staticflickr.com/65535/50623194692_756e1d1409_w.jpg"},"exportMetaType":"pojo"},"z":{"data":{"url":"//live.staticflickr.com/65535/50623194692_756e1d1409_z.jpg","width":640,"height":480,"displayUrl":"//live.staticflickr.com/65535/50623194692_756e1d1409_z.jpg"},"exportMetaType":"pojo"},"3k":{"data":{"url":"//live.staticflickr.com/65535/50623194692_8d29b43e51_3k.jpg","width":3072,"height":2304,"displayUrl":"//live.staticflickr.com/65535/50623194692_8d29b43e51_3k.jpg"},"exportMetaType":"pojo"},"4k":{"data":{"url":"//live.staticflickr.com/65535/50623194692_bd6327450c_4k.jpg","width":4032,"height":3024,"displayUrl":"//live.staticflickr.com/65535/50623194692_bd6327450c_4k.jpg"},"exportMetaType":"pojo"},"sq":{"data":{"url":"//live.staticflickr.com/65535/50623194692_756e1d1409_s.jpg","width":75,"height":75,"displayUrl":"//live.staticflickr.com/65535/50623194692_756e1d1409_s.jpg"},"exportMetaType":"pojo"}},"exportMetaType":"pojo"},"title":"Cemetery visit: Union Cemetery","oWidth":4032,"secret":"756e1d1409","license":4,"oHeight":3024,"rotation":0,"canAddMeta":false,"canComment":false,"engagement":{"data":{"id":"50623194692","canShare":true,"ownerNsid":"98609821@N00","reactions":{"data":{"like":{"data":{"id":"like","count":5,"canReact":true,"didViewerReact":true},"exportMetaType":"pojo"},"someOtherReaction":{"data":{"id":"someOtherReaction","count":3,"canReact":true,"didViewerReact":false},"exportMetaType":"pojo"}},"exportMetaType":"pojo"},"viewCount":68,"canDownload":true,"_flickrModelRegistry":"photo-engagement-models"},"exportMetaType":"model"},"description":"Cypress trees, headstones and a gloriously bleak November morning.","safetyLevel":0,"upgradeSizes":{"data":[],"exportMetaType":"array"},"adEligibility":{"data":{"lane":1,"labels":{"data":["ProOwner"],"exportMetaType":"array"},"isAdEligible":false,"highScoreLabels":{"data":["ProOwner"],"exportMetaType":"array"}},"exportMetaType":"pojo"},"canPublicComment":true,"_flickrModelRegistry":"photo-models"},"exportMetaType":"model"}],"photo-geo-models":[{"data":{"id":"50623194692","_flickrModelRegistry":"photo-geo-models"},"exportMetaType":"model"}],"photo-location-models":[{"data":{"id":"50623194692","geo":{"data":"~2","exportMetaType":"model"},"text":"","levels":{"data":{},"exportMetaType":"pojo"},"staticMaps":{"data":{},"exportMetaType":"pojo"},"_flickrModelRegistry":"photo-location-models"},"exportMetaType":"model"}],"photo-head-meta-models":[{"data":{"id":"50623194692","title":"Cemetery visit: Union Cemetery","og:url":"https://www.flickr.com/photos/juliejordanscott/50623194692/","og:type":"article","keywords":"graveyardscemeterybakersfieldcemeteryunioncemeterycemetery","og:image":"https://live.staticflickr.com/65535/50623194692_756e1d1409_b.jpg","og:title":"Cemetery visit: Union Cemetery","twitter:card":"summary_large_image","twitter:image":"https://live.staticflickr.com/65535/50623194692_756e1d1409_b.jpg","og:description":"Cypress trees, headstones and a gloriously bleak November morning.","og:image:width":1024,"og:image:height":768,"twitter:creator":"@juliejordanscot","twitter:description":"Cypress trees, headstones and a gloriously bleak November morning.","_flickrModelRegistry":"photo-head-meta-models","twitter:app:url:ipad":"flickr://flickr.com/photos/juliejordanscott/50623194692/","twitter:app:url:iphone":"flickr://flickr.com/photos/juliejordanscott/50623194692/","twitter:app:url:googleplay":"https://www.flickr.com/photos/juliejordanscott/50623194692/"},"exportMetaType":"model"}],"photo-license-history-models":[]},"acquisition_file":"fl-50623194692.webp","source_html_file":"/Users/atincakcayoz/corteqs/output/bakersfield-production-20261023/flickr-source-pages/50623194692.html","original_file_url":"https://live.staticflickr.com/65535/50623194692_bd6327450c_4k.jpg","proposed_identity":"Union Cemetery","source_html_sha256":"6bb5b29eec872ce3877ca01a0f21a5bc13f2b929f1ee3ecd3e87910348cd77d3","third_party_rights_review":{"basis":"Kaynakta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dönüştürüldü.","original_file_url":"https://live.staticflickr.com/65535/50623194692_bd6327450c_4k.jpg"},"metadata_reviewed_on":"2026-10-24","metadata_review_status":"verified"}}</x:v>
      </x:c>
    </x:row>
    <x:row r="161" ht="300" customHeight="1">
      <x:c r="A161" s="29" t="str">
        <x:v>bakersfield:evidence:venue-22126</x:v>
      </x:c>
      <x:c r="B161" s="29" t="str">
        <x:v>bakersfield</x:v>
      </x:c>
      <x:c r="C161" s="29" t="str">
        <x:v>bakersfield:photo:venue-22126</x:v>
      </x:c>
      <x:c r="D161" s="29" t="str">
        <x:v>https://www.flickr.com/photos/98609821@N00/6875163054/</x:v>
      </x:c>
      <x:c r="E161" s="29" t="str">
        <x:v>Bakersfield National Cemetery · 2012 tarihli fotoğraf</x:v>
      </x:c>
      <x:c r="F161" s="29" t="str">
        <x:v>Julie Jordan Scott</x:v>
      </x:c>
      <x:c r="G161" s="29" t="str">
        <x:v>CC BY 2.0</x:v>
      </x:c>
      <x:c r="H161" s="29" t="str">
        <x:v>https://creativecommons.org/licenses/by/2.0/</x:v>
      </x:c>
      <x:c r="I161" s="29" t="str">
        <x:v>CC BY 2.0</x:v>
      </x:c>
      <x:c r="J161" s="29" t="str">
        <x:v>Bakersfield National Cemetery · 2012 tarihli fotoğraf · Julie Jordan Scott · CC BY 2.0 · https://www.flickr.com/photos/98609821@N00/6875163054/</x:v>
      </x:c>
      <x:c r="K16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1" s="31" t="d">
        <x:v>2026-10-24T00:00:00.000Z</x:v>
      </x:c>
      <x:c r="M161" s="29" t="str">
        <x:v>Doğrulandı</x:v>
      </x:c>
      <x:c r="N161" s="29" t="str">
        <x:v>Doğrulandı</x:v>
      </x:c>
      <x:c r="O161" s="29" t="str">
        <x:v>Fotoğraflar/bk-1aff2f43239470b2ebfedb76.webp</x:v>
      </x:c>
      <x:c r="P161" s="29" t="str">
        <x:v>Bakersfield National Cemetery · 2012 tarihli fotoğraf · İndirilen kare temas sayfasında görüldü; kaynak mekân kimliğiyle eşleştirildi. Seçim kaydı final-pixel-review.json.</x:v>
      </x:c>
      <x:c r="Q161" s="29" t="str">
        <x:v>Bu kare için uygun</x:v>
      </x:c>
      <x:c r="R16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1" s="29" t="str">
        <x:v>Lisans kanıtları/bk-1aff2f43239470b2ebfedb76.source-evidence.json</x:v>
      </x:c>
      <x:c r="T161" s="29" t="str">
        <x:v>0c3e067b8e74da2845801ca2c16aba0c662c3a76d8bec20eefe6ef4e22340d5e</x:v>
      </x:c>
      <x:c r="U161" s="29" t="str">
        <x:v>Lisans kanıtları/bk-1aff2f43239470b2ebfedb76.license-record.json</x:v>
      </x:c>
      <x:c r="V161" s="29" t="str">
        <x:v>932bc3f66380f0362d99b5001f61c3f9b6a1cfab13b059a669de35059fe1125d</x:v>
      </x:c>
      <x:c r="W161" s="29" t="str">
        <x:v>{"file":"bk-1aff2f43239470b2ebfedb76.webp","width":1024,"author":"Julie Jordan Scott","height":722,"sha256":"1aff2f43239470b2ebfedb763c5ba4b48a30b8e089a85e7d60651348896f15e1","status":"reviewed-selected","license":"CC BY 2.0","provider":"Flickr","review_id":"E21","source_id":"6875163054","author_url":"https://www.flickr.com/photos/98609821@N00/","date_texts":["Uploaded on March 27, 2012 Taken on March 25, 2012","Taken on March 25, 2012","Uploaded on March 27, 2012 Taken on March 25, 2012","Taken on March 25, 2012"],"source_url":"https://www.flickr.com/photos/98609821@N00/6875163054/","description":"","license_url":"https://creativecommons.org/licenses/by/2.0/","review_note":"Memorial landscape with headstones; current cemetery identity needed.","reviewed_on":"2026-10-24","source_text":"Bakersfield National Cemetery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Bakersfield National Cemetery Done 259 views 0 faves 0 comments Uploaded on March 27, 2012 Taken on March 25, 2012 Julie Jordan Scott By: Julie Jordan Scott Bakersfield National Cemetery Done 259 views 0 faves 0 comments Uploaded on March 27, 2012 Taken on March 25,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photography.","capture_date":"2012-03-25","download_url":"https://live.staticflickr.com/7228/6875163054_b1918caeda_b.jpg","original_url":"https://live.staticflickr.com/7228/6875163054_2fc7c7d7f8_k.jpg","pixel_review":{"method":"İndirilen kare temas sayfasında görüldü; kaynak mekân kimliğiyle eşleştirildi. Seçim kaydı final-pixel-review.json.","status":"verified","caption":"Bakersfield National Cemetery · 2012 tarihli fotoğraf","reviewer":"Codex (AI)","review_id":"E21"},"source_title":"Bakersfield National Cemetery","downloaded_at":"2026-10-23T19:50:32.252476+00:00","download_sha256":"29610a333772e6d49bab6a6e4a1a51c35107d31b913a53195c39444557fafdd7","downloaded_file":"downloads/29610a333772e6d49bab6a6e4a1a51c35107d31b913a53195c39444557fafdd7.jpg","public_metadata":{"photo-models":[{"data":{"id":"6875163054","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7228/6875163054_b1918caeda_c.jpg","width":800,"height":564,"displayUrl":"//live.staticflickr.com/7228/6875163054_b1918caeda_c.jpg"},"exportMetaType":"pojo"},"h":{"data":{"url":"//live.staticflickr.com/7228/6875163054_c13a859626_h.jpg","width":1600,"height":1127,"displayUrl":"//live.staticflickr.com/7228/6875163054_c13a859626_h.jpg"},"exportMetaType":"pojo"},"k":{"data":{"url":"//live.staticflickr.com/7228/6875163054_2fc7c7d7f8_k.jpg","width":2001,"height":1410,"displayUrl":"//live.staticflickr.com/7228/6875163054_2fc7c7d7f8_k.jpg"},"exportMetaType":"pojo"},"l":{"data":{"url":"//live.staticflickr.com/7228/6875163054_b1918caeda_b.jpg","width":1024,"height":722,"displayUrl":"//live.staticflickr.com/7228/6875163054_b1918caeda_b.jpg"},"exportMetaType":"pojo"},"m":{"data":{"url":"//live.staticflickr.com/7228/6875163054_b1918caeda.jpg","width":500,"height":352,"displayUrl":"//live.staticflickr.com/7228/6875163054_b1918caeda.jpg"},"exportMetaType":"pojo"},"n":{"data":{"url":"//live.staticflickr.com/7228/6875163054_b1918caeda_n.jpg","width":320,"height":225,"displayUrl":"//live.staticflickr.com/7228/6875163054_b1918caeda_n.jpg"},"exportMetaType":"pojo"},"o":{"data":{"url":"//live.staticflickr.com/7228/6875163054_602ef1a6f5_o.jpg","width":2001,"height":1410,"displayUrl":"//live.staticflickr.com/7228/6875163054_602ef1a6f5_o.jpg"},"exportMetaType":"pojo"},"q":{"data":{"url":"//live.staticflickr.com/7228/6875163054_b1918caeda_q.jpg","width":150,"height":150,"displayUrl":"//live.staticflickr.com/7228/6875163054_b1918caeda_q.jpg"},"exportMetaType":"pojo"},"s":{"data":{"url":"//live.staticflickr.com/7228/6875163054_b1918caeda_m.jpg","width":240,"height":169,"displayUrl":"//live.staticflickr.com/7228/6875163054_b1918caeda_m.jpg"},"exportMetaType":"pojo"},"t":{"data":{"url":"//live.staticflickr.com/7228/6875163054_b1918caeda_t.jpg","width":100,"height":70,"displayUrl":"//live.staticflickr.com/7228/6875163054_b1918caeda_t.jpg"},"exportMetaType":"pojo"},"w":{"data":{"url":"//live.staticflickr.com/7228/6875163054_b1918caeda_w.jpg","width":400,"height":282,"displayUrl":"//live.staticflickr.com/7228/6875163054_b1918caeda_w.jpg"},"exportMetaType":"pojo"},"z":{"data":{"url":"//live.staticflickr.com/7228/6875163054_b1918caeda_z.jpg","width":640,"height":451,"displayUrl":"//live.staticflickr.com/7228/6875163054_b1918caeda_z.jpg"},"exportMetaType":"pojo"},"sq":{"data":{"url":"//live.staticflickr.com/7228/6875163054_b1918caeda_s.jpg","width":75,"height":75,"displayUrl":"//live.staticflickr.com/7228/6875163054_b1918caeda_s.jpg"},"exportMetaType":"pojo"}},"exportMetaType":"pojo"},"title":"Bakersfield National Cemetery","oWidth":2001,"secret":"b1918caeda","license":4,"oHeight":1410,"rotation":0,"canAddMeta":false,"canComment":false,"engagement":{"data":{"id":"6875163054","canShare":true,"ownerNsid":"98609821@N00","reactions":{"data":{"like":{"data":{"id":"like","count":5,"canReact":true,"didViewerReact":true},"exportMetaType":"pojo"},"someOtherReaction":{"data":{"id":"someOtherReaction","count":3,"canReact":true,"didViewerReact":false},"exportMetaType":"pojo"}},"exportMetaType":"pojo"},"viewCount":259,"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6875163054","_flickrModelRegistry":"photo-geo-models"},"exportMetaType":"model"}],"photo-location-models":[{"data":{"id":"6875163054","geo":{"data":"~2","exportMetaType":"model"},"text":"","levels":{"data":{},"exportMetaType":"pojo"},"staticMaps":{"data":{},"exportMetaType":"pojo"},"_flickrModelRegistry":"photo-location-models"},"exportMetaType":"model"}],"photo-head-meta-models":[{"data":{"id":"6875163054","title":"Bakersfield National Cemetery","og:url":"https://www.flickr.com/photos/juliejordanscott/6875163054/","og:type":"article","keywords":"bakersfieldnationalcemetery, samuelandmommysearchforghosttownsmotherhoodsamueladventureslovehistoryschoolproject","og:image":"https://live.staticflickr.com/7228/6875163054_b1918caeda_b.jpg","og:title":"Bakersfield National Cemetery","twitter:card":"summary_large_image","twitter:image":"https://live.staticflickr.com/7228/6875163054_b1918caeda_b.jpg","og:description":"","og:image:width":1024,"og:image:height":722,"twitter:creator":"@juliejordanscot","twitter:description":"Explore juliejordanscott's 67408 photos on Flickr!","_flickrModelRegistry":"photo-head-meta-models","twitter:app:url:ipad":"flickr://flickr.com/photos/juliejordanscott/6875163054/","twitter:app:url:iphone":"flickr://flickr.com/photos/juliejordanscott/6875163054/","twitter:app:url:googleplay":"https://www.flickr.com/photos/juliejordanscott/6875163054/"},"exportMetaType":"model"}],"photo-license-history-models":[]},"acquisition_file":"fl-6875163054.webp","source_html_file":"/Users/atincakcayoz/corteqs/output/bakersfield-production-20261023/flickr-source-pages/6875163054.html","original_file_url":"https://live.staticflickr.com/7228/6875163054_2fc7c7d7f8_k.jpg","proposed_identity":"Bakersfield National Cemetery","source_html_sha256":"afc51fe74f02d8c96eb5815c0c33beb6799ee0a2a9b4d1b9ce4c73b632b0cedf","third_party_rights_review":{"basis":"Kaynakta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dönüştürüldü.","original_file_url":"https://live.staticflickr.com/7228/6875163054_2fc7c7d7f8_k.jpg"},"metadata_reviewed_on":"2026-10-24","metadata_review_status":"verified"}}</x:v>
      </x:c>
    </x:row>
    <x:row r="162" ht="300" customHeight="1">
      <x:c r="A162" s="29" t="str">
        <x:v>bakersfield:evidence:venue-22127</x:v>
      </x:c>
      <x:c r="B162" s="29" t="str">
        <x:v>bakersfield</x:v>
      </x:c>
      <x:c r="C162" s="29" t="str">
        <x:v>bakersfield:photo:venue-22127</x:v>
      </x:c>
      <x:c r="D162" s="29" t="str">
        <x:v>https://commons.wikimedia.org/wiki/File:Kress_Bldg,_Bakersfield,_CA.jpg</x:v>
      </x:c>
      <x:c r="E162" s="29" t="str">
        <x:v>Kress Bldg, Bakersfield, CA.jpg</x:v>
      </x:c>
      <x:c r="F162" s="29" t="str">
        <x:v>Publichall</x:v>
      </x:c>
      <x:c r="G162" s="29" t="str">
        <x:v>CC BY-SA 4.0</x:v>
      </x:c>
      <x:c r="H162" s="29" t="str">
        <x:v>https://creativecommons.org/licenses/by-sa/4.0</x:v>
      </x:c>
      <x:c r="I162" s="29" t="str">
        <x:v>Creative Commons Attribution-Share Alike 4.0</x:v>
      </x:c>
      <x:c r="J162" s="29" t="str">
        <x:v>Kress Bldg, Bakersfield, CA.jpg · Publichall · CC BY-SA 4.0 · https://commons.wikimedia.org/wiki/File:Kress_Bldg,_Bakersfield,_CA.jpg</x:v>
      </x:c>
      <x:c r="K16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2" s="31" t="d">
        <x:v>2026-10-24T00:00:00.000Z</x:v>
      </x:c>
      <x:c r="M162" s="29" t="str">
        <x:v>Doğrulandı</x:v>
      </x:c>
      <x:c r="N162" s="29" t="str">
        <x:v>Doğrulandı</x:v>
      </x:c>
      <x:c r="O162" s="29" t="str">
        <x:v>Fotoğraflar/bk-16da3872dd8b7b56a8d88164.webp</x:v>
      </x:c>
      <x:c r="P162" s="29" t="str">
        <x:v>Kress Building · 2017 tarihli fotoğraf · İndirilen kare temas sayfasında görüldü; kaynak mekân kimliğiyle eşleştirildi. Seçim kaydı final-pixel-review.json.</x:v>
      </x:c>
      <x:c r="Q162" s="29" t="str">
        <x:v>Bu kare için uygun</x:v>
      </x:c>
      <x:c r="R16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2" s="29" t="str">
        <x:v>Lisans kanıtları/bk-16da3872dd8b7b56a8d88164.source-evidence.json</x:v>
      </x:c>
      <x:c r="T162" s="29" t="str">
        <x:v>5ebd41ace4f6ba2b7b1b079712aba56c5ee4c93293383aee47126ef53e2f646f</x:v>
      </x:c>
      <x:c r="U162" s="29" t="str">
        <x:v>Lisans kanıtları/bk-16da3872dd8b7b56a8d88164.license-record.json</x:v>
      </x:c>
      <x:c r="V162" s="29" t="str">
        <x:v>93b5cf6802d1c65a88be847b20e70bdc35bd7e5ad357894752f5b92ac447a088</x:v>
      </x:c>
      <x:c r="W162" s="29" t="str">
        <x:v>{"file":"bk-16da3872dd8b7b56a8d88164.webp","width":1280,"author":"Publichall","height":960,"sha256":"16da3872dd8b7b56a8d881645d10c42890c3d7a42b4d378d856639ba414e9b79","license":"CC BY-SA 4.0","imageinfo":{"url":"https://upload.wikimedia.org/wikipedia/commons/e/ea/Kress_Bldg%2C_Bakersfield%2C_CA.jpg?utm_source=commons.wikimedia.org&amp;utm_campaign=imageinfo&amp;utm_content=original","mime":"image/jpeg","sha1":"1ef2dc5099a9befcb47c57d7fe00590f1067172a","size":2513021,"width":3264,"height":2448,"pageid":116646794,"thumburl":"https://thumb.wikimedia.org/wikipedia/commons/thumb/e/ea/Kress_Bldg%2C_Bakersfield%2C_CA.jpg/1280px-Kress_Bldg%2C_Bakersfield%2C_CA.jpg?utm_source=commons.wikimedia.org&amp;utm_campaign=imageinfo&amp;utm_content=thumbnail","timestamp":"2022-04-04T05:11:12Z","thumbwidth":1280,"extmetadata":{"Artist":{"value":"&lt;a href=\"//commons.wikimedia.org/wiki/User:Publichall\" title=\"User:Publichall\"&gt;Publichall&lt;/a&gt;","source":"commons-desc-page"},"Credit":{"value":"&lt;span class=\"int-own-work\" lang=\"en\"&gt;Own work&lt;/span&gt;","source":"commons-desc-page"},"License":{"value":"cc-by-sa-4.0","hidden":"","source":"commons-templates"},"DateTime":{"value":"2022-04-04 05:11:12","hidden":"","source":"mediawiki-metadata"},"Categories":{"value":"Former Kress stores|Art Deco architecture in California|Built in California in 1931|Self-published work|Buildings in Bakersfield, California|Downtown Bakersfield, California","hidden":"","source":"commons-categories"},"LicenseUrl":{"value":"https://creativecommons.org/licenses/by-sa/4.0","source":"commons-desc-page"},"ObjectName":{"value":"Kress Bldg, Bakersfield, CA","source":"mediawiki-metadata"},"UsageTerms":{"value":"Creative Commons Attribution-Share Alike 4.0","source":"commons-desc-page"},"Assessments":{"value":"","hidden":"","source":"commons-categories"},"Copyrighted":{"value":"True","hidden":"","source":"commons-desc-page"},"Restrictions":{"value":"","hidden":"","source":"commons-desc-page"},"DateTimeOriginal":{"value":"2017-07-10 11:10:18","source":"commons-desc-page"},"ImageDescription":{"value":"The former Kress store in downtown Bakersfield, CA, built in 1931. Designed by company architect Edward Sibbert.","source":"commons-desc-page"},"LicenseShortName":{"value":"CC BY-SA 4.0","hidden":"","source":"commons-desc-page"},"AttributionRequired":{"value":"true","hidden":"","source":"commons-desc-page"},"CommonsMetadataExtension":{"value":1.2,"hidden":"","source":"extension"}},"thumbheight":960,"thumbattribs":{"src":"https://thumb.wikimedia.org/wikipedia/commons/thumb/e/ea/Kress_Bldg%2C_Bakersfield%2C_CA.jpg/1280px-Kress_Bldg%2C_Bakersfield%2C_CA.jpg?utm_source=commons.wikimedia.org&amp;utm_campaign=imageinfo&amp;utm_content=thumbnail","width":1280,"height":960,"srcset":"https://upload.wikimedia.org/wikipedia/commons/e/ea/Kress_Bldg%2C_Bakersfield%2C_CA.jpg?utm_source=commons.wikimedia.org&amp;utm_campaign=imageinfo&amp;utm_content=thumbnail_unscaled 2x","loading":"lazy","decoding":"async"},"descriptionurl":"https://commons.wikimedia.org/wiki/File:Kress_Bldg,_Bakersfield,_CA.jpg","responsiveUrls":{"2":"https://upload.wikimedia.org/wikipedia/commons/e/ea/Kress_Bldg%2C_Bakersfield%2C_CA.jpg?utm_source=commons.wikimedia.org&amp;utm_campaign=imageinfo&amp;utm_content=thumbnail_unscaled"},"descriptionshorturl":"https://commons.wikimedia.org/w/index.php?curid=116646794"},"selection":{"qid":"pending","kind":"candidate","title":"Bakersfield local buildings"},"author_url":"https://commons.wikimedia.org/wiki/User:Publichall","derivative":"Wikimedia thumbnail decoded; EXIF orientation applied; converted to WebP quality 86; no generated pixels, no cropping.","source_url":"https://commons.wikimedia.org/wiki/File:Kress_Bldg,_Bakersfield,_CA.jpg","author_urls":["https://commons.wikimedia.org/wiki/User:Publichall"],"description":"The former Kress store in downtown Bakersfield, CA, built in 1931. Designed by company architect Edward Sibbert.","license_url":"https://creativecommons.org/licenses/by-sa/4.0","reviewed_on":"2026-10-24","capture_date":"2017-07-10 11:10:18","download_url":"https://thumb.wikimedia.org/wikipedia/commons/thumb/e/ea/Kress_Bldg%2C_Bakersfield%2C_CA.jpg/1280px-Kress_Bldg%2C_Bakersfield%2C_CA.jpg?utm_source=commons.wikimedia.org&amp;utm_campaign=imageinfo&amp;utm_content=thumbnail","original_url":"https://upload.wikimedia.org/wikipedia/commons/e/ea/Kress_Bldg%2C_Bakersfield%2C_CA.jpg?utm_source=commons.wikimedia.org&amp;utm_campaign=imageinfo&amp;utm_content=original","pixel_review":{"method":"İndirilen kare temas sayfasında görüldü; kaynak mekân kimliğiyle eşleştirildi. Seçim kaydı final-pixel-review.json.","status":"verified","caption":"Kress Building · 2017 tarihli fotoğraf","reviewer":"Codex (AI)","review_id":"C190"},"downloaded_at":"2026-10-23T19:08:46.515497+00:00","download_sha256":"3def799e5eb13c2d7794d7dbcbf408eec034a9334e9c1520918e658498f76b93","downloaded_file":"downloads/3def799e5eb13c2d7794d7dbcbf408eec034a9334e9c1520918e658498f76b93.jpg","acquisition_file":"a0fde4597d30ec81dfd9d788.webp","commons_filename":"Kress Bldg, Bakersfield, CA.jpg","original_file_url":"https://upload.wikimedia.org/wikipedia/commons/e/ea/Kress_Bldg%2C_Bakersfield%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dönüştürüldü.","photo_attribution":{"author_url":"https://commons.wikimedia.org/wiki/User:Publichall","modifications":"EXIF yönü uygulandı; boyut küçültülüp WebP biçimine dönüştürüldü.","original_file_url":"https://upload.wikimedia.org/wikipedia/commons/e/ea/Kress_Bldg%2C_Bakersfield%2C_CA.jpg?utm_source=commons.wikimedia.org&amp;utm_campaign=imageinfo&amp;utm_content=original"},"metadata_reviewed_on":"2026-10-24","metadata_review_status":"verified"}}</x:v>
      </x:c>
    </x:row>
    <x:row r="163" ht="300" customHeight="1">
      <x:c r="A163" s="29" t="str">
        <x:v>bakersfield:evidence:venue-22128</x:v>
      </x:c>
      <x:c r="B163" s="29" t="str">
        <x:v>bakersfield</x:v>
      </x:c>
      <x:c r="C163" s="29" t="str">
        <x:v>bakersfield:photo:venue-22128</x:v>
      </x:c>
      <x:c r="D163" s="29" t="str">
        <x:v>https://www.flickr.com/photos/32693718@N07/54742773204/</x:v>
      </x:c>
      <x:c r="E163" s="29" t="str">
        <x:v>Kress Building · 2024 tarihli fotoğraf</x:v>
      </x:c>
      <x:c r="F163" s="29" t="str">
        <x:v>David Wilson</x:v>
      </x:c>
      <x:c r="G163" s="29" t="str">
        <x:v>CC BY 4.0</x:v>
      </x:c>
      <x:c r="H163" s="29" t="str">
        <x:v>https://creativecommons.org/licenses/by/4.0/</x:v>
      </x:c>
      <x:c r="I163" s="29" t="str">
        <x:v>CC BY 4.0</x:v>
      </x:c>
      <x:c r="J163" s="29" t="str">
        <x:v>Kress Building · 2024 tarihli fotoğraf · David Wilson · CC BY 4.0 · https://www.flickr.com/photos/32693718@N07/54742773204/</x:v>
      </x:c>
      <x:c r="K16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3" s="31" t="d">
        <x:v>2026-10-24T00:00:00.000Z</x:v>
      </x:c>
      <x:c r="M163" s="29" t="str">
        <x:v>Doğrulandı</x:v>
      </x:c>
      <x:c r="N163" s="29" t="str">
        <x:v>Doğrulandı</x:v>
      </x:c>
      <x:c r="O163" s="29" t="str">
        <x:v>Fotoğraflar/bk-45662a40fe25586925cc8cc4.webp</x:v>
      </x:c>
      <x:c r="P163" s="29" t="str">
        <x:v>Kress Building · 2024 tarihli fotoğraf · İndirilen kare temas sayfasında görüldü; kaynak mekân kimliğiyle eşleştirildi. Seçim kaydı final-pixel-review.json.</x:v>
      </x:c>
      <x:c r="Q163" s="29" t="str">
        <x:v>Bu kare için uygun</x:v>
      </x:c>
      <x:c r="R16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3" s="29" t="str">
        <x:v>Lisans kanıtları/bk-45662a40fe25586925cc8cc4.source-evidence.json</x:v>
      </x:c>
      <x:c r="T163" s="29" t="str">
        <x:v>b587fd85efe578abd4c03e6eeff1008208d49d76cb1b208224bf711d0dc688e5</x:v>
      </x:c>
      <x:c r="U163" s="29" t="str">
        <x:v>Lisans kanıtları/bk-45662a40fe25586925cc8cc4.license-record.json</x:v>
      </x:c>
      <x:c r="V163" s="29" t="str">
        <x:v>681134c272454e5346abe06a2bc049922c810d960bc96f9376ea0b0ede6421d6</x:v>
      </x:c>
      <x:c r="W163" s="29" t="str">
        <x:v>{"file":"bk-45662a40fe25586925cc8cc4.webp","width":1024,"author":"David Wilson","height":768,"sha256":"45662a40fe25586925cc8cc4563c63f8124dfc27b4be6dd03b41dcef45bfcfba","status":"reviewed-selected","license":"CC BY 4.0","provider":"Flickr","review_id":"F9","source_id":"54742773204","author_url":"https://www.flickr.com/photos/32693718@N07/","date_texts":["Uploaded on August 25, 2025 Taken on September 16, 2024","Taken on September 16, 2024","Uploaded on August 25, 2025 Taken on September 16, 2024","Taken on September 16, 2024"],"source_url":"https://www.flickr.com/photos/32693718@N07/54742773204/","description":"","license_url":"https://creativecommons.org/licenses/by/4.0/","review_note":"Cephe yazısı ve mimari ayrıntı; 2024 kaynak tarihi doğrulanmalı.","reviewed_on":"2026-10-24","source_text":"20240916 1429 Bakersfield, California | David Wilson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Wilson davidwilson1949 20240916 1429 Bakersfield, California Done 383 views 0 faves 0 comments Uploaded on August 25, 2025 Taken on September 16, 2024 David Wilson By: David Wilson 20240916 1429 Bakersfield, California Done 383 views 0 faves 0 comments Uploaded on August 25, 2025 Taken on September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photography.","capture_date":"2024-09-16","download_url":"https://live.staticflickr.com/65535/54742773204_30d9a10d00_b.jpg","original_url":"https://live.staticflickr.com/65535/54742773204_c2f5a98263_4k.jpg","pixel_review":{"method":"İndirilen kare temas sayfasında görüldü; kaynak mekân kimliğiyle eşleştirildi. Seçim kaydı final-pixel-review.json.","status":"verified","caption":"Kress Building · 2024 tarihli fotoğraf","reviewer":"Codex (AI)","review_id":"F9"},"source_title":"20240916 1429 Bakersfield, California","downloaded_at":"2026-10-23T19:50:04.326868+00:00","download_sha256":"ede54046bc9c7764c93ee53fa90c8e8991e860c781b7d7ab012b1db89e91c012","downloaded_file":"downloads/ede54046bc9c7764c93ee53fa90c8e8991e860c781b7d7ab012b1db89e91c012.jpg","public_metadata":{"photo-models":[{"data":{"id":"54742773204","owner":{"data":{"id":"32693718@N07","isPro":true,"newFlow":true,"isAdFree":false,"location":"Oak Park, Illinois, USA","proBadge":"standard","realname":"David Wilson","segments":{"data":[],"exportMetaType":"array"},"username":"davidwilson1949","buddyicon":{"data":{"large":"//farm66.staticflickr.com/65535/buddyicons/32693718@N07_l.jpg?1662413977#32693718@N07","small":"//farm66.staticflickr.com/65535/buddyicons/32693718@N07_s.jpg?1662413977#32693718@N07","medium":"//farm66.staticflickr.com/65535/buddyicons/32693718@N07_m.jpg?1662413977#32693718@N07","retina":"//farm66.staticflickr.com/65535/buddyicons/32693718@N07_r.jpg?1662413977#32693718@N07","default":"//farm66.staticflickr.com/65535/buddyicons/32693718@N07.jpg?1662413977#32693718@N07"},"exportMetaType":"pojo"},"pathAlias":"davidwilson1949","dateCreated":{"data":"1227455693","exportMetaType":"serializeFunction"},"subscription":{"data":{"isPro":false,"isClosed":false,"isPastDue":false},"exportMetaType":"pojo"},"eligibleGifts":{"data":["year","month","week"],"exportMetaType":"array"},"isEligibleForGifts":true,"_flickrModelRegistry":"person-models"},"exportMetaType":"model"},"sizes":{"data":{"c":{"data":{"url":"//live.staticflickr.com/65535/54742773204_30d9a10d00_c.jpg","width":800,"height":600,"displayUrl":"//live.staticflickr.com/65535/54742773204_30d9a10d00_c.jpg"},"exportMetaType":"pojo"},"h":{"data":{"url":"//live.staticflickr.com/65535/54742773204_92ee35863e_h.jpg","width":1600,"height":1200,"displayUrl":"//live.staticflickr.com/65535/54742773204_92ee35863e_h.jpg"},"exportMetaType":"pojo"},"k":{"data":{"url":"//live.staticflickr.com/65535/54742773204_a054ac5fdb_k.jpg","width":2048,"height":1536,"displayUrl":"//live.staticflickr.com/65535/54742773204_a054ac5fdb_k.jpg"},"exportMetaType":"pojo"},"l":{"data":{"url":"//live.staticflickr.com/65535/54742773204_30d9a10d00_b.jpg","width":1024,"height":768,"displayUrl":"//live.staticflickr.com/65535/54742773204_30d9a10d00_b.jpg"},"exportMetaType":"pojo"},"m":{"data":{"url":"//live.staticflickr.com/65535/54742773204_30d9a10d00.jpg","width":500,"height":375,"displayUrl":"//live.staticflickr.com/65535/54742773204_30d9a10d00.jpg"},"exportMetaType":"pojo"},"n":{"data":{"url":"//live.staticflickr.com/65535/54742773204_30d9a10d00_n.jpg","width":320,"height":240,"displayUrl":"//live.staticflickr.com/65535/54742773204_30d9a10d00_n.jpg"},"exportMetaType":"pojo"},"o":{"data":{"url":"//live.staticflickr.com/65535/54742773204_655000c388_o.jpg","width":3648,"height":2736,"displayUrl":"//live.staticflickr.com/65535/54742773204_655000c388_o.jpg"},"exportMetaType":"pojo"},"q":{"data":{"url":"//live.staticflickr.com/65535/54742773204_30d9a10d00_q.jpg","width":150,"height":150,"displayUrl":"//live.staticflickr.com/65535/54742773204_30d9a10d00_q.jpg"},"exportMetaType":"pojo"},"s":{"data":{"url":"//live.staticflickr.com/65535/54742773204_30d9a10d00_m.jpg","width":240,"height":180,"displayUrl":"//live.staticflickr.com/65535/54742773204_30d9a10d00_m.jpg"},"exportMetaType":"pojo"},"t":{"data":{"url":"//live.staticflickr.com/65535/54742773204_30d9a10d00_t.jpg","width":100,"height":75,"displayUrl":"//live.staticflickr.com/65535/54742773204_30d9a10d00_t.jpg"},"exportMetaType":"pojo"},"w":{"data":{"url":"//live.staticflickr.com/65535/54742773204_30d9a10d00_w.jpg","width":400,"height":300,"displayUrl":"//live.staticflickr.com/65535/54742773204_30d9a10d00_w.jpg"},"exportMetaType":"pojo"},"z":{"data":{"url":"//live.staticflickr.com/65535/54742773204_30d9a10d00_z.jpg","width":640,"height":480,"displayUrl":"//live.staticflickr.com/65535/54742773204_30d9a10d00_z.jpg"},"exportMetaType":"pojo"},"3k":{"data":{"url":"//live.staticflickr.com/65535/54742773204_0da2caca0a_3k.jpg","width":3072,"height":2304,"displayUrl":"//live.staticflickr.com/65535/54742773204_0da2caca0a_3k.jpg"},"exportMetaType":"pojo"},"4k":{"data":{"url":"//live.staticflickr.com/65535/54742773204_c2f5a98263_4k.jpg","width":3648,"height":2736,"displayUrl":"//live.staticflickr.com/65535/54742773204_c2f5a98263_4k.jpg"},"exportMetaType":"pojo"},"sq":{"data":{"url":"//live.staticflickr.com/65535/54742773204_30d9a10d00_s.jpg","width":75,"height":75,"displayUrl":"//live.staticflickr.com/65535/54742773204_30d9a10d00_s.jpg"},"exportMetaType":"pojo"}},"exportMetaType":"pojo"},"title":"20240916 1429 Bakersfield, California","oWidth":3648,"secret":"30d9a10d00","license":11,"oHeight":2736,"rotation":0,"canAddMeta":false,"canComment":false,"engagement":{"data":{"id":"54742773204","canShare":true,"ownerNsid":"32693718@N07","reactions":{"data":{"like":{"data":{"id":"like","count":5,"canReact":true,"didViewerReact":true},"exportMetaType":"pojo"},"someOtherReaction":{"data":{"id":"someOtherReaction","count":3,"canReact":true,"didViewerReact":false},"exportMetaType":"pojo"}},"exportMetaType":"pojo"},"viewCount":383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54742773204","hasGeo":true,"accuracy":15,"isPublic":true,"latitude":35.376366,"longitude":-119.017753,"_flickrModelRegistry":"photo-geo-models"},"exportMetaType":"model"}],"photo-location-models":[{"data":{"id":"54742773204","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54742773204","title":"20240916 1429 Bakersfield, California","og:url":"https://www.flickr.com/photos/davidwilson1949/54742773204/","og:type":"article","keywords":"bakersfield, california","og:image":"https://live.staticflickr.com/65535/54742773204_30d9a10d00_b.jpg","og:title":"20240916 1429 Bakersfield, California","twitter:card":"summary_large_image","twitter:image":"https://live.staticflickr.com/65535/54742773204_30d9a10d00_b.jpg","og:description":"","og:image:width":1024,"og:image:height":768,"twitter:description":"Explore davidwilson1949's 41972 photos on Flickr!","_flickrModelRegistry":"photo-head-meta-models","twitter:app:url:ipad":"flickr://flickr.com/photos/davidwilson1949/54742773204/","twitter:app:url:iphone":"flickr://flickr.com/photos/davidwilson1949/54742773204/","twitter:app:url:googleplay":"https://www.flickr.com/photos/davidwilson1949/54742773204/"},"exportMetaType":"model"}],"photo-license-history-models":[]},"acquisition_file":"fl-54742773204.webp","source_html_file":"/Users/atincakcayoz/corteqs/output/bakersfield-production-20261023/flickr-source-pages/54742773204.html","original_file_url":"https://live.staticflickr.com/65535/54742773204_c2f5a98263_4k.jpg","proposed_identity":"Kress Building","source_html_sha256":"3efdd7b6e7fd9efd521960b258f345c2706bdfd257d52d8ed2ccaec406722249","third_party_rights_review":{"basis":"Kaynakta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dönüştürüldü.","photo_attribution":{"author_url":"https://www.flickr.com/photos/32693718@N07/","modifications":"EXIF yönü uygulandı; boyut küçültülüp WebP biçimine dönüştürüldü.","original_file_url":"https://live.staticflickr.com/65535/54742773204_c2f5a98263_4k.jpg"},"metadata_reviewed_on":"2026-10-24","metadata_review_status":"verified"}}</x:v>
      </x:c>
    </x:row>
    <x:row r="164" ht="300" customHeight="1">
      <x:c r="A164" s="29" t="str">
        <x:v>bakersfield:evidence:venue-22129</x:v>
      </x:c>
      <x:c r="B164" s="29" t="str">
        <x:v>bakersfield</x:v>
      </x:c>
      <x:c r="C164" s="29" t="str">
        <x:v>bakersfield:photo:venue-22129</x:v>
      </x:c>
      <x:c r="D164" s="29" t="str">
        <x:v>https://www.flickr.com/photos/32693718@N07/54742545931/</x:v>
      </x:c>
      <x:c r="E164" s="29" t="str">
        <x:v>Kress Building · 2024 tarihli fotoğraf</x:v>
      </x:c>
      <x:c r="F164" s="29" t="str">
        <x:v>David Wilson</x:v>
      </x:c>
      <x:c r="G164" s="29" t="str">
        <x:v>CC BY 4.0</x:v>
      </x:c>
      <x:c r="H164" s="29" t="str">
        <x:v>https://creativecommons.org/licenses/by/4.0/</x:v>
      </x:c>
      <x:c r="I164" s="29" t="str">
        <x:v>CC BY 4.0</x:v>
      </x:c>
      <x:c r="J164" s="29" t="str">
        <x:v>Kress Building · 2024 tarihli fotoğraf · David Wilson · CC BY 4.0 · https://www.flickr.com/photos/32693718@N07/54742545931/</x:v>
      </x:c>
      <x:c r="K16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4" s="31" t="d">
        <x:v>2026-10-24T00:00:00.000Z</x:v>
      </x:c>
      <x:c r="M164" s="29" t="str">
        <x:v>Doğrulandı</x:v>
      </x:c>
      <x:c r="N164" s="29" t="str">
        <x:v>Doğrulandı</x:v>
      </x:c>
      <x:c r="O164" s="29" t="str">
        <x:v>Fotoğraflar/bk-8a5642994e54aab3bbb025d3.webp</x:v>
      </x:c>
      <x:c r="P164" s="29" t="str">
        <x:v>Kress Building · 2024 tarihli fotoğraf · İndirilen kare temas sayfasında görüldü; kaynak mekân kimliğiyle eşleştirildi. Seçim kaydı final-pixel-review.json.</x:v>
      </x:c>
      <x:c r="Q164" s="29" t="str">
        <x:v>Bu kare için uygun</x:v>
      </x:c>
      <x:c r="R16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4" s="29" t="str">
        <x:v>Lisans kanıtları/bk-8a5642994e54aab3bbb025d3.source-evidence.json</x:v>
      </x:c>
      <x:c r="T164" s="29" t="str">
        <x:v>a68e11f060474b76dc71ad114ba78aac240f08413459344f73000f4aa53260d8</x:v>
      </x:c>
      <x:c r="U164" s="29" t="str">
        <x:v>Lisans kanıtları/bk-8a5642994e54aab3bbb025d3.license-record.json</x:v>
      </x:c>
      <x:c r="V164" s="29" t="str">
        <x:v>08b9d2fb8a96f496ec53718191f3cea535e94956c9deb93557509589fa868332</x:v>
      </x:c>
      <x:c r="W164" s="29" t="str">
        <x:v>{"file":"bk-8a5642994e54aab3bbb025d3.webp","width":768,"author":"David Wilson","height":1024,"sha256":"8a5642994e54aab3bbb025d300b3a1f1cb7e748d4b6b8306d647757a5c8016f6","status":"reviewed-selected","license":"CC BY 4.0","provider":"Flickr","review_id":"F15","source_id":"54742545931","author_url":"https://www.flickr.com/photos/32693718@N07/","date_texts":["Uploaded on August 25, 2025 Taken on September 16, 2024","Taken on September 16, 2024","Uploaded on August 25, 2025 Taken on September 16, 2024","Taken on September 16, 2024"],"source_url":"https://www.flickr.com/photos/32693718@N07/54742545931/","description":"","license_url":"https://creativecommons.org/licenses/by/4.0/","review_note":"Sokaktan tüm cephe; yakın tekrar ve Commons eşleşmesi kontrol edilecek.","reviewed_on":"2026-10-24","source_text":"20240916 1428 Bakersfield, California | David Wilson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Wilson davidwilson1949 20240916 1428 Bakersfield, California Done 367 views 0 faves 0 comments Uploaded on August 25, 2025 Taken on September 16, 2024 David Wilson By: David Wilson 20240916 1428 Bakersfield, California Done 367 views 0 faves 0 comments Uploaded on August 25, 2025 Taken on September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photography.","capture_date":"2024-09-16","download_url":"https://live.staticflickr.com/65535/54742545931_f6d553d362_b.jpg","original_url":"https://live.staticflickr.com/65535/54742545931_1fdf00771d_4k.jpg","pixel_review":{"method":"İndirilen kare temas sayfasında görüldü; kaynak mekân kimliğiyle eşleştirildi. Seçim kaydı final-pixel-review.json.","status":"verified","caption":"Kress Building · 2024 tarihli fotoğraf","reviewer":"Codex (AI)","review_id":"F15"},"source_title":"20240916 1428 Bakersfield, California","downloaded_at":"2026-10-23T19:50:04.914141+00:00","download_sha256":"6bae0872587cc5efdeebcca233bfdfb39403740578f025e77ace980bb120a175","downloaded_file":"downloads/6bae0872587cc5efdeebcca233bfdfb39403740578f025e77ace980bb120a175.jpg","public_metadata":{"photo-models":[{"data":{"id":"54742545931","owner":{"data":{"id":"32693718@N07","isPro":true,"newFlow":true,"isAdFree":false,"location":"Oak Park, Illinois, USA","proBadge":"standard","realname":"David Wilson","segments":{"data":[],"exportMetaType":"array"},"username":"davidwilson1949","buddyicon":{"data":{"large":"//farm66.staticflickr.com/65535/buddyicons/32693718@N07_l.jpg?1662413977#32693718@N07","small":"//farm66.staticflickr.com/65535/buddyicons/32693718@N07_s.jpg?1662413977#32693718@N07","medium":"//farm66.staticflickr.com/65535/buddyicons/32693718@N07_m.jpg?1662413977#32693718@N07","retina":"//farm66.staticflickr.com/65535/buddyicons/32693718@N07_r.jpg?1662413977#32693718@N07","default":"//farm66.staticflickr.com/65535/buddyicons/32693718@N07.jpg?1662413977#32693718@N07"},"exportMetaType":"pojo"},"pathAlias":"davidwilson1949","dateCreated":{"data":"1227455693","exportMetaType":"serializeFunction"},"subscription":{"data":{"isPro":false,"isClosed":false,"isPastDue":false},"exportMetaType":"pojo"},"eligibleGifts":{"data":["year","month","week"],"exportMetaType":"array"},"isEligibleForGifts":true,"_flickrModelRegistry":"person-models"},"exportMetaType":"model"},"sizes":{"data":{"c":{"data":{"url":"//live.staticflickr.com/65535/54742545931_f6d553d362_c.jpg","width":600,"height":800,"displayUrl":"//live.staticflickr.com/65535/54742545931_f6d553d362_c.jpg"},"exportMetaType":"pojo"},"h":{"data":{"url":"//live.staticflickr.com/65535/54742545931_772a4a4960_h.jpg","width":1200,"height":1600,"displayUrl":"//live.staticflickr.com/65535/54742545931_772a4a4960_h.jpg"},"exportMetaType":"pojo"},"k":{"data":{"url":"//live.staticflickr.com/65535/54742545931_12cb427b9c_k.jpg","width":1536,"height":2048,"displayUrl":"//live.staticflickr.com/65535/54742545931_12cb427b9c_k.jpg"},"exportMetaType":"pojo"},"l":{"data":{"url":"//live.staticflickr.com/65535/54742545931_f6d553d362_b.jpg","width":768,"height":1024,"displayUrl":"//live.staticflickr.com/65535/54742545931_f6d553d362_b.jpg"},"exportMetaType":"pojo"},"m":{"data":{"url":"//live.staticflickr.com/65535/54742545931_f6d553d362.jpg","width":375,"height":500,"displayUrl":"//live.staticflickr.com/65535/54742545931_f6d553d362.jpg"},"exportMetaType":"pojo"},"n":{"data":{"url":"//live.staticflickr.com/65535/54742545931_f6d553d362_n.jpg","width":240,"height":320,"displayUrl":"//live.staticflickr.com/65535/54742545931_f6d553d362_n.jpg"},"exportMetaType":"pojo"},"o":{"data":{"url":"//live.staticflickr.com/65535/54742545931_c0e8343d66_o.jpg","width":3648,"height":2736,"displayUrl":"//live.staticflickr.com/65535/54742545931_c0e8343d66_o.jpg"},"exportMetaType":"pojo"},"q":{"data":{"url":"//live.staticflickr.com/65535/54742545931_f6d553d362_q.jpg","width":150,"height":150,"displayUrl":"//live.staticflickr.com/65535/54742545931_f6d553d362_q.jpg"},"exportMetaType":"pojo"},"s":{"data":{"url":"//live.staticflickr.com/65535/54742545931_f6d553d362_m.jpg","width":180,"height":240,"displayUrl":"//live.staticflickr.com/65535/54742545931_f6d553d362_m.jpg"},"exportMetaType":"pojo"},"t":{"data":{"url":"//live.staticflickr.com/65535/54742545931_f6d553d362_t.jpg","width":75,"height":100,"displayUrl":"//live.staticflickr.com/65535/54742545931_f6d553d362_t.jpg"},"exportMetaType":"pojo"},"w":{"data":{"url":"//live.staticflickr.com/65535/54742545931_f6d553d362_w.jpg","width":300,"height":400,"displayUrl":"//live.staticflickr.com/65535/54742545931_f6d553d362_w.jpg"},"exportMetaType":"pojo"},"z":{"data":{"url":"//live.staticflickr.com/65535/54742545931_f6d553d362_z.jpg","width":480,"height":640,"displayUrl":"//live.staticflickr.com/65535/54742545931_f6d553d362_z.jpg"},"exportMetaType":"pojo"},"3k":{"data":{"url":"//live.staticflickr.com/65535/54742545931_faa6cf36cd_3k.jpg","width":2304,"height":3072,"displayUrl":"//live.staticflickr.com/65535/54742545931_faa6cf36cd_3k.jpg"},"exportMetaType":"pojo"},"4k":{"data":{"url":"//live.staticflickr.com/65535/54742545931_1fdf00771d_4k.jpg","width":2736,"height":3648,"displayUrl":"//live.staticflickr.com/65535/54742545931_1fdf00771d_4k.jpg"},"exportMetaType":"pojo"},"sq":{"data":{"url":"//live.staticflickr.com/65535/54742545931_f6d553d362_s.jpg","width":75,"height":75,"displayUrl":"//live.staticflickr.com/65535/54742545931_f6d553d362_s.jpg"},"exportMetaType":"pojo"}},"exportMetaType":"pojo"},"title":"20240916 1428 Bakersfield, California","oWidth":3648,"secret":"f6d553d362","license":11,"oHeight":2736,"rotation":90,"canAddMeta":false,"canComment":false,"engagement":{"data":{"id":"54742545931","canShare":true,"ownerNsid":"32693718@N07","reactions":{"data":{"like":{"data":{"id":"like","count":5,"canReact":true,"didViewerReact":true},"exportMetaType":"pojo"},"someOtherReaction":{"data":{"id":"someOtherReaction","count":3,"canReact":true,"didViewerReact":false},"exportMetaType":"pojo"}},"exportMetaType":"pojo"},"viewCount":367,"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54742545931","hasGeo":true,"accuracy":15,"isPublic":true,"latitude":35.376366,"longitude":-119.017753,"_flickrModelRegistry":"photo-geo-models"},"exportMetaType":"model"}],"photo-location-models":[{"data":{"id":"54742545931","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54742545931","title":"20240916 1428 Bakersfield, California","og:url":"https://www.flickr.com/photos/davidwilson1949/54742545931/","og:type":"article","keywords":"bakersfield, california","og:image":"https://live.staticflickr.com/65535/54742545931_f6d553d362_b.jpg","og:title":"20240916 1428 Bakersfield, California","twitter:card":"summary_large_image","twitter:image":"https://live.staticflickr.com/65535/54742545931_f6d553d362_b.jpg","og:description":"","og:image:width":768,"og:image:height":1024,"twitter:description":"Explore davidwilson1949's 41972 photos on Flickr!","_flickrModelRegistry":"photo-head-meta-models","twitter:app:url:ipad":"flickr://flickr.com/photos/davidwilson1949/54742545931/","twitter:app:url:iphone":"flickr://flickr.com/photos/davidwilson1949/54742545931/","twitter:app:url:googleplay":"https://www.flickr.com/photos/davidwilson1949/54742545931/"},"exportMetaType":"model"}],"photo-license-history-models":[]},"acquisition_file":"fl-54742545931.webp","source_html_file":"/Users/atincakcayoz/corteqs/output/bakersfield-production-20261023/flickr-source-pages/54742545931.html","original_file_url":"https://live.staticflickr.com/65535/54742545931_1fdf00771d_4k.jpg","proposed_identity":"Kress Building","source_html_sha256":"fc97aa7de8a7646df722e07044bf0b20570b0b4b3c58ec17bf96a0cbff939168","third_party_rights_review":{"basis":"Kaynakta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dönüştürüldü.","photo_attribution":{"author_url":"https://www.flickr.com/photos/32693718@N07/","modifications":"EXIF yönü uygulandı; boyut küçültülüp WebP biçimine dönüştürüldü.","original_file_url":"https://live.staticflickr.com/65535/54742545931_1fdf00771d_4k.jpg"},"metadata_reviewed_on":"2026-10-24","metadata_review_status":"verified"}}</x:v>
      </x:c>
    </x:row>
    <x:row r="165" ht="300" customHeight="1">
      <x:c r="A165" s="29" t="str">
        <x:v>bakersfield:evidence:venue-22130</x:v>
      </x:c>
      <x:c r="B165" s="29" t="str">
        <x:v>bakersfield</x:v>
      </x:c>
      <x:c r="C165" s="29" t="str">
        <x:v>bakersfield:photo:venue-22130</x:v>
      </x:c>
      <x:c r="D165" s="29" t="str">
        <x:v>https://www.flickr.com/photos/32693718@N07/54744950064/</x:v>
      </x:c>
      <x:c r="E165" s="29" t="str">
        <x:v>Kress Building · 2024 tarihli fotoğraf</x:v>
      </x:c>
      <x:c r="F165" s="29" t="str">
        <x:v>David Wilson</x:v>
      </x:c>
      <x:c r="G165" s="29" t="str">
        <x:v>CC BY 4.0</x:v>
      </x:c>
      <x:c r="H165" s="29" t="str">
        <x:v>https://creativecommons.org/licenses/by/4.0/</x:v>
      </x:c>
      <x:c r="I165" s="29" t="str">
        <x:v>CC BY 4.0</x:v>
      </x:c>
      <x:c r="J165" s="29" t="str">
        <x:v>Kress Building · 2024 tarihli fotoğraf · David Wilson · CC BY 4.0 · https://www.flickr.com/photos/32693718@N07/54744950064/</x:v>
      </x:c>
      <x:c r="K16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5" s="31" t="d">
        <x:v>2026-10-24T00:00:00.000Z</x:v>
      </x:c>
      <x:c r="M165" s="29" t="str">
        <x:v>Doğrulandı</x:v>
      </x:c>
      <x:c r="N165" s="29" t="str">
        <x:v>Doğrulandı</x:v>
      </x:c>
      <x:c r="O165" s="29" t="str">
        <x:v>Fotoğraflar/bk-2df6fe7222e18cfab47a2240.webp</x:v>
      </x:c>
      <x:c r="P165" s="29" t="str">
        <x:v>Kress Building · 2024 tarihli fotoğraf · İndirilen kare temas sayfasında görüldü; kaynak mekân kimliğiyle eşleştirildi. Seçim kaydı final-pixel-review.json.</x:v>
      </x:c>
      <x:c r="Q165" s="29" t="str">
        <x:v>Bu kare için uygun</x:v>
      </x:c>
      <x:c r="R16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5" s="29" t="str">
        <x:v>Lisans kanıtları/bk-2df6fe7222e18cfab47a2240.source-evidence.json</x:v>
      </x:c>
      <x:c r="T165" s="29" t="str">
        <x:v>53cd0e71b50ef66a7e4fb2f9531234e2fa6986ae61ebb3889688801058d0571d</x:v>
      </x:c>
      <x:c r="U165" s="29" t="str">
        <x:v>Lisans kanıtları/bk-2df6fe7222e18cfab47a2240.license-record.json</x:v>
      </x:c>
      <x:c r="V165" s="29" t="str">
        <x:v>788727d1de33253be5724da71b1297c118dad385e52821c9c0bec9f3042afc9c</x:v>
      </x:c>
      <x:c r="W165" s="29" t="str">
        <x:v>{"file":"bk-2df6fe7222e18cfab47a2240.webp","width":1024,"author":"David Wilson","height":768,"sha256":"2df6fe7222e18cfab47a224006cecb9c4d7a4c2353fd121ad39474967f11de79","status":"reviewed-selected","license":"CC BY 4.0","provider":"Flickr","review_id":"E149","source_id":"54744950064","author_url":"https://www.flickr.com/photos/32693718@N07/","date_texts":["Uploaded on August 25, 2025 Taken on September 16, 2024","Taken on September 16, 2024","Uploaded on August 25, 2025 Taken on September 16, 2024","Taken on September 16, 2024"],"source_url":"https://www.flickr.com/photos/32693718@N07/54744950064/","description":"","license_url":"https://creativecommons.org/licenses/by/4.0/","review_note":"Entrance lettering detail; compare F9/F15 for duplication.","reviewed_on":"2026-10-24","source_text":"20240916 1431 Bakersfield, California | David Wilson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Wilson davidwilson1949 20240916 1431 Bakersfield, California Done 182 views 0 faves 0 comments Uploaded on August 25, 2025 Taken on September 16, 2024 David Wilson By: David Wilson 20240916 1431 Bakersfield, California Done 182 views 0 faves 0 comments Uploaded on August 25, 2025 Taken on September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photography.","capture_date":"2024-09-16","download_url":"https://live.staticflickr.com/65535/54744950064_8ebfd93237_b.jpg","original_url":"https://live.staticflickr.com/65535/54744950064_3089f0dc0c_4k.jpg","pixel_review":{"method":"İndirilen kare temas sayfasında görüldü; kaynak mekân kimliğiyle eşleştirildi. Seçim kaydı final-pixel-review.json.","status":"verified","caption":"Kress Building · 2024 tarihli fotoğraf","reviewer":"Codex (AI)","review_id":"E149"},"source_title":"20240916 1431 Bakersfield, California","downloaded_at":"2026-10-23T19:50:39.763275+00:00","download_sha256":"dd524765f72a6b46ce0adb78c7c30ec5b615bab30c0f55672babfa5984afa8b4","downloaded_file":"downloads/dd524765f72a6b46ce0adb78c7c30ec5b615bab30c0f55672babfa5984afa8b4.jpg","public_metadata":{"photo-models":[{"data":{"id":"54744950064","owner":{"data":{"id":"32693718@N07","isPro":true,"newFlow":true,"isAdFree":false,"location":"Oak Park, Illinois, USA","proBadge":"standard","realname":"David Wilson","segments":{"data":[],"exportMetaType":"array"},"username":"davidwilson1949","buddyicon":{"data":{"large":"//farm66.staticflickr.com/65535/buddyicons/32693718@N07_l.jpg?1662413977#32693718@N07","small":"//farm66.staticflickr.com/65535/buddyicons/32693718@N07_s.jpg?1662413977#32693718@N07","medium":"//farm66.staticflickr.com/65535/buddyicons/32693718@N07_m.jpg?1662413977#32693718@N07","retina":"//farm66.staticflickr.com/65535/buddyicons/32693718@N07_r.jpg?1662413977#32693718@N07","default":"//farm66.staticflickr.com/65535/buddyicons/32693718@N07.jpg?1662413977#32693718@N07"},"exportMetaType":"pojo"},"pathAlias":"davidwilson1949","dateCreated":{"data":"1227455693","exportMetaType":"serializeFunction"},"subscription":{"data":{"isPro":false,"isClosed":false,"isPastDue":false},"exportMetaType":"pojo"},"eligibleGifts":{"data":["year","month","week"],"exportMetaType":"array"},"isEligibleForGifts":true,"_flickrModelRegistry":"person-models"},"exportMetaType":"model"},"sizes":{"data":{"c":{"data":{"url":"//live.staticflickr.com/65535/54744950064_8ebfd93237_c.jpg","width":800,"height":600,"displayUrl":"//live.staticflickr.com/65535/54744950064_8ebfd93237_c.jpg"},"exportMetaType":"pojo"},"h":{"data":{"url":"//live.staticflickr.com/65535/54744950064_e0da66b19e_h.jpg","width":1600,"height":1200,"displayUrl":"//live.staticflickr.com/65535/54744950064_e0da66b19e_h.jpg"},"exportMetaType":"pojo"},"k":{"data":{"url":"//live.staticflickr.com/65535/54744950064_8ae0f184c5_k.jpg","width":2048,"height":1536,"displayUrl":"//live.staticflickr.com/65535/54744950064_8ae0f184c5_k.jpg"},"exportMetaType":"pojo"},"l":{"data":{"url":"//live.staticflickr.com/65535/54744950064_8ebfd93237_b.jpg","width":1024,"height":768,"displayUrl":"//live.staticflickr.com/65535/54744950064_8ebfd93237_b.jpg"},"exportMetaType":"pojo"},"m":{"data":{"url":"//live.staticflickr.com/65535/54744950064_8ebfd93237.jpg","width":500,"height":375,"displayUrl":"//live.staticflickr.com/65535/54744950064_8ebfd93237.jpg"},"exportMetaType":"pojo"},"n":{"data":{"url":"//live.staticflickr.com/65535/54744950064_8ebfd93237_n.jpg","width":320,"height":240,"displayUrl":"//live.staticflickr.com/65535/54744950064_8ebfd93237_n.jpg"},"exportMetaType":"pojo"},"o":{"data":{"url":"//live.staticflickr.com/65535/54744950064_a84ae4196d_o.jpg","width":3648,"height":2736,"displayUrl":"//live.staticflickr.com/65535/54744950064_a84ae4196d_o.jpg"},"exportMetaType":"pojo"},"q":{"data":{"url":"//live.staticflickr.com/65535/54744950064_8ebfd93237_q.jpg","width":150,"height":150,"displayUrl":"//live.staticflickr.com/65535/54744950064_8ebfd93237_q.jpg"},"exportMetaType":"pojo"},"s":{"data":{"url":"//live.staticflickr.com/65535/54744950064_8ebfd93237_m.jpg","width":240,"height":180,"displayUrl":"//live.staticflickr.com/65535/54744950064_8ebfd93237_m.jpg"},"exportMetaType":"pojo"},"t":{"data":{"url":"//live.staticflickr.com/65535/54744950064_8ebfd93237_t.jpg","width":100,"height":75,"displayUrl":"//live.staticflickr.com/65535/54744950064_8ebfd93237_t.jpg"},"exportMetaType":"pojo"},"w":{"data":{"url":"//live.staticflickr.com/65535/54744950064_8ebfd93237_w.jpg","width":400,"height":300,"displayUrl":"//live.staticflickr.com/65535/54744950064_8ebfd93237_w.jpg"},"exportMetaType":"pojo"},"z":{"data":{"url":"//live.staticflickr.com/65535/54744950064_8ebfd93237_z.jpg","width":640,"height":480,"displayUrl":"//live.staticflickr.com/65535/54744950064_8ebfd93237_z.jpg"},"exportMetaType":"pojo"},"3k":{"data":{"url":"//live.staticflickr.com/65535/54744950064_065a805517_3k.jpg","width":3072,"height":2304,"displayUrl":"//live.staticflickr.com/65535/54744950064_065a805517_3k.jpg"},"exportMetaType":"pojo"},"4k":{"data":{"url":"//live.staticflickr.com/65535/54744950064_3089f0dc0c_4k.jpg","width":3648,"height":2736,"displayUrl":"//live.staticflickr.com/65535/54744950064_3089f0dc0c_4k.jpg"},"exportMetaType":"pojo"},"sq":{"data":{"url":"//live.staticflickr.com/65535/54744950064_8ebfd93237_s.jpg","width":75,"height":75,"displayUrl":"//live.staticflickr.com/65535/54744950064_8ebfd93237_s.jpg"},"exportMetaType":"pojo"}},"exportMetaType":"pojo"},"title":"20240916 1431 Bakersfield, California","oWidth":3648,"secret":"8ebfd93237","license":11,"oHeight":2736,"rotation":0,"canAddMeta":false,"canComment":false,"engagement":{"data":{"id":"54744950064","canShare":true,"ownerNsid":"32693718@N07","reactions":{"data":{"like":{"data":{"id":"like","count":5,"canReact":true,"didViewerReact":true},"exportMetaType":"pojo"},"someOtherReaction":{"data":{"id":"someOtherReaction","count":3,"canReact":true,"didViewerReact":false},"exportMetaType":"pojo"}},"exportMetaType":"pojo"},"viewCount":182,"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54744950064","hasGeo":true,"accuracy":15,"isPublic":true,"latitude":35.376366,"longitude":-119.017753,"_flickrModelRegistry":"photo-geo-models"},"exportMetaType":"model"}],"photo-location-models":[{"data":{"id":"54744950064","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54744950064","title":"20240916 1431 Bakersfield, California","og:url":"https://www.flickr.com/photos/davidwilson1949/54744950064/","og:type":"article","keywords":"bakersfield, california","og:image":"https://live.staticflickr.com/65535/54744950064_8ebfd93237_b.jpg","og:title":"20240916 1431 Bakersfield, California","twitter:card":"summary_large_image","twitter:image":"https://live.staticflickr.com/65535/54744950064_8ebfd93237_b.jpg","og:description":"","og:image:width":1024,"og:image:height":768,"twitter:description":"Explore davidwilson1949's 41972 photos on Flickr!","_flickrModelRegistry":"photo-head-meta-models","twitter:app:url:ipad":"flickr://flickr.com/photos/davidwilson1949/54744950064/","twitter:app:url:iphone":"flickr://flickr.com/photos/davidwilson1949/54744950064/","twitter:app:url:googleplay":"https://www.flickr.com/photos/davidwilson1949/54744950064/"},"exportMetaType":"model"}],"photo-license-history-models":[]},"acquisition_file":"fl-54744950064.webp","source_html_file":"/Users/atincakcayoz/corteqs/output/bakersfield-production-20261023/flickr-source-pages/54744950064.html","original_file_url":"https://live.staticflickr.com/65535/54744950064_3089f0dc0c_4k.jpg","proposed_identity":"Kress Building","source_html_sha256":"24cc381f42537cf92931954d0b4cb9a0d1e83019fba07c28be7656e40e9157de","third_party_rights_review":{"basis":"Kaynakta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dönüştürüldü.","photo_attribution":{"author_url":"https://www.flickr.com/photos/32693718@N07/","modifications":"EXIF yönü uygulandı; boyut küçültülüp WebP biçimine dönüştürüldü.","original_file_url":"https://live.staticflickr.com/65535/54744950064_3089f0dc0c_4k.jpg"},"metadata_reviewed_on":"2026-10-24","metadata_review_status":"verified"}}</x:v>
      </x:c>
    </x:row>
    <x:row r="166" ht="300" customHeight="1">
      <x:c r="A166" s="29" t="str">
        <x:v>bakersfield:evidence:venue-22131</x:v>
      </x:c>
      <x:c r="B166" s="29" t="str">
        <x:v>bakersfield</x:v>
      </x:c>
      <x:c r="C166" s="29" t="str">
        <x:v>bakersfield:photo:venue-22131</x:v>
      </x:c>
      <x:c r="D166" s="29" t="str">
        <x:v>https://commons.wikimedia.org/wiki/File:Haberfelde_Bldg,_Bakersfield,_CA.jpg</x:v>
      </x:c>
      <x:c r="E166" s="29" t="str">
        <x:v>Haberfelde Bldg, Bakersfield, CA.jpg</x:v>
      </x:c>
      <x:c r="F166" s="29" t="str">
        <x:v>Publichall</x:v>
      </x:c>
      <x:c r="G166" s="29" t="str">
        <x:v>CC BY-SA 4.0</x:v>
      </x:c>
      <x:c r="H166" s="29" t="str">
        <x:v>https://creativecommons.org/licenses/by-sa/4.0</x:v>
      </x:c>
      <x:c r="I166" s="29" t="str">
        <x:v>Creative Commons Attribution-Share Alike 4.0</x:v>
      </x:c>
      <x:c r="J166" s="29" t="str">
        <x:v>Haberfelde Bldg, Bakersfield, CA.jpg · Publichall · CC BY-SA 4.0 · https://commons.wikimedia.org/wiki/File:Haberfelde_Bldg,_Bakersfield,_CA.jpg</x:v>
      </x:c>
      <x:c r="K16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6" s="31" t="d">
        <x:v>2026-10-24T00:00:00.000Z</x:v>
      </x:c>
      <x:c r="M166" s="29" t="str">
        <x:v>Doğrulandı</x:v>
      </x:c>
      <x:c r="N166" s="29" t="str">
        <x:v>Doğrulandı</x:v>
      </x:c>
      <x:c r="O166" s="29" t="str">
        <x:v>Fotoğraflar/bk-14d692553858bfb0f488c9c7.webp</x:v>
      </x:c>
      <x:c r="P166" s="29" t="str">
        <x:v>Haberfelde Building · 2017 tarihli fotoğraf · İndirilen kare temas sayfasında görüldü; kaynak mekân kimliğiyle eşleştirildi. Seçim kaydı final-pixel-review.json.</x:v>
      </x:c>
      <x:c r="Q166" s="29" t="str">
        <x:v>Bu kare için uygun</x:v>
      </x:c>
      <x:c r="R16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6" s="29" t="str">
        <x:v>Lisans kanıtları/bk-14d692553858bfb0f488c9c7.source-evidence.json</x:v>
      </x:c>
      <x:c r="T166" s="29" t="str">
        <x:v>ca790f9879eaad449f937aa8dd721a23f4f2ee92b8f6022dc50e5c07e64d8a66</x:v>
      </x:c>
      <x:c r="U166" s="29" t="str">
        <x:v>Lisans kanıtları/bk-14d692553858bfb0f488c9c7.license-record.json</x:v>
      </x:c>
      <x:c r="V166" s="29" t="str">
        <x:v>d750b71eb3252d5e79e7cabeb1ec438ecf5d709b8c03098c11095c81680e9226</x:v>
      </x:c>
      <x:c r="W166" s="29" t="str">
        <x:v>{"file":"bk-14d692553858bfb0f488c9c7.webp","width":1280,"author":"Publichall","height":960,"sha256":"14d692553858bfb0f488c9c7a55255706bfac29f7baa4f8bc5fd41be69fd6119","license":"CC BY-SA 4.0","imageinfo":{"url":"https://upload.wikimedia.org/wikipedia/commons/1/17/Haberfelde_Bldg%2C_Bakersfield%2C_CA.jpg?utm_source=commons.wikimedia.org&amp;utm_campaign=imageinfo&amp;utm_content=original","mime":"image/jpeg","sha1":"4fd1d00a30d70bb46a20242f9c72917d7d270a55","size":2093960,"width":3264,"height":2448,"pageid":116646792,"thumburl":"https://thumb.wikimedia.org/wikipedia/commons/thumb/1/17/Haberfelde_Bldg%2C_Bakersfield%2C_CA.jpg/1280px-Haberfelde_Bldg%2C_Bakersfield%2C_CA.jpg?utm_source=commons.wikimedia.org&amp;utm_campaign=imageinfo&amp;utm_content=thumbnail","timestamp":"2022-04-04T05:11:11Z","thumbwidth":1280,"extmetadata":{"Artist":{"value":"&lt;a href=\"//commons.wikimedia.org/wiki/User:Publichall\" title=\"User:Publichall\"&gt;Publichall&lt;/a&gt;","source":"commons-desc-page"},"Credit":{"value":"&lt;span class=\"int-own-work\" lang=\"en\"&gt;Own work&lt;/span&gt;","source":"commons-desc-page"},"License":{"value":"cc-by-sa-4.0","hidden":"","source":"commons-templates"},"DateTime":{"value":"2022-04-04 05:11:11","hidden":"","source":"mediawiki-metadata"},"Categories":{"value":"Built in California in 1928|Self-published work|Buildings in Bakersfield, California|Downtown Bakersfield, California|Buildings by Charles H. Biggar","hidden":"","source":"commons-categories"},"LicenseUrl":{"value":"https://creativecommons.org/licenses/by-sa/4.0","source":"commons-desc-page"},"ObjectName":{"value":"Haberfelde Bldg, Bakersfield, CA","source":"mediawiki-metadata"},"UsageTerms":{"value":"Creative Commons Attribution-Share Alike 4.0","source":"commons-desc-page"},"Assessments":{"value":"","hidden":"","source":"commons-categories"},"Copyrighted":{"value":"True","hidden":"","source":"commons-desc-page"},"Restrictions":{"value":"","hidden":"","source":"commons-desc-page"},"DateTimeOriginal":{"value":"2017-07-10 11:05:24","source":"commons-desc-page"},"ImageDescription":{"value":"The Haberfelde Building, downtown Bakersfield, CA. Designed by local architect Charles H. Biggar for Charles and Clarisse Haberfelde, it was constructed in in several phases from 1927-9.","source":"commons-desc-page"},"LicenseShortName":{"value":"CC BY-SA 4.0","hidden":"","source":"commons-desc-page"},"AttributionRequired":{"value":"true","hidden":"","source":"commons-desc-page"},"CommonsMetadataExtension":{"value":1.2,"hidden":"","source":"extension"}},"thumbheight":960,"thumbattribs":{"src":"https://thumb.wikimedia.org/wikipedia/commons/thumb/1/17/Haberfelde_Bldg%2C_Bakersfield%2C_CA.jpg/1280px-Haberfelde_Bldg%2C_Bakersfield%2C_CA.jpg?utm_source=commons.wikimedia.org&amp;utm_campaign=imageinfo&amp;utm_content=thumbnail","width":1280,"height":960,"srcset":"https://upload.wikimedia.org/wikipedia/commons/1/17/Haberfelde_Bldg%2C_Bakersfield%2C_CA.jpg?utm_source=commons.wikimedia.org&amp;utm_campaign=imageinfo&amp;utm_content=thumbnail_unscaled 2x","loading":"lazy","decoding":"async"},"descriptionurl":"https://commons.wikimedia.org/wiki/File:Haberfelde_Bldg,_Bakersfield,_CA.jpg","responsiveUrls":{"2":"https://upload.wikimedia.org/wikipedia/commons/1/17/Haberfelde_Bldg%2C_Bakersfield%2C_CA.jpg?utm_source=commons.wikimedia.org&amp;utm_campaign=imageinfo&amp;utm_content=thumbnail_unscaled"},"descriptionshorturl":"https://commons.wikimedia.org/w/index.php?curid=116646792"},"selection":{"qid":"pending","kind":"candidate","title":"Bakersfield local buildings"},"author_url":"https://commons.wikimedia.org/wiki/User:Publichall","derivative":"Wikimedia thumbnail decoded; EXIF orientation applied; converted to WebP quality 86; no generated pixels, no cropping.","source_url":"https://commons.wikimedia.org/wiki/File:Haberfelde_Bldg,_Bakersfield,_CA.jpg","author_urls":["https://commons.wikimedia.org/wiki/User:Publichall"],"description":"The Haberfelde Building, downtown Bakersfield, CA. Designed by local architect Charles H. Biggar for Charles and Clarisse Haberfelde, it was constructed in in several phases from 1927-9.","license_url":"https://creativecommons.org/licenses/by-sa/4.0","reviewed_on":"2026-10-24","capture_date":"2017-07-10 11:05:24","download_url":"https://thumb.wikimedia.org/wikipedia/commons/thumb/1/17/Haberfelde_Bldg%2C_Bakersfield%2C_CA.jpg/1280px-Haberfelde_Bldg%2C_Bakersfield%2C_CA.jpg?utm_source=commons.wikimedia.org&amp;utm_campaign=imageinfo&amp;utm_content=thumbnail","original_url":"https://upload.wikimedia.org/wikipedia/commons/1/17/Haberfelde_Bldg%2C_Bakersfield%2C_CA.jpg?utm_source=commons.wikimedia.org&amp;utm_campaign=imageinfo&amp;utm_content=original","pixel_review":{"method":"İndirilen kare temas sayfasında görüldü; kaynak mekân kimliğiyle eşleştirildi. Seçim kaydı final-pixel-review.json.","status":"verified","caption":"Haberfelde Building · 2017 tarihli fotoğraf","reviewer":"Codex (AI)","review_id":"C148"},"downloaded_at":"2026-10-23T19:08:32.048553+00:00","download_sha256":"ef6d7abfe77f2ac52f11785c362eff2636cae22780523897780ea47160086229","downloaded_file":"downloads/ef6d7abfe77f2ac52f11785c362eff2636cae22780523897780ea47160086229.jpg","acquisition_file":"3bb4a42bf5820d347e630729.webp","commons_filename":"Haberfelde Bldg, Bakersfield, CA.jpg","original_file_url":"https://upload.wikimedia.org/wikipedia/commons/1/17/Haberfelde_Bldg%2C_Bakersfield%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dönüştürüldü.","photo_attribution":{"author_url":"https://commons.wikimedia.org/wiki/User:Publichall","modifications":"EXIF yönü uygulandı; boyut küçültülüp WebP biçimine dönüştürüldü.","original_file_url":"https://upload.wikimedia.org/wikipedia/commons/1/17/Haberfelde_Bldg%2C_Bakersfield%2C_CA.jpg?utm_source=commons.wikimedia.org&amp;utm_campaign=imageinfo&amp;utm_content=original"},"metadata_reviewed_on":"2026-10-24","metadata_review_status":"verified"}}</x:v>
      </x:c>
    </x:row>
    <x:row r="167" ht="300" customHeight="1">
      <x:c r="A167" s="29" t="str">
        <x:v>bakersfield:evidence:venue-22132</x:v>
      </x:c>
      <x:c r="B167" s="29" t="str">
        <x:v>bakersfield</x:v>
      </x:c>
      <x:c r="C167" s="29" t="str">
        <x:v>bakersfield:photo:venue-22132</x:v>
      </x:c>
      <x:c r="D167" s="29" t="str">
        <x:v>https://www.flickr.com/photos/32693718@N07/54744946573/</x:v>
      </x:c>
      <x:c r="E167" s="29" t="str">
        <x:v>Haberfelde Building · 2024 tarihli fotoğraf</x:v>
      </x:c>
      <x:c r="F167" s="29" t="str">
        <x:v>David Wilson</x:v>
      </x:c>
      <x:c r="G167" s="29" t="str">
        <x:v>CC BY 4.0</x:v>
      </x:c>
      <x:c r="H167" s="29" t="str">
        <x:v>https://creativecommons.org/licenses/by/4.0/</x:v>
      </x:c>
      <x:c r="I167" s="29" t="str">
        <x:v>CC BY 4.0</x:v>
      </x:c>
      <x:c r="J167" s="29" t="str">
        <x:v>Haberfelde Building · 2024 tarihli fotoğraf · David Wilson · CC BY 4.0 · https://www.flickr.com/photos/32693718@N07/54744946573/</x:v>
      </x:c>
      <x:c r="K16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7" s="31" t="d">
        <x:v>2026-10-24T00:00:00.000Z</x:v>
      </x:c>
      <x:c r="M167" s="29" t="str">
        <x:v>Doğrulandı</x:v>
      </x:c>
      <x:c r="N167" s="29" t="str">
        <x:v>Doğrulandı</x:v>
      </x:c>
      <x:c r="O167" s="29" t="str">
        <x:v>Fotoğraflar/bk-cc6a4520066a006fdaee0b7f.webp</x:v>
      </x:c>
      <x:c r="P167" s="29" t="str">
        <x:v>Haberfelde Building · 2024 tarihli fotoğraf · İndirilen kare temas sayfasında görüldü; kaynak mekân kimliğiyle eşleştirildi. Seçim kaydı final-pixel-review.json.</x:v>
      </x:c>
      <x:c r="Q167" s="29" t="str">
        <x:v>Bu kare için uygun</x:v>
      </x:c>
      <x:c r="R16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7" s="29" t="str">
        <x:v>Lisans kanıtları/bk-cc6a4520066a006fdaee0b7f.source-evidence.json</x:v>
      </x:c>
      <x:c r="T167" s="29" t="str">
        <x:v>e479ec8fdc7efd37e1cd0711c1b6ccd48aff8b638705b2c6473a5cf6a82571df</x:v>
      </x:c>
      <x:c r="U167" s="29" t="str">
        <x:v>Lisans kanıtları/bk-cc6a4520066a006fdaee0b7f.license-record.json</x:v>
      </x:c>
      <x:c r="V167" s="29" t="str">
        <x:v>0aa44d5c427244cec52f8cb4c7926b3d9b4e266dd04d3a6703ba791f40798be4</x:v>
      </x:c>
      <x:c r="W167" s="29" t="str">
        <x:v>{"file":"bk-cc6a4520066a006fdaee0b7f.webp","width":1024,"author":"David Wilson","height":768,"sha256":"cc6a4520066a006fdaee0b7f156ac29528bc2e52e40f902bb2dc7206429e0951","status":"reviewed-selected","license":"CC BY 4.0","provider":"Flickr","review_id":"F52","source_id":"54744946573","author_url":"https://www.flickr.com/photos/32693718@N07/","date_texts":["Uploaded on August 25, 2025 Taken on September 16, 2024","Taken on September 16, 2024","Uploaded on August 25, 2025 Taken on September 16, 2024","Taken on September 16, 2024"],"source_url":"https://www.flickr.com/photos/32693718@N07/54744946573/","description":"","license_url":"https://creativecommons.org/licenses/by/4.0/","review_note":"2024 cephe ayrıntısı, aday.","reviewed_on":"2026-10-24","source_text":"20240916 1458 Bakersfield, California | David Wilson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Wilson davidwilson1949 20240916 1458 Bakersfield, California Done 405 views 1 fave 0 comments Uploaded on August 25, 2025 Taken on September 16, 2024 David Wilson By: David Wilson 20240916 1458 Bakersfield, California Done 405 views 1 fave 0 comments Uploaded on August 25, 2025 Taken on September 16,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photography.","capture_date":"2024-09-16","download_url":"https://live.staticflickr.com/65535/54744946573_9d0ef2817b_b.jpg","original_url":"https://live.staticflickr.com/65535/54744946573_64c1db5b45_4k.jpg","pixel_review":{"method":"İndirilen kare temas sayfasında görüldü; kaynak mekân kimliğiyle eşleştirildi. Seçim kaydı final-pixel-review.json.","status":"verified","caption":"Haberfelde Building · 2024 tarihli fotoğraf","reviewer":"Codex (AI)","review_id":"F52"},"source_title":"20240916 1458 Bakersfield, California","downloaded_at":"2026-10-23T19:50:06.027958+00:00","download_sha256":"010e24dd9670c6a194a43c261f844719a959510576a7508dc6e116573eb52763","downloaded_file":"downloads/010e24dd9670c6a194a43c261f844719a959510576a7508dc6e116573eb52763.jpg","public_metadata":{"photo-models":[{"data":{"id":"54744946573","owner":{"data":{"id":"32693718@N07","isPro":true,"newFlow":true,"isAdFree":false,"location":"Oak Park, Illinois, USA","proBadge":"standard","realname":"David Wilson","segments":{"data":[],"exportMetaType":"array"},"username":"davidwilson1949","buddyicon":{"data":{"large":"//farm66.staticflickr.com/65535/buddyicons/32693718@N07_l.jpg?1662413977#32693718@N07","small":"//farm66.staticflickr.com/65535/buddyicons/32693718@N07_s.jpg?1662413977#32693718@N07","medium":"//farm66.staticflickr.com/65535/buddyicons/32693718@N07_m.jpg?1662413977#32693718@N07","retina":"//farm66.staticflickr.com/65535/buddyicons/32693718@N07_r.jpg?1662413977#32693718@N07","default":"//farm66.staticflickr.com/65535/buddyicons/32693718@N07.jpg?1662413977#32693718@N07"},"exportMetaType":"pojo"},"pathAlias":"davidwilson1949","dateCreated":{"data":"1227455693","exportMetaType":"serializeFunction"},"subscription":{"data":{"isPro":false,"isClosed":false,"isPastDue":false},"exportMetaType":"pojo"},"eligibleGifts":{"data":["year","month","week"],"exportMetaType":"array"},"isEligibleForGifts":true,"_flickrModelRegistry":"person-models"},"exportMetaType":"model"},"sizes":{"data":{"c":{"data":{"url":"//live.staticflickr.com/65535/54744946573_9d0ef2817b_c.jpg","width":800,"height":600,"displayUrl":"//live.staticflickr.com/65535/54744946573_9d0ef2817b_c.jpg"},"exportMetaType":"pojo"},"h":{"data":{"url":"//live.staticflickr.com/65535/54744946573_16d8d1bc3d_h.jpg","width":1600,"height":1200,"displayUrl":"//live.staticflickr.com/65535/54744946573_16d8d1bc3d_h.jpg"},"exportMetaType":"pojo"},"k":{"data":{"url":"//live.staticflickr.com/65535/54744946573_d459b2e25b_k.jpg","width":2048,"height":1536,"displayUrl":"//live.staticflickr.com/65535/54744946573_d459b2e25b_k.jpg"},"exportMetaType":"pojo"},"l":{"data":{"url":"//live.staticflickr.com/65535/54744946573_9d0ef2817b_b.jpg","width":1024,"height":768,"displayUrl":"//live.staticflickr.com/65535/54744946573_9d0ef2817b_b.jpg"},"exportMetaType":"pojo"},"m":{"data":{"url":"//live.staticflickr.com/65535/54744946573_9d0ef2817b.jpg","width":500,"height":375,"displayUrl":"//live.staticflickr.com/65535/54744946573_9d0ef2817b.jpg"},"exportMetaType":"pojo"},"n":{"data":{"url":"//live.staticflickr.com/65535/54744946573_9d0ef2817b_n.jpg","width":320,"height":240,"displayUrl":"//live.staticflickr.com/65535/54744946573_9d0ef2817b_n.jpg"},"exportMetaType":"pojo"},"o":{"data":{"url":"//live.staticflickr.com/65535/54744946573_a2b0349e6f_o.jpg","width":3648,"height":2736,"displayUrl":"//live.staticflickr.com/65535/54744946573_a2b0349e6f_o.jpg"},"exportMetaType":"pojo"},"q":{"data":{"url":"//live.staticflickr.com/65535/54744946573_9d0ef2817b_q.jpg","width":150,"height":150,"displayUrl":"//live.staticflickr.com/65535/54744946573_9d0ef2817b_q.jpg"},"exportMetaType":"pojo"},"s":{"data":{"url":"//live.staticflickr.com/65535/54744946573_9d0ef2817b_m.jpg","width":240,"height":180,"displayUrl":"//live.staticflickr.com/65535/54744946573_9d0ef2817b_m.jpg"},"exportMetaType":"pojo"},"t":{"data":{"url":"//live.staticflickr.com/65535/54744946573_9d0ef2817b_t.jpg","width":100,"height":75,"displayUrl":"//live.staticflickr.com/65535/54744946573_9d0ef2817b_t.jpg"},"exportMetaType":"pojo"},"w":{"data":{"url":"//live.staticflickr.com/65535/54744946573_9d0ef2817b_w.jpg","width":400,"height":300,"displayUrl":"//live.staticflickr.com/65535/54744946573_9d0ef2817b_w.jpg"},"exportMetaType":"pojo"},"z":{"data":{"url":"//live.staticflickr.com/65535/54744946573_9d0ef2817b_z.jpg","width":640,"height":480,"displayUrl":"//live.staticflickr.com/65535/54744946573_9d0ef2817b_z.jpg"},"exportMetaType":"pojo"},"3k":{"data":{"url":"//live.staticflickr.com/65535/54744946573_ca2c4ffdb2_3k.jpg","width":3072,"height":2304,"displayUrl":"//live.staticflickr.com/65535/54744946573_ca2c4ffdb2_3k.jpg"},"exportMetaType":"pojo"},"4k":{"data":{"url":"//live.staticflickr.com/65535/54744946573_64c1db5b45_4k.jpg","width":3648,"height":2736,"displayUrl":"//live.staticflickr.com/65535/54744946573_64c1db5b45_4k.jpg"},"exportMetaType":"pojo"},"sq":{"data":{"url":"//live.staticflickr.com/65535/54744946573_9d0ef2817b_s.jpg","width":75,"height":75,"displayUrl":"//live.staticflickr.com/65535/54744946573_9d0ef2817b_s.jpg"},"exportMetaType":"pojo"}},"exportMetaType":"pojo"},"title":"20240916 1458 Bakersfield, California","oWidth":3648,"secret":"9d0ef2817b","license":11,"oHeight":2736,"rotation":0,"canAddMeta":false,"canComment":false,"engagement":{"data":{"id":"54744946573","canShare":true,"faveCount":1,"ownerNsid":"32693718@N07","reactions":{"data":{"like":{"data":{"id":"like","count":5,"canReact":true,"didViewerReact":true},"exportMetaType":"pojo"},"someOtherReaction":{"data":{"id":"someOtherReaction","count":3,"canReact":true,"didViewerReact":false},"exportMetaType":"pojo"}},"exportMetaType":"pojo"},"viewCount":405,"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54744946573","hasGeo":true,"accuracy":16,"isPublic":true,"latitude":35.374433,"longitude":-119.018704,"_flickrModelRegistry":"photo-geo-models"},"exportMetaType":"model"}],"photo-location-models":[{"data":{"id":"54744946573","geo":{"data":"~2","exportMetaType":"model"},"text":"Bakersfield, California, United States","levels":{"data":{"county":{"data":{"name":"Kern","woeId":null},"exportMetaType":"pojo"},"region":{"data":{"name":"California","woeId":null},"exportMetaType":"pojo"},"country":{"data":{"name":"United States","woeId":null},"exportMetaType":"pojo"},"locality":{"data":{"name":"Bakersfield","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54744946573","title":"20240916 1458 Bakersfield, California","og:url":"https://www.flickr.com/photos/davidwilson1949/54744946573/","og:type":"article","keywords":"bakersfield, california","og:image":"https://live.staticflickr.com/65535/54744946573_9d0ef2817b_b.jpg","og:title":"20240916 1458 Bakersfield, California","twitter:card":"summary_large_image","twitter:image":"https://live.staticflickr.com/65535/54744946573_9d0ef2817b_b.jpg","og:description":"","og:image:width":1024,"og:image:height":768,"twitter:description":"Explore davidwilson1949's 41972 photos on Flickr!","_flickrModelRegistry":"photo-head-meta-models","twitter:app:url:ipad":"flickr://flickr.com/photos/davidwilson1949/54744946573/","twitter:app:url:iphone":"flickr://flickr.com/photos/davidwilson1949/54744946573/","twitter:app:url:googleplay":"https://www.flickr.com/photos/davidwilson1949/54744946573/"},"exportMetaType":"model"}],"photo-license-history-models":[]},"acquisition_file":"fl-54744946573.webp","source_html_file":"/Users/atincakcayoz/corteqs/output/bakersfield-production-20261023/flickr-source-pages/54744946573.html","original_file_url":"https://live.staticflickr.com/65535/54744946573_64c1db5b45_4k.jpg","proposed_identity":"Haberfelde Building","source_html_sha256":"625381b91bb35c8f779ba552e48b754d1a46ed778525890469d26457f1ee2a99","third_party_rights_review":{"basis":"Kaynakta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dönüştürüldü.","photo_attribution":{"author_url":"https://www.flickr.com/photos/32693718@N07/","modifications":"EXIF yönü uygulandı; boyut küçültülüp WebP biçimine dönüştürüldü.","original_file_url":"https://live.staticflickr.com/65535/54744946573_64c1db5b45_4k.jpg"},"metadata_reviewed_on":"2026-10-24","metadata_review_status":"verified"}}</x:v>
      </x:c>
    </x:row>
    <x:row r="168" ht="300" customHeight="1">
      <x:c r="A168" s="29" t="str">
        <x:v>bakersfield:evidence:venue-22133</x:v>
      </x:c>
      <x:c r="B168" s="29" t="str">
        <x:v>bakersfield</x:v>
      </x:c>
      <x:c r="C168" s="29" t="str">
        <x:v>bakersfield:photo:venue-22133</x:v>
      </x:c>
      <x:c r="D168" s="29" t="str">
        <x:v>https://commons.wikimedia.org/wiki/File:From_a_distance_Bakersfield_Californian_Building.JPG</x:v>
      </x:c>
      <x:c r="E168" s="29" t="str">
        <x:v>From a distance Bakersfield Californian Building.JPG</x:v>
      </x:c>
      <x:c r="F168" s="29" t="str">
        <x:v>LaurieRankins</x:v>
      </x:c>
      <x:c r="G168" s="29" t="str">
        <x:v>CC BY-SA 3.0</x:v>
      </x:c>
      <x:c r="H168" s="29" t="str">
        <x:v>https://creativecommons.org/licenses/by-sa/3.0</x:v>
      </x:c>
      <x:c r="I168" s="29" t="str">
        <x:v>Creative Commons Attribution-Share Alike 3.0</x:v>
      </x:c>
      <x:c r="J168" s="29" t="str">
        <x:v>From a distance Bakersfield Californian Building.JPG · LaurieRankins · CC BY-SA 3.0 · https://commons.wikimedia.org/wiki/File:From_a_distance_Bakersfield_Californian_Building.JPG</x:v>
      </x:c>
      <x:c r="K16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8" s="31" t="d">
        <x:v>2026-10-24T00:00:00.000Z</x:v>
      </x:c>
      <x:c r="M168" s="29" t="str">
        <x:v>Doğrulandı</x:v>
      </x:c>
      <x:c r="N168" s="29" t="str">
        <x:v>Doğrulandı</x:v>
      </x:c>
      <x:c r="O168" s="29" t="str">
        <x:v>Fotoğraflar/bk-0c06efc9445918bbf96b0bf8.webp</x:v>
      </x:c>
      <x:c r="P168" s="29" t="str">
        <x:v>Bakersfield Californian Building · 2014 tarihli fotoğraf · İndirilen kare temas sayfasında görüldü; kaynak mekân kimliğiyle eşleştirildi. Seçim kaydı final-pixel-review.json.</x:v>
      </x:c>
      <x:c r="Q168" s="29" t="str">
        <x:v>Bu kare için uygun</x:v>
      </x:c>
      <x:c r="R16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8" s="29" t="str">
        <x:v>Lisans kanıtları/bk-0c06efc9445918bbf96b0bf8.source-evidence.json</x:v>
      </x:c>
      <x:c r="T168" s="29" t="str">
        <x:v>65a1bc80680f0a09e7758ad529c8edf59c2817822a461d81243328705c00c381</x:v>
      </x:c>
      <x:c r="U168" s="29" t="str">
        <x:v>Lisans kanıtları/bk-0c06efc9445918bbf96b0bf8.license-record.json</x:v>
      </x:c>
      <x:c r="V168" s="29" t="str">
        <x:v>466e42b1648dacb42130e86b34d2046ddf8a6d1c14b92d20ddb6f943d3de84da</x:v>
      </x:c>
      <x:c r="W168" s="29" t="str">
        <x:v>{"file":"bk-0c06efc9445918bbf96b0bf8.webp","width":1280,"author":"LaurieRankins","height":976,"sha256":"0c06efc9445918bbf96b0bf81c8501dab7be1e6df9cc045d3b1c922fc3d6dae4","license":"CC BY-SA 3.0","imageinfo":{"url":"https://upload.wikimedia.org/wikipedia/commons/f/fb/From_a_distance_Bakersfield_Californian_Building.JPG?utm_source=commons.wikimedia.org&amp;utm_campaign=imageinfo&amp;utm_content=original","mime":"image/jpeg","sha1":"0fc11ab044d54d8383ae51277c1a2148f56b4660","size":3588145,"width":3591,"height":2737,"pageid":35519961,"thumburl":"https://thumb.wikimedia.org/wikipedia/commons/thumb/f/fb/From_a_distance_Bakersfield_Californian_Building.JPG/1280px-From_a_distance_Bakersfield_Californian_Building.JPG?utm_source=commons.wikimedia.org&amp;utm_campaign=imageinfo&amp;utm_content=thumbnail","timestamp":"2014-09-21T01:46:17Z","thumbwidth":1280,"extmetadata":{"Artist":{"value":"&lt;a href=\"//commons.wikimedia.org/w/index.php?title=User:LaurieRankins&amp;amp;action=edit&amp;amp;redlink=1\" class=\"new\" title=\"User:LaurieRankins (page does not exist)\"&gt;LaurieRankins&lt;/a&gt;","source":"commons-desc-page"},"Credit":{"value":"&lt;span class=\"int-own-work\" lang=\"en\"&gt;Own work&lt;/span&gt;","source":"commons-desc-page"},"License":{"value":"cc-by-sa-3.0","hidden":"","source":"commons-templates"},"DateTime":{"value":"2014-09-21 01:46:17","hidden":"","source":"mediawiki-metadata"},"Categories":{"value":"Taken with Nikon Coolpix S4300|Self-published work|National Register of Historic Places with known IDs|Images from Wikipedia Summer of Monuments|Unreviewed submissions from Wikipedia Summer of Monuments|Uploaded via Campaign:wsm|The Bakersfield Californian","hidden":"","source":"commons-categories"},"LicenseUrl":{"value":"https://creativecommons.org/licenses/by-sa/3.0","source":"commons-desc-page"},"ObjectName":{"value":"From a distance Bakersfield Californian Building","source":"mediawiki-metadata"},"UsageTerms":{"value":"Creative Commons Attribution-Share Alike 3.0","source":"commons-desc-page"},"Assessments":{"value":"","hidden":"","source":"commons-categories"},"Copyrighted":{"value":"True","hidden":"","source":"commons-desc-page"},"GPSLatitude":{"value":"35.375000","source":"commons-desc-page"},"GPSMapDatum":{"value":"WGS-84","hidden":"","source":"commons-desc-page"},"GPSLongitude":{"value":"-119.019444","source":"commons-desc-page"},"Restrictions":{"value":"","hidden":"","source":"commons-desc-page"},"DateTimeOriginal":{"value":"2014-09-20 15:05:39","source":"commons-desc-page"},"ImageDescription":{"value":"Bakersfield Californian Building, 1707 Eye St. Bakersfield","source":"commons-desc-page"},"LicenseShortName":{"value":"CC BY-SA 3.0","hidden":"","source":"commons-desc-page"},"AttributionRequired":{"value":"true","hidden":"","source":"commons-desc-page"},"CommonsMetadataExtension":{"value":1.2,"hidden":"","source":"extension"}},"thumbheight":976,"thumbattribs":{"src":"https://thumb.wikimedia.org/wikipedia/commons/thumb/f/fb/From_a_distance_Bakersfield_Californian_Building.JPG/1280px-From_a_distance_Bakersfield_Californian_Building.JPG?utm_source=commons.wikimedia.org&amp;utm_campaign=imageinfo&amp;utm_content=thumbnail","width":1280,"height":976,"srcset":"https://upload.wikimedia.org/wikipedia/commons/f/fb/From_a_distance_Bakersfield_Californian_Building.JPG?utm_source=commons.wikimedia.org&amp;utm_campaign=imageinfo&amp;utm_content=thumbnail_unscaled 2x","loading":"lazy","decoding":"async"},"descriptionurl":"https://commons.wikimedia.org/wiki/File:From_a_distance_Bakersfield_Californian_Building.JPG","responsiveUrls":{"2":"https://upload.wikimedia.org/wikipedia/commons/f/fb/From_a_distance_Bakersfield_Californian_Building.JPG?utm_source=commons.wikimedia.org&amp;utm_campaign=imageinfo&amp;utm_content=thumbnail_unscaled"},"descriptionshorturl":"https://commons.wikimedia.org/w/index.php?curid=35519961"},"selection":{"qid":"pending","kind":"candidate","title":"Bakersfield local buildings"},"author_url":"","derivative":"Wikimedia thumbnail decoded; EXIF orientation applied; converted to WebP quality 86; no generated pixels, no cropping.","source_url":"https://commons.wikimedia.org/wiki/File:From_a_distance_Bakersfield_Californian_Building.JPG","author_urls":[],"description":"Bakersfield Californian Building, 1707 Eye St. Bakersfield","license_url":"https://creativecommons.org/licenses/by-sa/3.0","reviewed_on":"2026-10-24","capture_date":"2014-09-20 15:05:39","download_url":"https://thumb.wikimedia.org/wikipedia/commons/thumb/f/fb/From_a_distance_Bakersfield_Californian_Building.JPG/1280px-From_a_distance_Bakersfield_Californian_Building.JPG?utm_source=commons.wikimedia.org&amp;utm_campaign=imageinfo&amp;utm_content=thumbnail","original_url":"https://upload.wikimedia.org/wikipedia/commons/f/fb/From_a_distance_Bakersfield_Californian_Building.JPG?utm_source=commons.wikimedia.org&amp;utm_campaign=imageinfo&amp;utm_content=original","pixel_review":{"method":"İndirilen kare temas sayfasında görüldü; kaynak mekân kimliğiyle eşleştirildi. Seçim kaydı final-pixel-review.json.","status":"verified","caption":"Bakersfield Californian Building · 2014 tarihli fotoğraf","reviewer":"Codex (AI)","review_id":"C137"},"downloaded_at":"2026-10-23T19:08:28.760156+00:00","download_sha256":"517f818aaace8ea89548afdd8cb33966d7d27466775d32959285ccfc23876183","downloaded_file":"downloads/517f818aaace8ea89548afdd8cb33966d7d27466775d32959285ccfc23876183.jpg","acquisition_file":"a2ae352c83043f876c938459.webp","commons_filename":"From a distance Bakersfield Californian Building.JPG","original_file_url":"https://upload.wikimedia.org/wikipedia/commons/f/fb/From_a_distance_Bakersfield_Californian_Building.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f/fb/From_a_distance_Bakersfield_Californian_Building.JPG?utm_source=commons.wikimedia.org&amp;utm_campaign=imageinfo&amp;utm_content=original"},"metadata_reviewed_on":"2026-10-24","metadata_review_status":"verified"}}</x:v>
      </x:c>
    </x:row>
    <x:row r="169" ht="300" customHeight="1">
      <x:c r="A169" s="29" t="str">
        <x:v>bakersfield:evidence:venue-22134</x:v>
      </x:c>
      <x:c r="B169" s="29" t="str">
        <x:v>bakersfield</x:v>
      </x:c>
      <x:c r="C169" s="29" t="str">
        <x:v>bakersfield:photo:venue-22134</x:v>
      </x:c>
      <x:c r="D169" s="29" t="str">
        <x:v>https://commons.wikimedia.org/wiki/File:Front_entrance_to_Bakersfield_Californian_Building.JPG</x:v>
      </x:c>
      <x:c r="E169" s="29" t="str">
        <x:v>Front entrance to Bakersfield Californian Building.JPG</x:v>
      </x:c>
      <x:c r="F169" s="29" t="str">
        <x:v>LaurieRankins</x:v>
      </x:c>
      <x:c r="G169" s="29" t="str">
        <x:v>CC BY-SA 3.0</x:v>
      </x:c>
      <x:c r="H169" s="29" t="str">
        <x:v>https://creativecommons.org/licenses/by-sa/3.0</x:v>
      </x:c>
      <x:c r="I169" s="29" t="str">
        <x:v>Creative Commons Attribution-Share Alike 3.0</x:v>
      </x:c>
      <x:c r="J169" s="29" t="str">
        <x:v>Front entrance to Bakersfield Californian Building.JPG · LaurieRankins · CC BY-SA 3.0 · https://commons.wikimedia.org/wiki/File:Front_entrance_to_Bakersfield_Californian_Building.JPG</x:v>
      </x:c>
      <x:c r="K16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69" s="31" t="d">
        <x:v>2026-10-24T00:00:00.000Z</x:v>
      </x:c>
      <x:c r="M169" s="29" t="str">
        <x:v>Doğrulandı</x:v>
      </x:c>
      <x:c r="N169" s="29" t="str">
        <x:v>Doğrulandı</x:v>
      </x:c>
      <x:c r="O169" s="29" t="str">
        <x:v>Fotoğraflar/bk-3d8c0ff73e7c4476ed617e3c.webp</x:v>
      </x:c>
      <x:c r="P169" s="29" t="str">
        <x:v>Bakersfield Californian Building · 2014 tarihli fotoğraf · İndirilen kare temas sayfasında görüldü; kaynak mekân kimliğiyle eşleştirildi. Seçim kaydı final-pixel-review.json.</x:v>
      </x:c>
      <x:c r="Q169" s="29" t="str">
        <x:v>Bu kare için uygun</x:v>
      </x:c>
      <x:c r="R16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69" s="29" t="str">
        <x:v>Lisans kanıtları/bk-3d8c0ff73e7c4476ed617e3c.source-evidence.json</x:v>
      </x:c>
      <x:c r="T169" s="29" t="str">
        <x:v>1da5ee13e941ecac0ede361c320b72e19453ba2c381eef82b127959c6f3019b1</x:v>
      </x:c>
      <x:c r="U169" s="29" t="str">
        <x:v>Lisans kanıtları/bk-3d8c0ff73e7c4476ed617e3c.license-record.json</x:v>
      </x:c>
      <x:c r="V169" s="29" t="str">
        <x:v>a6fe1685b43994aad8ca45e105dd9593e46a14f7e3aaa7d21fb970a028b90c92</x:v>
      </x:c>
      <x:c r="W169" s="29" t="str">
        <x:v>{"file":"bk-3d8c0ff73e7c4476ed617e3c.webp","width":1080,"author":"LaurieRankins","height":1440,"sha256":"3d8c0ff73e7c4476ed617e3c17d9f7e8c49668a6bcd4e9981d7d02ee56d88779","license":"CC BY-SA 3.0","imageinfo":{"url":"https://upload.wikimedia.org/wikipedia/commons/a/a5/Front_entrance_to_Bakersfield_Californian_Building.JPG?utm_source=commons.wikimedia.org&amp;utm_campaign=imageinfo&amp;utm_content=original","mime":"image/jpeg","sha1":"ef3ec289189bf71443883168746fc9673034012d","size":4866647,"width":3456,"height":4608,"pageid":35519956,"thumburl":"https://thumb.wikimedia.org/wikipedia/commons/thumb/a/a5/Front_entrance_to_Bakersfield_Californian_Building.JPG/1280px-Front_entrance_to_Bakersfield_Californian_Building.JPG?utm_source=commons.wikimedia.org&amp;utm_campaign=imageinfo&amp;utm_content=thumbnail","timestamp":"2014-09-21T01:46:10Z","thumbwidth":1280,"extmetadata":{"Artist":{"value":"&lt;a href=\"//commons.wikimedia.org/w/index.php?title=User:LaurieRankins&amp;amp;action=edit&amp;amp;redlink=1\" class=\"new\" title=\"User:LaurieRankins (page does not exist)\"&gt;LaurieRankins&lt;/a&gt;","source":"commons-desc-page"},"Credit":{"value":"&lt;span class=\"int-own-work\" lang=\"en\"&gt;Own work&lt;/span&gt;","source":"commons-desc-page"},"License":{"value":"cc-by-sa-3.0","hidden":"","source":"commons-templates"},"DateTime":{"value":"2014-09-21 01:46:10","hidden":"","source":"mediawiki-metadata"},"Categories":{"value":"Taken with Nikon Coolpix S4300|Self-published work|National Register of Historic Places with known IDs|Images from Wikipedia Summer of Monuments|Unreviewed submissions from Wikipedia Summer of Monuments|Uploaded via Campaign:wsm|The Bakersfield Californian","hidden":"","source":"commons-categories"},"LicenseUrl":{"value":"https://creativecommons.org/licenses/by-sa/3.0","source":"commons-desc-page"},"ObjectName":{"value":"Front entrance to Bakersfield Californian Building","source":"mediawiki-metadata"},"UsageTerms":{"value":"Creative Commons Attribution-Share Alike 3.0","source":"commons-desc-page"},"Assessments":{"value":"","hidden":"","source":"commons-categories"},"Copyrighted":{"value":"True","hidden":"","source":"commons-desc-page"},"GPSLatitude":{"value":"35.375000","source":"commons-desc-page"},"GPSMapDatum":{"value":"WGS-84","hidden":"","source":"commons-desc-page"},"GPSLongitude":{"value":"-119.019444","source":"commons-desc-page"},"Restrictions":{"value":"","hidden":"","source":"commons-desc-page"},"DateTimeOriginal":{"value":"2014-09-20 15:03:54","source":"commons-desc-page"},"ImageDescription":{"value":"Bakersfield Californian Building, 1707 Eye St. Bakersfield","source":"commons-desc-page"},"LicenseShortName":{"value":"CC BY-SA 3.0","hidden":"","source":"commons-desc-page"},"AttributionRequired":{"value":"true","hidden":"","source":"commons-desc-page"},"CommonsMetadataExtension":{"value":1.2,"hidden":"","source":"extension"}},"thumbheight":1707,"thumbattribs":{"src":"https://thumb.wikimedia.org/wikipedia/commons/thumb/a/a5/Front_entrance_to_Bakersfield_Californian_Building.JPG/1280px-Front_entrance_to_Bakersfield_Californian_Building.JPG?utm_source=commons.wikimedia.org&amp;utm_campaign=imageinfo&amp;utm_content=thumbnail","width":1280,"height":1707,"srcset":"https://upload.wikimedia.org/wikipedia/commons/a/a5/Front_entrance_to_Bakersfield_Californian_Building.JPG?utm_source=commons.wikimedia.org&amp;utm_campaign=imageinfo&amp;utm_content=thumbnail_unscaled 2x","loading":"lazy","decoding":"async"},"descriptionurl":"https://commons.wikimedia.org/wiki/File:Front_entrance_to_Bakersfield_Californian_Building.JPG","responsiveUrls":{"2":"https://upload.wikimedia.org/wikipedia/commons/a/a5/Front_entrance_to_Bakersfield_Californian_Building.JPG?utm_source=commons.wikimedia.org&amp;utm_campaign=imageinfo&amp;utm_content=thumbnail_unscaled"},"descriptionshorturl":"https://commons.wikimedia.org/w/index.php?curid=35519956"},"selection":{"qid":"pending","kind":"candidate","title":"Bakersfield local buildings"},"author_url":"","derivative":"Wikimedia thumbnail decoded; EXIF orientation applied; converted to WebP quality 86; no generated pixels, no cropping.","source_url":"https://commons.wikimedia.org/wiki/File:Front_entrance_to_Bakersfield_Californian_Building.JPG","author_urls":[],"description":"Bakersfield Californian Building, 1707 Eye St. Bakersfield","license_url":"https://creativecommons.org/licenses/by-sa/3.0","reviewed_on":"2026-10-24","capture_date":"2014-09-20 15:03:54","download_url":"https://thumb.wikimedia.org/wikipedia/commons/thumb/a/a5/Front_entrance_to_Bakersfield_Californian_Building.JPG/1280px-Front_entrance_to_Bakersfield_Californian_Building.JPG?utm_source=commons.wikimedia.org&amp;utm_campaign=imageinfo&amp;utm_content=thumbnail","original_url":"https://upload.wikimedia.org/wikipedia/commons/a/a5/Front_entrance_to_Bakersfield_Californian_Building.JPG?utm_source=commons.wikimedia.org&amp;utm_campaign=imageinfo&amp;utm_content=original","pixel_review":{"method":"İndirilen kare temas sayfasında görüldü; kaynak mekân kimliğiyle eşleştirildi. Seçim kaydı final-pixel-review.json.","status":"verified","caption":"Bakersfield Californian Building · 2014 tarihli fotoğraf","reviewer":"Codex (AI)","review_id":"C138"},"downloaded_at":"2026-10-23T19:08:29.360189+00:00","download_sha256":"3ae4ed367569d335a3a0800211b17a988dfff7bfac6451911d17a5851b845f63","downloaded_file":"downloads/3ae4ed367569d335a3a0800211b17a988dfff7bfac6451911d17a5851b845f63.jpg","acquisition_file":"1904270cc82b1a72dfb3a298.webp","commons_filename":"Front entrance to Bakersfield Californian Building.JPG","original_file_url":"https://upload.wikimedia.org/wikipedia/commons/a/a5/Front_entrance_to_Bakersfield_Californian_Building.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a/a5/Front_entrance_to_Bakersfield_Californian_Building.JPG?utm_source=commons.wikimedia.org&amp;utm_campaign=imageinfo&amp;utm_content=original"},"metadata_reviewed_on":"2026-10-24","metadata_review_status":"verified"}}</x:v>
      </x:c>
    </x:row>
    <x:row r="170" ht="300" customHeight="1">
      <x:c r="A170" s="29" t="str">
        <x:v>bakersfield:evidence:venue-22135</x:v>
      </x:c>
      <x:c r="B170" s="29" t="str">
        <x:v>bakersfield</x:v>
      </x:c>
      <x:c r="C170" s="29" t="str">
        <x:v>bakersfield:photo:venue-22135</x:v>
      </x:c>
      <x:c r="D170" s="29" t="str">
        <x:v>https://commons.wikimedia.org/wiki/File:2009-0726-CA-Bakersfield-OldTStation.jpg</x:v>
      </x:c>
      <x:c r="E170" s="29" t="str">
        <x:v>2009-0726-CA-Bakersfield-OldTStation.jpg</x:v>
      </x:c>
      <x:c r="F170" s="29" t="str">
        <x:v>Bobak Ha'Eri</x:v>
      </x:c>
      <x:c r="G170" s="29" t="str">
        <x:v>CC BY 3.0</x:v>
      </x:c>
      <x:c r="H170" s="29" t="str">
        <x:v>https://creativecommons.org/licenses/by/3.0</x:v>
      </x:c>
      <x:c r="I170" s="29" t="str">
        <x:v>Creative Commons Attribution 3.0</x:v>
      </x:c>
      <x:c r="J170" s="29" t="str">
        <x:v>2009-0726-CA-Bakersfield-OldTStation.jpg · Bobak Ha'Eri · CC BY 3.0 · https://commons.wikimedia.org/wiki/File:2009-0726-CA-Bakersfield-OldTStation.jpg</x:v>
      </x:c>
      <x:c r="K17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0" s="31" t="d">
        <x:v>2026-10-24T00:00:00.000Z</x:v>
      </x:c>
      <x:c r="M170" s="29" t="str">
        <x:v>Doğrulandı</x:v>
      </x:c>
      <x:c r="N170" s="29" t="str">
        <x:v>Doğrulandı</x:v>
      </x:c>
      <x:c r="O170" s="29" t="str">
        <x:v>Fotoğraflar/bk-a16b5a1a89ccc54569c8ec91.webp</x:v>
      </x:c>
      <x:c r="P170" s="29" t="str">
        <x:v>Eski Southern Pacific Depot · 2009 tarihli fotoğraf · İndirilen kare temas sayfasında görüldü; kaynak mekân kimliğiyle eşleştirildi. Seçim kaydı final-pixel-review.json.</x:v>
      </x:c>
      <x:c r="Q170" s="29" t="str">
        <x:v>Bu kare için uygun</x:v>
      </x:c>
      <x:c r="R17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0" s="29" t="str">
        <x:v>Lisans kanıtları/bk-a16b5a1a89ccc54569c8ec91.source-evidence.json</x:v>
      </x:c>
      <x:c r="T170" s="29" t="str">
        <x:v>80ec3c9f1cdc4e128e286e079f5cff414d6a6abc9c4e6ea63106fee4189a63d5</x:v>
      </x:c>
      <x:c r="U170" s="29" t="str">
        <x:v>Lisans kanıtları/bk-a16b5a1a89ccc54569c8ec91.license-record.json</x:v>
      </x:c>
      <x:c r="V170" s="29" t="str">
        <x:v>f5dee15cb885f2cdc4b2ef2cfe037898665c248d32b60665419cf5e6f945def6</x:v>
      </x:c>
      <x:c r="W170" s="29" t="str">
        <x:v>{"file":"bk-a16b5a1a89ccc54569c8ec91.webp","width":1280,"author":"Bobak Ha'Eri","height":513,"sha256":"a16b5a1a89ccc54569c8ec91e787b932555b318254ada37c4e363d7a38c00278","license":"CC BY 3.0","imageinfo":{"url":"https://upload.wikimedia.org/wikipedia/commons/5/5c/2009-0726-CA-Bakersfield-OldTStation.jpg?utm_source=commons.wikimedia.org&amp;utm_campaign=imageinfo&amp;utm_content=original","mime":"image/jpeg","sha1":"df484d3c34df09782fb4d0bc56746ee0700b6725","size":2593703,"width":3304,"height":1324,"pageid":7512908,"thumburl":"https://thumb.wikimedia.org/wikipedia/commons/thumb/5/5c/2009-0726-CA-Bakersfield-OldTStation.jpg/1280px-2009-0726-CA-Bakersfield-OldTStation.jpg?utm_source=commons.wikimedia.org&amp;utm_campaign=imageinfo&amp;utm_content=thumbnail","timestamp":"2009-08-08T21:30:31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work&lt;/span&gt;","source":"commons-desc-page"},"License":{"value":"cc-by-3.0","hidden":"","source":"commons-templates"},"DateTime":{"value":"2009-08-08 21:30:31","hidden":"","source":"mediawiki-metadata"},"Categories":{"value":"2009 in California|Taken with Panasonic Lumix DMC-TZ7|Bakersfield station (Southern Pacific Railroad)|Self-published work|Photographs taken on 2009-07-26|Files by User:Bobak","hidden":"","source":"commons-categories"},"LicenseUrl":{"value":"https://creativecommons.org/licenses/by/3.0","source":"commons-desc-page"},"ObjectName":{"value":"2009-0726-CA-Bakersfield-OldTStation","source":"mediawiki-metadata"},"Permission":{"value":"CC-By-SA-3.0","hidden":"","source":"commons-desc-page"},"UsageTerms":{"value":"Creative Commons Attribution 3.0","source":"commons-desc-page"},"Assessments":{"value":"","hidden":"","source":"commons-categories"},"Copyrighted":{"value":"True","hidden":"","source":"commons-desc-page"},"Restrictions":{"value":"","hidden":"","source":"commons-desc-page"},"DateTimeOriginal":{"value":"2009-07-26","source":"commons-desc-page"},"ImageDescription":{"value":"Old Southern Pacific Railroad Station in &lt;a href=\"https://en.wikipedia.org/wiki/Bakersfield,_California\" class=\"extiw\" title=\"en:Bakersfield, California\"&gt;Bakersfield, California&lt;/a&gt;, USA.","source":"commons-desc-page"},"LicenseShortName":{"value":"CC BY 3.0","hidden":"","source":"commons-desc-page"},"AttributionRequired":{"value":"true","hidden":"","source":"commons-desc-page"},"CommonsMetadataExtension":{"value":1.2,"hidden":"","source":"extension"}},"thumbheight":513,"thumbattribs":{"src":"https://thumb.wikimedia.org/wikipedia/commons/thumb/5/5c/2009-0726-CA-Bakersfield-OldTStation.jpg/1280px-2009-0726-CA-Bakersfield-OldTStation.jpg?utm_source=commons.wikimedia.org&amp;utm_campaign=imageinfo&amp;utm_content=thumbnail","width":1280,"height":513,"srcset":"https://upload.wikimedia.org/wikipedia/commons/5/5c/2009-0726-CA-Bakersfield-OldTStation.jpg?utm_source=commons.wikimedia.org&amp;utm_campaign=imageinfo&amp;utm_content=thumbnail_unscaled 2x","loading":"lazy","decoding":"async"},"descriptionurl":"https://commons.wikimedia.org/wiki/File:2009-0726-CA-Bakersfield-OldTStation.jpg","responsiveUrls":{"2":"https://upload.wikimedia.org/wikipedia/commons/5/5c/2009-0726-CA-Bakersfield-OldTStation.jpg?utm_source=commons.wikimedia.org&amp;utm_campaign=imageinfo&amp;utm_content=thumbnail_unscaled"},"descriptionshorturl":"https://commons.wikimedia.org/w/index.php?curid=7512908"},"selection":{"qid":"pending","kind":"candidate","title":"Bakersfield local buildings"},"author_url":"https://en.wikipedia.org/wiki/User:Bobak","derivative":"Wikimedia thumbnail decoded; EXIF orientation applied; converted to WebP quality 86; no generated pixels, no cropping.","source_url":"https://commons.wikimedia.org/wiki/File:2009-0726-CA-Bakersfield-OldTStation.jpg","author_urls":["https://en.wikipedia.org/wiki/User:Bobak"],"description":"Old Southern Pacific Railroad Station in Bakersfield, California, USA.","license_url":"https://creativecommons.org/licenses/by/3.0","reviewed_on":"2026-10-24","capture_date":"2009-07-26","download_url":"https://thumb.wikimedia.org/wikipedia/commons/thumb/5/5c/2009-0726-CA-Bakersfield-OldTStation.jpg/1280px-2009-0726-CA-Bakersfield-OldTStation.jpg?utm_source=commons.wikimedia.org&amp;utm_campaign=imageinfo&amp;utm_content=thumbnail","original_url":"https://upload.wikimedia.org/wikipedia/commons/5/5c/2009-0726-CA-Bakersfield-OldTStation.jpg?utm_source=commons.wikimedia.org&amp;utm_campaign=imageinfo&amp;utm_content=original","pixel_review":{"method":"İndirilen kare temas sayfasında görüldü; kaynak mekân kimliğiyle eşleştirildi. Seçim kaydı final-pixel-review.json.","status":"verified","caption":"Eski Southern Pacific Depot · 2009 tarihli fotoğraf","reviewer":"Codex (AI)","review_id":"C15"},"downloaded_at":"2026-10-23T19:07:55.522183+00:00","download_sha256":"0c07ccdabf5f611b6e61e3d25acd6f1b60a35e771d8cb6bbe15f75425417de94","downloaded_file":"downloads/0c07ccdabf5f611b6e61e3d25acd6f1b60a35e771d8cb6bbe15f75425417de94.jpg","acquisition_file":"44257a33d66cfb6e3c97ca30.webp","commons_filename":"2009-0726-CA-Bakersfield-OldTStation.jpg","original_file_url":"https://upload.wikimedia.org/wikipedia/commons/5/5c/2009-0726-CA-Bakersfield-OldTStatio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5/5c/2009-0726-CA-Bakersfield-OldTStation.jpg?utm_source=commons.wikimedia.org&amp;utm_campaign=imageinfo&amp;utm_content=original"},"metadata_reviewed_on":"2026-10-24","metadata_review_status":"verified"}}</x:v>
      </x:c>
    </x:row>
    <x:row r="171" ht="300" customHeight="1">
      <x:c r="A171" s="29" t="str">
        <x:v>bakersfield:evidence:venue-22136</x:v>
      </x:c>
      <x:c r="B171" s="29" t="str">
        <x:v>bakersfield</x:v>
      </x:c>
      <x:c r="C171" s="29" t="str">
        <x:v>bakersfield:photo:venue-22136</x:v>
      </x:c>
      <x:c r="D171" s="29" t="str">
        <x:v>https://commons.wikimedia.org/wiki/File:Arcade_of_Bakersfield_SP_station,_December_2021.jpg</x:v>
      </x:c>
      <x:c r="E171" s="29" t="str">
        <x:v>Arcade of Bakersfield SP station, December 2021.jpg</x:v>
      </x:c>
      <x:c r="F171" s="29" t="str">
        <x:v>Pi.1415926535</x:v>
      </x:c>
      <x:c r="G171" s="29" t="str">
        <x:v>CC BY-SA 4.0</x:v>
      </x:c>
      <x:c r="H171" s="29" t="str">
        <x:v>https://creativecommons.org/licenses/by-sa/4.0</x:v>
      </x:c>
      <x:c r="I171" s="29" t="str">
        <x:v>Creative Commons Attribution-Share Alike 4.0</x:v>
      </x:c>
      <x:c r="J171" s="29" t="str">
        <x:v>Arcade of Bakersfield SP station, December 2021.jpg · Pi.1415926535 · CC BY-SA 4.0 · https://commons.wikimedia.org/wiki/File:Arcade_of_Bakersfield_SP_station,_December_2021.jpg</x:v>
      </x:c>
      <x:c r="K17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1" s="31" t="d">
        <x:v>2026-10-24T00:00:00.000Z</x:v>
      </x:c>
      <x:c r="M171" s="29" t="str">
        <x:v>Doğrulandı</x:v>
      </x:c>
      <x:c r="N171" s="29" t="str">
        <x:v>Doğrulandı</x:v>
      </x:c>
      <x:c r="O171" s="29" t="str">
        <x:v>Fotoğraflar/bk-06d505e97a5b2c3bcdd33e79.webp</x:v>
      </x:c>
      <x:c r="P171" s="29" t="str">
        <x:v>Eski Southern Pacific Depot · Take tarihli fotoğraf · İndirilen kare temas sayfasında görüldü; kaynak mekân kimliğiyle eşleştirildi. Seçim kaydı final-pixel-review.json.</x:v>
      </x:c>
      <x:c r="Q171" s="29" t="str">
        <x:v>Bu kare için uygun</x:v>
      </x:c>
      <x:c r="R17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1" s="29" t="str">
        <x:v>Lisans kanıtları/bk-06d505e97a5b2c3bcdd33e79.source-evidence.json</x:v>
      </x:c>
      <x:c r="T171" s="29" t="str">
        <x:v>64e09374215a46caffcbf51bae025d4be5007683b66ecf0fa0128e93e082d6d7</x:v>
      </x:c>
      <x:c r="U171" s="29" t="str">
        <x:v>Lisans kanıtları/bk-06d505e97a5b2c3bcdd33e79.license-record.json</x:v>
      </x:c>
      <x:c r="V171" s="29" t="str">
        <x:v>ff3dcfadf43f8171882e4443548f0b4d1d3b42dc34c8a5411164b3db1e04b07a</x:v>
      </x:c>
      <x:c r="W171" s="29" t="str">
        <x:v>{"file":"bk-06d505e97a5b2c3bcdd33e79.webp","width":1280,"author":"Pi.1415926535","height":960,"sha256":"06d505e97a5b2c3bcdd33e792e2f8e7e734def83f2e3502a21bd413d7ce6826d","license":"CC BY-SA 4.0","imageinfo":{"url":"https://upload.wikimedia.org/wikipedia/commons/0/06/Arcade_of_Bakersfield_SP_station%2C_December_2021.jpg?utm_source=commons.wikimedia.org&amp;utm_campaign=imageinfo&amp;utm_content=original","mime":"image/jpeg","sha1":"caa5d247633b2eb5eaebc9aeaa41fb7738069119","size":3288623,"width":4032,"height":3024,"pageid":113415313,"thumburl":"https://thumb.wikimedia.org/wikipedia/commons/thumb/0/06/Arcade_of_Bakersfield_SP_station%2C_December_2021.jpg/1280px-Arcade_of_Bakersfield_SP_station%2C_December_2021.jpg?utm_source=commons.wikimedia.org&amp;utm_campaign=imageinfo&amp;utm_content=thumbnail","timestamp":"2021-12-16T19:56:04Z","thumbwidth":1280,"extmetadata":{"Artist":{"value":"&lt;a href=\"//commons.wikimedia.org/wiki/User:Pi.1415926535\" title=\"User:Pi.1415926535\"&gt;Pi.1415926535&lt;/a&gt;","source":"commons-desc-page"},"Credit":{"value":"&lt;span class=\"int-own-work\" lang=\"en\"&gt;Own work&lt;/span&gt;","source":"commons-desc-page"},"License":{"value":"cc-by-sa-4.0","hidden":"","source":"commons-templates"},"DateTime":{"value":"2021-12-16 19:56:04","hidden":"","source":"mediawiki-metadata"},"Categories":{"value":"GFDL|License migration redundant|Bakersfield station (Southern Pacific Railroad)|Arcades in California|December 2021 in California|Self-published work|Photographs by User:Pi.1415926535|Files with coordinates missing SDC location of creation|United States photographs taken on 2021-12-11|December 2021 in rail transport in the United States","hidden":"","source":"commons-categories"},"LicenseUrl":{"value":"https://creativecommons.org/licenses/by-sa/4.0","source":"commons-desc-page"},"ObjectName":{"value":"Arcade of Bakersfield SP station, December 2021","source":"mediawiki-metadata"},"UsageTerms":{"value":"Creative Commons Attribution-Share Alike 4.0","source":"commons-desc-page"},"Assessments":{"value":"","hidden":"","source":"commons-categories"},"Copyrighted":{"value":"True","hidden":"","source":"commons-desc-page"},"GPSLatitude":{"value":"35.377292","source":"commons-desc-page"},"GPSMapDatum":{"value":"WGS-84","hidden":"","source":"commons-desc-page"},"GPSLongitude":{"value":"-118.992620","source":"commons-desc-page"},"Restrictions":{"value":"","hidden":"","source":"commons-desc-page"},"DateTimeOriginal":{"value":"Taken on 11 December 2021","source":"commons-desc-page"},"ImageDescription":{"value":"The arcade of the former Southern Pacific Railroad station in Bakersfield in December 2021","source":"commons-desc-page"},"LicenseShortName":{"value":"CC BY-SA 4.0","hidden":"","source":"commons-desc-page"},"AttributionRequired":{"value":"true","hidden":"","source":"commons-desc-page"},"CommonsMetadataExtension":{"value":1.2,"hidden":"","source":"extension"}},"thumbheight":960,"thumbattribs":{"src":"https://thumb.wikimedia.org/wikipedia/commons/thumb/0/06/Arcade_of_Bakersfield_SP_station%2C_December_2021.jpg/1280px-Arcade_of_Bakersfield_SP_station%2C_December_2021.jpg?utm_source=commons.wikimedia.org&amp;utm_campaign=imageinfo&amp;utm_content=thumbnail","width":1280,"height":960,"srcset":"https://thumb.wikimedia.org/wikipedia/commons/thumb/0/06/Arcade_of_Bakersfield_SP_station%2C_December_2021.jpg/3840px-Arcade_of_Bakersfield_SP_station%2C_December_2021.jpg?utm_source=commons.wikimedia.org&amp;utm_campaign=imageinfo&amp;utm_content=thumbnail 2x","loading":"lazy","decoding":"async"},"descriptionurl":"https://commons.wikimedia.org/wiki/File:Arcade_of_Bakersfield_SP_station,_December_2021.jpg","responsiveUrls":{"2":"https://thumb.wikimedia.org/wikipedia/commons/thumb/0/06/Arcade_of_Bakersfield_SP_station%2C_December_2021.jpg/3840px-Arcade_of_Bakersfield_SP_station%2C_December_2021.jpg?utm_source=commons.wikimedia.org&amp;utm_campaign=imageinfo&amp;utm_content=thumbnail"},"descriptionshorturl":"https://commons.wikimedia.org/w/index.php?curid=113415313"},"selection":{"qid":"pending","kind":"candidate","title":"Bakersfield local buildings"},"author_url":"https://commons.wikimedia.org/wiki/User:Pi.1415926535","derivative":"Wikimedia thumbnail decoded; EXIF orientation applied; converted to WebP quality 86; no generated pixels, no cropping.","source_url":"https://commons.wikimedia.org/wiki/File:Arcade_of_Bakersfield_SP_station,_December_2021.jpg","author_urls":["https://commons.wikimedia.org/wiki/User:Pi.1415926535"],"description":"The arcade of the former Southern Pacific Railroad station in Bakersfield in December 2021","license_url":"https://creativecommons.org/licenses/by-sa/4.0","reviewed_on":"2026-10-24","capture_date":"Taken on 11 December 2021","download_url":"https://thumb.wikimedia.org/wikipedia/commons/thumb/0/06/Arcade_of_Bakersfield_SP_station%2C_December_2021.jpg/1280px-Arcade_of_Bakersfield_SP_station%2C_December_2021.jpg?utm_source=commons.wikimedia.org&amp;utm_campaign=imageinfo&amp;utm_content=thumbnail","original_url":"https://upload.wikimedia.org/wikipedia/commons/0/06/Arcade_of_Bakersfield_SP_station%2C_December_2021.jpg?utm_source=commons.wikimedia.org&amp;utm_campaign=imageinfo&amp;utm_content=original","pixel_review":{"method":"İndirilen kare temas sayfasında görüldü; kaynak mekân kimliğiyle eşleştirildi. Seçim kaydı final-pixel-review.json.","status":"verified","caption":"Eski Southern Pacific Depot · Take tarihli fotoğraf","reviewer":"Codex (AI)","review_id":"C50"},"downloaded_at":"2026-10-23T19:08:02.968761+00:00","download_sha256":"4e7d0f4a363425e2b9e29610e05c4e03e7fbc5aaa57320b1704fe5363e8ef97d","downloaded_file":"downloads/4e7d0f4a363425e2b9e29610e05c4e03e7fbc5aaa57320b1704fe5363e8ef97d.jpg","acquisition_file":"8a65278475afb9aaac3c4f9b.webp","commons_filename":"Arcade of Bakersfield SP station, December 2021.jpg","original_file_url":"https://upload.wikimedia.org/wikipedia/commons/0/06/Arcade_of_Bakersfield_SP_station%2C_December_2021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dönüştürüldü.","photo_attribution":{"author_url":"https://commons.wikimedia.org/wiki/User:Pi.1415926535","modifications":"EXIF yönü uygulandı; boyut küçültülüp WebP biçimine dönüştürüldü.","original_file_url":"https://upload.wikimedia.org/wikipedia/commons/0/06/Arcade_of_Bakersfield_SP_station%2C_December_2021.jpg?utm_source=commons.wikimedia.org&amp;utm_campaign=imageinfo&amp;utm_content=original"},"metadata_reviewed_on":"2026-10-24","metadata_review_status":"verified"}}</x:v>
      </x:c>
    </x:row>
    <x:row r="172" ht="300" customHeight="1">
      <x:c r="A172" s="29" t="str">
        <x:v>bakersfield:evidence:venue-22137</x:v>
      </x:c>
      <x:c r="B172" s="29" t="str">
        <x:v>bakersfield</x:v>
      </x:c>
      <x:c r="C172" s="29" t="str">
        <x:v>bakersfield:photo:venue-22137</x:v>
      </x:c>
      <x:c r="D172" s="29" t="str">
        <x:v>https://commons.wikimedia.org/wiki/File:Bakersfield_SP_station_building_(1),_December_2021.jpg</x:v>
      </x:c>
      <x:c r="E172" s="29" t="str">
        <x:v>Bakersfield SP station building (1), December 2021.jpg</x:v>
      </x:c>
      <x:c r="F172" s="29" t="str">
        <x:v>Pi.1415926535</x:v>
      </x:c>
      <x:c r="G172" s="29" t="str">
        <x:v>CC BY-SA 4.0</x:v>
      </x:c>
      <x:c r="H172" s="29" t="str">
        <x:v>https://creativecommons.org/licenses/by-sa/4.0</x:v>
      </x:c>
      <x:c r="I172" s="29" t="str">
        <x:v>Creative Commons Attribution-Share Alike 4.0</x:v>
      </x:c>
      <x:c r="J172" s="29" t="str">
        <x:v>Bakersfield SP station building (1), December 2021.jpg · Pi.1415926535 · CC BY-SA 4.0 · https://commons.wikimedia.org/wiki/File:Bakersfield_SP_station_building_(1),_December_2021.jpg</x:v>
      </x:c>
      <x:c r="K17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2" s="31" t="d">
        <x:v>2026-10-24T00:00:00.000Z</x:v>
      </x:c>
      <x:c r="M172" s="29" t="str">
        <x:v>Doğrulandı</x:v>
      </x:c>
      <x:c r="N172" s="29" t="str">
        <x:v>Doğrulandı</x:v>
      </x:c>
      <x:c r="O172" s="29" t="str">
        <x:v>Fotoğraflar/bk-6e47987e149c1372462e807f.webp</x:v>
      </x:c>
      <x:c r="P172" s="29" t="str">
        <x:v>Eski Southern Pacific Depot · Take tarihli fotoğraf · İndirilen kare temas sayfasında görüldü; kaynak mekân kimliğiyle eşleştirildi. Seçim kaydı final-pixel-review.json.</x:v>
      </x:c>
      <x:c r="Q172" s="29" t="str">
        <x:v>Bu kare için uygun</x:v>
      </x:c>
      <x:c r="R17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2" s="29" t="str">
        <x:v>Lisans kanıtları/bk-6e47987e149c1372462e807f.source-evidence.json</x:v>
      </x:c>
      <x:c r="T172" s="29" t="str">
        <x:v>f5d0ba76d53da6ebd0ee55086fae0d9c60a4a09db21813e201054c787abe8589</x:v>
      </x:c>
      <x:c r="U172" s="29" t="str">
        <x:v>Lisans kanıtları/bk-6e47987e149c1372462e807f.license-record.json</x:v>
      </x:c>
      <x:c r="V172" s="29" t="str">
        <x:v>f1db1db79aa9eec6ac44a633e40bd0bdeefbc25ed3383daa8cd437f343a69d2d</x:v>
      </x:c>
      <x:c r="W172" s="29" t="str">
        <x:v>{"file":"bk-6e47987e149c1372462e807f.webp","width":1280,"author":"Pi.1415926535","height":960,"sha256":"6e47987e149c1372462e807f2decc5202e52dc4a8965ff521a60dfaf5d748e25","license":"CC BY-SA 4.0","imageinfo":{"url":"https://upload.wikimedia.org/wikipedia/commons/5/57/Bakersfield_SP_station_building_%281%29%2C_December_2021.jpg?utm_source=commons.wikimedia.org&amp;utm_campaign=imageinfo&amp;utm_content=original","mime":"image/jpeg","sha1":"e38dc35d538811ceb8af4dcd537595b08dca7bc7","size":3551919,"width":4032,"height":3024,"pageid":113417257,"thumburl":"https://thumb.wikimedia.org/wikipedia/commons/thumb/5/57/Bakersfield_SP_station_building_%281%29%2C_December_2021.jpg/1280px-Bakersfield_SP_station_building_%281%29%2C_December_2021.jpg?utm_source=commons.wikimedia.org&amp;utm_campaign=imageinfo&amp;utm_content=thumbnail","timestamp":"2021-12-16T21:19:46Z","thumbwidth":1280,"extmetadata":{"Artist":{"value":"&lt;a href=\"//commons.wikimedia.org/wiki/User:Pi.1415926535\" title=\"User:Pi.1415926535\"&gt;Pi.1415926535&lt;/a&gt;","source":"commons-desc-page"},"Credit":{"value":"&lt;span class=\"int-own-work\" lang=\"en\"&gt;Own work&lt;/span&gt;","source":"commons-desc-page"},"License":{"value":"cc-by-sa-4.0","hidden":"","source":"commons-templates"},"DateTime":{"value":"2021-12-16 21:19:46","hidden":"","source":"mediawiki-metadata"},"Categories":{"value":"GFDL|License migration redundant|Bakersfield station (Southern Pacific Railroad)|December 2021 in California|Self-published work|Photographs by User:Pi.1415926535|Files with coordinates missing SDC location of creation|United States photographs taken on 2021-12-11|December 2021 in rail transport in the United States","hidden":"","source":"commons-categories"},"LicenseUrl":{"value":"https://creativecommons.org/licenses/by-sa/4.0","source":"commons-desc-page"},"ObjectName":{"value":"Bakersfield SP station building (1), December 2021","source":"mediawiki-metadata"},"UsageTerms":{"value":"Creative Commons Attribution-Share Alike 4.0","source":"commons-desc-page"},"Assessments":{"value":"","hidden":"","source":"commons-categories"},"Copyrighted":{"value":"True","hidden":"","source":"commons-desc-page"},"GPSLatitude":{"value":"35.377084","source":"commons-desc-page"},"GPSMapDatum":{"value":"WGS-84","hidden":"","source":"commons-desc-page"},"GPSLongitude":{"value":"-118.992701","source":"commons-desc-page"},"Restrictions":{"value":"","hidden":"","source":"commons-desc-page"},"DateTimeOriginal":{"value":"Taken on 11 December 2021","source":"commons-desc-page"},"ImageDescription":{"value":"The former Southern Pacific Railroad station in Bakersfield in December 2021","source":"commons-desc-page"},"LicenseShortName":{"value":"CC BY-SA 4.0","hidden":"","source":"commons-desc-page"},"AttributionRequired":{"value":"true","hidden":"","source":"commons-desc-page"},"CommonsMetadataExtension":{"value":1.2,"hidden":"","source":"extension"}},"thumbheight":960,"thumbattribs":{"src":"https://thumb.wikimedia.org/wikipedia/commons/thumb/5/57/Bakersfield_SP_station_building_%281%29%2C_December_2021.jpg/1280px-Bakersfield_SP_station_building_%281%29%2C_December_2021.jpg?utm_source=commons.wikimedia.org&amp;utm_campaign=imageinfo&amp;utm_content=thumbnail","width":1280,"height":960,"srcset":"https://thumb.wikimedia.org/wikipedia/commons/thumb/5/57/Bakersfield_SP_station_building_%281%29%2C_December_2021.jpg/3840px-Bakersfield_SP_station_building_%281%29%2C_December_2021.jpg?utm_source=commons.wikimedia.org&amp;utm_campaign=imageinfo&amp;utm_content=thumbnail 2x","loading":"lazy","decoding":"async"},"descriptionurl":"https://commons.wikimedia.org/wiki/File:Bakersfield_SP_station_building_(1),_December_2021.jpg","responsiveUrls":{"2":"https://thumb.wikimedia.org/wikipedia/commons/thumb/5/57/Bakersfield_SP_station_building_%281%29%2C_December_2021.jpg/3840px-Bakersfield_SP_station_building_%281%29%2C_December_2021.jpg?utm_source=commons.wikimedia.org&amp;utm_campaign=imageinfo&amp;utm_content=thumbnail"},"descriptionshorturl":"https://commons.wikimedia.org/w/index.php?curid=113417257"},"selection":{"qid":"pending","kind":"candidate","title":"Bakersfield local buildings"},"author_url":"https://commons.wikimedia.org/wiki/User:Pi.1415926535","derivative":"Wikimedia thumbnail decoded; EXIF orientation applied; converted to WebP quality 86; no generated pixels, no cropping.","source_url":"https://commons.wikimedia.org/wiki/File:Bakersfield_SP_station_building_(1),_December_2021.jpg","author_urls":["https://commons.wikimedia.org/wiki/User:Pi.1415926535"],"description":"The former Southern Pacific Railroad station in Bakersfield in December 2021","license_url":"https://creativecommons.org/licenses/by-sa/4.0","reviewed_on":"2026-10-24","capture_date":"Taken on 11 December 2021","download_url":"https://thumb.wikimedia.org/wikipedia/commons/thumb/5/57/Bakersfield_SP_station_building_%281%29%2C_December_2021.jpg/1280px-Bakersfield_SP_station_building_%281%29%2C_December_2021.jpg?utm_source=commons.wikimedia.org&amp;utm_campaign=imageinfo&amp;utm_content=thumbnail","original_url":"https://upload.wikimedia.org/wikipedia/commons/5/57/Bakersfield_SP_station_building_%281%29%2C_December_2021.jpg?utm_source=commons.wikimedia.org&amp;utm_campaign=imageinfo&amp;utm_content=original","pixel_review":{"method":"İndirilen kare temas sayfasında görüldü; kaynak mekân kimliğiyle eşleştirildi. Seçim kaydı final-pixel-review.json.","status":"verified","caption":"Eski Southern Pacific Depot · Take tarihli fotoğraf","reviewer":"Codex (AI)","review_id":"C57"},"downloaded_at":"2026-10-23T19:08:06.692512+00:00","download_sha256":"3d8e279620c5a3ed8eebc9285049f20a444846ce4bc5fae864dfbe7e8fb20653","downloaded_file":"downloads/3d8e279620c5a3ed8eebc9285049f20a444846ce4bc5fae864dfbe7e8fb20653.jpg","acquisition_file":"e7b8e027ef0f35444a9615eb.webp","commons_filename":"Bakersfield SP station building (1), December 2021.jpg","original_file_url":"https://upload.wikimedia.org/wikipedia/commons/5/57/Bakersfield_SP_station_building_%281%29%2C_December_2021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dönüştürüldü.","photo_attribution":{"author_url":"https://commons.wikimedia.org/wiki/User:Pi.1415926535","modifications":"EXIF yönü uygulandı; boyut küçültülüp WebP biçimine dönüştürüldü.","original_file_url":"https://upload.wikimedia.org/wikipedia/commons/5/57/Bakersfield_SP_station_building_%281%29%2C_December_2021.jpg?utm_source=commons.wikimedia.org&amp;utm_campaign=imageinfo&amp;utm_content=original"},"metadata_reviewed_on":"2026-10-24","metadata_review_status":"verified"}}</x:v>
      </x:c>
    </x:row>
    <x:row r="173" ht="300" customHeight="1">
      <x:c r="A173" s="29" t="str">
        <x:v>bakersfield:evidence:venue-22138</x:v>
      </x:c>
      <x:c r="B173" s="29" t="str">
        <x:v>bakersfield</x:v>
      </x:c>
      <x:c r="C173" s="29" t="str">
        <x:v>bakersfield:photo:venue-22138</x:v>
      </x:c>
      <x:c r="D173" s="29" t="str">
        <x:v>https://commons.wikimedia.org/wiki/File:Bakersfield_SP_station_building_(3),_December_2021.jpg</x:v>
      </x:c>
      <x:c r="E173" s="29" t="str">
        <x:v>Bakersfield SP station building (3), December 2021.jpg</x:v>
      </x:c>
      <x:c r="F173" s="29" t="str">
        <x:v>Pi.1415926535</x:v>
      </x:c>
      <x:c r="G173" s="29" t="str">
        <x:v>CC BY-SA 4.0</x:v>
      </x:c>
      <x:c r="H173" s="29" t="str">
        <x:v>https://creativecommons.org/licenses/by-sa/4.0</x:v>
      </x:c>
      <x:c r="I173" s="29" t="str">
        <x:v>Creative Commons Attribution-Share Alike 4.0</x:v>
      </x:c>
      <x:c r="J173" s="29" t="str">
        <x:v>Bakersfield SP station building (3), December 2021.jpg · Pi.1415926535 · CC BY-SA 4.0 · https://commons.wikimedia.org/wiki/File:Bakersfield_SP_station_building_(3),_December_2021.jpg</x:v>
      </x:c>
      <x:c r="K17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3" s="31" t="d">
        <x:v>2026-10-24T00:00:00.000Z</x:v>
      </x:c>
      <x:c r="M173" s="29" t="str">
        <x:v>Doğrulandı</x:v>
      </x:c>
      <x:c r="N173" s="29" t="str">
        <x:v>Doğrulandı</x:v>
      </x:c>
      <x:c r="O173" s="29" t="str">
        <x:v>Fotoğraflar/bk-16aad1cde52367cd0b9553ef.webp</x:v>
      </x:c>
      <x:c r="P173" s="29" t="str">
        <x:v>Eski Southern Pacific Depot · Take tarihli fotoğraf · İndirilen kare temas sayfasında görüldü; kaynak mekân kimliğiyle eşleştirildi. Seçim kaydı final-pixel-review.json.</x:v>
      </x:c>
      <x:c r="Q173" s="29" t="str">
        <x:v>Bu kare için uygun</x:v>
      </x:c>
      <x:c r="R17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3" s="29" t="str">
        <x:v>Lisans kanıtları/bk-16aad1cde52367cd0b9553ef.source-evidence.json</x:v>
      </x:c>
      <x:c r="T173" s="29" t="str">
        <x:v>9f64cb7360a4a6394d6cea7fac47fbaddd19cde42adaa85580d4b13fcf1c5771</x:v>
      </x:c>
      <x:c r="U173" s="29" t="str">
        <x:v>Lisans kanıtları/bk-16aad1cde52367cd0b9553ef.license-record.json</x:v>
      </x:c>
      <x:c r="V173" s="29" t="str">
        <x:v>c1f482ea9176f29077f6f50b4ef27f81045afbbffc34c69cecf71423dc11f582</x:v>
      </x:c>
      <x:c r="W173" s="29" t="str">
        <x:v>{"file":"bk-16aad1cde52367cd0b9553ef.webp","width":1280,"author":"Pi.1415926535","height":960,"sha256":"16aad1cde52367cd0b9553ef6cb66d7e172f487fc18ab1cb0a355b2e8c8f4626","license":"CC BY-SA 4.0","imageinfo":{"url":"https://upload.wikimedia.org/wikipedia/commons/7/7b/Bakersfield_SP_station_building_%283%29%2C_December_2021.jpg?utm_source=commons.wikimedia.org&amp;utm_campaign=imageinfo&amp;utm_content=original","mime":"image/jpeg","sha1":"cb7b66ca0e03ed900ee0f07cd48f57ae8fdfb206","size":3641442,"width":4032,"height":3024,"pageid":113417274,"thumburl":"https://thumb.wikimedia.org/wikipedia/commons/thumb/7/7b/Bakersfield_SP_station_building_%283%29%2C_December_2021.jpg/1280px-Bakersfield_SP_station_building_%283%29%2C_December_2021.jpg?utm_source=commons.wikimedia.org&amp;utm_campaign=imageinfo&amp;utm_content=thumbnail","timestamp":"2021-12-16T21:20:36Z","thumbwidth":1280,"extmetadata":{"Artist":{"value":"&lt;a href=\"//commons.wikimedia.org/wiki/User:Pi.1415926535\" title=\"User:Pi.1415926535\"&gt;Pi.1415926535&lt;/a&gt;","source":"commons-desc-page"},"Credit":{"value":"&lt;span class=\"int-own-work\" lang=\"en\"&gt;Own work&lt;/span&gt;","source":"commons-desc-page"},"License":{"value":"cc-by-sa-4.0","hidden":"","source":"commons-templates"},"DateTime":{"value":"2021-12-16 21:20:36","hidden":"","source":"mediawiki-metadata"},"Categories":{"value":"GFDL|License migration redundant|Bakersfield station (Southern Pacific Railroad)|December 2021 in California|Self-published work|Photographs by User:Pi.1415926535|Files with coordinates missing SDC location of creation|United States photographs taken on 2021-12-11|December 2021 in rail transport in the United States","hidden":"","source":"commons-categories"},"LicenseUrl":{"value":"https://creativecommons.org/licenses/by-sa/4.0","source":"commons-desc-page"},"ObjectName":{"value":"Bakersfield SP station building (3), December 2021","source":"mediawiki-metadata"},"UsageTerms":{"value":"Creative Commons Attribution-Share Alike 4.0","source":"commons-desc-page"},"Assessments":{"value":"","hidden":"","source":"commons-categories"},"Copyrighted":{"value":"True","hidden":"","source":"commons-desc-page"},"GPSLatitude":{"value":"35.376849","source":"commons-desc-page"},"GPSMapDatum":{"value":"WGS-84","hidden":"","source":"commons-desc-page"},"GPSLongitude":{"value":"-118.992186","source":"commons-desc-page"},"Restrictions":{"value":"","hidden":"","source":"commons-desc-page"},"DateTimeOriginal":{"value":"Taken on 11 December 2021","source":"commons-desc-page"},"ImageDescription":{"value":"The former Southern Pacific Railroad station in Bakersfield in December 2021","source":"commons-desc-page"},"LicenseShortName":{"value":"CC BY-SA 4.0","hidden":"","source":"commons-desc-page"},"AttributionRequired":{"value":"true","hidden":"","source":"commons-desc-page"},"CommonsMetadataExtension":{"value":1.2,"hidden":"","source":"extension"}},"thumbheight":960,"thumbattribs":{"src":"https://thumb.wikimedia.org/wikipedia/commons/thumb/7/7b/Bakersfield_SP_station_building_%283%29%2C_December_2021.jpg/1280px-Bakersfield_SP_station_building_%283%29%2C_December_2021.jpg?utm_source=commons.wikimedia.org&amp;utm_campaign=imageinfo&amp;utm_content=thumbnail","width":1280,"height":960,"srcset":"https://thumb.wikimedia.org/wikipedia/commons/thumb/7/7b/Bakersfield_SP_station_building_%283%29%2C_December_2021.jpg/3840px-Bakersfield_SP_station_building_%283%29%2C_December_2021.jpg?utm_source=commons.wikimedia.org&amp;utm_campaign=imageinfo&amp;utm_content=thumbnail 2x","loading":"lazy","decoding":"async"},"descriptionurl":"https://commons.wikimedia.org/wiki/File:Bakersfield_SP_station_building_(3),_December_2021.jpg","responsiveUrls":{"2":"https://thumb.wikimedia.org/wikipedia/commons/thumb/7/7b/Bakersfield_SP_station_building_%283%29%2C_December_2021.jpg/3840px-Bakersfield_SP_station_building_%283%29%2C_December_2021.jpg?utm_source=commons.wikimedia.org&amp;utm_campaign=imageinfo&amp;utm_content=thumbnail"},"descriptionshorturl":"https://commons.wikimedia.org/w/index.php?curid=113417274"},"selection":{"qid":"pending","kind":"candidate","title":"Bakersfield local buildings"},"author_url":"https://commons.wikimedia.org/wiki/User:Pi.1415926535","derivative":"Wikimedia thumbnail decoded; EXIF orientation applied; converted to WebP quality 86; no generated pixels, no cropping.","source_url":"https://commons.wikimedia.org/wiki/File:Bakersfield_SP_station_building_(3),_December_2021.jpg","author_urls":["https://commons.wikimedia.org/wiki/User:Pi.1415926535"],"description":"The former Southern Pacific Railroad station in Bakersfield in December 2021","license_url":"https://creativecommons.org/licenses/by-sa/4.0","reviewed_on":"2026-10-24","capture_date":"Taken on 11 December 2021","download_url":"https://thumb.wikimedia.org/wikipedia/commons/thumb/7/7b/Bakersfield_SP_station_building_%283%29%2C_December_2021.jpg/1280px-Bakersfield_SP_station_building_%283%29%2C_December_2021.jpg?utm_source=commons.wikimedia.org&amp;utm_campaign=imageinfo&amp;utm_content=thumbnail","original_url":"https://upload.wikimedia.org/wikipedia/commons/7/7b/Bakersfield_SP_station_building_%283%29%2C_December_2021.jpg?utm_source=commons.wikimedia.org&amp;utm_campaign=imageinfo&amp;utm_content=original","pixel_review":{"method":"İndirilen kare temas sayfasında görüldü; kaynak mekân kimliğiyle eşleştirildi. Seçim kaydı final-pixel-review.json.","status":"verified","caption":"Eski Southern Pacific Depot · Take tarihli fotoğraf","reviewer":"Codex (AI)","review_id":"C59"},"downloaded_at":"2026-10-23T19:08:08.550428+00:00","download_sha256":"f746bc53ba5d84b976ce7459765770c7bff5d0625c2beac55ac2fd62528aac50","downloaded_file":"downloads/f746bc53ba5d84b976ce7459765770c7bff5d0625c2beac55ac2fd62528aac50.jpg","acquisition_file":"57da20fa8de23f9052c4490c.webp","commons_filename":"Bakersfield SP station building (3), December 2021.jpg","original_file_url":"https://upload.wikimedia.org/wikipedia/commons/7/7b/Bakersfield_SP_station_building_%283%29%2C_December_2021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dönüştürüldü.","photo_attribution":{"author_url":"https://commons.wikimedia.org/wiki/User:Pi.1415926535","modifications":"EXIF yönü uygulandı; boyut küçültülüp WebP biçimine dönüştürüldü.","original_file_url":"https://upload.wikimedia.org/wikipedia/commons/7/7b/Bakersfield_SP_station_building_%283%29%2C_December_2021.jpg?utm_source=commons.wikimedia.org&amp;utm_campaign=imageinfo&amp;utm_content=original"},"metadata_reviewed_on":"2026-10-24","metadata_review_status":"verified"}}</x:v>
      </x:c>
    </x:row>
    <x:row r="174" ht="300" customHeight="1">
      <x:c r="A174" s="29" t="str">
        <x:v>bakersfield:evidence:venue-22139</x:v>
      </x:c>
      <x:c r="B174" s="29" t="str">
        <x:v>bakersfield</x:v>
      </x:c>
      <x:c r="C174" s="29" t="str">
        <x:v>bakersfield:photo:venue-22139</x:v>
      </x:c>
      <x:c r="D174" s="29" t="str">
        <x:v>https://commons.wikimedia.org/wiki/File:Bakersfield_SP_station_from_the_northwest,_December_2021.jpg</x:v>
      </x:c>
      <x:c r="E174" s="29" t="str">
        <x:v>Bakersfield SP station from the northwest, December 2021.jpg</x:v>
      </x:c>
      <x:c r="F174" s="29" t="str">
        <x:v>Pi.1415926535</x:v>
      </x:c>
      <x:c r="G174" s="29" t="str">
        <x:v>CC BY-SA 4.0</x:v>
      </x:c>
      <x:c r="H174" s="29" t="str">
        <x:v>https://creativecommons.org/licenses/by-sa/4.0</x:v>
      </x:c>
      <x:c r="I174" s="29" t="str">
        <x:v>Creative Commons Attribution-Share Alike 4.0</x:v>
      </x:c>
      <x:c r="J174" s="29" t="str">
        <x:v>Bakersfield SP station from the northwest, December 2021.jpg · Pi.1415926535 · CC BY-SA 4.0 · https://commons.wikimedia.org/wiki/File:Bakersfield_SP_station_from_the_northwest,_December_2021.jpg</x:v>
      </x:c>
      <x:c r="K17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4" s="31" t="d">
        <x:v>2026-10-24T00:00:00.000Z</x:v>
      </x:c>
      <x:c r="M174" s="29" t="str">
        <x:v>Doğrulandı</x:v>
      </x:c>
      <x:c r="N174" s="29" t="str">
        <x:v>Doğrulandı</x:v>
      </x:c>
      <x:c r="O174" s="29" t="str">
        <x:v>Fotoğraflar/bk-cd04432a5f1df1fc4642c37c.webp</x:v>
      </x:c>
      <x:c r="P174" s="29" t="str">
        <x:v>Eski Southern Pacific Depot · Take tarihli fotoğraf · İndirilen kare temas sayfasında görüldü; kaynak mekân kimliğiyle eşleştirildi. Seçim kaydı final-pixel-review.json.</x:v>
      </x:c>
      <x:c r="Q174" s="29" t="str">
        <x:v>Bu kare için uygun</x:v>
      </x:c>
      <x:c r="R17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4" s="29" t="str">
        <x:v>Lisans kanıtları/bk-cd04432a5f1df1fc4642c37c.source-evidence.json</x:v>
      </x:c>
      <x:c r="T174" s="29" t="str">
        <x:v>a3868d2af93082fac57cc4c512709c80b1409d638e011c76a80c486e724d1c02</x:v>
      </x:c>
      <x:c r="U174" s="29" t="str">
        <x:v>Lisans kanıtları/bk-cd04432a5f1df1fc4642c37c.license-record.json</x:v>
      </x:c>
      <x:c r="V174" s="29" t="str">
        <x:v>6b143d06d5e4313d409c1abf4e86e0f12a379f31a1ed0725d426688b55c3013d</x:v>
      </x:c>
      <x:c r="W174" s="29" t="str">
        <x:v>{"file":"bk-cd04432a5f1df1fc4642c37c.webp","width":1280,"author":"Pi.1415926535","height":960,"sha256":"cd04432a5f1df1fc4642c37c51e8519d178273eec800c6c1b140ff63cc9e901a","license":"CC BY-SA 4.0","imageinfo":{"url":"https://upload.wikimedia.org/wikipedia/commons/d/d5/Bakersfield_SP_station_from_the_northwest%2C_December_2021.jpg?utm_source=commons.wikimedia.org&amp;utm_campaign=imageinfo&amp;utm_content=original","mime":"image/jpeg","sha1":"573a9e100070f6724fbf99d55f0f8106fb46494f","size":3598456,"width":4032,"height":3024,"pageid":113416496,"thumburl":"https://thumb.wikimedia.org/wikipedia/commons/thumb/d/d5/Bakersfield_SP_station_from_the_northwest%2C_December_2021.jpg/1280px-Bakersfield_SP_station_from_the_northwest%2C_December_2021.jpg?utm_source=commons.wikimedia.org&amp;utm_campaign=imageinfo&amp;utm_content=thumbnail","timestamp":"2021-12-16T20:42:51Z","thumbwidth":1280,"extmetadata":{"Artist":{"value":"&lt;a href=\"//commons.wikimedia.org/wiki/User:Pi.1415926535\" title=\"User:Pi.1415926535\"&gt;Pi.1415926535&lt;/a&gt;","source":"commons-desc-page"},"Credit":{"value":"&lt;span class=\"int-own-work\" lang=\"en\"&gt;Own work&lt;/span&gt;","source":"commons-desc-page"},"License":{"value":"cc-by-sa-4.0","hidden":"","source":"commons-templates"},"DateTime":{"value":"2021-12-16 20:42:51","hidden":"","source":"mediawiki-metadata"},"Categories":{"value":"GFDL|License migration redundant|Bakersfield station (Southern Pacific Railroad)|December 2021 in California|Self-published work|Photographs by User:Pi.1415926535|Files with coordinates missing SDC location of creation|United States photographs taken on 2021-12-11|December 2021 in rail transport in the United States","hidden":"","source":"commons-categories"},"LicenseUrl":{"value":"https://creativecommons.org/licenses/by-sa/4.0","source":"commons-desc-page"},"ObjectName":{"value":"Bakersfield SP station from the northwest, December 2021","source":"mediawiki-metadata"},"UsageTerms":{"value":"Creative Commons Attribution-Share Alike 4.0","source":"commons-desc-page"},"Assessments":{"value":"","hidden":"","source":"commons-categories"},"Copyrighted":{"value":"True","hidden":"","source":"commons-desc-page"},"GPSLatitude":{"value":"35.377458","source":"commons-desc-page"},"GPSMapDatum":{"value":"WGS-84","hidden":"","source":"commons-desc-page"},"GPSLongitude":{"value":"-118.992553","source":"commons-desc-page"},"Restrictions":{"value":"","hidden":"","source":"commons-desc-page"},"DateTimeOriginal":{"value":"Taken on 11 December 2021","source":"commons-desc-page"},"ImageDescription":{"value":"The former Southern Pacific Railroad station in Bakersfield in December 2021","source":"commons-desc-page"},"LicenseShortName":{"value":"CC BY-SA 4.0","hidden":"","source":"commons-desc-page"},"AttributionRequired":{"value":"true","hidden":"","source":"commons-desc-page"},"CommonsMetadataExtension":{"value":1.2,"hidden":"","source":"extension"}},"thumbheight":960,"thumbattribs":{"src":"https://thumb.wikimedia.org/wikipedia/commons/thumb/d/d5/Bakersfield_SP_station_from_the_northwest%2C_December_2021.jpg/1280px-Bakersfield_SP_station_from_the_northwest%2C_December_2021.jpg?utm_source=commons.wikimedia.org&amp;utm_campaign=imageinfo&amp;utm_content=thumbnail","width":1280,"height":960,"srcset":"https://thumb.wikimedia.org/wikipedia/commons/thumb/d/d5/Bakersfield_SP_station_from_the_northwest%2C_December_2021.jpg/3840px-Bakersfield_SP_station_from_the_northwest%2C_December_2021.jpg?utm_source=commons.wikimedia.org&amp;utm_campaign=imageinfo&amp;utm_content=thumbnail 2x","loading":"lazy","decoding":"async"},"descriptionurl":"https://commons.wikimedia.org/wiki/File:Bakersfield_SP_station_from_the_northwest,_December_2021.jpg","responsiveUrls":{"2":"https://thumb.wikimedia.org/wikipedia/commons/thumb/d/d5/Bakersfield_SP_station_from_the_northwest%2C_December_2021.jpg/3840px-Bakersfield_SP_station_from_the_northwest%2C_December_2021.jpg?utm_source=commons.wikimedia.org&amp;utm_campaign=imageinfo&amp;utm_content=thumbnail"},"descriptionshorturl":"https://commons.wikimedia.org/w/index.php?curid=113416496"},"selection":{"qid":"pending","kind":"candidate","title":"Bakersfield local buildings"},"author_url":"https://commons.wikimedia.org/wiki/User:Pi.1415926535","derivative":"Wikimedia thumbnail decoded; EXIF orientation applied; converted to WebP quality 86; no generated pixels, no cropping.","source_url":"https://commons.wikimedia.org/wiki/File:Bakersfield_SP_station_from_the_northwest,_December_2021.jpg","author_urls":["https://commons.wikimedia.org/wiki/User:Pi.1415926535"],"description":"The former Southern Pacific Railroad station in Bakersfield in December 2021","license_url":"https://creativecommons.org/licenses/by-sa/4.0","reviewed_on":"2026-10-24","capture_date":"Taken on 11 December 2021","download_url":"https://thumb.wikimedia.org/wikipedia/commons/thumb/d/d5/Bakersfield_SP_station_from_the_northwest%2C_December_2021.jpg/1280px-Bakersfield_SP_station_from_the_northwest%2C_December_2021.jpg?utm_source=commons.wikimedia.org&amp;utm_campaign=imageinfo&amp;utm_content=thumbnail","original_url":"https://upload.wikimedia.org/wikipedia/commons/d/d5/Bakersfield_SP_station_from_the_northwest%2C_December_2021.jpg?utm_source=commons.wikimedia.org&amp;utm_campaign=imageinfo&amp;utm_content=original","pixel_review":{"method":"İndirilen kare temas sayfasında görüldü; kaynak mekân kimliğiyle eşleştirildi. Seçim kaydı final-pixel-review.json.","status":"verified","caption":"Eski Southern Pacific Depot · Take tarihli fotoğraf","reviewer":"Codex (AI)","review_id":"C60"},"downloaded_at":"2026-10-23T19:08:10.492035+00:00","download_sha256":"ad25e7f0f486a7ad7ee22fc2eccdbcd8bb3d586ef084cf23c86a470e0788b6dc","downloaded_file":"downloads/ad25e7f0f486a7ad7ee22fc2eccdbcd8bb3d586ef084cf23c86a470e0788b6dc.jpg","acquisition_file":"7804007bd5a7ee7aa805bc9d.webp","commons_filename":"Bakersfield SP station from the northwest, December 2021.jpg","original_file_url":"https://upload.wikimedia.org/wikipedia/commons/d/d5/Bakersfield_SP_station_from_the_northwest%2C_December_2021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dönüştürüldü.","photo_attribution":{"author_url":"https://commons.wikimedia.org/wiki/User:Pi.1415926535","modifications":"EXIF yönü uygulandı; boyut küçültülüp WebP biçimine dönüştürüldü.","original_file_url":"https://upload.wikimedia.org/wikipedia/commons/d/d5/Bakersfield_SP_station_from_the_northwest%2C_December_2021.jpg?utm_source=commons.wikimedia.org&amp;utm_campaign=imageinfo&amp;utm_content=original"},"metadata_reviewed_on":"2026-10-24","metadata_review_status":"verified"}}</x:v>
      </x:c>
    </x:row>
    <x:row r="175" ht="300" customHeight="1">
      <x:c r="A175" s="29" t="str">
        <x:v>bakersfield:evidence:venue-22140</x:v>
      </x:c>
      <x:c r="B175" s="29" t="str">
        <x:v>bakersfield</x:v>
      </x:c>
      <x:c r="C175" s="29" t="str">
        <x:v>bakersfield:photo:venue-22140</x:v>
      </x:c>
      <x:c r="D175" s="29" t="str">
        <x:v>https://commons.wikimedia.org/wiki/File:Bakersfield_Station_Bakersfield_CA.png</x:v>
      </x:c>
      <x:c r="E175" s="29" t="str">
        <x:v>Bakersfield Station Bakersfield CA.png</x:v>
      </x:c>
      <x:c r="F175" s="29" t="str">
        <x:v>Bakoplex</x:v>
      </x:c>
      <x:c r="G175" s="29" t="str">
        <x:v>CC BY-SA 4.0</x:v>
      </x:c>
      <x:c r="H175" s="29" t="str">
        <x:v>https://creativecommons.org/licenses/by-sa/4.0</x:v>
      </x:c>
      <x:c r="I175" s="29" t="str">
        <x:v>Creative Commons Attribution-Share Alike 4.0</x:v>
      </x:c>
      <x:c r="J175" s="29" t="str">
        <x:v>Bakersfield Station Bakersfield CA.png · Bakoplex · CC BY-SA 4.0 · https://commons.wikimedia.org/wiki/File:Bakersfield_Station_Bakersfield_CA.png</x:v>
      </x:c>
      <x:c r="K17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5" s="31" t="d">
        <x:v>2026-10-24T00:00:00.000Z</x:v>
      </x:c>
      <x:c r="M175" s="29" t="str">
        <x:v>Doğrulandı</x:v>
      </x:c>
      <x:c r="N175" s="29" t="str">
        <x:v>Doğrulandı</x:v>
      </x:c>
      <x:c r="O175" s="29" t="str">
        <x:v>Fotoğraflar/bk-b95ccd0a06461ebda4dc1aad.webp</x:v>
      </x:c>
      <x:c r="P175" s="29" t="str">
        <x:v>Eski Southern Pacific Depot · 2021 tarihli fotoğraf · İndirilen kare temas sayfasında görüldü; kaynak mekân kimliğiyle eşleştirildi. Seçim kaydı final-pixel-review.json.</x:v>
      </x:c>
      <x:c r="Q175" s="29" t="str">
        <x:v>Bu kare için uygun</x:v>
      </x:c>
      <x:c r="R17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5" s="29" t="str">
        <x:v>Lisans kanıtları/bk-b95ccd0a06461ebda4dc1aad.source-evidence.json</x:v>
      </x:c>
      <x:c r="T175" s="29" t="str">
        <x:v>437f038236634a976dd5f1a994a8fa521b4561f79763f7af9fc6c08be57bdc08</x:v>
      </x:c>
      <x:c r="U175" s="29" t="str">
        <x:v>Lisans kanıtları/bk-b95ccd0a06461ebda4dc1aad.license-record.json</x:v>
      </x:c>
      <x:c r="V175" s="29" t="str">
        <x:v>e8f46a8e21f1f9f53a7b75c600e45f11dc4d4018335f01b78a47fafd9e3533aa</x:v>
      </x:c>
      <x:c r="W175" s="29" t="str">
        <x:v>{"file":"bk-b95ccd0a06461ebda4dc1aad.webp","width":1280,"author":"Bakoplex","height":817,"sha256":"b95ccd0a06461ebda4dc1aad6a1885d43e2b62082487f279944cca4a0d9dd651","license":"CC BY-SA 4.0","imageinfo":{"url":"https://upload.wikimedia.org/wikipedia/commons/3/3c/Bakersfield_Station_Bakersfield_CA.png?utm_source=commons.wikimedia.org&amp;utm_campaign=imageinfo&amp;utm_content=original","mime":"image/png","sha1":"96a0ab8d2862741f2b74db13459995c3a024f99c","size":7703244,"width":2921,"height":1865,"pageid":101016219,"thumburl":"https://thumb.wikimedia.org/wikipedia/commons/thumb/3/3c/Bakersfield_Station_Bakersfield_CA.png/1280px-Bakersfield_Station_Bakersfield_CA.png?utm_source=commons.wikimedia.org&amp;utm_campaign=imageinfo&amp;utm_content=thumbnail","timestamp":"2021-03-04T18:14:58Z","thumbwidth":1280,"extmetadata":{"Artist":{"value":"&lt;a href=\"//commons.wikimedia.org/wiki/User:Bakoplex\" title=\"User:Bakoplex\"&gt;Bakoplex&lt;/a&gt;","source":"commons-desc-page"},"Credit":{"value":"&lt;span class=\"int-own-work\" lang=\"en\"&gt;Own work&lt;/span&gt;","source":"commons-desc-page"},"License":{"value":"cc-by-sa-4.0","hidden":"","source":"commons-templates"},"DateTime":{"value":"2021-03-04 18:14:58","hidden":"","source":"mediawiki-metadata"},"Categories":{"value":"Bakersfield station (Southern Pacific Railroad)|Self-published work","hidden":"","source":"commons-categories"},"LicenseUrl":{"value":"https://creativecommons.org/licenses/by-sa/4.0","source":"commons-desc-page"},"ObjectName":{"value":"Bakersfield Station Bakersfield CA","source":"mediawiki-metadata"},"UsageTerms":{"value":"Creative Commons Attribution-Share Alike 4.0","source":"commons-desc-page"},"Assessments":{"value":"","hidden":"","source":"commons-categories"},"Copyrighted":{"value":"True","hidden":"","source":"commons-desc-page"},"Restrictions":{"value":"","hidden":"","source":"commons-desc-page"},"DateTimeOriginal":{"value":"2021-03-03","source":"commons-desc-page"},"ImageDescription":{"value":"Opened in 1889, the station was closed to passenger use in 1971 following the creation of Amtrak. It continues to provide offices and services for Burlington Northern Santa Fe Railway Company (BNSF).","source":"commons-desc-page"},"LicenseShortName":{"value":"CC BY-SA 4.0","hidden":"","source":"commons-desc-page"},"AttributionRequired":{"value":"true","hidden":"","source":"commons-desc-page"},"CommonsMetadataExtension":{"value":1.2,"hidden":"","source":"extension"}},"thumbheight":817,"thumbattribs":{"src":"https://thumb.wikimedia.org/wikipedia/commons/thumb/3/3c/Bakersfield_Station_Bakersfield_CA.png/1280px-Bakersfield_Station_Bakersfield_CA.png?utm_source=commons.wikimedia.org&amp;utm_campaign=imageinfo&amp;utm_content=thumbnail","width":1280,"height":817,"srcset":"https://upload.wikimedia.org/wikipedia/commons/3/3c/Bakersfield_Station_Bakersfield_CA.png?utm_source=commons.wikimedia.org&amp;utm_campaign=imageinfo&amp;utm_content=thumbnail_unscaled 2x","loading":"lazy","decoding":"async"},"descriptionurl":"https://commons.wikimedia.org/wiki/File:Bakersfield_Station_Bakersfield_CA.png","responsiveUrls":{"2":"https://upload.wikimedia.org/wikipedia/commons/3/3c/Bakersfield_Station_Bakersfield_CA.png?utm_source=commons.wikimedia.org&amp;utm_campaign=imageinfo&amp;utm_content=thumbnail_unscaled"},"descriptionshorturl":"https://commons.wikimedia.org/w/index.php?curid=101016219"},"selection":{"qid":"pending","kind":"candidate","title":"Bakersfield local buildings"},"author_url":"https://commons.wikimedia.org/wiki/User:Bakoplex","derivative":"Wikimedia thumbnail decoded; EXIF orientation applied; converted to WebP quality 86; no generated pixels, no cropping.","source_url":"https://commons.wikimedia.org/wiki/File:Bakersfield_Station_Bakersfield_CA.png","author_urls":["https://commons.wikimedia.org/wiki/User:Bakoplex"],"description":"Opened in 1889, the station was closed to passenger use in 1971 following the creation of Amtrak. It continues to provide offices and services for Burlington Northern Santa Fe Railway Company (BNSF).","license_url":"https://creativecommons.org/licenses/by-sa/4.0","reviewed_on":"2026-10-24","capture_date":"2021-03-03","download_url":"https://thumb.wikimedia.org/wikipedia/commons/thumb/3/3c/Bakersfield_Station_Bakersfield_CA.png/1280px-Bakersfield_Station_Bakersfield_CA.png?utm_source=commons.wikimedia.org&amp;utm_campaign=imageinfo&amp;utm_content=thumbnail","original_url":"https://upload.wikimedia.org/wikipedia/commons/3/3c/Bakersfield_Station_Bakersfield_CA.png?utm_source=commons.wikimedia.org&amp;utm_campaign=imageinfo&amp;utm_content=original","pixel_review":{"method":"İndirilen kare temas sayfasında görüldü; kaynak mekân kimliğiyle eşleştirildi. Seçim kaydı final-pixel-review.json.","status":"verified","caption":"Eski Southern Pacific Depot · 2021 tarihli fotoğraf","reviewer":"Codex (AI)","review_id":"C62"},"downloaded_at":"2026-10-23T19:08:14.303713+00:00","download_sha256":"b922058cf6f653af22fd898074a2e1430319176b660f92182eef1c36dd70cc90","downloaded_file":"downloads/b922058cf6f653af22fd898074a2e1430319176b660f92182eef1c36dd70cc90.png","acquisition_file":"ccbfc473973de3737211efb3.webp","commons_filename":"Bakersfield Station Bakersfield CA.png","original_file_url":"https://upload.wikimedia.org/wikipedia/commons/3/3c/Bakersfield_Station_Bakersfield_CA.pn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dönüştürüldü.","photo_attribution":{"author_url":"https://commons.wikimedia.org/wiki/User:Bakoplex","modifications":"EXIF yönü uygulandı; boyut küçültülüp WebP biçimine dönüştürüldü.","original_file_url":"https://upload.wikimedia.org/wikipedia/commons/3/3c/Bakersfield_Station_Bakersfield_CA.png?utm_source=commons.wikimedia.org&amp;utm_campaign=imageinfo&amp;utm_content=original"},"metadata_reviewed_on":"2026-10-24","metadata_review_status":"verified"}}</x:v>
      </x:c>
    </x:row>
    <x:row r="176" ht="300" customHeight="1">
      <x:c r="A176" s="29" t="str">
        <x:v>bakersfield:evidence:venue-22141</x:v>
      </x:c>
      <x:c r="B176" s="29" t="str">
        <x:v>bakersfield</x:v>
      </x:c>
      <x:c r="C176" s="29" t="str">
        <x:v>bakersfield:photo:venue-22141</x:v>
      </x:c>
      <x:c r="D176" s="29" t="str">
        <x:v>https://commons.wikimedia.org/wiki/File:Former_hotel_building_at_Bakersfield_SP_station_(1),_December_2021.jpg</x:v>
      </x:c>
      <x:c r="E176" s="29" t="str">
        <x:v>Former hotel building at Bakersfield SP station (1), December 2021.jpg</x:v>
      </x:c>
      <x:c r="F176" s="29" t="str">
        <x:v>Pi.1415926535</x:v>
      </x:c>
      <x:c r="G176" s="29" t="str">
        <x:v>CC BY-SA 4.0</x:v>
      </x:c>
      <x:c r="H176" s="29" t="str">
        <x:v>https://creativecommons.org/licenses/by-sa/4.0</x:v>
      </x:c>
      <x:c r="I176" s="29" t="str">
        <x:v>Creative Commons Attribution-Share Alike 4.0</x:v>
      </x:c>
      <x:c r="J176" s="29" t="str">
        <x:v>Former hotel building at Bakersfield SP station (1), December 2021.jpg · Pi.1415926535 · CC BY-SA 4.0 · https://commons.wikimedia.org/wiki/File:Former_hotel_building_at_Bakersfield_SP_station_(1),_December_2021.jpg</x:v>
      </x:c>
      <x:c r="K17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6" s="31" t="d">
        <x:v>2026-10-24T00:00:00.000Z</x:v>
      </x:c>
      <x:c r="M176" s="29" t="str">
        <x:v>Doğrulandı</x:v>
      </x:c>
      <x:c r="N176" s="29" t="str">
        <x:v>Doğrulandı</x:v>
      </x:c>
      <x:c r="O176" s="29" t="str">
        <x:v>Fotoğraflar/bk-6d24df06543991e5c5afb450.webp</x:v>
      </x:c>
      <x:c r="P176" s="29" t="str">
        <x:v>Eski Southern Pacific Depot · Take tarihli fotoğraf · İndirilen kare temas sayfasında görüldü; kaynak mekân kimliğiyle eşleştirildi. Seçim kaydı final-pixel-review.json.</x:v>
      </x:c>
      <x:c r="Q176" s="29" t="str">
        <x:v>Bu kare için uygun</x:v>
      </x:c>
      <x:c r="R17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6" s="29" t="str">
        <x:v>Lisans kanıtları/bk-6d24df06543991e5c5afb450.source-evidence.json</x:v>
      </x:c>
      <x:c r="T176" s="29" t="str">
        <x:v>6b3eeedd4a64745caed62979d49f42b060119adad1ee3d90a4f7e737a6b2e94e</x:v>
      </x:c>
      <x:c r="U176" s="29" t="str">
        <x:v>Lisans kanıtları/bk-6d24df06543991e5c5afb450.license-record.json</x:v>
      </x:c>
      <x:c r="V176" s="29" t="str">
        <x:v>5db22fd633f17904eb192bea7ea35fc4b4731efd7b6bd48409b3d93c20d69b0f</x:v>
      </x:c>
      <x:c r="W176" s="29" t="str">
        <x:v>{"file":"bk-6d24df06543991e5c5afb450.webp","width":1280,"author":"Pi.1415926535","height":960,"sha256":"6d24df06543991e5c5afb450996ac9aba92ad27e826e2d7e5000683386513afd","license":"CC BY-SA 4.0","imageinfo":{"url":"https://upload.wikimedia.org/wikipedia/commons/b/b6/Former_hotel_building_at_Bakersfield_SP_station_%281%29%2C_December_2021.jpg?utm_source=commons.wikimedia.org&amp;utm_campaign=imageinfo&amp;utm_content=original","mime":"image/jpeg","sha1":"e18c24cb92dad4e75dd77db0f82d5b1b5de1a267","size":7012742,"width":4032,"height":3024,"pageid":113416666,"thumburl":"https://thumb.wikimedia.org/wikipedia/commons/thumb/b/b6/Former_hotel_building_at_Bakersfield_SP_station_%281%29%2C_December_2021.jpg/1280px-Former_hotel_building_at_Bakersfield_SP_station_%281%29%2C_December_2021.jpg?utm_source=commons.wikimedia.org&amp;utm_campaign=imageinfo&amp;utm_content=thumbnail","timestamp":"2021-12-16T20:50:17Z","thumbwidth":1280,"extmetadata":{"Artist":{"value":"&lt;a href=\"//commons.wikimedia.org/wiki/User:Pi.1415926535\" title=\"User:Pi.1415926535\"&gt;Pi.1415926535&lt;/a&gt;","source":"commons-desc-page"},"Credit":{"value":"&lt;span class=\"int-own-work\" lang=\"en\"&gt;Own work&lt;/span&gt;","source":"commons-desc-page"},"License":{"value":"cc-by-sa-4.0","hidden":"","source":"commons-templates"},"DateTime":{"value":"2021-12-16 20:50:17","hidden":"","source":"mediawiki-metadata"},"Categories":{"value":"GFDL|License migration redundant|Bakersfield station (Southern Pacific Railroad)|December 2021 in California|Self-published work|Photographs by User:Pi.1415926535|Files with coordinates missing SDC location of creation|2021 in rail transport in the United States|United States photographs taken on 2021-12-11","hidden":"","source":"commons-categories"},"LicenseUrl":{"value":"https://creativecommons.org/licenses/by-sa/4.0","source":"commons-desc-page"},"ObjectName":{"value":"Former hotel building at Bakersfield SP station (1), December 2021","source":"mediawiki-metadata"},"UsageTerms":{"value":"Creative Commons Attribution-Share Alike 4.0","source":"commons-desc-page"},"Assessments":{"value":"","hidden":"","source":"commons-categories"},"Copyrighted":{"value":"True","hidden":"","source":"commons-desc-page"},"GPSLatitude":{"value":"35.376870","source":"commons-desc-page"},"GPSMapDatum":{"value":"WGS-84","hidden":"","source":"commons-desc-page"},"GPSLongitude":{"value":"-118.992284","source":"commons-desc-page"},"Restrictions":{"value":"","hidden":"","source":"commons-desc-page"},"DateTimeOriginal":{"value":"Taken on 11 December 2021","source":"commons-desc-page"},"ImageDescription":{"value":"The former hotel building of the Southern Pacific Railroad station in Bakersfield in December 2021","source":"commons-desc-page"},"LicenseShortName":{"value":"CC BY-SA 4.0","hidden":"","source":"commons-desc-page"},"AttributionRequired":{"value":"true","hidden":"","source":"commons-desc-page"},"CommonsMetadataExtension":{"value":1.2,"hidden":"","source":"extension"}},"thumbheight":960,"thumbattribs":{"src":"https://thumb.wikimedia.org/wikipedia/commons/thumb/b/b6/Former_hotel_building_at_Bakersfield_SP_station_%281%29%2C_December_2021.jpg/1280px-Former_hotel_building_at_Bakersfield_SP_station_%281%29%2C_December_2021.jpg?utm_source=commons.wikimedia.org&amp;utm_campaign=imageinfo&amp;utm_content=thumbnail","width":1280,"height":960,"srcset":"https://thumb.wikimedia.org/wikipedia/commons/thumb/b/b6/Former_hotel_building_at_Bakersfield_SP_station_%281%29%2C_December_2021.jpg/3840px-Former_hotel_building_at_Bakersfield_SP_station_%281%29%2C_December_2021.jpg?utm_source=commons.wikimedia.org&amp;utm_campaign=imageinfo&amp;utm_content=thumbnail 2x","loading":"lazy","decoding":"async"},"descriptionurl":"https://commons.wikimedia.org/wiki/File:Former_hotel_building_at_Bakersfield_SP_station_(1),_December_2021.jpg","responsiveUrls":{"2":"https://thumb.wikimedia.org/wikipedia/commons/thumb/b/b6/Former_hotel_building_at_Bakersfield_SP_station_%281%29%2C_December_2021.jpg/3840px-Former_hotel_building_at_Bakersfield_SP_station_%281%29%2C_December_2021.jpg?utm_source=commons.wikimedia.org&amp;utm_campaign=imageinfo&amp;utm_content=thumbnail"},"descriptionshorturl":"https://commons.wikimedia.org/w/index.php?curid=113416666"},"selection":{"qid":"pending","kind":"candidate","title":"Bakersfield local buildings"},"author_url":"https://commons.wikimedia.org/wiki/User:Pi.1415926535","derivative":"Wikimedia thumbnail decoded; EXIF orientation applied; converted to WebP quality 86; no generated pixels, no cropping.","source_url":"https://commons.wikimedia.org/wiki/File:Former_hotel_building_at_Bakersfield_SP_station_(1),_December_2021.jpg","author_urls":["https://commons.wikimedia.org/wiki/User:Pi.1415926535"],"description":"The former hotel building of the Southern Pacific Railroad station in Bakersfield in December 2021","license_url":"https://creativecommons.org/licenses/by-sa/4.0","reviewed_on":"2026-10-24","capture_date":"Taken on 11 December 2021","download_url":"https://thumb.wikimedia.org/wikipedia/commons/thumb/b/b6/Former_hotel_building_at_Bakersfield_SP_station_%281%29%2C_December_2021.jpg/1280px-Former_hotel_building_at_Bakersfield_SP_station_%281%29%2C_December_2021.jpg?utm_source=commons.wikimedia.org&amp;utm_campaign=imageinfo&amp;utm_content=thumbnail","original_url":"https://upload.wikimedia.org/wikipedia/commons/b/b6/Former_hotel_building_at_Bakersfield_SP_station_%281%29%2C_December_2021.jpg?utm_source=commons.wikimedia.org&amp;utm_campaign=imageinfo&amp;utm_content=original","pixel_review":{"method":"İndirilen kare temas sayfasında görüldü; kaynak mekân kimliğiyle eşleştirildi. Seçim kaydı final-pixel-review.json.","status":"verified","caption":"Eski Southern Pacific Depot · Take tarihli fotoğraf","reviewer":"Codex (AI)","review_id":"C127"},"downloaded_at":"2026-10-23T19:08:22.633998+00:00","download_sha256":"231677d3c31d068138061b50c6ada2557e0c1ab45c27ca8cef171bf7c37fa3f4","downloaded_file":"downloads/231677d3c31d068138061b50c6ada2557e0c1ab45c27ca8cef171bf7c37fa3f4.jpg","acquisition_file":"f19ec5671004be1eed2f21a5.webp","commons_filename":"Former hotel building at Bakersfield SP station (1), December 2021.jpg","original_file_url":"https://upload.wikimedia.org/wikipedia/commons/b/b6/Former_hotel_building_at_Bakersfield_SP_station_%281%29%2C_December_2021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dönüştürüldü.","photo_attribution":{"author_url":"https://commons.wikimedia.org/wiki/User:Pi.1415926535","modifications":"EXIF yönü uygulandı; boyut küçültülüp WebP biçimine dönüştürüldü.","original_file_url":"https://upload.wikimedia.org/wikipedia/commons/b/b6/Former_hotel_building_at_Bakersfield_SP_station_%281%29%2C_December_2021.jpg?utm_source=commons.wikimedia.org&amp;utm_campaign=imageinfo&amp;utm_content=original"},"metadata_reviewed_on":"2026-10-24","metadata_review_status":"verified"}}</x:v>
      </x:c>
    </x:row>
    <x:row r="177" ht="300" customHeight="1">
      <x:c r="A177" s="29" t="str">
        <x:v>bakersfield:evidence:venue-22142</x:v>
      </x:c>
      <x:c r="B177" s="29" t="str">
        <x:v>bakersfield</x:v>
      </x:c>
      <x:c r="C177" s="29" t="str">
        <x:v>bakersfield:photo:venue-22142</x:v>
      </x:c>
      <x:c r="D177" s="29" t="str">
        <x:v>https://commons.wikimedia.org/wiki/File:2009-0726-CA-Bakersfield-BakerLib.jpg</x:v>
      </x:c>
      <x:c r="E177" s="29" t="str">
        <x:v>2009-0726-CA-Bakersfield-BakerLib.jpg</x:v>
      </x:c>
      <x:c r="F177" s="29" t="str">
        <x:v>Bobak Ha'Eri</x:v>
      </x:c>
      <x:c r="G177" s="29" t="str">
        <x:v>CC BY 3.0</x:v>
      </x:c>
      <x:c r="H177" s="29" t="str">
        <x:v>https://creativecommons.org/licenses/by/3.0</x:v>
      </x:c>
      <x:c r="I177" s="29" t="str">
        <x:v>Creative Commons Attribution 3.0</x:v>
      </x:c>
      <x:c r="J177" s="29" t="str">
        <x:v>2009-0726-CA-Bakersfield-BakerLib.jpg · Bobak Ha'Eri · CC BY 3.0 · https://commons.wikimedia.org/wiki/File:2009-0726-CA-Bakersfield-BakerLib.jpg</x:v>
      </x:c>
      <x:c r="K17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7" s="31" t="d">
        <x:v>2026-10-24T00:00:00.000Z</x:v>
      </x:c>
      <x:c r="M177" s="29" t="str">
        <x:v>Doğrulandı</x:v>
      </x:c>
      <x:c r="N177" s="29" t="str">
        <x:v>Doğrulandı</x:v>
      </x:c>
      <x:c r="O177" s="29" t="str">
        <x:v>Fotoğraflar/bk-442f904e6392375df25c9f64.webp</x:v>
      </x:c>
      <x:c r="P177" s="29" t="str">
        <x:v>Old Town Kern / Baker Street · 2009 tarihli fotoğraf · İndirilen kare temas sayfasında görüldü; kaynak mekân kimliğiyle eşleştirildi. Seçim kaydı final-pixel-review.json.</x:v>
      </x:c>
      <x:c r="Q177" s="29" t="str">
        <x:v>Bu kare için uygun</x:v>
      </x:c>
      <x:c r="R17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7" s="29" t="str">
        <x:v>Lisans kanıtları/bk-442f904e6392375df25c9f64.source-evidence.json</x:v>
      </x:c>
      <x:c r="T177" s="29" t="str">
        <x:v>9b52b58303d372134a9c34ae28c85ed1f843cd7dcdb9535fa086f8a5b3f13984</x:v>
      </x:c>
      <x:c r="U177" s="29" t="str">
        <x:v>Lisans kanıtları/bk-442f904e6392375df25c9f64.license-record.json</x:v>
      </x:c>
      <x:c r="V177" s="29" t="str">
        <x:v>194e58fc52ff0b7ebaec725510f2ecc814e2f1fac7b617e8f5ccd22b58b525a8</x:v>
      </x:c>
      <x:c r="W177" s="29" t="str">
        <x:v>{"file":"bk-442f904e6392375df25c9f64.webp","width":1280,"author":"Bobak Ha'Eri","height":907,"sha256":"442f904e6392375df25c9f64f63c3572737da260b01510df7934e17eecc33408","license":"CC BY 3.0","imageinfo":{"url":"https://upload.wikimedia.org/wikipedia/commons/d/d4/2009-0726-CA-Bakersfield-BakerLib.jpg?utm_source=commons.wikimedia.org&amp;utm_campaign=imageinfo&amp;utm_content=original","mime":"image/jpeg","sha1":"8240406fdcb76749a70818e7a511b7cc51e017ff","size":3399875,"width":2726,"height":1932,"pageid":7513007,"thumburl":"https://thumb.wikimedia.org/wikipedia/commons/thumb/d/d4/2009-0726-CA-Bakersfield-BakerLib.jpg/1280px-2009-0726-CA-Bakersfield-BakerLib.jpg?utm_source=commons.wikimedia.org&amp;utm_campaign=imageinfo&amp;utm_content=thumbnail","timestamp":"2009-08-08T21:43:30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work&lt;/span&gt;","source":"commons-desc-page"},"License":{"value":"cc-by-3.0","hidden":"","source":"commons-templates"},"DateTime":{"value":"2009-08-08 21:43:30","hidden":"","source":"mediawiki-metadata"},"Categories":{"value":"Taken with Panasonic Lumix DMC-TZ7|Kern County Library|National Register of Historic Places in Kern County, California|Neoclassical architecture in California|Libraries on the National Register of Historic Places in California|Built in California in 1915|Self-published work|National Register of Historic Places with known IDs|Files by User:Bobak","hidden":"","source":"commons-categories"},"LicenseUrl":{"value":"https://creativecommons.org/licenses/by/3.0","source":"commons-desc-page"},"ObjectName":{"value":"2009-0726-CA-Bakersfield-BakerLib","source":"mediawiki-metadata"},"Permission":{"value":"CC-By-SA-3.0","hidden":"","source":"commons-desc-page"},"UsageTerms":{"value":"Creative Commons Attribution 3.0","source":"commons-desc-page"},"Assessments":{"value":"","hidden":"","source":"commons-categories"},"Copyrighted":{"value":"True","hidden":"","source":"commons-desc-page"},"GPSLatitude":{"value":"35.383611","source":"commons-desc-page"},"GPSMapDatum":{"value":"WGS-84","hidden":"","source":"commons-desc-page"},"GPSLongitude":{"value":"-118.990000","source":"commons-desc-page"},"Restrictions":{"value":"","hidden":"","source":"commons-desc-page"},"DateTimeOriginal":{"value":"2009-07-26","source":"commons-desc-page"},"ImageDescription":{"value":"&lt;b&gt;&lt;a href=\"https://en.wikipedia.org/wiki/Kern_Branch,_Beale_Memorial_Library\" class=\"extiw\" title=\"w:Kern Branch, Beale Memorial Library\"&gt;Kern Branch, Beale Memorial Library&lt;/a&gt;&lt;/b&gt; (Baker Street Branch Library) — part of of the Kern County Library system, located in &lt;a href=\"//commons.wikimedia.org/wiki/Category:Bakersfield,_California\" title=\"Category:Bakersfield, California\"&gt;Bakersfield&lt;/a&gt;, &lt;a href=\"//commons.wikimedia.org/wiki/Category:California\" title=\"Category:California\"&gt;California&lt;/a&gt;.","source":"commons-desc-page"},"LicenseShortName":{"value":"CC BY 3.0","hidden":"","source":"commons-desc-page"},"AttributionRequired":{"value":"true","hidden":"","source":"commons-desc-page"},"CommonsMetadataExtension":{"value":1.2,"hidden":"","source":"extension"}},"thumbheight":907,"thumbattribs":{"src":"https://thumb.wikimedia.org/wikipedia/commons/thumb/d/d4/2009-0726-CA-Bakersfield-BakerLib.jpg/1280px-2009-0726-CA-Bakersfield-BakerLib.jpg?utm_source=commons.wikimedia.org&amp;utm_campaign=imageinfo&amp;utm_content=thumbnail","width":1280,"height":907,"srcset":"https://upload.wikimedia.org/wikipedia/commons/d/d4/2009-0726-CA-Bakersfield-BakerLib.jpg?utm_source=commons.wikimedia.org&amp;utm_campaign=imageinfo&amp;utm_content=thumbnail_unscaled 2x","loading":"lazy","decoding":"async"},"descriptionurl":"https://commons.wikimedia.org/wiki/File:2009-0726-CA-Bakersfield-BakerLib.jpg","responsiveUrls":{"2":"https://upload.wikimedia.org/wikipedia/commons/d/d4/2009-0726-CA-Bakersfield-BakerLib.jpg?utm_source=commons.wikimedia.org&amp;utm_campaign=imageinfo&amp;utm_content=thumbnail_unscaled"},"descriptionshorturl":"https://commons.wikimedia.org/w/index.php?curid=7513007"},"selection":{"qid":"pending","kind":"candidate","title":"Bakersfield local buildings"},"author_url":"https://en.wikipedia.org/wiki/User:Bobak","derivative":"Wikimedia thumbnail decoded; EXIF orientation applied; converted to WebP quality 86; no generated pixels, no cropping.","source_url":"https://commons.wikimedia.org/wiki/File:2009-0726-CA-Bakersfield-BakerLib.jpg","author_urls":["https://en.wikipedia.org/wiki/User:Bobak"],"description":"Kern Branch, Beale Memorial Library (Baker Street Branch Library) — part of of the Kern County Library system, located in Bakersfield, California.","license_url":"https://creativecommons.org/licenses/by/3.0","reviewed_on":"2026-10-24","capture_date":"2009-07-26","download_url":"https://thumb.wikimedia.org/wikipedia/commons/thumb/d/d4/2009-0726-CA-Bakersfield-BakerLib.jpg/1280px-2009-0726-CA-Bakersfield-BakerLib.jpg?utm_source=commons.wikimedia.org&amp;utm_campaign=imageinfo&amp;utm_content=thumbnail","original_url":"https://upload.wikimedia.org/wikipedia/commons/d/d4/2009-0726-CA-Bakersfield-BakerLib.jpg?utm_source=commons.wikimedia.org&amp;utm_campaign=imageinfo&amp;utm_content=original","pixel_review":{"method":"İndirilen kare temas sayfasında görüldü; kaynak mekân kimliğiyle eşleştirildi. Seçim kaydı final-pixel-review.json.","status":"verified","caption":"Old Town Kern / Baker Street · 2009 tarihli fotoğraf","reviewer":"Codex (AI)","review_id":"C13"},"downloaded_at":"2026-10-23T19:07:54.534635+00:00","download_sha256":"6fbf43cd45c6cc754c69ccd32479ffec980ccbf59dc8b48efaf9f6cf8f864f85","downloaded_file":"downloads/6fbf43cd45c6cc754c69ccd32479ffec980ccbf59dc8b48efaf9f6cf8f864f85.jpg","acquisition_file":"37b6c6a1536c93210e631c8f.webp","commons_filename":"2009-0726-CA-Bakersfield-BakerLib.jpg","original_file_url":"https://upload.wikimedia.org/wikipedia/commons/d/d4/2009-0726-CA-Bakersfield-BakerLib.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d/d4/2009-0726-CA-Bakersfield-BakerLib.jpg?utm_source=commons.wikimedia.org&amp;utm_campaign=imageinfo&amp;utm_content=original"},"metadata_reviewed_on":"2026-10-24","metadata_review_status":"verified"}}</x:v>
      </x:c>
    </x:row>
    <x:row r="178" ht="300" customHeight="1">
      <x:c r="A178" s="29" t="str">
        <x:v>bakersfield:evidence:venue-22143</x:v>
      </x:c>
      <x:c r="B178" s="29" t="str">
        <x:v>bakersfield</x:v>
      </x:c>
      <x:c r="C178" s="29" t="str">
        <x:v>bakersfield:photo:venue-22143</x:v>
      </x:c>
      <x:c r="D178" s="29" t="str">
        <x:v>https://commons.wikimedia.org/wiki/File:2011_Kern_County_Hall_of_Records.JPG</x:v>
      </x:c>
      <x:c r="E178" s="29" t="str">
        <x:v>2011 Kern County Hall of Records.JPG</x:v>
      </x:c>
      <x:c r="F178" s="29" t="str">
        <x:v>Skyman9999.
Skyman9999</x:v>
      </x:c>
      <x:c r="G178" s="29" t="str">
        <x:v>CC0 1.0</x:v>
      </x:c>
      <x:c r="H178" s="29" t="str">
        <x:v>https://creativecommons.org/publicdomain/zero/1.0/</x:v>
      </x:c>
      <x:c r="I178" s="29" t="str">
        <x:v>Creative Commons Zero, Public Domain Dedication</x:v>
      </x:c>
      <x:c r="J178" s="29" t="str">
        <x:v>2011 Kern County Hall of Records.JPG · Skyman9999.
Skyman9999 · CC0 1.0 · https://commons.wikimedia.org/wiki/File:2011_Kern_County_Hall_of_Records.JPG</x:v>
      </x:c>
      <x:c r="K17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8" s="31" t="d">
        <x:v>2026-10-24T00:00:00.000Z</x:v>
      </x:c>
      <x:c r="M178" s="29" t="str">
        <x:v>Doğrulandı</x:v>
      </x:c>
      <x:c r="N178" s="29" t="str">
        <x:v>Doğrulandı</x:v>
      </x:c>
      <x:c r="O178" s="29" t="str">
        <x:v>Fotoğraflar/bk-a744c894c90ca3a90c5df8d0.webp</x:v>
      </x:c>
      <x:c r="P178" s="29" t="str">
        <x:v>Kern County Hall of Records · 04-0 tarihli fotoğraf · İndirilen kare temas sayfasında görüldü; kaynak mekân kimliğiyle eşleştirildi. Seçim kaydı final-pixel-review.json.</x:v>
      </x:c>
      <x:c r="Q178" s="29" t="str">
        <x:v>Bu kare için uygun</x:v>
      </x:c>
      <x:c r="R17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8" s="29" t="str">
        <x:v>Lisans kanıtları/bk-a744c894c90ca3a90c5df8d0.source-evidence.json</x:v>
      </x:c>
      <x:c r="T178" s="29" t="str">
        <x:v>6337581365a0c5f593496c29663e5ca2ffafdb16931cee8712e58b0ab893003b</x:v>
      </x:c>
      <x:c r="U178" s="29" t="str">
        <x:v>Lisans kanıtları/bk-a744c894c90ca3a90c5df8d0.license-record.json</x:v>
      </x:c>
      <x:c r="V178" s="29" t="str">
        <x:v>d864d79e952498fe83e52dbf7fba5e50b53ce6cbfc2ea3e4446cb98b5203acc5</x:v>
      </x:c>
      <x:c r="W178" s="29" t="str">
        <x:v>{"file":"bk-a744c894c90ca3a90c5df8d0.webp","width":1280,"author":"Skyman9999.\n\nSkyman9999","height":851,"sha256":"a744c894c90ca3a90c5df8d0b091c3b4ce2cf244c76950fc8d71a1a30b0fb6e1","license":"CC0 1.0","imageinfo":{"url":"https://upload.wikimedia.org/wikipedia/commons/0/02/2011_Kern_County_Hall_of_Records.JPG?utm_source=commons.wikimedia.org&amp;utm_campaign=imageinfo&amp;utm_content=original","mime":"image/jpeg","sha1":"aee7577570a432ba4cb67ae75913a91ffda1d234","size":2813333,"width":3008,"height":2000,"pageid":14762459,"thumburl":"https://thumb.wikimedia.org/wikipedia/commons/thumb/0/02/2011_Kern_County_Hall_of_Records.JPG/1280px-2011_Kern_County_Hall_of_Records.JPG?utm_source=commons.wikimedia.org&amp;utm_campaign=imageinfo&amp;utm_content=thumbnail","timestamp":"2011-04-01T23:14:58Z","thumbwidth":1280,"extmetadata":{"Artist":{"value":"&lt;p&gt;Skyman9999.\n&lt;/p&gt;\n&lt;a href=\"//commons.wikimedia.org/wiki/User:Skyman9999\" title=\"User:Skyman9999\"&gt;Skyman9999&lt;/a&gt;","source":"commons-desc-page"},"Credit":{"value":"&lt;span class=\"int-own-work\" lang=\"en\"&gt;Own work&lt;/span&gt;","source":"commons-desc-page"},"License":{"value":"cc0","hidden":"","source":"commons-templates"},"DateTime":{"value":"2011-04-01 23:14:58","hidden":"","source":"mediawiki-metadata"},"Categories":{"value":"Taken with Nikon D50|CC-Zero|Self-published work|Government buildings in Bakersfield, California|Downtown Bakersfield, California","hidden":"","source":"commons-categories"},"LicenseUrl":{"value":"http://creativecommons.org/publicdomain/zero/1.0/deed.en","source":"commons-desc-page"},"ObjectName":{"value":"2011 Kern County Hall of Records","source":"mediawiki-metadata"},"Permission":{"value":"Public Domain","hidden":"","source":"commons-desc-page"},"UsageTerms":{"value":"Creative Commons Zero, Public Domain Dedication","source":"commons-desc-page"},"Assessments":{"value":"","hidden":"","source":"commons-categories"},"Copyrighted":{"value":"True","hidden":"","source":"commons-desc-page"},"Restrictions":{"value":"","hidden":"","source":"commons-desc-page"},"DateTimeOriginal":{"value":"&lt;p&gt;04-01-2011&lt;br&gt;\n&lt;/p&gt;\n2011-04-01","source":"commons-desc-page"},"ImageDescription":{"value":"Kern County Hall of Records Building Front.","source":"commons-desc-page"},"LicenseShortName":{"value":"CC0","hidden":"","source":"commons-desc-page"},"AttributionRequired":{"value":"false","hidden":"","source":"commons-desc-page"},"CommonsMetadataExtension":{"value":1.2,"hidden":"","source":"extension"}},"thumbheight":851,"thumbattribs":{"src":"https://thumb.wikimedia.org/wikipedia/commons/thumb/0/02/2011_Kern_County_Hall_of_Records.JPG/1280px-2011_Kern_County_Hall_of_Records.JPG?utm_source=commons.wikimedia.org&amp;utm_campaign=imageinfo&amp;utm_content=thumbnail","width":1280,"height":851,"srcset":"https://upload.wikimedia.org/wikipedia/commons/0/02/2011_Kern_County_Hall_of_Records.JPG?utm_source=commons.wikimedia.org&amp;utm_campaign=imageinfo&amp;utm_content=thumbnail_unscaled 2x","loading":"lazy","decoding":"async"},"descriptionurl":"https://commons.wikimedia.org/wiki/File:2011_Kern_County_Hall_of_Records.JPG","responsiveUrls":{"2":"https://upload.wikimedia.org/wikipedia/commons/0/02/2011_Kern_County_Hall_of_Records.JPG?utm_source=commons.wikimedia.org&amp;utm_campaign=imageinfo&amp;utm_content=thumbnail_unscaled"},"descriptionshorturl":"https://commons.wikimedia.org/w/index.php?curid=14762459"},"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cropping.","source_url":"https://commons.wikimedia.org/wiki/File:2011_Kern_County_Hall_of_Records.JPG","author_urls":["https://commons.wikimedia.org/wiki/User:Skyman9999"],"description":"Kern County Hall of Records Building Front.","license_url":"https://creativecommons.org/publicdomain/zero/1.0/","reviewed_on":"2026-10-24","capture_date":"04-01-2011\n\n2011-04-01","download_url":"https://thumb.wikimedia.org/wikipedia/commons/thumb/0/02/2011_Kern_County_Hall_of_Records.JPG/1280px-2011_Kern_County_Hall_of_Records.JPG?utm_source=commons.wikimedia.org&amp;utm_campaign=imageinfo&amp;utm_content=thumbnail","original_url":"https://upload.wikimedia.org/wikipedia/commons/0/02/2011_Kern_County_Hall_of_Records.JPG?utm_source=commons.wikimedia.org&amp;utm_campaign=imageinfo&amp;utm_content=original","pixel_review":{"method":"İndirilen kare temas sayfasında görüldü; kaynak mekân kimliğiyle eşleştirildi. Seçim kaydı final-pixel-review.json.","status":"verified","caption":"Kern County Hall of Records · 04-0 tarihli fotoğraf","reviewer":"Codex (AI)","review_id":"C34"},"downloaded_at":"2026-10-23T19:08:00.501595+00:00","download_sha256":"4f5c01768194e8c62f16731e3641d939ff113ea4731fb3e056acdd8f78912c10","downloaded_file":"downloads/4f5c01768194e8c62f16731e3641d939ff113ea4731fb3e056acdd8f78912c10.jpg","acquisition_file":"60ab042d7e63369713d460cc.webp","commons_filename":"2011 Kern County Hall of Records.JPG","original_file_url":"https://upload.wikimedia.org/wikipedia/commons/0/02/2011_Kern_County_Hall_of_Record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0/02/2011_Kern_County_Hall_of_Records.JPG?utm_source=commons.wikimedia.org&amp;utm_campaign=imageinfo&amp;utm_content=original"},"metadata_reviewed_on":"2026-10-24","metadata_review_status":"verified"}}</x:v>
      </x:c>
    </x:row>
    <x:row r="179" ht="300" customHeight="1">
      <x:c r="A179" s="29" t="str">
        <x:v>bakersfield:evidence:venue-22144</x:v>
      </x:c>
      <x:c r="B179" s="29" t="str">
        <x:v>bakersfield</x:v>
      </x:c>
      <x:c r="C179" s="29" t="str">
        <x:v>bakersfield:photo:venue-22144</x:v>
      </x:c>
      <x:c r="D179" s="29" t="str">
        <x:v>https://commons.wikimedia.org/wiki/File:2009-0726-CA-Bakersfield-PO.jpg</x:v>
      </x:c>
      <x:c r="E179" s="29" t="str">
        <x:v>2009-0726-CA-Bakersfield-PO.jpg</x:v>
      </x:c>
      <x:c r="F179" s="29" t="str">
        <x:v>Bobak Ha'Eri</x:v>
      </x:c>
      <x:c r="G179" s="29" t="str">
        <x:v>CC BY 3.0</x:v>
      </x:c>
      <x:c r="H179" s="29" t="str">
        <x:v>https://creativecommons.org/licenses/by/3.0</x:v>
      </x:c>
      <x:c r="I179" s="29" t="str">
        <x:v>Creative Commons Attribution 3.0</x:v>
      </x:c>
      <x:c r="J179" s="29" t="str">
        <x:v>2009-0726-CA-Bakersfield-PO.jpg · Bobak Ha'Eri · CC BY 3.0 · https://commons.wikimedia.org/wiki/File:2009-0726-CA-Bakersfield-PO.jpg</x:v>
      </x:c>
      <x:c r="K17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79" s="31" t="d">
        <x:v>2026-10-24T00:00:00.000Z</x:v>
      </x:c>
      <x:c r="M179" s="29" t="str">
        <x:v>Doğrulandı</x:v>
      </x:c>
      <x:c r="N179" s="29" t="str">
        <x:v>Doğrulandı</x:v>
      </x:c>
      <x:c r="O179" s="29" t="str">
        <x:v>Fotoğraflar/bk-c39ed5b1bd1749684ff64016.webp</x:v>
      </x:c>
      <x:c r="P179" s="29" t="str">
        <x:v>Downtown Tarihî Postane · 2009 tarihli fotoğraf · İndirilen kare temas sayfasında görüldü; kaynak mekân kimliğiyle eşleştirildi. Seçim kaydı final-pixel-review.json.</x:v>
      </x:c>
      <x:c r="Q179" s="29" t="str">
        <x:v>Bu kare için uygun</x:v>
      </x:c>
      <x:c r="R17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79" s="29" t="str">
        <x:v>Lisans kanıtları/bk-c39ed5b1bd1749684ff64016.source-evidence.json</x:v>
      </x:c>
      <x:c r="T179" s="29" t="str">
        <x:v>df722ae15d648824a16ba377fe79010dc7c64c389b6062f22e1c6a1e4222412b</x:v>
      </x:c>
      <x:c r="U179" s="29" t="str">
        <x:v>Lisans kanıtları/bk-c39ed5b1bd1749684ff64016.license-record.json</x:v>
      </x:c>
      <x:c r="V179" s="29" t="str">
        <x:v>f07bf3d6b19ef58ee58ba0bdbda21133f67b810e569a2f3c3ddbb43d5c7690e8</x:v>
      </x:c>
      <x:c r="W179" s="29" t="str">
        <x:v>{"file":"bk-c39ed5b1bd1749684ff64016.webp","width":1280,"author":"Bobak Ha'Eri","height":792,"sha256":"c39ed5b1bd1749684ff640166cdbd9210562ea7c7344a9c351c1785fd73280bd","license":"CC BY 3.0","imageinfo":{"url":"https://upload.wikimedia.org/wikipedia/commons/d/da/2009-0726-CA-Bakersfield-PO.jpg?utm_source=commons.wikimedia.org&amp;utm_campaign=imageinfo&amp;utm_content=original","mime":"image/jpeg","sha1":"15f91c2d9bb1b441c3a0c859007ffa1e3b2252bc","size":5530805,"width":3648,"height":2256,"pageid":7512837,"thumburl":"https://thumb.wikimedia.org/wikipedia/commons/thumb/d/da/2009-0726-CA-Bakersfield-PO.jpg/1280px-2009-0726-CA-Bakersfield-PO.jpg?utm_source=commons.wikimedia.org&amp;utm_campaign=imageinfo&amp;utm_content=thumbnail","timestamp":"2009-08-08T21:17:26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work&lt;/span&gt;","source":"commons-desc-page"},"License":{"value":"cc-by-3.0","hidden":"","source":"commons-templates"},"DateTime":{"value":"2009-08-08 21:17:26","hidden":"","source":"mediawiki-metadata"},"Categories":{"value":"Taken with Panasonic Lumix DMC-TZ7|The Padre Hotel|Self-published work|Government buildings in Bakersfield, California|Post offices in Kern County, California|Newspaper vending machines in California|Files by User:Bobak|Downtown Bakersfield, California","hidden":"","source":"commons-categories"},"LicenseUrl":{"value":"https://creativecommons.org/licenses/by/3.0","source":"commons-desc-page"},"ObjectName":{"value":"2009-0726-CA-Bakersfield-PO","source":"mediawiki-metadata"},"Permission":{"value":"CC-By-SA-3.0","hidden":"","source":"commons-desc-page"},"UsageTerms":{"value":"Creative Commons Attribution 3.0","source":"commons-desc-page"},"Assessments":{"value":"","hidden":"","source":"commons-categories"},"Copyrighted":{"value":"True","hidden":"","source":"commons-desc-page"},"Restrictions":{"value":"","hidden":"","source":"commons-desc-page"},"DateTimeOriginal":{"value":"2009-07-26","source":"commons-desc-page"},"ImageDescription":{"value":"Downtown Post Office building, &lt;a href=\"https://en.wikipedia.org/wiki/Bakersfield,_California\" class=\"extiw\" title=\"en:Bakersfield, California\"&gt;Bakersfield, California&lt;/a&gt;, USA.","source":"commons-desc-page"},"LicenseShortName":{"value":"CC BY 3.0","hidden":"","source":"commons-desc-page"},"AttributionRequired":{"value":"true","hidden":"","source":"commons-desc-page"},"CommonsMetadataExtension":{"value":1.2,"hidden":"","source":"extension"}},"thumbheight":792,"thumbattribs":{"src":"https://thumb.wikimedia.org/wikipedia/commons/thumb/d/da/2009-0726-CA-Bakersfield-PO.jpg/1280px-2009-0726-CA-Bakersfield-PO.jpg?utm_source=commons.wikimedia.org&amp;utm_campaign=imageinfo&amp;utm_content=thumbnail","width":1280,"height":792,"srcset":"https://upload.wikimedia.org/wikipedia/commons/d/da/2009-0726-CA-Bakersfield-PO.jpg?utm_source=commons.wikimedia.org&amp;utm_campaign=imageinfo&amp;utm_content=thumbnail_unscaled 2x","loading":"lazy","decoding":"async"},"descriptionurl":"https://commons.wikimedia.org/wiki/File:2009-0726-CA-Bakersfield-PO.jpg","responsiveUrls":{"2":"https://upload.wikimedia.org/wikipedia/commons/d/da/2009-0726-CA-Bakersfield-PO.jpg?utm_source=commons.wikimedia.org&amp;utm_campaign=imageinfo&amp;utm_content=thumbnail_unscaled"},"descriptionshorturl":"https://commons.wikimedia.org/w/index.php?curid=7512837"},"selection":{"qid":"pending","kind":"candidate","title":"Bakersfield local buildings"},"author_url":"https://en.wikipedia.org/wiki/User:Bobak","derivative":"Wikimedia thumbnail decoded; EXIF orientation applied; converted to WebP quality 86; no generated pixels, no cropping.","source_url":"https://commons.wikimedia.org/wiki/File:2009-0726-CA-Bakersfield-PO.jpg","author_urls":["https://en.wikipedia.org/wiki/User:Bobak"],"description":"Downtown Post Office building, Bakersfield, California, USA.","license_url":"https://creativecommons.org/licenses/by/3.0","reviewed_on":"2026-10-24","capture_date":"2009-07-26","download_url":"https://thumb.wikimedia.org/wikipedia/commons/thumb/d/da/2009-0726-CA-Bakersfield-PO.jpg/1280px-2009-0726-CA-Bakersfield-PO.jpg?utm_source=commons.wikimedia.org&amp;utm_campaign=imageinfo&amp;utm_content=thumbnail","original_url":"https://upload.wikimedia.org/wikipedia/commons/d/da/2009-0726-CA-Bakersfield-PO.jpg?utm_source=commons.wikimedia.org&amp;utm_campaign=imageinfo&amp;utm_content=original","pixel_review":{"method":"İndirilen kare temas sayfasında görüldü; kaynak mekân kimliğiyle eşleştirildi. Seçim kaydı final-pixel-review.json.","status":"verified","caption":"Downtown Tarihî Postane · 2009 tarihli fotoğraf","reviewer":"Codex (AI)","review_id":"C16"},"downloaded_at":"2026-10-23T19:07:57.910294+00:00","download_sha256":"a2e094886247300cb15e627600668c03c1e3145fd857961a2d11e369b4e224d9","downloaded_file":"downloads/a2e094886247300cb15e627600668c03c1e3145fd857961a2d11e369b4e224d9.jpg","acquisition_file":"ec3b229a18430a17f126c345.webp","commons_filename":"2009-0726-CA-Bakersfield-PO.jpg","original_file_url":"https://upload.wikimedia.org/wikipedia/commons/d/da/2009-0726-CA-Bakersfield-P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d/da/2009-0726-CA-Bakersfield-PO.jpg?utm_source=commons.wikimedia.org&amp;utm_campaign=imageinfo&amp;utm_content=original"},"metadata_reviewed_on":"2026-10-24","metadata_review_status":"verified"}}</x:v>
      </x:c>
    </x:row>
    <x:row r="180" ht="300" customHeight="1">
      <x:c r="A180" s="29" t="str">
        <x:v>bakersfield:evidence:venue-22145</x:v>
      </x:c>
      <x:c r="B180" s="29" t="str">
        <x:v>bakersfield</x:v>
      </x:c>
      <x:c r="C180" s="29" t="str">
        <x:v>bakersfield:photo:venue-22145</x:v>
      </x:c>
      <x:c r="D180" s="29" t="str">
        <x:v>https://www.flickr.com/photos/95391240@N00/38285857/</x:v>
      </x:c>
      <x:c r="E180" s="29" t="str">
        <x:v>Bakersfield Fire Station No. 1</x:v>
      </x:c>
      <x:c r="F180" s="29" t="str">
        <x:v>Great Valley Center</x:v>
      </x:c>
      <x:c r="G180" s="29" t="str">
        <x:v>CC BY 2.0</x:v>
      </x:c>
      <x:c r="H180" s="29" t="str">
        <x:v>https://creativecommons.org/licenses/by/2.0/</x:v>
      </x:c>
      <x:c r="I180" s="29" t="str">
        <x:v>CC BY 2.0</x:v>
      </x:c>
      <x:c r="J180" s="29" t="str">
        <x:v>Bakersfield Fire Station No. 1 · Great Valley Center · CC BY 2.0 · https://www.flickr.com/photos/95391240@N00/38285857/</x:v>
      </x:c>
      <x:c r="K18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0" s="31" t="d">
        <x:v>2026-10-24T00:00:00.000Z</x:v>
      </x:c>
      <x:c r="M180" s="29" t="str">
        <x:v>Doğrulandı</x:v>
      </x:c>
      <x:c r="N180" s="29" t="str">
        <x:v>Doğrulandı</x:v>
      </x:c>
      <x:c r="O180" s="29" t="str">
        <x:v>Fotoğraflar/bk-d82c99820d6f494856704dbc.webp</x:v>
      </x:c>
      <x:c r="P180" s="29" t="str">
        <x:v>Bakersfield Fire Station No. 1 · İndirilen kare temas sayfasında görüldü; kaynak mekân kimliğiyle eşleştirildi. Seçim kaydı final-pixel-review.json.</x:v>
      </x:c>
      <x:c r="Q180" s="29" t="str">
        <x:v>Bu kare için uygun</x:v>
      </x:c>
      <x:c r="R18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0" s="29" t="str">
        <x:v>Lisans kanıtları/bk-d82c99820d6f494856704dbc.source-evidence.json</x:v>
      </x:c>
      <x:c r="T180" s="29" t="str">
        <x:v>70f983590be2e85db39b439bff812ecd207139f7b5fa7fcbc9db5f28c15b086b</x:v>
      </x:c>
      <x:c r="U180" s="29" t="str">
        <x:v>Lisans kanıtları/bk-d82c99820d6f494856704dbc.license-record.json</x:v>
      </x:c>
      <x:c r="V180" s="29" t="str">
        <x:v>355a6a8d3a4c7bfc073a49a6c87bf892f3ab0314eacf3dc2eb89f79261d73e62</x:v>
      </x:c>
      <x:c r="W180" s="29" t="str">
        <x:v>{"file":"bk-d82c99820d6f494856704dbc.webp","width":1024,"author":"Great Valley Center","height":768,"sha256":"d82c99820d6f494856704dbc9f96a83d6ffb225303c7efd30f60707786f7d26b","status":"reviewed-selected","license":"CC BY 2.0","provider":"Flickr","review_id":"D4","source_id":"38285857","author_url":"https://www.flickr.com/photos/95391240@N00/","date_texts":["Uploaded on August 29, 2005","Uploaded on August 29, 2005"],"source_url":"https://www.flickr.com/photos/95391240@N00/38285857/","description":"Bakersfield, California (2005)","license_url":"https://creativecommons.org/licenses/by/2.0/","review_note":"Art-deco facade; exterior architecture only, no public interior claim.","reviewed_on":"2026-10-24","source_text":"Art Deco Fire Station | Bakersfield, California (2005)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Great Valley Center Great Valley Center Art Deco Fire Station Bakersfield, California (2005) Done 1,080 views 0 faves 0 comments Uploaded on August 29, 2005 Great Valley Center By: Great Valley Center Art Deco Fire Station Bakersfield, California (2005) Done 1,080 views 0 faves 0 comments Uploaded on August 29, 2005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photography.","capture_date":"","download_url":"https://live.staticflickr.com/24/38285857_1b15ced7df_b.jpg","original_url":"https://live.staticflickr.com/24/38285857_ef0879b77a_k.jpg","pixel_review":{"method":"İndirilen kare temas sayfasında görüldü; kaynak mekân kimliğiyle eşleştirildi. Seçim kaydı final-pixel-review.json.","status":"verified","caption":"Bakersfield Fire Station No. 1","reviewer":"Codex (AI)","review_id":"D4"},"source_title":"Art Deco Fire Station","downloaded_at":"2026-10-23T19:52:10.959379+00:00","download_sha256":"9d5a84ca781e7159b289d1c8feb5682f0555c74bd3c19d364da009aa2dbb143a","downloaded_file":"downloads/9d5a84ca781e7159b289d1c8feb5682f0555c74bd3c19d364da009aa2dbb143a.jpg","public_metadata":{"photo-models":[{"data":{"id":"38285857","owner":{"data":{"id":"95391240@N00","isPro":false,"newFlow":true,"isAdFree":false,"realname":"","segments":{"data":[],"exportMetaType":"array"},"username":"Great Valley Center","buddyicon":{"data":{"large":"//live.staticflickr.com/30/buddyicons/95391240@N00_l.jpg?1125339156#95391240@N00","small":"//live.staticflickr.com/30/buddyicons/95391240@N00_s.jpg?1125339156#95391240@N00","medium":"//live.staticflickr.com/30/buddyicons/95391240@N00_m.jpg?1125339156#95391240@N00","retina":"//live.staticflickr.com/30/buddyicons/95391240@N00_r.jpg?1125339156#95391240@N00","default":"//live.staticflickr.com/30/buddyicons/95391240@N00.jpg?1125339156#95391240@N00"},"exportMetaType":"pojo"},"pathAlias":"greatvalleycenter","dateCreated":{"data":"1125309671","exportMetaType":"serializeFunction"},"subscription":{"data":{"isPro":false,"isClosed":false,"isPastDue":false},"exportMetaType":"pojo"},"eligibleGifts":{"data":["year","month","week"],"exportMetaType":"array"},"isEligibleForGifts":true,"_flickrModelRegistry":"person-models"},"exportMetaType":"model"},"sizes":{"data":{"c":{"data":{"url":"//live.staticflickr.com/24/38285857_1b15ced7df_c.jpg","width":800,"height":600,"displayUrl":"//live.staticflickr.com/24/38285857_1b15ced7df_c.jpg"},"exportMetaType":"pojo"},"h":{"data":{"url":"//live.staticflickr.com/24/38285857_cee6f376eb_h.jpg","width":1600,"height":1200,"displayUrl":"//live.staticflickr.com/24/38285857_cee6f376eb_h.jpg"},"exportMetaType":"pojo"},"k":{"data":{"url":"//live.staticflickr.com/24/38285857_ef0879b77a_k.jpg","width":2048,"height":1536,"displayUrl":"//live.staticflickr.com/24/38285857_ef0879b77a_k.jpg"},"exportMetaType":"pojo"},"l":{"data":{"url":"//live.staticflickr.com/24/38285857_1b15ced7df_b.jpg","width":1024,"height":768,"displayUrl":"//live.staticflickr.com/24/38285857_1b15ced7df_b.jpg"},"exportMetaType":"pojo"},"m":{"data":{"url":"//live.staticflickr.com/24/38285857_1b15ced7df.jpg","width":500,"height":375,"displayUrl":"//live.staticflickr.com/24/38285857_1b15ced7df.jpg"},"exportMetaType":"pojo"},"n":{"data":{"url":"//live.staticflickr.com/24/38285857_1b15ced7df_n.jpg","width":320,"height":240,"displayUrl":"//live.staticflickr.com/24/38285857_1b15ced7df_n.jpg"},"exportMetaType":"pojo"},"o":{"data":{"url":"//live.staticflickr.com/24/38285857_1b15ced7df_o.jpg","width":2048,"height":1536,"displayUrl":"//live.staticflickr.com/24/38285857_1b15ced7df_o.jpg"},"exportMetaType":"pojo"},"q":{"data":{"url":"//live.staticflickr.com/24/38285857_1b15ced7df_q.jpg","width":150,"height":150,"displayUrl":"//live.staticflickr.com/24/38285857_1b15ced7df_q.jpg"},"exportMetaType":"pojo"},"s":{"data":{"url":"//live.staticflickr.com/24/38285857_1b15ced7df_m.jpg","width":240,"height":180,"displayUrl":"//live.staticflickr.com/24/38285857_1b15ced7df_m.jpg"},"exportMetaType":"pojo"},"t":{"data":{"url":"//live.staticflickr.com/24/38285857_1b15ced7df_t.jpg","width":100,"height":75,"displayUrl":"//live.staticflickr.com/24/38285857_1b15ced7df_t.jpg"},"exportMetaType":"pojo"},"w":{"data":{"url":"//live.staticflickr.com/24/38285857_1b15ced7df_w.jpg","width":400,"height":300,"displayUrl":"//live.staticflickr.com/24/38285857_1b15ced7df_w.jpg"},"exportMetaType":"pojo"},"z":{"data":{"url":"//live.staticflickr.com/24/38285857_1b15ced7df_z.jpg","width":640,"height":480,"displayUrl":"//live.staticflickr.com/24/38285857_1b15ced7df_z.jpg"},"exportMetaType":"pojo"},"sq":{"data":{"url":"//live.staticflickr.com/24/38285857_1b15ced7df_s.jpg","width":75,"height":75,"displayUrl":"//live.staticflickr.com/24/38285857_1b15ced7df_s.jpg"},"exportMetaType":"pojo"}},"exportMetaType":"pojo"},"title":"Art Deco Fire Station","oWidth":2048,"secret":"1b15ced7df","license":4,"oHeight":1536,"rotation":0,"canAddMeta":false,"canComment":false,"engagement":{"data":{"id":"38285857","canShare":true,"ownerNsid":"95391240@N00","reactions":{"data":{"like":{"data":{"id":"like","count":5,"canReact":true,"didViewerReact":true},"exportMetaType":"pojo"},"someOtherReaction":{"data":{"id":"someOtherReaction","count":3,"canReact":true,"didViewerReact":false},"exportMetaType":"pojo"}},"exportMetaType":"pojo"},"viewCount":1080,"canDownload":true,"_flickrModelRegistry":"photo-engagement-models"},"exportMetaType":"model"},"description":"Bakersfield, California (2005)","safetyLevel":0,"upgradeSizes":{"data":[],"exportMetaType":"array"},"adEligibility":{"data":{"lane":1,"labels":{"data":[],"exportMetaType":"array"},"isAdEligible":true,"highScoreLabels":{"data":[],"exportMetaType":"array"}},"exportMetaType":"pojo"},"canPublicComment":true,"_flickrModelRegistry":"photo-models"},"exportMetaType":"model"}],"photo-geo-models":[{"data":{"id":"38285857","_flickrModelRegistry":"photo-geo-models"},"exportMetaType":"model"}],"photo-location-models":[{"data":{"id":"38285857","geo":{"data":"~2","exportMetaType":"model"},"text":"","levels":{"data":{},"exportMetaType":"pojo"},"staticMaps":{"data":{},"exportMetaType":"pojo"},"_flickrModelRegistry":"photo-location-models"},"exportMetaType":"model"}],"photo-head-meta-models":[{"data":{"id":"38285857","title":"Art Deco Fire Station","og:url":"https://www.flickr.com/photos/greatvalleycenter/38285857/","og:type":"article","keywords":"bakersfield, centralvalley, greatvalleycenter","og:image":"https://live.staticflickr.com/24/38285857_1b15ced7df_b.jpg","og:title":"Art Deco Fire Station","twitter:card":"summary_large_image","twitter:image":"https://live.staticflickr.com/24/38285857_1b15ced7df_b.jpg","og:description":"Bakersfield, California (2005)","og:image:width":1024,"og:image:height":768,"twitter:description":"Bakersfield, California (2005)","_flickrModelRegistry":"photo-head-meta-models","twitter:app:url:ipad":"flickr://flickr.com/photos/greatvalleycenter/38285857/","twitter:app:url:iphone":"flickr://flickr.com/photos/greatvalleycenter/38285857/","twitter:app:url:googleplay":"https://www.flickr.com/photos/greatvalleycenter/38285857/"},"exportMetaType":"model"}],"photo-license-history-models":[]},"acquisition_file":"fl-38285857.webp","source_html_file":"/Users/atincakcayoz/corteqs/output/bakersfield-production-20261023/flickr-source-pages/38285857.html","original_file_url":"https://live.staticflickr.com/24/38285857_ef0879b77a_k.jpg","proposed_identity":"Bakersfield Central Fire Station","source_html_sha256":"08169fc523c9679c549d1c165fbdcb6c4dcdcd3b647caf3eddfe239ad14d76b4","third_party_rights_review":{"basis":"Kaynakta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dönüştürüldü.","photo_attribution":{"author_url":"https://www.flickr.com/photos/95391240@N00/","modifications":"EXIF yönü uygulandı; boyut küçültülüp WebP biçimine dönüştürüldü.","original_file_url":"https://live.staticflickr.com/24/38285857_ef0879b77a_k.jpg"},"metadata_reviewed_on":"2026-10-24","metadata_review_status":"verified"}}</x:v>
      </x:c>
    </x:row>
    <x:row r="181" ht="300" customHeight="1">
      <x:c r="A181" s="29" t="str">
        <x:v>bakersfield:evidence:venue-22146</x:v>
      </x:c>
      <x:c r="B181" s="29" t="str">
        <x:v>bakersfield</x:v>
      </x:c>
      <x:c r="C181" s="29" t="str">
        <x:v>bakersfield:photo:venue-22146</x:v>
      </x:c>
      <x:c r="D181" s="29" t="str">
        <x:v>https://commons.wikimedia.org/wiki/File:Hayden_Bldg,_Bakersfield,_CA.jpg</x:v>
      </x:c>
      <x:c r="E181" s="29" t="str">
        <x:v>Hayden Bldg, Bakersfield, CA.jpg</x:v>
      </x:c>
      <x:c r="F181" s="29" t="str">
        <x:v>Publichall</x:v>
      </x:c>
      <x:c r="G181" s="29" t="str">
        <x:v>CC BY-SA 4.0</x:v>
      </x:c>
      <x:c r="H181" s="29" t="str">
        <x:v>https://creativecommons.org/licenses/by-sa/4.0</x:v>
      </x:c>
      <x:c r="I181" s="29" t="str">
        <x:v>Creative Commons Attribution-Share Alike 4.0</x:v>
      </x:c>
      <x:c r="J181" s="29" t="str">
        <x:v>Hayden Bldg, Bakersfield, CA.jpg · Publichall · CC BY-SA 4.0 · https://commons.wikimedia.org/wiki/File:Hayden_Bldg,_Bakersfield,_CA.jpg</x:v>
      </x:c>
      <x:c r="K18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1" s="31" t="d">
        <x:v>2026-10-24T00:00:00.000Z</x:v>
      </x:c>
      <x:c r="M181" s="29" t="str">
        <x:v>Doğrulandı</x:v>
      </x:c>
      <x:c r="N181" s="29" t="str">
        <x:v>Doğrulandı</x:v>
      </x:c>
      <x:c r="O181" s="29" t="str">
        <x:v>Fotoğraflar/bk-994baf4638e0776c94699194.webp</x:v>
      </x:c>
      <x:c r="P181" s="29" t="str">
        <x:v>Hayden Building · 2017 tarihli fotoğraf · İndirilen kare temas sayfasında görüldü; kaynak mekân kimliğiyle eşleştirildi. Seçim kaydı final-pixel-review.json.</x:v>
      </x:c>
      <x:c r="Q181" s="29" t="str">
        <x:v>Bu kare için uygun</x:v>
      </x:c>
      <x:c r="R18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1" s="29" t="str">
        <x:v>Lisans kanıtları/bk-994baf4638e0776c94699194.source-evidence.json</x:v>
      </x:c>
      <x:c r="T181" s="29" t="str">
        <x:v>7e13b13d475ffb890f1581c986b466ddb684f37fe141c6a7a2cdc315773b1ab5</x:v>
      </x:c>
      <x:c r="U181" s="29" t="str">
        <x:v>Lisans kanıtları/bk-994baf4638e0776c94699194.license-record.json</x:v>
      </x:c>
      <x:c r="V181" s="29" t="str">
        <x:v>bbbe82785839ee9490dda1641aafb65dbc1510f9e5a02a87d2b4ef3532ff31e5</x:v>
      </x:c>
      <x:c r="W181" s="29" t="str">
        <x:v>{"file":"bk-994baf4638e0776c94699194.webp","width":1280,"author":"Publichall","height":960,"sha256":"994baf4638e0776c946991941860926084ca7adb9574b65678a2bdbdc04ee988","license":"CC BY-SA 4.0","imageinfo":{"url":"https://upload.wikimedia.org/wikipedia/commons/9/9c/Hayden_Bldg%2C_Bakersfield%2C_CA.jpg?utm_source=commons.wikimedia.org&amp;utm_campaign=imageinfo&amp;utm_content=original","mime":"image/jpeg","sha1":"4d671b77a37c148b3a5450d935ad3d2925da9ddd","size":1792138,"width":3264,"height":2448,"pageid":116647254,"thumburl":"https://thumb.wikimedia.org/wikipedia/commons/thumb/9/9c/Hayden_Bldg%2C_Bakersfield%2C_CA.jpg/1280px-Hayden_Bldg%2C_Bakersfield%2C_CA.jpg?utm_source=commons.wikimedia.org&amp;utm_campaign=imageinfo&amp;utm_content=thumbnail","timestamp":"2022-04-04T05:50:08Z","thumbwidth":1280,"extmetadata":{"Artist":{"value":"&lt;a href=\"//commons.wikimedia.org/wiki/User:Publichall\" title=\"User:Publichall\"&gt;Publichall&lt;/a&gt;","source":"commons-desc-page"},"Credit":{"value":"&lt;span class=\"int-own-work\" lang=\"en\"&gt;Own work&lt;/span&gt;","source":"commons-desc-page"},"License":{"value":"cc-by-sa-4.0","hidden":"","source":"commons-templates"},"DateTime":{"value":"2022-04-04 05:50:08","hidden":"","source":"mediawiki-metadata"},"Categories":{"value":"Ancient Order of United Workmen|Built in California in 1904|Self-published work|Buildings in Bakersfield, California|Downtown Bakersfield, California","hidden":"","source":"commons-categories"},"LicenseUrl":{"value":"https://creativecommons.org/licenses/by-sa/4.0","source":"commons-desc-page"},"ObjectName":{"value":"Hayden Bldg, Bakersfield, CA","source":"mediawiki-metadata"},"UsageTerms":{"value":"Creative Commons Attribution-Share Alike 4.0","source":"commons-desc-page"},"Assessments":{"value":"","hidden":"","source":"commons-categories"},"Copyrighted":{"value":"True","hidden":"","source":"commons-desc-page"},"Restrictions":{"value":"","hidden":"","source":"commons-desc-page"},"DateTimeOriginal":{"value":"2017-07-10 10:59:32","source":"commons-desc-page"},"ImageDescription":{"value":"This building was built in 1904 by the Kern County Land Company for the Hayden Furniture Company. originally designed to be 1 story, the plans were revised before construction began to add a second floor for use by the Ancient Order of United Workmen as a meeting hall. Designed by San Francisco architect Charles I. Havens, it is surprisingly intact, unlike many others destroyed in the 1952 earthquake.","source":"commons-desc-page"},"LicenseShortName":{"value":"CC BY-SA 4.0","hidden":"","source":"commons-desc-page"},"AttributionRequired":{"value":"true","hidden":"","source":"commons-desc-page"},"CommonsMetadataExtension":{"value":1.2,"hidden":"","source":"extension"}},"thumbheight":960,"thumbattribs":{"src":"https://thumb.wikimedia.org/wikipedia/commons/thumb/9/9c/Hayden_Bldg%2C_Bakersfield%2C_CA.jpg/1280px-Hayden_Bldg%2C_Bakersfield%2C_CA.jpg?utm_source=commons.wikimedia.org&amp;utm_campaign=imageinfo&amp;utm_content=thumbnail","width":1280,"height":960,"srcset":"https://upload.wikimedia.org/wikipedia/commons/9/9c/Hayden_Bldg%2C_Bakersfield%2C_CA.jpg?utm_source=commons.wikimedia.org&amp;utm_campaign=imageinfo&amp;utm_content=thumbnail_unscaled 2x","loading":"lazy","decoding":"async"},"descriptionurl":"https://commons.wikimedia.org/wiki/File:Hayden_Bldg,_Bakersfield,_CA.jpg","responsiveUrls":{"2":"https://upload.wikimedia.org/wikipedia/commons/9/9c/Hayden_Bldg%2C_Bakersfield%2C_CA.jpg?utm_source=commons.wikimedia.org&amp;utm_campaign=imageinfo&amp;utm_content=thumbnail_unscaled"},"descriptionshorturl":"https://commons.wikimedia.org/w/index.php?curid=116647254"},"selection":{"qid":"pending","kind":"candidate","title":"Bakersfield local buildings"},"author_url":"https://commons.wikimedia.org/wiki/User:Publichall","derivative":"Wikimedia thumbnail decoded; EXIF orientation applied; converted to WebP quality 86; no generated pixels, no cropping.","source_url":"https://commons.wikimedia.org/wiki/File:Hayden_Bldg,_Bakersfield,_CA.jpg","author_urls":["https://commons.wikimedia.org/wiki/User:Publichall"],"description":"This building was built in 1904 by the Kern County Land Company for the Hayden Furniture Company. originally designed to be 1 story, the plans were revised before construction began to add a second floor for use by the Ancient Order of United Workmen as a meeting hall. Designed by San Francisco architect Charles I. Havens, it is surprisingly intact, unlike many others destroyed in the 1952 earthquake.","license_url":"https://creativecommons.org/licenses/by-sa/4.0","reviewed_on":"2026-10-24","capture_date":"2017-07-10 10:59:32","download_url":"https://thumb.wikimedia.org/wikipedia/commons/thumb/9/9c/Hayden_Bldg%2C_Bakersfield%2C_CA.jpg/1280px-Hayden_Bldg%2C_Bakersfield%2C_CA.jpg?utm_source=commons.wikimedia.org&amp;utm_campaign=imageinfo&amp;utm_content=thumbnail","original_url":"https://upload.wikimedia.org/wikipedia/commons/9/9c/Hayden_Bldg%2C_Bakersfield%2C_CA.jpg?utm_source=commons.wikimedia.org&amp;utm_campaign=imageinfo&amp;utm_content=original","pixel_review":{"method":"İndirilen kare temas sayfasında görüldü; kaynak mekân kimliğiyle eşleştirildi. Seçim kaydı final-pixel-review.json.","status":"verified","caption":"Hayden Building · 2017 tarihli fotoğraf","reviewer":"Codex (AI)","review_id":"C152"},"downloaded_at":"2026-10-23T19:08:33.496416+00:00","download_sha256":"6dbcdfeace16fd3d2e15694981d3a7adb9f9fbbd112d7ef19b7f6deba5ef9f20","downloaded_file":"downloads/6dbcdfeace16fd3d2e15694981d3a7adb9f9fbbd112d7ef19b7f6deba5ef9f20.jpg","acquisition_file":"93acdb8fb8d8aac186ce9c96.webp","commons_filename":"Hayden Bldg, Bakersfield, CA.jpg","original_file_url":"https://upload.wikimedia.org/wikipedia/commons/9/9c/Hayden_Bldg%2C_Bakersfield%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dönüştürüldü.","photo_attribution":{"author_url":"https://commons.wikimedia.org/wiki/User:Publichall","modifications":"EXIF yönü uygulandı; boyut küçültülüp WebP biçimine dönüştürüldü.","original_file_url":"https://upload.wikimedia.org/wikipedia/commons/9/9c/Hayden_Bldg%2C_Bakersfield%2C_CA.jpg?utm_source=commons.wikimedia.org&amp;utm_campaign=imageinfo&amp;utm_content=original"},"metadata_reviewed_on":"2026-10-24","metadata_review_status":"verified"}}</x:v>
      </x:c>
    </x:row>
    <x:row r="182" ht="300" customHeight="1">
      <x:c r="A182" s="29" t="str">
        <x:v>bakersfield:evidence:venue-22147</x:v>
      </x:c>
      <x:c r="B182" s="29" t="str">
        <x:v>bakersfield</x:v>
      </x:c>
      <x:c r="C182" s="29" t="str">
        <x:v>bakersfield:photo:venue-22147</x:v>
      </x:c>
      <x:c r="D182" s="29" t="str">
        <x:v>https://commons.wikimedia.org/wiki/File:Hopkins_Bldg,_Bakersfield,_CA.jpg</x:v>
      </x:c>
      <x:c r="E182" s="29" t="str">
        <x:v>Hopkins Bldg, Bakersfield, CA.jpg</x:v>
      </x:c>
      <x:c r="F182" s="29" t="str">
        <x:v>Publichall</x:v>
      </x:c>
      <x:c r="G182" s="29" t="str">
        <x:v>CC BY-SA 4.0</x:v>
      </x:c>
      <x:c r="H182" s="29" t="str">
        <x:v>https://creativecommons.org/licenses/by-sa/4.0</x:v>
      </x:c>
      <x:c r="I182" s="29" t="str">
        <x:v>Creative Commons Attribution-Share Alike 4.0</x:v>
      </x:c>
      <x:c r="J182" s="29" t="str">
        <x:v>Hopkins Bldg, Bakersfield, CA.jpg · Publichall · CC BY-SA 4.0 · https://commons.wikimedia.org/wiki/File:Hopkins_Bldg,_Bakersfield,_CA.jpg</x:v>
      </x:c>
      <x:c r="K18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2" s="31" t="d">
        <x:v>2026-10-24T00:00:00.000Z</x:v>
      </x:c>
      <x:c r="M182" s="29" t="str">
        <x:v>Doğrulandı</x:v>
      </x:c>
      <x:c r="N182" s="29" t="str">
        <x:v>Doğrulandı</x:v>
      </x:c>
      <x:c r="O182" s="29" t="str">
        <x:v>Fotoğraflar/bk-3a9dea16425b47f0d01550fe.webp</x:v>
      </x:c>
      <x:c r="P182" s="29" t="str">
        <x:v>Hopkins Building · 2017 tarihli fotoğraf · İndirilen kare temas sayfasında görüldü; kaynak mekân kimliğiyle eşleştirildi. Seçim kaydı final-pixel-review.json.</x:v>
      </x:c>
      <x:c r="Q182" s="29" t="str">
        <x:v>Bu kare için uygun</x:v>
      </x:c>
      <x:c r="R18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2" s="29" t="str">
        <x:v>Lisans kanıtları/bk-3a9dea16425b47f0d01550fe.source-evidence.json</x:v>
      </x:c>
      <x:c r="T182" s="29" t="str">
        <x:v>6d38c66fe575c3acc4595cc0779e7821b172a9e90351da12004b41df299cb464</x:v>
      </x:c>
      <x:c r="U182" s="29" t="str">
        <x:v>Lisans kanıtları/bk-3a9dea16425b47f0d01550fe.license-record.json</x:v>
      </x:c>
      <x:c r="V182" s="29" t="str">
        <x:v>464018b29aefec1017ef74efd99a603147a8c1a3dbe6ed20fbe87cdbe59743a3</x:v>
      </x:c>
      <x:c r="W182" s="29" t="str">
        <x:v>{"file":"bk-3a9dea16425b47f0d01550fe.webp","width":1280,"author":"Publichall","height":960,"sha256":"3a9dea16425b47f0d01550fec200258237b709ebdcf69f811fae0593bde9c64e","license":"CC BY-SA 4.0","imageinfo":{"url":"https://upload.wikimedia.org/wikipedia/commons/4/4e/Hopkins_Bldg%2C_Bakersfield%2C_CA.jpg?utm_source=commons.wikimedia.org&amp;utm_campaign=imageinfo&amp;utm_content=original","mime":"image/jpeg","sha1":"68b0783d6b615d2d0372687f844381a96ee3c4f7","size":1578769,"width":3264,"height":2448,"pageid":116647106,"thumburl":"https://thumb.wikimedia.org/wikipedia/commons/thumb/4/4e/Hopkins_Bldg%2C_Bakersfield%2C_CA.jpg/1280px-Hopkins_Bldg%2C_Bakersfield%2C_CA.jpg?utm_source=commons.wikimedia.org&amp;utm_campaign=imageinfo&amp;utm_content=thumbnail","timestamp":"2022-04-04T05:38:59Z","thumbwidth":1280,"extmetadata":{"Artist":{"value":"&lt;a href=\"//commons.wikimedia.org/wiki/User:Publichall\" title=\"User:Publichall\"&gt;Publichall&lt;/a&gt;","source":"commons-desc-page"},"Credit":{"value":"&lt;span class=\"int-own-work\" lang=\"en\"&gt;Own work&lt;/span&gt;","source":"commons-desc-page"},"License":{"value":"cc-by-sa-4.0","hidden":"","source":"commons-templates"},"DateTime":{"value":"2022-04-04 05:38:59","hidden":"","source":"mediawiki-metadata"},"Categories":{"value":"Built in California in 1904|Self-published work|Buildings in Bakersfield, California|Downtown Bakersfield, California","hidden":"","source":"commons-categories"},"LicenseUrl":{"value":"https://creativecommons.org/licenses/by-sa/4.0","source":"commons-desc-page"},"ObjectName":{"value":"Hopkins Bldg, Bakersfield, CA","source":"mediawiki-metadata"},"UsageTerms":{"value":"Creative Commons Attribution-Share Alike 4.0","source":"commons-desc-page"},"Assessments":{"value":"","hidden":"","source":"commons-categories"},"Copyrighted":{"value":"True","hidden":"","source":"commons-desc-page"},"Restrictions":{"value":"","hidden":"","source":"commons-desc-page"},"DateTimeOriginal":{"value":"2017-07-10 11:02:10","source":"commons-desc-page"},"ImageDescription":{"value":"Though currently lacking in architectural significance, this building at the Northeast corner of 19th &amp;amp; Chestnut was one of Bakersfield's early modern high-rises. Built in 1904, it was designed by the San Francisco firm of Bliss &amp;amp; Faville, &lt;a rel=\"nofollow\" class=\"external text\" href=\"https://www.google.com/books/edition/Brick/M8RJAQAAMAAJ?hl=en&amp;amp;gbpv=1&amp;amp;dq=hopkins+bakersfield&amp;amp;pg=PA105&amp;amp;printsec=frontcover\"&gt;though little of their original design remains&lt;/a&gt;.","source":"commons-desc-page"},"LicenseShortName":{"value":"CC BY-SA 4.0","hidden":"","source":"commons-desc-page"},"AttributionRequired":{"value":"true","hidden":"","source":"commons-desc-page"},"CommonsMetadataExtension":{"value":1.2,"hidden":"","source":"extension"}},"thumbheight":960,"thumbattribs":{"src":"https://thumb.wikimedia.org/wikipedia/commons/thumb/4/4e/Hopkins_Bldg%2C_Bakersfield%2C_CA.jpg/1280px-Hopkins_Bldg%2C_Bakersfield%2C_CA.jpg?utm_source=commons.wikimedia.org&amp;utm_campaign=imageinfo&amp;utm_content=thumbnail","width":1280,"height":960,"srcset":"https://upload.wikimedia.org/wikipedia/commons/4/4e/Hopkins_Bldg%2C_Bakersfield%2C_CA.jpg?utm_source=commons.wikimedia.org&amp;utm_campaign=imageinfo&amp;utm_content=thumbnail_unscaled 2x","loading":"lazy","decoding":"async"},"descriptionurl":"https://commons.wikimedia.org/wiki/File:Hopkins_Bldg,_Bakersfield,_CA.jpg","responsiveUrls":{"2":"https://upload.wikimedia.org/wikipedia/commons/4/4e/Hopkins_Bldg%2C_Bakersfield%2C_CA.jpg?utm_source=commons.wikimedia.org&amp;utm_campaign=imageinfo&amp;utm_content=thumbnail_unscaled"},"descriptionshorturl":"https://commons.wikimedia.org/w/index.php?curid=116647106"},"selection":{"qid":"pending","kind":"candidate","title":"Bakersfield local buildings"},"author_url":"https://commons.wikimedia.org/wiki/User:Publichall","derivative":"Wikimedia thumbnail decoded; EXIF orientation applied; converted to WebP quality 86; no generated pixels, no cropping.","source_url":"https://commons.wikimedia.org/wiki/File:Hopkins_Bldg,_Bakersfield,_CA.jpg","author_urls":["https://commons.wikimedia.org/wiki/User:Publichall"],"description":"Though currently lacking in architectural significance, this building at the Northeast corner of 19th &amp; Chestnut was one of Bakersfield's early modern high-rises. Built in 1904, it was designed by the San Francisco firm of Bliss &amp; Faville, though little of their original design remains.","license_url":"https://creativecommons.org/licenses/by-sa/4.0","reviewed_on":"2026-10-24","capture_date":"2017-07-10 11:02:10","download_url":"https://thumb.wikimedia.org/wikipedia/commons/thumb/4/4e/Hopkins_Bldg%2C_Bakersfield%2C_CA.jpg/1280px-Hopkins_Bldg%2C_Bakersfield%2C_CA.jpg?utm_source=commons.wikimedia.org&amp;utm_campaign=imageinfo&amp;utm_content=thumbnail","original_url":"https://upload.wikimedia.org/wikipedia/commons/4/4e/Hopkins_Bldg%2C_Bakersfield%2C_CA.jpg?utm_source=commons.wikimedia.org&amp;utm_campaign=imageinfo&amp;utm_content=original","pixel_review":{"method":"İndirilen kare temas sayfasında görüldü; kaynak mekân kimliğiyle eşleştirildi. Seçim kaydı final-pixel-review.json.","status":"verified","caption":"Hopkins Building · 2017 tarihli fotoğraf","reviewer":"Codex (AI)","review_id":"C153"},"downloaded_at":"2026-10-23T19:08:34.435313+00:00","download_sha256":"a473087efaf319f2c00578b4f63724490cac16791c2ccfaa7aff9c6b0f01686c","downloaded_file":"downloads/a473087efaf319f2c00578b4f63724490cac16791c2ccfaa7aff9c6b0f01686c.jpg","acquisition_file":"a7f47dfedb135e802180b552.webp","commons_filename":"Hopkins Bldg, Bakersfield, CA.jpg","original_file_url":"https://upload.wikimedia.org/wikipedia/commons/4/4e/Hopkins_Bldg%2C_Bakersfield%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dönüştürüldü.","photo_attribution":{"author_url":"https://commons.wikimedia.org/wiki/User:Publichall","modifications":"EXIF yönü uygulandı; boyut küçültülüp WebP biçimine dönüştürüldü.","original_file_url":"https://upload.wikimedia.org/wikipedia/commons/4/4e/Hopkins_Bldg%2C_Bakersfield%2C_CA.jpg?utm_source=commons.wikimedia.org&amp;utm_campaign=imageinfo&amp;utm_content=original"},"metadata_reviewed_on":"2026-10-24","metadata_review_status":"verified"}}</x:v>
      </x:c>
    </x:row>
    <x:row r="183" ht="300" customHeight="1">
      <x:c r="A183" s="29" t="str">
        <x:v>bakersfield:evidence:venue-22148</x:v>
      </x:c>
      <x:c r="B183" s="29" t="str">
        <x:v>bakersfield</x:v>
      </x:c>
      <x:c r="C183" s="29" t="str">
        <x:v>bakersfield:photo:venue-22148</x:v>
      </x:c>
      <x:c r="D183" s="29" t="str">
        <x:v>https://commons.wikimedia.org/wiki/File:St._Paul%27s_Episcopal_Church,_Bakersfield.jpg</x:v>
      </x:c>
      <x:c r="E183" s="29" t="str">
        <x:v>St. Paul's Episcopal Church, Bakersfield.jpg</x:v>
      </x:c>
      <x:c r="F183" s="29" t="str">
        <x:v>Christine Warner-Morin</x:v>
      </x:c>
      <x:c r="G183" s="29" t="str">
        <x:v>CC BY 2.0</x:v>
      </x:c>
      <x:c r="H183" s="29" t="str">
        <x:v>https://creativecommons.org/licenses/by/2.0</x:v>
      </x:c>
      <x:c r="I183" s="29" t="str">
        <x:v>Creative Commons Attribution 2.0</x:v>
      </x:c>
      <x:c r="J183" s="29" t="str">
        <x:v>St. Paul's Episcopal Church, Bakersfield.jpg · Christine Warner-Morin · CC BY 2.0 · https://commons.wikimedia.org/wiki/File:St._Paul%27s_Episcopal_Church,_Bakersfield.jpg</x:v>
      </x:c>
      <x:c r="K18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3" s="31" t="d">
        <x:v>2026-10-24T00:00:00.000Z</x:v>
      </x:c>
      <x:c r="M183" s="29" t="str">
        <x:v>Doğrulandı</x:v>
      </x:c>
      <x:c r="N183" s="29" t="str">
        <x:v>Doğrulandı</x:v>
      </x:c>
      <x:c r="O183" s="29" t="str">
        <x:v>Fotoğraflar/bk-36ead753b3cf702847444fce.webp</x:v>
      </x:c>
      <x:c r="P183" s="29" t="str">
        <x:v>St. Paul's Episcopal Church · 2016 tarihli fotoğraf · İndirilen kare temas sayfasında görüldü; kaynak mekân kimliğiyle eşleştirildi. Seçim kaydı final-pixel-review.json.</x:v>
      </x:c>
      <x:c r="Q183" s="29" t="str">
        <x:v>Bu kare için uygun</x:v>
      </x:c>
      <x:c r="R18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3" s="29" t="str">
        <x:v>Lisans kanıtları/bk-36ead753b3cf702847444fce.source-evidence.json</x:v>
      </x:c>
      <x:c r="T183" s="29" t="str">
        <x:v>fdf88f1e132eda3858bf7c248ea9d0daf04cfecddef4b393de7bcc12df0ecdca</x:v>
      </x:c>
      <x:c r="U183" s="29" t="str">
        <x:v>Lisans kanıtları/bk-36ead753b3cf702847444fce.license-record.json</x:v>
      </x:c>
      <x:c r="V183" s="29" t="str">
        <x:v>f8d03615e774064f09ff1564825c681917cb9ae3d2629059a9d88b7994b76995</x:v>
      </x:c>
      <x:c r="W183" s="29" t="str">
        <x:v>{"file":"bk-36ead753b3cf702847444fce.webp","width":1280,"author":"Christine Warner-Morin","height":926,"sha256":"36ead753b3cf702847444fcedbcb2763245edf61ce7b9c7decd71cb3e124b13b","license":"CC BY 2.0","imageinfo":{"url":"https://upload.wikimedia.org/wikipedia/commons/8/8b/St._Paul%27s_Episcopal_Church%2C_Bakersfield.jpg?utm_source=commons.wikimedia.org&amp;utm_campaign=imageinfo&amp;utm_content=original","mime":"image/jpeg","sha1":"1ed3cb91ba6c9336afbf229016bb90c9fa8badb6","size":3496280,"width":3052,"height":2208,"pageid":154914415,"thumburl":"https://thumb.wikimedia.org/wikipedia/commons/thumb/8/8b/St._Paul%27s_Episcopal_Church%2C_Bakersfield.jpg/1280px-St._Paul%27s_Episcopal_Church%2C_Bakersfield.jpg?utm_source=commons.wikimedia.org&amp;utm_campaign=imageinfo&amp;utm_content=thumbnail","timestamp":"2024-11-05T19:02:17Z","thumbwidth":1280,"extmetadata":{"Artist":{"value":"Christine Warner-Morin","source":"commons-desc-page"},"Credit":{"value":"&lt;a rel=\"nofollow\" class=\"external free\" href=\"https://www.flickr.com/photos/christinehawks/27144151276/\"&gt;https://www.flickr.com/photos/christinehawks/27144151276/&lt;/a&gt;","source":"commons-desc-page"},"License":{"value":"cc-by-2.0","hidden":"","source":"commons-templates"},"DateTime":{"value":"2024-11-05 19:02:17","hidden":"","source":"mediawiki-metadata"},"Categories":{"value":"Flickr images reviewed by FlickreviewR 2|St. Paul's Episcopal Church (Bakersfield, California)|Flickr images missing SDC published in","hidden":"","source":"commons-categories"},"LicenseUrl":{"value":"https://creativecommons.org/licenses/by/2.0","source":"commons-desc-page"},"ObjectName":{"value":"St. Paul's Episcopal Church, Bakersfield","source":"mediawiki-metadata"},"UsageTerms":{"value":"Creative Commons Attribution 2.0","source":"commons-desc-page"},"Assessments":{"value":"","hidden":"","source":"commons-categories"},"Copyrighted":{"value":"True","hidden":"","source":"commons-desc-page"},"Restrictions":{"value":"","hidden":"","source":"commons-desc-page"},"DateTimeOriginal":{"value":"2016-05-22 12:23:15","source":"commons-desc-page"},"ImageDescription":{"value":"St. Paul's Episcopal Church, Bakersfield","source":"commons-desc-page"},"LicenseShortName":{"value":"CC BY 2.0","hidden":"","source":"commons-desc-page"},"AttributionRequired":{"value":"true","hidden":"","source":"commons-desc-page"},"CommonsMetadataExtension":{"value":1.2,"hidden":"","source":"extension"}},"thumbheight":926,"thumbattribs":{"src":"https://thumb.wikimedia.org/wikipedia/commons/thumb/8/8b/St._Paul%27s_Episcopal_Church%2C_Bakersfield.jpg/1280px-St._Paul%27s_Episcopal_Church%2C_Bakersfield.jpg?utm_source=commons.wikimedia.org&amp;utm_campaign=imageinfo&amp;utm_content=thumbnail","width":1280,"height":926,"srcset":"https://upload.wikimedia.org/wikipedia/commons/8/8b/St._Paul%27s_Episcopal_Church%2C_Bakersfield.jpg?utm_source=commons.wikimedia.org&amp;utm_campaign=imageinfo&amp;utm_content=thumbnail_unscaled 2x","loading":"lazy","decoding":"async"},"descriptionurl":"https://commons.wikimedia.org/wiki/File:St._Paul%27s_Episcopal_Church,_Bakersfield.jpg","responsiveUrls":{"2":"https://upload.wikimedia.org/wikipedia/commons/8/8b/St._Paul%27s_Episcopal_Church%2C_Bakersfield.jpg?utm_source=commons.wikimedia.org&amp;utm_campaign=imageinfo&amp;utm_content=thumbnail_unscaled"},"descriptionshorturl":"https://commons.wikimedia.org/w/index.php?curid=154914415"},"selection":{"qid":"pending","kind":"candidate","title":"Bakersfield local buildings"},"author_url":"","derivative":"Wikimedia thumbnail decoded; EXIF orientation applied; converted to WebP quality 86; no generated pixels, no cropping.","source_url":"https://commons.wikimedia.org/wiki/File:St._Paul%27s_Episcopal_Church,_Bakersfield.jpg","author_urls":[],"description":"St. Paul's Episcopal Church, Bakersfield","license_url":"https://creativecommons.org/licenses/by/2.0","reviewed_on":"2026-10-24","capture_date":"2016-05-22 12:23:15","download_url":"https://thumb.wikimedia.org/wikipedia/commons/thumb/8/8b/St._Paul%27s_Episcopal_Church%2C_Bakersfield.jpg/1280px-St._Paul%27s_Episcopal_Church%2C_Bakersfield.jpg?utm_source=commons.wikimedia.org&amp;utm_campaign=imageinfo&amp;utm_content=thumbnail","original_url":"https://upload.wikimedia.org/wikipedia/commons/8/8b/St._Paul%27s_Episcopal_Church%2C_Bakersfield.jpg?utm_source=commons.wikimedia.org&amp;utm_campaign=imageinfo&amp;utm_content=original","pixel_review":{"method":"İndirilen kare temas sayfasında görüldü; kaynak mekân kimliğiyle eşleştirildi. Seçim kaydı final-pixel-review.json.","status":"verified","caption":"St. Paul's Episcopal Church · 2016 tarihli fotoğraf","reviewer":"Codex (AI)","review_id":"C239"},"downloaded_at":"2026-10-23T19:08:59.746551+00:00","download_sha256":"2f47d4f91b301bf37aa6dddaa3c7083e472825c34216558f734c6656dbde84d3","downloaded_file":"downloads/2f47d4f91b301bf37aa6dddaa3c7083e472825c34216558f734c6656dbde84d3.jpg","acquisition_file":"19f839516cbbee5d0eada7c7.webp","commons_filename":"St. Paul's Episcopal Church, Bakersfield.jpg","original_file_url":"https://upload.wikimedia.org/wikipedia/commons/8/8b/St._Paul%27s_Episcopal_Church%2C_Bakersfiel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8/8b/St._Paul%27s_Episcopal_Church%2C_Bakersfield.jpg?utm_source=commons.wikimedia.org&amp;utm_campaign=imageinfo&amp;utm_content=original"},"metadata_reviewed_on":"2026-10-24","metadata_review_status":"verified"}}</x:v>
      </x:c>
    </x:row>
    <x:row r="184" ht="300" customHeight="1">
      <x:c r="A184" s="29" t="str">
        <x:v>bakersfield:evidence:venue-22149</x:v>
      </x:c>
      <x:c r="B184" s="29" t="str">
        <x:v>bakersfield</x:v>
      </x:c>
      <x:c r="C184" s="29" t="str">
        <x:v>bakersfield:photo:venue-22149</x:v>
      </x:c>
      <x:c r="D184" s="29" t="str">
        <x:v>https://www.flickr.com/photos/15923063@N00/824119067/</x:v>
      </x:c>
      <x:c r="E184" s="29" t="str">
        <x:v>Bakersfield Sign · 2007 tarihli fotoğraf</x:v>
      </x:c>
      <x:c r="F184" s="29" t="str">
        <x:v>David Goehring</x:v>
      </x:c>
      <x:c r="G184" s="29" t="str">
        <x:v>CC BY 2.0</x:v>
      </x:c>
      <x:c r="H184" s="29" t="str">
        <x:v>https://creativecommons.org/licenses/by/2.0/</x:v>
      </x:c>
      <x:c r="I184" s="29" t="str">
        <x:v>CC BY 2.0</x:v>
      </x:c>
      <x:c r="J184" s="29" t="str">
        <x:v>Bakersfield Sign · 2007 tarihli fotoğraf · David Goehring · CC BY 2.0 · https://www.flickr.com/photos/15923063@N00/824119067/</x:v>
      </x:c>
      <x:c r="K18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4" s="31" t="d">
        <x:v>2026-10-24T00:00:00.000Z</x:v>
      </x:c>
      <x:c r="M184" s="29" t="str">
        <x:v>Doğrulandı</x:v>
      </x:c>
      <x:c r="N184" s="29" t="str">
        <x:v>Doğrulandı</x:v>
      </x:c>
      <x:c r="O184" s="29" t="str">
        <x:v>Fotoğraflar/bk-2f2bc4897c80a5d857be3cc2.webp</x:v>
      </x:c>
      <x:c r="P184" s="29" t="str">
        <x:v>Buck Owens Boulevard çevresi · 2007 tarihli fotoğraf · İndirilen kare temas sayfasında görüldü; kaynak mekân kimliğiyle eşleştirildi. Seçim kaydı final-pixel-review.json.</x:v>
      </x:c>
      <x:c r="Q184" s="29" t="str">
        <x:v>Bu kare için uygun</x:v>
      </x:c>
      <x:c r="R18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4" s="29" t="str">
        <x:v>Lisans kanıtları/bk-2f2bc4897c80a5d857be3cc2.source-evidence.json</x:v>
      </x:c>
      <x:c r="T184" s="29" t="str">
        <x:v>a50ff0bbf3091445f47be372230d29c63e97c840aa81fa6c4c9111f34c4d725d</x:v>
      </x:c>
      <x:c r="U184" s="29" t="str">
        <x:v>Lisans kanıtları/bk-2f2bc4897c80a5d857be3cc2.license-record.json</x:v>
      </x:c>
      <x:c r="V184" s="29" t="str">
        <x:v>b9b847e3430cf9f511933caa03adbccabab0a77e40f5533bc9f9ab965b499e0b</x:v>
      </x:c>
      <x:c r="W184" s="29" t="str">
        <x:v>{"file":"bk-2f2bc4897c80a5d857be3cc2.webp","width":1024,"author":"David Goehring","height":681,"sha256":"2f2bc4897c80a5d857be3cc231606b8a0842ff27ce73db4d97b52647942f61e3","status":"reviewed-selected","license":"CC BY 2.0","provider":"Flickr","review_id":"D30","source_id":"824119067","author_url":"https://www.flickr.com/photos/15923063@N00/","date_texts":["Uploaded on July 16, 2007 Taken on July 15, 2007","Taken on July 15, 2007","Uploaded on July 16, 2007 Taken on July 15, 2007","Taken on July 15, 2007"],"source_url":"https://www.flickr.com/photos/15923063@N00/824119067/","description":"At the Buck Owens facilities.","license_url":"https://creativecommons.org/licenses/by/2.0/","review_note":"Daytime arch; exact source nonreuse check.","reviewed_on":"2026-10-24","source_text":"Bakersfield Arch | At the Buck Owens facilities. | David Goehring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Goehring CarbonNYC [in SF!] Bakersfield Arch At the Buck Owens facilities. Done 5,795 views 1 fave 2 comments Uploaded on July 16, 2007 Taken on July 15, 2007 David Goehring By: David Goehring Bakersfield Arch At the Buck Owens facilities. Done 5,795 views 1 fave 2 comments Uploaded on July 16, 2007 Taken on July 15, 2007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photography.","capture_date":"2007-07-15","download_url":"https://live.staticflickr.com/1018/824119067_1bd8e42e29_b.jpg","original_url":"https://live.staticflickr.com/1018/824119067_339da34742_3k.jpg","pixel_review":{"method":"İndirilen kare temas sayfasında görüldü; kaynak mekân kimliğiyle eşleştirildi. Seçim kaydı final-pixel-review.json.","status":"verified","caption":"Buck Owens Boulevard çevresi · 2007 tarihli fotoğraf","reviewer":"Codex (AI)","review_id":"D30"},"source_title":"Bakersfield Arch","downloaded_at":"2026-10-23T19:52:11.691322+00:00","download_sha256":"7adfa7d6b141b2ce3607a78db06594f24344960d8341e38bd043afb6b5984d87","downloaded_file":"downloads/7adfa7d6b141b2ce3607a78db06594f24344960d8341e38bd043afb6b5984d87.jpg","public_metadata":{"photo-models":[{"data":{"id":"824119067","owner":{"data":{"id":"15923063@N00","isPro":true,"newFlow":true,"isAdFree":false,"location":"San Francisco, CA, USA","proBadge":"standard","realname":"David Goehring","segments":{"data":[],"exportMetaType":"array"},"username":"CarbonNYC [in SF!]","buddyicon":{"data":{"large":"//live.staticflickr.com/3737/buddyicons/15923063@N00_l.jpg?1369116445#15923063@N00","small":"//live.staticflickr.com/3737/buddyicons/15923063@N00_s.jpg?1369116445#15923063@N00","medium":"//live.staticflickr.com/3737/buddyicons/15923063@N00_m.jpg?1369116445#15923063@N00","retina":"//live.staticflickr.com/3737/buddyicons/15923063@N00_r.jpg?1369116445#15923063@N00","default":"//live.staticflickr.com/3737/buddyicons/15923063@N00.jpg?1369116445#15923063@N00"},"exportMetaType":"pojo"},"pathAlias":"carbonnyc","dateCreated":{"data":"1116571193","exportMetaType":"serializeFunction"},"subscription":{"data":{"isPro":false,"isClosed":false,"isPastDue":false},"exportMetaType":"pojo"},"eligibleGifts":{"data":["year","month","week"],"exportMetaType":"array"},"isEligibleForGifts":true,"_flickrModelRegistry":"person-models"},"exportMetaType":"model"},"sizes":{"data":{"c":{"data":{"url":"//live.staticflickr.com/1018/824119067_1bd8e42e29_c.jpg","width":800,"height":532,"displayUrl":"//live.staticflickr.com/1018/824119067_1bd8e42e29_c.jpg"},"exportMetaType":"pojo"},"h":{"data":{"url":"//live.staticflickr.com/1018/824119067_e4ebf10318_h.jpg","width":1600,"height":1064,"displayUrl":"//live.staticflickr.com/1018/824119067_e4ebf10318_h.jpg"},"exportMetaType":"pojo"},"k":{"data":{"url":"//live.staticflickr.com/1018/824119067_809b8992b8_k.jpg","width":2048,"height":1362,"displayUrl":"//live.staticflickr.com/1018/824119067_809b8992b8_k.jpg"},"exportMetaType":"pojo"},"l":{"data":{"url":"//live.staticflickr.com/1018/824119067_1bd8e42e29_b.jpg","width":1024,"height":681,"displayUrl":"//live.staticflickr.com/1018/824119067_1bd8e42e29_b.jpg"},"exportMetaType":"pojo"},"m":{"data":{"url":"//live.staticflickr.com/1018/824119067_1bd8e42e29.jpg","width":500,"height":332,"displayUrl":"//live.staticflickr.com/1018/824119067_1bd8e42e29.jpg"},"exportMetaType":"pojo"},"n":{"data":{"url":"//live.staticflickr.com/1018/824119067_1bd8e42e29_n.jpg","width":320,"height":213,"displayUrl":"//live.staticflickr.com/1018/824119067_1bd8e42e29_n.jpg"},"exportMetaType":"pojo"},"o":{"data":{"url":"//live.staticflickr.com/1018/824119067_b40fca585b_o.jpg","width":3008,"height":2000,"displayUrl":"//live.staticflickr.com/1018/824119067_b40fca585b_o.jpg"},"exportMetaType":"pojo"},"q":{"data":{"url":"//live.staticflickr.com/1018/824119067_1bd8e42e29_q.jpg","width":150,"height":150,"displayUrl":"//live.staticflickr.com/1018/824119067_1bd8e42e29_q.jpg"},"exportMetaType":"pojo"},"s":{"data":{"url":"//live.staticflickr.com/1018/824119067_1bd8e42e29_m.jpg","width":240,"height":160,"displayUrl":"//live.staticflickr.com/1018/824119067_1bd8e42e29_m.jpg"},"exportMetaType":"pojo"},"t":{"data":{"url":"//live.staticflickr.com/1018/824119067_1bd8e42e29_t.jpg","width":100,"height":66,"displayUrl":"//live.staticflickr.com/1018/824119067_1bd8e42e29_t.jpg"},"exportMetaType":"pojo"},"w":{"data":{"url":"//live.staticflickr.com/1018/824119067_1bd8e42e29_w.jpg","width":400,"height":266,"displayUrl":"//live.staticflickr.com/1018/824119067_1bd8e42e29_w.jpg"},"exportMetaType":"pojo"},"z":{"data":{"url":"//live.staticflickr.com/1018/824119067_1bd8e42e29_z.jpg","width":640,"height":426,"displayUrl":"//live.staticflickr.com/1018/824119067_1bd8e42e29_z.jpg"},"exportMetaType":"pojo"},"3k":{"data":{"url":"//live.staticflickr.com/1018/824119067_339da34742_3k.jpg","width":3008,"height":2000,"displayUrl":"//live.staticflickr.com/1018/824119067_339da34742_3k.jpg"},"exportMetaType":"pojo"},"sq":{"data":{"url":"//live.staticflickr.com/1018/824119067_1bd8e42e29_s.jpg","width":75,"height":75,"displayUrl":"//live.staticflickr.com/1018/824119067_1bd8e42e29_s.jpg"},"exportMetaType":"pojo"}},"exportMetaType":"pojo"},"title":"Bakersfield Arch","oWidth":3008,"secret":"1bd8e42e29","license":4,"oHeight":2000,"rotation":0,"canAddMeta":false,"canComment":false,"engagement":{"data":{"id":"824119067","canShare":true,"faveCount":1,"ownerNsid":"15923063@N00","reactions":{"data":{"like":{"data":{"id":"like","count":5,"canReact":true,"didViewerReact":true},"exportMetaType":"pojo"},"someOtherReaction":{"data":{"id":"someOtherReaction","count":3,"canReact":true,"didViewerReact":false},"exportMetaType":"pojo"}},"exportMetaType":"pojo"},"viewCount":5795,"canDownload":true,"commentCount":2,"_flickrModelRegistry":"photo-engagement-models"},"exportMetaType":"model"},"description":"At the Buck Owens facilities.","safetyLevel":0,"upgradeSizes":{"data":[],"exportMetaType":"array"},"adEligibility":{"data":{"lane":1,"labels":{"data":["ProOwner"],"exportMetaType":"array"},"isAdEligible":false,"highScoreLabels":{"data":["ProOwner"],"exportMetaType":"array"}},"exportMetaType":"pojo"},"canPublicComment":true,"_flickrModelRegistry":"photo-models"},"exportMetaType":"model"}],"photo-geo-models":[{"data":{"id":"824119067","hasGeo":true,"accuracy":16,"isPublic":true,"latitude":35.386194,"longitude":-119.042519,"_flickrModelRegistry":"photo-geo-models"},"exportMetaType":"model"}],"photo-location-models":[{"data":{"id":"824119067","geo":{"data":"~2","exportMetaType":"model"},"text":"Landco, California, United States","levels":{"data":{"county":{"data":{"name":"Kern","woeId":12587684},"exportMetaType":"pojo"},"region":{"data":{"name":"California","woeId":2347563},"exportMetaType":"pojo"},"country":{"data":{"name":"United States","woeId":23424977},"exportMetaType":"pojo"},"locality":{"data":{"name":"Landco","woeId":2436139},"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824119067","title":"Bakersfield Arch","og:url":"https://www.flickr.com/photos/carbonnyc/824119067/","og:type":"article","keywords":"bakersfield, bakersfieldca, d70s, arch, bakersfieldarch, citysign, road, roadway, suv, sign, bakersfieldsign, text, yellow, blue, carbonnyc, carbonsf","og:image":"https://live.staticflickr.com/1018/824119067_1bd8e42e29_b.jpg","og:title":"Bakersfield Arch","twitter:card":"summary_large_image","twitter:image":"https://live.staticflickr.com/1018/824119067_1bd8e42e29_b.jpg","og:description":"At the Buck Owens facilities.","og:image:width":1024,"og:image:height":681,"twitter:creator":"@carbonnyc","twitter:description":"At the Buck Owens facilities.","_flickrModelRegistry":"photo-head-meta-models","twitter:app:url:ipad":"flickr://flickr.com/photos/carbonnyc/824119067/","twitter:app:url:iphone":"flickr://flickr.com/photos/carbonnyc/824119067/","twitter:app:url:googleplay":"https://www.flickr.com/photos/carbonnyc/824119067/"},"exportMetaType":"model"}],"photo-license-history-models":[]},"acquisition_file":"fl-824119067.webp","source_html_file":"/Users/atincakcayoz/corteqs/output/bakersfield-production-20261023/flickr-source-pages/824119067.html","original_file_url":"https://live.staticflickr.com/1018/824119067_339da34742_3k.jpg","proposed_identity":"Bakersfield Sign","source_html_sha256":"8a31982ec6b45cc58e414288926ac4614364779828b1cc2033449878e645f7ca","third_party_rights_review":{"basis":"Kaynakta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dönüştürüldü.","photo_attribution":{"author_url":"https://www.flickr.com/photos/15923063@N00/","modifications":"EXIF yönü uygulandı; boyut küçültülüp WebP biçimine dönüştürüldü.","original_file_url":"https://live.staticflickr.com/1018/824119067_339da34742_3k.jpg"},"metadata_reviewed_on":"2026-10-24","metadata_review_status":"verified"}}</x:v>
      </x:c>
    </x:row>
    <x:row r="185" ht="300" customHeight="1">
      <x:c r="A185" s="29" t="str">
        <x:v>bakersfield:evidence:venue-22150</x:v>
      </x:c>
      <x:c r="B185" s="29" t="str">
        <x:v>bakersfield</x:v>
      </x:c>
      <x:c r="C185" s="29" t="str">
        <x:v>bakersfield:photo:venue-22150</x:v>
      </x:c>
      <x:c r="D185" s="29" t="str">
        <x:v>https://www.flickr.com/photos/48702735@N03/8670832888/</x:v>
      </x:c>
      <x:c r="E185" s="29" t="str">
        <x:v>Bakersfield Sign · 2013 tarihli fotoğraf</x:v>
      </x:c>
      <x:c r="F185" s="29" t="str">
        <x:v>mjaaaae</x:v>
      </x:c>
      <x:c r="G185" s="29" t="str">
        <x:v>CC BY 2.0</x:v>
      </x:c>
      <x:c r="H185" s="29" t="str">
        <x:v>https://creativecommons.org/licenses/by/2.0/</x:v>
      </x:c>
      <x:c r="I185" s="29" t="str">
        <x:v>CC BY 2.0</x:v>
      </x:c>
      <x:c r="J185" s="29" t="str">
        <x:v>Bakersfield Sign · 2013 tarihli fotoğraf · mjaaaae · CC BY 2.0 · https://www.flickr.com/photos/48702735@N03/8670832888/</x:v>
      </x:c>
      <x:c r="K18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5" s="31" t="d">
        <x:v>2026-10-24T00:00:00.000Z</x:v>
      </x:c>
      <x:c r="M185" s="29" t="str">
        <x:v>Doğrulandı</x:v>
      </x:c>
      <x:c r="N185" s="29" t="str">
        <x:v>Doğrulandı</x:v>
      </x:c>
      <x:c r="O185" s="29" t="str">
        <x:v>Fotoğraflar/bk-5395f1f6e9dc7f10748396d3.webp</x:v>
      </x:c>
      <x:c r="P185" s="29" t="str">
        <x:v>Bakersfield Sign · 2013 tarihli fotoğraf · İndirilen kare temas sayfasında görüldü; kaynak mekân kimliğiyle eşleştirildi. Seçim kaydı final-pixel-review.json.</x:v>
      </x:c>
      <x:c r="Q185" s="29" t="str">
        <x:v>Bu kare için uygun</x:v>
      </x:c>
      <x:c r="R18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5" s="29" t="str">
        <x:v>Lisans kanıtları/bk-5395f1f6e9dc7f10748396d3.source-evidence.json</x:v>
      </x:c>
      <x:c r="T185" s="29" t="str">
        <x:v>dca2384837f4a5f805be4766d4908e4d33a1aad918f879f1af53ad235b4f4367</x:v>
      </x:c>
      <x:c r="U185" s="29" t="str">
        <x:v>Lisans kanıtları/bk-5395f1f6e9dc7f10748396d3.license-record.json</x:v>
      </x:c>
      <x:c r="V185" s="29" t="str">
        <x:v>7f4cf0dcb56c0089ea250a670d08f3a5f86fc1ba69f617dc637d94b09e582bbf</x:v>
      </x:c>
      <x:c r="W185" s="29" t="str">
        <x:v>{"file":"bk-5395f1f6e9dc7f10748396d3.webp","width":1024,"author":"mjaaaae","height":680,"sha256":"5395f1f6e9dc7f10748396d3d98c7fd2d61159356749fad526b28b83f5cd1587","status":"reviewed-selected","license":"CC BY 2.0","provider":"Flickr","review_id":"E152","source_id":"8670832888","author_url":"https://www.flickr.com/photos/48702735@N03/","date_texts":["Uploaded on April 22, 2013 Taken on March 18, 2013","Taken on March 18, 2013","Uploaded on April 22, 2013 Taken on March 18, 2013","Taken on March 18, 2013"],"source_url":"https://www.flickr.com/photos/48702735@N03/8670832888/","description":"","license_url":"https://creativecommons.org/licenses/by/2.0/","review_note":"Night arch, verify old-production original-family exclusion.","reviewed_on":"2026-10-24","source_text":"Bakersfield | mjaaaae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mjaaaae mjaaaae Bakersfield Done 79 views 0 faves 0 comments Uploaded on April 22, 2013 Taken on March 18, 2013 mjaaaae By: mjaaaae Bakersfield Done 79 views 0 faves 0 comments Uploaded on April 22, 2013 Taken on March 18, 2013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photography.","capture_date":"2013-03-18","download_url":"https://live.staticflickr.com/8258/8670832888_ecf16e6ecd_b.jpg","original_url":"https://live.staticflickr.com/8258/8670832888_e2f9f409c3_o.jpg","pixel_review":{"method":"İndirilen kare temas sayfasında görüldü; kaynak mekân kimliğiyle eşleştirildi. Seçim kaydı final-pixel-review.json.","status":"verified","caption":"Bakersfield Sign · 2013 tarihli fotoğraf","reviewer":"Codex (AI)","review_id":"E152"},"source_title":"Bakersfield","downloaded_at":"2026-10-23T19:50:39.748311+00:00","download_sha256":"98d121efac015cf690b685f1d6c662c4e2e4c00042a19984e19e2ddb53600939","downloaded_file":"downloads/98d121efac015cf690b685f1d6c662c4e2e4c00042a19984e19e2ddb53600939.jpg","public_metadata":{"photo-models":[{"data":{"id":"8670832888","owner":{"data":{"id":"48702735@N03","isPro":false,"newFlow":true,"isAdFree":false,"location":null,"realname":"","segments":{"data":[],"exportMetaType":"array"},"username":"mjaaaae","buddyicon":{"data":{"large":"//live.staticflickr.com/2825/buddyicons/48702735@N03_l.jpg?1372317437#48702735@N03","small":"//live.staticflickr.com/2825/buddyicons/48702735@N03_s.jpg?1372317437#48702735@N03","medium":"//live.staticflickr.com/2825/buddyicons/48702735@N03_m.jpg?1372317437#48702735@N03","retina":"//live.staticflickr.com/2825/buddyicons/48702735@N03_r.jpg?1372317437#48702735@N03","default":"//live.staticflickr.com/2825/buddyicons/48702735@N03.jpg?1372317437#48702735@N03"},"exportMetaType":"pojo"},"pathAlias":"imjane","dateCreated":{"data":"1269450807","exportMetaType":"serializeFunction"},"subscription":{"data":{"isPro":false,"isClosed":false,"isPastDue":false},"exportMetaType":"pojo"},"eligibleGifts":{"data":["year","month","week"],"exportMetaType":"array"},"isEligibleForGifts":true,"_flickrModelRegistry":"person-models"},"exportMetaType":"model"},"sizes":{"data":{"c":{"data":{"url":"//live.staticflickr.com/8258/8670832888_ecf16e6ecd_c.jpg","width":800,"height":531,"displayUrl":"//live.staticflickr.com/8258/8670832888_ecf16e6ecd_c.jpg"},"exportMetaType":"pojo"},"h":{"data":{"url":"//live.staticflickr.com/8258/8670832888_53e2330342_h.jpg","width":1600,"height":1063,"displayUrl":"//live.staticflickr.com/8258/8670832888_53e2330342_h.jpg"},"exportMetaType":"pojo"},"k":{"data":{"url":"//live.staticflickr.com/8258/8670832888_d442d33874_k.jpg","width":2048,"height":1360,"displayUrl":"//live.staticflickr.com/8258/8670832888_d442d33874_k.jpg"},"exportMetaType":"pojo"},"l":{"data":{"url":"//live.staticflickr.com/8258/8670832888_ecf16e6ecd_b.jpg","width":1024,"height":680,"displayUrl":"//live.staticflickr.com/8258/8670832888_ecf16e6ecd_b.jpg"},"exportMetaType":"pojo"},"m":{"data":{"url":"//live.staticflickr.com/8258/8670832888_ecf16e6ecd.jpg","width":500,"height":332,"displayUrl":"//live.staticflickr.com/8258/8670832888_ecf16e6ecd.jpg"},"exportMetaType":"pojo"},"n":{"data":{"url":"//live.staticflickr.com/8258/8670832888_ecf16e6ecd_n.jpg","width":320,"height":213,"displayUrl":"//live.staticflickr.com/8258/8670832888_ecf16e6ecd_n.jpg"},"exportMetaType":"pojo"},"o":{"data":{"url":"//live.staticflickr.com/8258/8670832888_e2f9f409c3_o.jpg","width":2144,"height":1424,"displayUrl":"//live.staticflickr.com/8258/8670832888_e2f9f409c3_o.jpg"},"exportMetaType":"pojo"},"q":{"data":{"url":"//live.staticflickr.com/8258/8670832888_ecf16e6ecd_q.jpg","width":150,"height":150,"displayUrl":"//live.staticflickr.com/8258/8670832888_ecf16e6ecd_q.jpg"},"exportMetaType":"pojo"},"s":{"data":{"url":"//live.staticflickr.com/8258/8670832888_ecf16e6ecd_m.jpg","width":240,"height":159,"displayUrl":"//live.staticflickr.com/8258/8670832888_ecf16e6ecd_m.jpg"},"exportMetaType":"pojo"},"t":{"data":{"url":"//live.staticflickr.com/8258/8670832888_ecf16e6ecd_t.jpg","width":100,"height":66,"displayUrl":"//live.staticflickr.com/8258/8670832888_ecf16e6ecd_t.jpg"},"exportMetaType":"pojo"},"w":{"data":{"url":"//live.staticflickr.com/8258/8670832888_ecf16e6ecd_w.jpg","width":400,"height":266,"displayUrl":"//live.staticflickr.com/8258/8670832888_ecf16e6ecd_w.jpg"},"exportMetaType":"pojo"},"z":{"data":{"url":"//live.staticflickr.com/8258/8670832888_ecf16e6ecd_z.jpg","width":640,"height":425,"displayUrl":"//live.staticflickr.com/8258/8670832888_ecf16e6ecd_z.jpg"},"exportMetaType":"pojo"},"sq":{"data":{"url":"//live.staticflickr.com/8258/8670832888_ecf16e6ecd_s.jpg","width":75,"height":75,"displayUrl":"//live.staticflickr.com/8258/8670832888_ecf16e6ecd_s.jpg"},"exportMetaType":"pojo"}},"exportMetaType":"pojo"},"title":"Bakersfield","oWidth":2144,"secret":"ecf16e6ecd","license":4,"oHeight":1424,"rotation":0,"canAddMeta":false,"canComment":false,"engagement":{"data":{"id":"8670832888","canShare":true,"ownerNsid":"48702735@N03","reactions":{"data":{"like":{"data":{"id":"like","count":5,"canReact":true,"didViewerReact":true},"exportMetaType":"pojo"},"someOtherReaction":{"data":{"id":"someOtherReaction","count":3,"canReact":true,"didViewerReact":false},"exportMetaType":"pojo"}},"exportMetaType":"pojo"},"viewCount":79,"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8670832888","_flickrModelRegistry":"photo-geo-models"},"exportMetaType":"model"}],"photo-location-models":[{"data":{"id":"8670832888","geo":{"data":"~2","exportMetaType":"model"},"text":"","levels":{"data":{},"exportMetaType":"pojo"},"staticMaps":{"data":{},"exportMetaType":"pojo"},"_flickrModelRegistry":"photo-location-models"},"exportMetaType":"model"}],"photo-head-meta-models":[{"data":{"id":"8670832888","title":"Bakersfield","og:url":"https://www.flickr.com/photos/imjane/8670832888/","og:type":"article","og:image":"https://live.staticflickr.com/8258/8670832888_ecf16e6ecd_b.jpg","og:title":"Bakersfield","twitter:card":"summary_large_image","twitter:image":"https://live.staticflickr.com/8258/8670832888_ecf16e6ecd_b.jpg","og:description":"","og:image:width":1024,"og:image:height":680,"twitter:description":"Explore mjaaaae's 252 photos on Flickr!","_flickrModelRegistry":"photo-head-meta-models","twitter:app:url:ipad":"flickr://flickr.com/photos/imjane/8670832888/","twitter:app:url:iphone":"flickr://flickr.com/photos/imjane/8670832888/","twitter:app:url:googleplay":"https://www.flickr.com/photos/imjane/8670832888/"},"exportMetaType":"model"}],"photo-license-history-models":[]},"acquisition_file":"fl-8670832888.webp","source_html_file":"/Users/atincakcayoz/corteqs/output/bakersfield-production-20261023/flickr-source-pages/8670832888.html","original_file_url":"https://live.staticflickr.com/8258/8670832888_e2f9f409c3_o.jpg","proposed_identity":"Bakersfield Sign","source_html_sha256":"bdd73690d600fbfa56a8f4254d7fba53dff60b1071fdeb615912db71c0b014f6","third_party_rights_review":{"basis":"Kaynakta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dönüştürüldü.","photo_attribution":{"author_url":"https://www.flickr.com/photos/48702735@N03/","modifications":"EXIF yönü uygulandı; boyut küçültülüp WebP biçimine dönüştürüldü.","original_file_url":"https://live.staticflickr.com/8258/8670832888_e2f9f409c3_o.jpg"},"metadata_reviewed_on":"2026-10-24","metadata_review_status":"verified"}}</x:v>
      </x:c>
    </x:row>
    <x:row r="186" ht="300" customHeight="1">
      <x:c r="A186" s="29" t="str">
        <x:v>bakersfield:evidence:venue-22151</x:v>
      </x:c>
      <x:c r="B186" s="29" t="str">
        <x:v>bakersfield</x:v>
      </x:c>
      <x:c r="C186" s="29" t="str">
        <x:v>bakersfield:photo:venue-22151</x:v>
      </x:c>
      <x:c r="D186" s="29" t="str">
        <x:v>https://commons.wikimedia.org/wiki/File:2011_Bakersfield_City_Hall.JPG</x:v>
      </x:c>
      <x:c r="E186" s="29" t="str">
        <x:v>2011 Bakersfield City Hall.JPG</x:v>
      </x:c>
      <x:c r="F186" s="29" t="str">
        <x:v>Skyman9999.
Skyman9999</x:v>
      </x:c>
      <x:c r="G186" s="29" t="str">
        <x:v>CC0 1.0</x:v>
      </x:c>
      <x:c r="H186" s="29" t="str">
        <x:v>https://creativecommons.org/publicdomain/zero/1.0/</x:v>
      </x:c>
      <x:c r="I186" s="29" t="str">
        <x:v>Creative Commons Zero, Public Domain Dedication</x:v>
      </x:c>
      <x:c r="J186" s="29" t="str">
        <x:v>2011 Bakersfield City Hall.JPG · Skyman9999.
Skyman9999 · CC0 1.0 · https://commons.wikimedia.org/wiki/File:2011_Bakersfield_City_Hall.JPG</x:v>
      </x:c>
      <x:c r="K18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6" s="31" t="d">
        <x:v>2026-10-24T00:00:00.000Z</x:v>
      </x:c>
      <x:c r="M186" s="29" t="str">
        <x:v>Doğrulandı</x:v>
      </x:c>
      <x:c r="N186" s="29" t="str">
        <x:v>Doğrulandı</x:v>
      </x:c>
      <x:c r="O186" s="29" t="str">
        <x:v>Fotoğraflar/bk-caadab4f0404bf40d32da11f.webp</x:v>
      </x:c>
      <x:c r="P186" s="29" t="str">
        <x:v>Bakersfield City Hall · 2011 tarihli fotoğraf · İndirilen kare temas sayfasında görüldü; kaynak mekân kimliğiyle eşleştirildi. Seçim kaydı final-pixel-review.json.</x:v>
      </x:c>
      <x:c r="Q186" s="29" t="str">
        <x:v>Bu kare için uygun</x:v>
      </x:c>
      <x:c r="R18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6" s="29" t="str">
        <x:v>Lisans kanıtları/bk-caadab4f0404bf40d32da11f.source-evidence.json</x:v>
      </x:c>
      <x:c r="T186" s="29" t="str">
        <x:v>bdbe059b9f1e1bc4da5137c3a9fb870c83ac86690e3ad0d0ebb227ff336323cf</x:v>
      </x:c>
      <x:c r="U186" s="29" t="str">
        <x:v>Lisans kanıtları/bk-caadab4f0404bf40d32da11f.license-record.json</x:v>
      </x:c>
      <x:c r="V186" s="29" t="str">
        <x:v>2580137c3ff48b5c4785da71a5644272fde350bae812036b196099286fc69054</x:v>
      </x:c>
      <x:c r="W186" s="29" t="str">
        <x:v>{"file":"bk-caadab4f0404bf40d32da11f.webp","width":1280,"author":"Skyman9999.\n\nSkyman9999","height":851,"sha256":"caadab4f0404bf40d32da11f0dec90a9de106ed7aaead0925170a87a2848897c","license":"CC0 1.0","imageinfo":{"url":"https://upload.wikimedia.org/wikipedia/commons/6/67/2011_Bakersfield_City_Hall.JPG?utm_source=commons.wikimedia.org&amp;utm_campaign=imageinfo&amp;utm_content=original","mime":"image/jpeg","sha1":"1777f1a91785c93335fddcb3d8cdd5a25096ac19","size":3497006,"width":3008,"height":2000,"pageid":14762238,"thumburl":"https://thumb.wikimedia.org/wikipedia/commons/thumb/6/67/2011_Bakersfield_City_Hall.JPG/1280px-2011_Bakersfield_City_Hall.JPG?utm_source=commons.wikimedia.org&amp;utm_campaign=imageinfo&amp;utm_content=thumbnail","timestamp":"2011-04-01T22:53:53Z","thumbwidth":1280,"extmetadata":{"Artist":{"value":"&lt;p&gt;Skyman9999.\n&lt;/p&gt;\n&lt;a href=\"//commons.wikimedia.org/wiki/User:Skyman9999\" title=\"User:Skyman9999\"&gt;Skyman9999&lt;/a&gt;","source":"commons-desc-page"},"Credit":{"value":"&lt;span class=\"int-own-work\" lang=\"en\"&gt;Own work&lt;/span&gt;","source":"commons-desc-page"},"License":{"value":"cc0","hidden":"","source":"commons-templates"},"DateTime":{"value":"2011-04-01 22:53:53","hidden":"","source":"mediawiki-metadata"},"Categories":{"value":"Taken with Nikon D50|CC-Zero|Bakersfield City Hall|Self-published work","hidden":"","source":"commons-categories"},"LicenseUrl":{"value":"http://creativecommons.org/publicdomain/zero/1.0/deed.en","source":"commons-desc-page"},"ObjectName":{"value":"2011 Bakersfield City Hall","source":"mediawiki-metadata"},"Permission":{"value":"Public Domain","hidden":"","source":"commons-desc-page"},"UsageTerms":{"value":"Creative Commons Zero, Public Domain Dedication","source":"commons-desc-page"},"Assessments":{"value":"","hidden":"","source":"commons-categories"},"Copyrighted":{"value":"True","hidden":"","source":"commons-desc-page"},"Restrictions":{"value":"","hidden":"","source":"commons-desc-page"},"DateTimeOriginal":{"value":"2011-04-01","source":"commons-desc-page"},"ImageDescription":{"value":"Bakersfield City Hall from intersection of Chester Ave. and Truxtun Ave, looking west.","source":"commons-desc-page"},"LicenseShortName":{"value":"CC0","hidden":"","source":"commons-desc-page"},"AttributionRequired":{"value":"false","hidden":"","source":"commons-desc-page"},"CommonsMetadataExtension":{"value":1.2,"hidden":"","source":"extension"}},"thumbheight":851,"thumbattribs":{"src":"https://thumb.wikimedia.org/wikipedia/commons/thumb/6/67/2011_Bakersfield_City_Hall.JPG/1280px-2011_Bakersfield_City_Hall.JPG?utm_source=commons.wikimedia.org&amp;utm_campaign=imageinfo&amp;utm_content=thumbnail","width":1280,"height":851,"srcset":"https://upload.wikimedia.org/wikipedia/commons/6/67/2011_Bakersfield_City_Hall.JPG?utm_source=commons.wikimedia.org&amp;utm_campaign=imageinfo&amp;utm_content=thumbnail_unscaled 2x","loading":"lazy","decoding":"async"},"descriptionurl":"https://commons.wikimedia.org/wiki/File:2011_Bakersfield_City_Hall.JPG","responsiveUrls":{"2":"https://upload.wikimedia.org/wikipedia/commons/6/67/2011_Bakersfield_City_Hall.JPG?utm_source=commons.wikimedia.org&amp;utm_campaign=imageinfo&amp;utm_content=thumbnail_unscaled"},"descriptionshorturl":"https://commons.wikimedia.org/w/index.php?curid=14762238"},"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cropping.","source_url":"https://commons.wikimedia.org/wiki/File:2011_Bakersfield_City_Hall.JPG","author_urls":["https://commons.wikimedia.org/wiki/User:Skyman9999"],"description":"Bakersfield City Hall from intersection of Chester Ave. and Truxtun Ave, looking west.","license_url":"https://creativecommons.org/publicdomain/zero/1.0/","reviewed_on":"2026-10-24","capture_date":"2011-04-01","download_url":"https://thumb.wikimedia.org/wikipedia/commons/thumb/6/67/2011_Bakersfield_City_Hall.JPG/1280px-2011_Bakersfield_City_Hall.JPG?utm_source=commons.wikimedia.org&amp;utm_campaign=imageinfo&amp;utm_content=thumbnail","original_url":"https://upload.wikimedia.org/wikipedia/commons/6/67/2011_Bakersfield_City_Hall.JPG?utm_source=commons.wikimedia.org&amp;utm_campaign=imageinfo&amp;utm_content=original","pixel_review":{"method":"İndirilen kare temas sayfasında görüldü; kaynak mekân kimliğiyle eşleştirildi. Seçim kaydı final-pixel-review.json.","status":"verified","caption":"Bakersfield City Hall · 2011 tarihli fotoğraf","reviewer":"Codex (AI)","review_id":"C31"},"downloaded_at":"2026-10-23T19:07:58.721681+00:00","download_sha256":"7c8497860d6cf513cce9992279a4ed1ada23d5bbd368d2bf7defc43bc053d2a3","downloaded_file":"downloads/7c8497860d6cf513cce9992279a4ed1ada23d5bbd368d2bf7defc43bc053d2a3.jpg","acquisition_file":"96b744dd5fb93b635e68bc92.webp","commons_filename":"2011 Bakersfield City Hall.JPG","original_file_url":"https://upload.wikimedia.org/wikipedia/commons/6/67/2011_Bakersfield_City_Hall.JPG?utm_source=commons.wikimedia.org&amp;utm_campaign=imageinfo&amp;utm_content=original","pixel_review_status":"pending","third_party_rights_review":{"basis":"Kaynakta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6/67/2011_Bakersfield_City_Hall.JPG?utm_source=commons.wikimedia.org&amp;utm_campaign=imageinfo&amp;utm_content=original"},"metadata_reviewed_on":"2026-10-24","metadata_review_status":"verified"}}</x:v>
      </x:c>
    </x:row>
    <x:row r="187" ht="300" customHeight="1">
      <x:c r="A187" s="29" t="str">
        <x:v>bakersfield:evidence:venue-22152</x:v>
      </x:c>
      <x:c r="B187" s="29" t="str">
        <x:v>bakersfield</x:v>
      </x:c>
      <x:c r="C187" s="29" t="str">
        <x:v>bakersfield:photo:venue-22152</x:v>
      </x:c>
      <x:c r="D187" s="29" t="str">
        <x:v>https://commons.wikimedia.org/wiki/File:01-2007-BakersfieldCollege.jpg</x:v>
      </x:c>
      <x:c r="E187" s="29" t="str">
        <x:v>01-2007-BakersfieldCollege.jpg</x:v>
      </x:c>
      <x:c r="F187" s="29" t="str">
        <x:v>Bobak Ha'Eri</x:v>
      </x:c>
      <x:c r="G187" s="29" t="str">
        <x:v>CC BY-SA 2.5</x:v>
      </x:c>
      <x:c r="H187" s="29" t="str">
        <x:v>https://creativecommons.org/licenses/by-sa/2.5</x:v>
      </x:c>
      <x:c r="I187" s="29" t="str">
        <x:v>Creative Commons Attribution-Share Alike 2.5</x:v>
      </x:c>
      <x:c r="J187" s="29" t="str">
        <x:v>01-2007-BakersfieldCollege.jpg · Bobak Ha'Eri · CC BY-SA 2.5 · https://commons.wikimedia.org/wiki/File:01-2007-BakersfieldCollege.jpg</x:v>
      </x:c>
      <x:c r="K18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7" s="31" t="d">
        <x:v>2026-10-24T00:00:00.000Z</x:v>
      </x:c>
      <x:c r="M187" s="29" t="str">
        <x:v>Doğrulandı</x:v>
      </x:c>
      <x:c r="N187" s="29" t="str">
        <x:v>Doğrulandı</x:v>
      </x:c>
      <x:c r="O187" s="29" t="str">
        <x:v>Fotoğraflar/bk-c056d8a64da5e705aef2f3c7.webp</x:v>
      </x:c>
      <x:c r="P187" s="29" t="str">
        <x:v>Bakersfield College / Panorama çevresi · 2007 tarihli fotoğraf · İndirilen kare temas sayfasında görüldü; kaynak mekân kimliğiyle eşleştirildi. Seçim kaydı final-pixel-review.json.</x:v>
      </x:c>
      <x:c r="Q187" s="29" t="str">
        <x:v>Bu kare için uygun</x:v>
      </x:c>
      <x:c r="R18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7" s="29" t="str">
        <x:v>Lisans kanıtları/bk-c056d8a64da5e705aef2f3c7.source-evidence.json</x:v>
      </x:c>
      <x:c r="T187" s="29" t="str">
        <x:v>cec4041fbbdaf448712c9bdee022b7d4ee24dbab6089cb95ee68ff0489094fb0</x:v>
      </x:c>
      <x:c r="U187" s="29" t="str">
        <x:v>Lisans kanıtları/bk-c056d8a64da5e705aef2f3c7.license-record.json</x:v>
      </x:c>
      <x:c r="V187" s="29" t="str">
        <x:v>fa2f27aaff4d3eca20fac8c789cbbe586a59adcc1275e6a3f40fb332bdf27585</x:v>
      </x:c>
      <x:c r="W187" s="29" t="str">
        <x:v>{"file":"bk-c056d8a64da5e705aef2f3c7.webp","width":1280,"author":"Bobak Ha'Eri","height":948,"sha256":"c056d8a64da5e705aef2f3c71cbd4a628f00a0d1dbed356db88eb292847ec202","license":"CC BY-SA 2.5","imageinfo":{"url":"https://upload.wikimedia.org/wikipedia/commons/5/55/01-2007-BakersfieldCollege.jpg?utm_source=commons.wikimedia.org&amp;utm_campaign=imageinfo&amp;utm_content=original","mime":"image/jpeg","sha1":"ab76832a0cf0ca67ab03735db938fd4df329f987","size":524522,"width":2085,"height":1545,"pageid":1544318,"thumburl":"https://thumb.wikimedia.org/wikipedia/commons/thumb/5/55/01-2007-BakersfieldCollege.jpg/1280px-01-2007-BakersfieldCollege.jpg?utm_source=commons.wikimedia.org&amp;utm_campaign=imageinfo&amp;utm_content=thumbnail","timestamp":"2007-01-08T19:44:22Z","thumbwidth":1280,"extmetadata":{"Artist":{"value":"&lt;a href=\"//commons.wikimedia.org/wiki/User:Bobak\" title=\"User:Bobak\"&gt;Bobak Ha'Eri&lt;/a&gt;","source":"commons-desc-page"},"Credit":{"value":"&lt;span class=\"int-own-work\" lang=\"en\"&gt;Own work&lt;/span&gt;","source":"commons-desc-page"},"License":{"value":"cc-by-sa-2.5","hidden":"","source":"commons-templates"},"DateTime":{"value":"2007-01-08 19:44:22","hidden":"","source":"mediawiki-metadata"},"Categories":{"value":"Taken with Sony DSC-T10|California Community Colleges System|January 2007 in California|2007 in Bakersfield, California|Photographs taken on 2007-01-04|January in Bakersfield, California|Bakersfield College|Files by User:Bobak","hidden":"","source":"commons-categories"},"LicenseUrl":{"value":"https://creativecommons.org/licenses/by-sa/2.5","source":"commons-desc-page"},"ObjectName":{"value":"01-2007-BakersfieldCollege","source":"mediawiki-metadata"},"Permission":{"value":"CC-By-SA-3.0","hidden":"","source":"commons-desc-page"},"UsageTerms":{"value":"Creative Commons Attribution-Share Alike 2.5","source":"commons-desc-page"},"Assessments":{"value":"","hidden":"","source":"commons-categories"},"Copyrighted":{"value":"True","hidden":"","source":"commons-desc-page"},"Restrictions":{"value":"","hidden":"","source":"commons-desc-page"},"DateTimeOriginal":{"value":"2007-01-04","source":"commons-desc-page"},"ImageDescription":{"value":"Administration Building and main entrance of &lt;a href=\"//commons.wikimedia.org/w/index.php?title=Bakersfield_College&amp;amp;action=edit&amp;amp;redlink=1\" class=\"new\" title=\"Bakersfield College (page does not exist)\"&gt;Bakersfield College&lt;/a&gt;.","source":"commons-desc-page"},"LicenseShortName":{"value":"CC BY-SA 2.5","hidden":"","source":"commons-desc-page"},"AttributionRequired":{"value":"true","hidden":"","source":"commons-desc-page"},"CommonsMetadataExtension":{"value":1.2,"hidden":"","source":"extension"}},"thumbheight":948,"thumbattribs":{"src":"https://thumb.wikimedia.org/wikipedia/commons/thumb/5/55/01-2007-BakersfieldCollege.jpg/1280px-01-2007-BakersfieldCollege.jpg?utm_source=commons.wikimedia.org&amp;utm_campaign=imageinfo&amp;utm_content=thumbnail","width":1280,"height":948,"srcset":"https://upload.wikimedia.org/wikipedia/commons/5/55/01-2007-BakersfieldCollege.jpg?utm_source=commons.wikimedia.org&amp;utm_campaign=imageinfo&amp;utm_content=thumbnail_unscaled 2x","loading":"lazy","decoding":"async"},"descriptionurl":"https://commons.wikimedia.org/wiki/File:01-2007-BakersfieldCollege.jpg","responsiveUrls":{"2":"https://upload.wikimedia.org/wikipedia/commons/5/55/01-2007-BakersfieldCollege.jpg?utm_source=commons.wikimedia.org&amp;utm_campaign=imageinfo&amp;utm_content=thumbnail_unscaled"},"descriptionshorturl":"https://commons.wikimedia.org/w/index.php?curid=1544318"},"selection":{"qid":"pending","kind":"candidate","title":"Bakersfield local buildings"},"author_url":"https://commons.wikimedia.org/wiki/User:Bobak","derivative":"Wikimedia thumbnail decoded; EXIF orientation applied; converted to WebP quality 86; no generated pixels, no cropping.","source_url":"https://commons.wikimedia.org/wiki/File:01-2007-BakersfieldCollege.jpg","author_urls":["https://commons.wikimedia.org/wiki/User:Bobak"],"description":"Administration Building and main entrance of Bakersfield College.","license_url":"https://creativecommons.org/licenses/by-sa/2.5","reviewed_on":"2026-10-24","capture_date":"2007-01-04","download_url":"https://thumb.wikimedia.org/wikipedia/commons/thumb/5/55/01-2007-BakersfieldCollege.jpg/1280px-01-2007-BakersfieldCollege.jpg?utm_source=commons.wikimedia.org&amp;utm_campaign=imageinfo&amp;utm_content=thumbnail","original_url":"https://upload.wikimedia.org/wikipedia/commons/5/55/01-2007-BakersfieldCollege.jpg?utm_source=commons.wikimedia.org&amp;utm_campaign=imageinfo&amp;utm_content=original","pixel_review":{"method":"İndirilen kare temas sayfasında görüldü; kaynak mekân kimliğiyle eşleştirildi. Seçim kaydı final-pixel-review.json.","status":"verified","caption":"Bakersfield College / Panorama çevresi · 2007 tarihli fotoğraf","reviewer":"Codex (AI)","review_id":"C0"},"downloaded_at":"2026-10-23T19:07:52.596881+00:00","download_sha256":"f3de87100ea81e06112880240512837655bd01f20295bdef3526dcde72378c32","downloaded_file":"downloads/f3de87100ea81e06112880240512837655bd01f20295bdef3526dcde72378c32.jpg","acquisition_file":"58635ef7bda23af6a7873b69.webp","commons_filename":"01-2007-BakersfieldCollege.jpg","original_file_url":"https://upload.wikimedia.org/wikipedia/commons/5/55/01-2007-BakersfieldColleg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dönüştürüldü.","photo_attribution":{"author_url":"https://commons.wikimedia.org/wiki/User:Bobak","modifications":"EXIF yönü uygulandı; boyut küçültülüp WebP biçimine dönüştürüldü.","original_file_url":"https://upload.wikimedia.org/wikipedia/commons/5/55/01-2007-BakersfieldCollege.jpg?utm_source=commons.wikimedia.org&amp;utm_campaign=imageinfo&amp;utm_content=original"},"metadata_reviewed_on":"2026-10-24","metadata_review_status":"verified"}}</x:v>
      </x:c>
    </x:row>
    <x:row r="188" ht="300" customHeight="1">
      <x:c r="A188" s="29" t="str">
        <x:v>bakersfield:evidence:venue-22153</x:v>
      </x:c>
      <x:c r="B188" s="29" t="str">
        <x:v>bakersfield</x:v>
      </x:c>
      <x:c r="C188" s="29" t="str">
        <x:v>bakersfield:photo:venue-22153</x:v>
      </x:c>
      <x:c r="D188" s="29" t="str">
        <x:v>https://commons.wikimedia.org/wiki/File:BakersfieldFederalCourthouse.jpg</x:v>
      </x:c>
      <x:c r="E188" s="29" t="str">
        <x:v>BakersfieldFederalCourthouse.jpg</x:v>
      </x:c>
      <x:c r="F188" s="29" t="str">
        <x:v>EazyDee107</x:v>
      </x:c>
      <x:c r="G188" s="29" t="str">
        <x:v>CC0 1.0</x:v>
      </x:c>
      <x:c r="H188" s="29" t="str">
        <x:v>https://creativecommons.org/publicdomain/zero/1.0/</x:v>
      </x:c>
      <x:c r="I188" s="29" t="str">
        <x:v>Creative Commons Zero, Public Domain Dedication</x:v>
      </x:c>
      <x:c r="J188" s="29" t="str">
        <x:v>BakersfieldFederalCourthouse.jpg · EazyDee107 · CC0 1.0 · https://commons.wikimedia.org/wiki/File:BakersfieldFederalCourthouse.jpg</x:v>
      </x:c>
      <x:c r="K18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8" s="31" t="d">
        <x:v>2026-10-24T00:00:00.000Z</x:v>
      </x:c>
      <x:c r="M188" s="29" t="str">
        <x:v>Doğrulandı</x:v>
      </x:c>
      <x:c r="N188" s="29" t="str">
        <x:v>Doğrulandı</x:v>
      </x:c>
      <x:c r="O188" s="29" t="str">
        <x:v>Fotoğraflar/bk-a5943dca5767b7c9a22e25a2.webp</x:v>
      </x:c>
      <x:c r="P188" s="29" t="str">
        <x:v>Bakersfield Federal Courthouse · 2025 tarihli fotoğraf · İndirilen kare temas sayfasında görüldü; kaynak mekân kimliğiyle eşleştirildi. Seçim kaydı final-pixel-review.json.</x:v>
      </x:c>
      <x:c r="Q188" s="29" t="str">
        <x:v>Bu kare için uygun</x:v>
      </x:c>
      <x:c r="R18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8" s="29" t="str">
        <x:v>Lisans kanıtları/bk-a5943dca5767b7c9a22e25a2.source-evidence.json</x:v>
      </x:c>
      <x:c r="T188" s="29" t="str">
        <x:v>328bb582f1bd9f25f61156b809502ddb25d02232d80bcd87d1bb172d34a65e3c</x:v>
      </x:c>
      <x:c r="U188" s="29" t="str">
        <x:v>Lisans kanıtları/bk-a5943dca5767b7c9a22e25a2.license-record.json</x:v>
      </x:c>
      <x:c r="V188" s="29" t="str">
        <x:v>33c719f295f5fb7d3bedce8ee6d9fb40e900511305383069d1722b59506ff1a6</x:v>
      </x:c>
      <x:c r="W188" s="29" t="str">
        <x:v>{"file":"bk-a5943dca5767b7c9a22e25a2.webp","width":1280,"author":"EazyDee107","height":960,"sha256":"a5943dca5767b7c9a22e25a28db86cc41b4ce302d5ba8e119c6b88fc57da6055","license":"CC0 1.0","imageinfo":{"url":"https://upload.wikimedia.org/wikipedia/commons/6/6f/BakersfieldFederalCourthouse.jpg?utm_source=commons.wikimedia.org&amp;utm_campaign=imageinfo&amp;utm_content=original","mime":"image/jpeg","sha1":"8fd1842802969c91ece12d030ccdf68cbb36f39b","size":3108421,"width":4032,"height":3024,"pageid":165616942,"thumburl":"https://thumb.wikimedia.org/wikipedia/commons/thumb/6/6f/BakersfieldFederalCourthouse.jpg/1280px-BakersfieldFederalCourthouse.jpg?utm_source=commons.wikimedia.org&amp;utm_campaign=imageinfo&amp;utm_content=thumbnail","timestamp":"2025-05-19T19:49:06Z","thumbwidth":1280,"extmetadata":{"Artist":{"value":"&lt;a rel=\"mw:WikiLink\" href=\"https://commons.wikimedia.org/wiki/User:EazyDee107?action=edit&amp;amp;redlink=1\" title=\"User:EazyDee107 (page does not exist)\" class=\"new\" typeof=\"mw:LocalizedAttrs\" data-mw-i18n='{\"title\":{\"lang\":\"x-page\",\"key\":\"red-link-title\",\"params\":[\"User:EazyDee107\"]}}'&gt;EazyDee107&lt;/a&gt;","source":"commons-desc-page"},"Credit":{"value":"&lt;span class=\"int-own-work\" lang=\"en\"&gt;Own work&lt;/span&gt;","source":"commons-desc-page"},"License":{"value":"cc0","hidden":"","source":"commons-templates"},"DateTime":{"value":"2025-05-19 19:49:06","hidden":"","source":"mediawiki-metadata"},"Categories":{"value":"CC-Zero|Self-published work|Files with coordinates missing SDC location of creation|All media needing categories as of 2025|Media needing categories as of 19 May 2025","hidden":"","source":"commons-categories"},"LicenseUrl":{"value":"http://creativecommons.org/publicdomain/zero/1.0/deed.en","source":"commons-desc-page"},"ObjectName":{"value":"BakersfieldFederalCourthouse","source":"mediawiki-metadata"},"UsageTerms":{"value":"Creative Commons Zero, Public Domain Dedication","source":"commons-desc-page"},"Assessments":{"value":"","hidden":"","source":"commons-categories"},"Copyrighted":{"value":"True","hidden":"","source":"commons-desc-page"},"GPSLatitude":{"value":"35.377236","source":"commons-desc-page"},"GPSMapDatum":{"value":"WGS-84","hidden":"","source":"commons-desc-page"},"GPSLongitude":{"value":"-119.007753","source":"commons-desc-page"},"Restrictions":{"value":"","hidden":"","source":"commons-desc-page"},"DateTimeOriginal":{"value":"2025-05-13 15:25:38","source":"commons-desc-page"},"ImageDescription":{"value":"Exterior of the Bakersfield Federal Courthouse viewed from the Mill Creek Park.","source":"commons-desc-page"},"LicenseShortName":{"value":"CC0","hidden":"","source":"commons-desc-page"},"AttributionRequired":{"value":"false","hidden":"","source":"commons-desc-page"},"CommonsMetadataExtension":{"value":1.2,"hidden":"","source":"extension"}},"thumbheight":960,"thumbattribs":{"src":"https://thumb.wikimedia.org/wikipedia/commons/thumb/6/6f/BakersfieldFederalCourthouse.jpg/1280px-BakersfieldFederalCourthouse.jpg?utm_source=commons.wikimedia.org&amp;utm_campaign=imageinfo&amp;utm_content=thumbnail","width":1280,"height":960,"srcset":"https://thumb.wikimedia.org/wikipedia/commons/thumb/6/6f/BakersfieldFederalCourthouse.jpg/3840px-BakersfieldFederalCourthouse.jpg?utm_source=commons.wikimedia.org&amp;utm_campaign=imageinfo&amp;utm_content=thumbnail 2x","loading":"lazy","decoding":"async"},"descriptionurl":"https://commons.wikimedia.org/wiki/File:BakersfieldFederalCourthouse.jpg","responsiveUrls":{"2":"https://thumb.wikimedia.org/wikipedia/commons/thumb/6/6f/BakersfieldFederalCourthouse.jpg/3840px-BakersfieldFederalCourthouse.jpg?utm_source=commons.wikimedia.org&amp;utm_campaign=imageinfo&amp;utm_content=thumbnail"},"descriptionshorturl":"https://commons.wikimedia.org/w/index.php?curid=165616942"},"selection":{"qid":"pending","kind":"candidate","title":"Bakersfield local discovery"},"author_url":"","derivative":"Wikimedia thumbnail decoded; EXIF orientation applied; converted to WebP quality 86; no generated pixels, no cropping.","source_url":"https://commons.wikimedia.org/wiki/File:BakersfieldFederalCourthouse.jpg","author_urls":[],"description":"Exterior of the Bakersfield Federal Courthouse viewed from the Mill Creek Park.","license_url":"https://creativecommons.org/publicdomain/zero/1.0/","reviewed_on":"2026-10-24","capture_date":"2025-05-13 15:25:38","download_url":"https://thumb.wikimedia.org/wikipedia/commons/thumb/6/6f/BakersfieldFederalCourthouse.jpg/1280px-BakersfieldFederalCourthouse.jpg?utm_source=commons.wikimedia.org&amp;utm_campaign=imageinfo&amp;utm_content=thumbnail","original_url":"https://upload.wikimedia.org/wikipedia/commons/6/6f/BakersfieldFederalCourthouse.jpg?utm_source=commons.wikimedia.org&amp;utm_campaign=imageinfo&amp;utm_content=original","pixel_review":{"method":"İndirilen kare temas sayfasında görüldü; kaynak mekân kimliğiyle eşleştirildi. Seçim kaydı final-pixel-review.json.","status":"verified","caption":"Bakersfield Federal Courthouse · 2025 tarihli fotoğraf","reviewer":"Codex (AI)","review_id":"C63"},"downloaded_at":"2026-10-23T19:10:50.162048+00:00","download_sha256":"213c49cc5da15fb0eb56ddb75860fb83c191eeb8a60695232fa7f752b9b7fb5d","downloaded_file":"downloads/213c49cc5da15fb0eb56ddb75860fb83c191eeb8a60695232fa7f752b9b7fb5d.jpg","acquisition_file":"7781a547439e40b569e21a4a.webp","commons_filename":"BakersfieldFederalCourthouse.jpg","original_file_url":"https://upload.wikimedia.org/wikipedia/commons/6/6f/BakersfieldFederalCourthous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6/6f/BakersfieldFederalCourthouse.jpg?utm_source=commons.wikimedia.org&amp;utm_campaign=imageinfo&amp;utm_content=original"},"metadata_reviewed_on":"2026-10-24","metadata_review_status":"verified"}}</x:v>
      </x:c>
    </x:row>
    <x:row r="189" ht="300" customHeight="1">
      <x:c r="A189" s="29" t="str">
        <x:v>bakersfield:evidence:venue-22154</x:v>
      </x:c>
      <x:c r="B189" s="29" t="str">
        <x:v>bakersfield</x:v>
      </x:c>
      <x:c r="C189" s="29" t="str">
        <x:v>bakersfield:photo:venue-22154</x:v>
      </x:c>
      <x:c r="D189" s="29" t="str">
        <x:v>https://commons.wikimedia.org/wiki/File:Crites_Bldg,_Bakersfield,_CA.jpg</x:v>
      </x:c>
      <x:c r="E189" s="29" t="str">
        <x:v>Crites Bldg, Bakersfield, CA.jpg</x:v>
      </x:c>
      <x:c r="F189" s="29" t="str">
        <x:v>Publichall</x:v>
      </x:c>
      <x:c r="G189" s="29" t="str">
        <x:v>CC BY-SA 4.0</x:v>
      </x:c>
      <x:c r="H189" s="29" t="str">
        <x:v>https://creativecommons.org/licenses/by-sa/4.0</x:v>
      </x:c>
      <x:c r="I189" s="29" t="str">
        <x:v>Creative Commons Attribution-Share Alike 4.0</x:v>
      </x:c>
      <x:c r="J189" s="29" t="str">
        <x:v>Crites Bldg, Bakersfield, CA.jpg · Publichall · CC BY-SA 4.0 · https://commons.wikimedia.org/wiki/File:Crites_Bldg,_Bakersfield,_CA.jpg</x:v>
      </x:c>
      <x:c r="K18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89" s="31" t="d">
        <x:v>2026-10-24T00:00:00.000Z</x:v>
      </x:c>
      <x:c r="M189" s="29" t="str">
        <x:v>Doğrulandı</x:v>
      </x:c>
      <x:c r="N189" s="29" t="str">
        <x:v>Doğrulandı</x:v>
      </x:c>
      <x:c r="O189" s="29" t="str">
        <x:v>Fotoğraflar/bk-492bf17cb47892b05ef9e241.webp</x:v>
      </x:c>
      <x:c r="P189" s="29" t="str">
        <x:v>Arthur S. Crites Building · 2017 tarihli fotoğraf · İndirilen kare temas sayfasında görüldü; kaynak mekân kimliğiyle eşleştirildi. Seçim kaydı final-pixel-review.json.</x:v>
      </x:c>
      <x:c r="Q189" s="29" t="str">
        <x:v>Bu kare için uygun</x:v>
      </x:c>
      <x:c r="R18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89" s="29" t="str">
        <x:v>Lisans kanıtları/bk-492bf17cb47892b05ef9e241.source-evidence.json</x:v>
      </x:c>
      <x:c r="T189" s="29" t="str">
        <x:v>44c096c9c821df4fc09975d392856b7ad23e9fc61ea979cf43f0444bfecd71c4</x:v>
      </x:c>
      <x:c r="U189" s="29" t="str">
        <x:v>Lisans kanıtları/bk-492bf17cb47892b05ef9e241.license-record.json</x:v>
      </x:c>
      <x:c r="V189" s="29" t="str">
        <x:v>3aae202ba3cd35bc90e6ffad107cd0c1c8d914fd7564e7b4934f33449bc5e96d</x:v>
      </x:c>
      <x:c r="W189" s="29" t="str">
        <x:v>{"file":"bk-492bf17cb47892b05ef9e241.webp","width":1280,"author":"Publichall","height":960,"sha256":"492bf17cb47892b05ef9e241c43093f22523865f880ed9540a9e2250259b9b6b","license":"CC BY-SA 4.0","imageinfo":{"url":"https://upload.wikimedia.org/wikipedia/commons/c/c7/Crites_Bldg%2C_Bakersfield%2C_CA.jpg?utm_source=commons.wikimedia.org&amp;utm_campaign=imageinfo&amp;utm_content=original","mime":"image/jpeg","sha1":"a2bb2f517ff0c7c95d80cb13978ca62a28067ca9","size":2181590,"width":3264,"height":2448,"pageid":116648337,"thumburl":"https://thumb.wikimedia.org/wikipedia/commons/thumb/c/c7/Crites_Bldg%2C_Bakersfield%2C_CA.jpg/1280px-Crites_Bldg%2C_Bakersfield%2C_CA.jpg?utm_source=commons.wikimedia.org&amp;utm_campaign=imageinfo&amp;utm_content=thumbnail","timestamp":"2022-04-04T06:49:38Z","thumbwidth":1280,"extmetadata":{"Artist":{"value":"&lt;a rel=\"mw:WikiLink\" href=\"https://commons.wikimedia.org/wiki/User:Publichall\" title=\"User:Publichall\"&gt;Publichall&lt;/a&gt;","source":"commons-desc-page"},"Credit":{"value":"&lt;span class=\"int-own-work\" lang=\"en\"&gt;Own work&lt;/span&gt;","source":"commons-desc-page"},"License":{"value":"cc-by-sa-4.0","hidden":"","source":"commons-templates"},"DateTime":{"value":"2022-04-04 06:49:38","hidden":"","source":"mediawiki-metadata"},"Categories":{"value":"Streamline Moderne architecture in the United States|Built in California in 1901|Self-published work|Buildings in Bakersfield, California|Downtown Bakersfield, California","hidden":"","source":"commons-categories"},"LicenseUrl":{"value":"https://creativecommons.org/licenses/by-sa/4.0","source":"commons-desc-page"},"ObjectName":{"value":"Crites Bldg, Bakersfield, CA","source":"mediawiki-metadata"},"UsageTerms":{"value":"Creative Commons Attribution-Share Alike 4.0","source":"commons-desc-page"},"Assessments":{"value":"","hidden":"","source":"commons-categories"},"Copyrighted":{"value":"True","hidden":"","source":"commons-desc-page"},"Restrictions":{"value":"","hidden":"","source":"commons-desc-page"},"DateTimeOriginal":{"value":"2017-07-10 11:00:53","source":"commons-desc-page"},"ImageDescription":{"value":"The Arthur S. Crites Building at the SW corner of 19th and Eye Streets. Originally built in 1901 by J.B. Berges for the Redlick Brothers department store who occupied the entire building until 1911. Designed by Orville Lee Clark, the building was originally a mixture of Italianate, Gothic and Beaux Arts (&lt;a rel=\"mw:ExtLink nofollow\" href=\"https://csl.primo.exlibrisgroup.com/view/delivery/01CSL_INST/12135979310005115\" class=\"external text\"&gt;A historic photo of the building in the early 1900s (remove %7CA from URL to view)&lt;/a&gt;), featuring a corner tower. Arthur S. Crites purchased and remodeled the building into offices in 1937.","source":"commons-desc-page"},"LicenseShortName":{"value":"CC BY-SA 4.0","hidden":"","source":"commons-desc-page"},"AttributionRequired":{"value":"true","hidden":"","source":"commons-desc-page"},"CommonsMetadataExtension":{"value":1.2,"hidden":"","source":"extension"}},"thumbheight":960,"thumbattribs":{"src":"https://thumb.wikimedia.org/wikipedia/commons/thumb/c/c7/Crites_Bldg%2C_Bakersfield%2C_CA.jpg/1280px-Crites_Bldg%2C_Bakersfield%2C_CA.jpg?utm_source=commons.wikimedia.org&amp;utm_campaign=imageinfo&amp;utm_content=thumbnail","width":1280,"height":960,"srcset":"https://upload.wikimedia.org/wikipedia/commons/c/c7/Crites_Bldg%2C_Bakersfield%2C_CA.jpg?utm_source=commons.wikimedia.org&amp;utm_campaign=imageinfo&amp;utm_content=thumbnail_unscaled 2x","loading":"lazy","decoding":"async"},"descriptionurl":"https://commons.wikimedia.org/wiki/File:Crites_Bldg,_Bakersfield,_CA.jpg","responsiveUrls":{"2":"https://upload.wikimedia.org/wikipedia/commons/c/c7/Crites_Bldg%2C_Bakersfield%2C_CA.jpg?utm_source=commons.wikimedia.org&amp;utm_campaign=imageinfo&amp;utm_content=thumbnail_unscaled"},"descriptionshorturl":"https://commons.wikimedia.org/w/index.php?curid=116648337"},"selection":{"qid":"pending","kind":"candidate","title":"Bakersfield local buildings"},"author_url":"https://commons.wikimedia.org/wiki/User:Publichall","derivative":"Wikimedia thumbnail decoded; EXIF orientation applied; converted to WebP quality 86; no generated pixels, no cropping.","source_url":"https://commons.wikimedia.org/wiki/File:Crites_Bldg,_Bakersfield,_CA.jpg","author_urls":["https://commons.wikimedia.org/wiki/User:Publichall"],"description":"The Arthur S. Crites Building at the SW corner of 19th and Eye Streets. Originally built in 1901 by J.B. Berges for the Redlick Brothers department store who occupied the entire building until 1911. Designed by Orville Lee Clark, the building was originally a mixture of Italianate, Gothic and Beaux Arts (A historic photo of the building in the early 1900s (remove %7CA from URL to view)), featuring a corner tower. Arthur S. Crites purchased and remodeled the building into offices in 1937.","license_url":"https://creativecommons.org/licenses/by-sa/4.0","reviewed_on":"2026-10-24","capture_date":"2017-07-10 11:00:53","download_url":"https://thumb.wikimedia.org/wikipedia/commons/thumb/c/c7/Crites_Bldg%2C_Bakersfield%2C_CA.jpg/1280px-Crites_Bldg%2C_Bakersfield%2C_CA.jpg?utm_source=commons.wikimedia.org&amp;utm_campaign=imageinfo&amp;utm_content=thumbnail","original_url":"https://upload.wikimedia.org/wikipedia/commons/c/c7/Crites_Bldg%2C_Bakersfield%2C_CA.jpg?utm_source=commons.wikimedia.org&amp;utm_campaign=imageinfo&amp;utm_content=original","pixel_review":{"method":"İndirilen kare temas sayfasında görüldü; kaynak mekân kimliğiyle eşleştirildi. Seçim kaydı final-pixel-review.json.","status":"verified","caption":"Arthur S. Crites Building · 2017 tarihli fotoğraf","reviewer":"Codex (AI)","review_id":"C107"},"downloaded_at":"2026-10-23T19:08:19.396573+00:00","download_sha256":"f0119ef3dfd6c33fa07f63b59249008efc6471a244ce0ee93c3fb0e161557b34","downloaded_file":"downloads/f0119ef3dfd6c33fa07f63b59249008efc6471a244ce0ee93c3fb0e161557b34.jpg","acquisition_file":"bcfb547de4f8e08e63b780a8.webp","commons_filename":"Crites Bldg, Bakersfield, CA.jpg","original_file_url":"https://upload.wikimedia.org/wikipedia/commons/c/c7/Crites_Bldg%2C_Bakersfield%2C_CA.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dönüştürüldü.","photo_attribution":{"author_url":"https://commons.wikimedia.org/wiki/User:Publichall","modifications":"EXIF yönü uygulandı; boyut küçültülüp WebP biçimine dönüştürüldü.","original_file_url":"https://upload.wikimedia.org/wikipedia/commons/c/c7/Crites_Bldg%2C_Bakersfield%2C_CA.jpg?utm_source=commons.wikimedia.org&amp;utm_campaign=imageinfo&amp;utm_content=original"},"metadata_reviewed_on":"2026-10-24","metadata_review_status":"verified"}}</x:v>
      </x:c>
    </x:row>
    <x:row r="190" ht="300" customHeight="1">
      <x:c r="A190" s="29" t="str">
        <x:v>bakersfield:evidence:venue-22155</x:v>
      </x:c>
      <x:c r="B190" s="29" t="str">
        <x:v>bakersfield</x:v>
      </x:c>
      <x:c r="C190" s="29" t="str">
        <x:v>bakersfield:photo:venue-22155</x:v>
      </x:c>
      <x:c r="D190" s="29" t="str">
        <x:v>https://commons.wikimedia.org/wiki/File:Wind_Wolves_entrance_gate.jpg</x:v>
      </x:c>
      <x:c r="E190" s="29" t="str">
        <x:v>Wind Wolves entrance gate.jpg</x:v>
      </x:c>
      <x:c r="F190" s="29" t="str">
        <x:v>BookOfDisquiet</x:v>
      </x:c>
      <x:c r="G190" s="29" t="str">
        <x:v>CC BY 4.0</x:v>
      </x:c>
      <x:c r="H190" s="29" t="str">
        <x:v>https://creativecommons.org/licenses/by/4.0</x:v>
      </x:c>
      <x:c r="I190" s="29" t="str">
        <x:v>Creative Commons Attribution 4.0</x:v>
      </x:c>
      <x:c r="J190" s="29" t="str">
        <x:v>Wind Wolves entrance gate.jpg · BookOfDisquiet · CC BY 4.0 · https://commons.wikimedia.org/wiki/File:Wind_Wolves_entrance_gate.jpg</x:v>
      </x:c>
      <x:c r="K19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0" s="31" t="d">
        <x:v>2026-10-24T00:00:00.000Z</x:v>
      </x:c>
      <x:c r="M190" s="29" t="str">
        <x:v>Doğrulandı</x:v>
      </x:c>
      <x:c r="N190" s="29" t="str">
        <x:v>Doğrulandı</x:v>
      </x:c>
      <x:c r="O190" s="29" t="str">
        <x:v>Fotoğraflar/bk-8b560d5736be7c7c7e0337b3.webp</x:v>
      </x:c>
      <x:c r="P190" s="29" t="str">
        <x:v>Wind Wolves Preserve · 2022 tarihli fotoğraf · İndirilen kare temas sayfasında görüldü; kaynak mekân kimliğiyle eşleştirildi. Seçim kaydı final-pixel-review.json.</x:v>
      </x:c>
      <x:c r="Q190" s="29" t="str">
        <x:v>Bu kare için uygun</x:v>
      </x:c>
      <x:c r="R19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0" s="29" t="str">
        <x:v>Lisans kanıtları/bk-8b560d5736be7c7c7e0337b3.source-evidence.json</x:v>
      </x:c>
      <x:c r="T190" s="29" t="str">
        <x:v>df11337c73bf8096cba28140aaecfdb2a0704fc0eba2aa3771603c3c6ce7b8d3</x:v>
      </x:c>
      <x:c r="U190" s="29" t="str">
        <x:v>Lisans kanıtları/bk-8b560d5736be7c7c7e0337b3.license-record.json</x:v>
      </x:c>
      <x:c r="V190" s="29" t="str">
        <x:v>c71493cf5e5b8902e5a4517b18b669b207f3e06b955718f8c15d2d81156332f6</x:v>
      </x:c>
      <x:c r="W190" s="29" t="str">
        <x:v>{"file":"bk-8b560d5736be7c7c7e0337b3.webp","width":1280,"author":"BookOfDisquiet","height":960,"sha256":"8b560d5736be7c7c7e0337b37cc43b2d9c385f4c2032964a7d64f6f39591d19d","license":"CC BY 4.0","imageinfo":{"url":"https://upload.wikimedia.org/wikipedia/commons/4/43/Wind_Wolves_entrance_gate.jpg?utm_source=commons.wikimedia.org&amp;utm_campaign=imageinfo&amp;utm_content=original","mime":"image/jpeg","sha1":"84d725d00368708933c5f0b16957b0c2c2923a10","size":1861042,"width":4032,"height":3024,"pageid":181087477,"thumburl":"https://thumb.wikimedia.org/wikipedia/commons/thumb/4/43/Wind_Wolves_entrance_gate.jpg/1280px-Wind_Wolves_entrance_gate.jpg?utm_source=commons.wikimedia.org&amp;utm_campaign=imageinfo&amp;utm_content=thumbnail","timestamp":"2026-01-02T02:22:31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02:22:31","hidden":"","source":"mediawiki-metadata"},"Categories":{"value":"Self-published work|Files with coordinates missing SDC location of creation|Wind Wolves Preserve","hidden":"","source":"commons-categories"},"LicenseUrl":{"value":"https://creativecommons.org/licenses/by/4.0","source":"commons-desc-page"},"ObjectName":{"value":"Wind Wolves entrance gate","source":"mediawiki-metadata"},"UsageTerms":{"value":"Creative Commons Attribution 4.0","source":"commons-desc-page"},"Assessments":{"value":"","hidden":"","source":"commons-categories"},"Copyrighted":{"value":"True","hidden":"","source":"commons-desc-page"},"GPSLatitude":{"value":"35.015194","source":"commons-desc-page"},"GPSMapDatum":{"value":"WGS-84","hidden":"","source":"commons-desc-page"},"GPSLongitude":{"value":"-119.170242","source":"commons-desc-page"},"Restrictions":{"value":"","hidden":"","source":"commons-desc-page"},"DateTimeOriginal":{"value":"2022-03-05 09:52:01","source":"commons-desc-page"},"ImageDescription":{"value":"The entrance gate near the mouth of San Emigdio Canyon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4/43/Wind_Wolves_entrance_gate.jpg/1280px-Wind_Wolves_entrance_gate.jpg?utm_source=commons.wikimedia.org&amp;utm_campaign=imageinfo&amp;utm_content=thumbnail","width":1280,"height":960,"srcset":"https://thumb.wikimedia.org/wikipedia/commons/thumb/4/43/Wind_Wolves_entrance_gate.jpg/3840px-Wind_Wolves_entrance_gate.jpg?utm_source=commons.wikimedia.org&amp;utm_campaign=imageinfo&amp;utm_content=thumbnail 2x","loading":"lazy","decoding":"async"},"descriptionurl":"https://commons.wikimedia.org/wiki/File:Wind_Wolves_entrance_gate.jpg","responsiveUrls":{"2":"https://thumb.wikimedia.org/wikipedia/commons/thumb/4/43/Wind_Wolves_entrance_gate.jpg/3840px-Wind_Wolves_entrance_gate.jpg?utm_source=commons.wikimedia.org&amp;utm_campaign=imageinfo&amp;utm_content=thumbnail"},"descriptionshorturl":"https://commons.wikimedia.org/w/index.php?curid=181087477"},"selection":{"qid":"pending","kind":"candidate","title":"Wind Wolves Preserve"},"author_url":"","derivative":"Wikimedia thumbnail decoded; EXIF orientation applied; converted to WebP quality 86; no generated pixels, no cropping.","source_url":"https://commons.wikimedia.org/wiki/File:Wind_Wolves_entrance_gate.jpg","author_urls":[],"description":"The entrance gate near the mouth of San Emigdio Canyon at Wind Wolves Preserve, managed by The Wildlands Conservancy.","license_url":"https://creativecommons.org/licenses/by/4.0","reviewed_on":"2026-10-24","capture_date":"2022-03-05 09:52:01","download_url":"https://thumb.wikimedia.org/wikipedia/commons/thumb/4/43/Wind_Wolves_entrance_gate.jpg/1280px-Wind_Wolves_entrance_gate.jpg?utm_source=commons.wikimedia.org&amp;utm_campaign=imageinfo&amp;utm_content=thumbnail","original_url":"https://upload.wikimedia.org/wikipedia/commons/4/43/Wind_Wolves_entrance_gate.jpg?utm_source=commons.wikimedia.org&amp;utm_campaign=imageinfo&amp;utm_content=original","pixel_review":{"method":"İndirilen kare temas sayfasında görüldü; kaynak mekân kimliğiyle eşleştirildi. Seçim kaydı final-pixel-review.json.","status":"verified","caption":"Wind Wolves Preserve · 2022 tarihli fotoğraf","reviewer":"Codex (AI)","review_id":"C259"},"downloaded_at":"2026-10-23T19:09:21.785570+00:00","download_sha256":"1f2d64957a80f3d650ee4be69524fd90abf9f1d98073bcfbfe6db6dff8ed43db","downloaded_file":"downloads/1f2d64957a80f3d650ee4be69524fd90abf9f1d98073bcfbfe6db6dff8ed43db.jpg","acquisition_file":"2295afa99623b44fd88858a2.webp","commons_filename":"Wind Wolves entrance gate.jpg","original_file_url":"https://upload.wikimedia.org/wikipedia/commons/4/43/Wind_Wolves_entrance_gate.jpg?utm_source=commons.wikimedia.org&amp;utm_campaign=imageinfo&amp;utm_content=original","pixel_review_status":"pending","third_party_rights_review":{"basis":"Kaynakta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4/43/Wind_Wolves_entrance_gate.jpg?utm_source=commons.wikimedia.org&amp;utm_campaign=imageinfo&amp;utm_content=original"},"metadata_reviewed_on":"2026-10-24","metadata_review_status":"verified"}}</x:v>
      </x:c>
    </x:row>
    <x:row r="191" ht="300" customHeight="1">
      <x:c r="A191" s="29" t="str">
        <x:v>bakersfield:evidence:venue-22156</x:v>
      </x:c>
      <x:c r="B191" s="29" t="str">
        <x:v>bakersfield</x:v>
      </x:c>
      <x:c r="C191" s="29" t="str">
        <x:v>bakersfield:photo:venue-22156</x:v>
      </x:c>
      <x:c r="D191" s="29" t="str">
        <x:v>https://commons.wikimedia.org/wiki/File:Wind_Wolves_Preserve_Campground_Pond.jpg</x:v>
      </x:c>
      <x:c r="E191" s="29" t="str">
        <x:v>Wind Wolves Preserve Campground Pond.jpg</x:v>
      </x:c>
      <x:c r="F191" s="29" t="str">
        <x:v>BookOfDisquiet</x:v>
      </x:c>
      <x:c r="G191" s="29" t="str">
        <x:v>CC BY 4.0</x:v>
      </x:c>
      <x:c r="H191" s="29" t="str">
        <x:v>https://creativecommons.org/licenses/by/4.0</x:v>
      </x:c>
      <x:c r="I191" s="29" t="str">
        <x:v>Creative Commons Attribution 4.0</x:v>
      </x:c>
      <x:c r="J191" s="29" t="str">
        <x:v>Wind Wolves Preserve Campground Pond.jpg · BookOfDisquiet · CC BY 4.0 · https://commons.wikimedia.org/wiki/File:Wind_Wolves_Preserve_Campground_Pond.jpg</x:v>
      </x:c>
      <x:c r="K19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1" s="31" t="d">
        <x:v>2026-10-24T00:00:00.000Z</x:v>
      </x:c>
      <x:c r="M191" s="29" t="str">
        <x:v>Doğrulandı</x:v>
      </x:c>
      <x:c r="N191" s="29" t="str">
        <x:v>Doğrulandı</x:v>
      </x:c>
      <x:c r="O191" s="29" t="str">
        <x:v>Fotoğraflar/bk-8574b0859160eb4d0b2503f7.webp</x:v>
      </x:c>
      <x:c r="P191" s="29" t="str">
        <x:v>Wind Wolves Preserve · 2021 tarihli fotoğraf · İndirilen kare temas sayfasında görüldü; kaynak mekân kimliğiyle eşleştirildi. Seçim kaydı final-pixel-review.json.</x:v>
      </x:c>
      <x:c r="Q191" s="29" t="str">
        <x:v>Bu kare için uygun</x:v>
      </x:c>
      <x:c r="R19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1" s="29" t="str">
        <x:v>Lisans kanıtları/bk-8574b0859160eb4d0b2503f7.source-evidence.json</x:v>
      </x:c>
      <x:c r="T191" s="29" t="str">
        <x:v>36430898ea125486e0761b661914134e1f83268aa7f74a121be66921dc56e366</x:v>
      </x:c>
      <x:c r="U191" s="29" t="str">
        <x:v>Lisans kanıtları/bk-8574b0859160eb4d0b2503f7.license-record.json</x:v>
      </x:c>
      <x:c r="V191" s="29" t="str">
        <x:v>766cae6e08753b7fc82ff175830841c8f9852b6d0965b23e59ffb826de16c627</x:v>
      </x:c>
      <x:c r="W191" s="29" t="str">
        <x:v>{"file":"bk-8574b0859160eb4d0b2503f7.webp","width":1280,"author":"BookOfDisquiet","height":960,"sha256":"8574b0859160eb4d0b2503f7549a2ddc4cb41b9a2da10089fe8f53409d361272","license":"CC BY 4.0","imageinfo":{"url":"https://upload.wikimedia.org/wikipedia/commons/2/27/Wind_Wolves_Preserve_Campground_Pond.jpg?utm_source=commons.wikimedia.org&amp;utm_campaign=imageinfo&amp;utm_content=original","mime":"image/jpeg","sha1":"11c2bb481152b1b0956c1a4b0fb33ceca922f819","size":5417487,"width":4032,"height":3024,"pageid":181085963,"thumburl":"https://thumb.wikimedia.org/wikipedia/commons/thumb/2/27/Wind_Wolves_Preserve_Campground_Pond.jpg/1280px-Wind_Wolves_Preserve_Campground_Pond.jpg?utm_source=commons.wikimedia.org&amp;utm_campaign=imageinfo&amp;utm_content=thumbnail","timestamp":"2026-01-02T01:00:38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01:00:38","hidden":"","source":"mediawiki-metadata"},"Categories":{"value":"Self-published work|Files with coordinates missing SDC location of creation|Wind Wolves Preserve","hidden":"","source":"commons-categories"},"LicenseUrl":{"value":"https://creativecommons.org/licenses/by/4.0","source":"commons-desc-page"},"ObjectName":{"value":"Wind Wolves Preserve Campground Pond","source":"mediawiki-metadata"},"UsageTerms":{"value":"Creative Commons Attribution 4.0","source":"commons-desc-page"},"Assessments":{"value":"","hidden":"","source":"commons-categories"},"Copyrighted":{"value":"True","hidden":"","source":"commons-desc-page"},"GPSLatitude":{"value":"34.991081","source":"commons-desc-page"},"GPSMapDatum":{"value":"WGS-84","hidden":"","source":"commons-desc-page"},"GPSLongitude":{"value":"-119.184853","source":"commons-desc-page"},"Restrictions":{"value":"","hidden":"","source":"commons-desc-page"},"DateTimeOriginal":{"value":"2021-11-11 15:10:33","source":"commons-desc-page"},"ImageDescription":{"value":"A constructed pond near the mouth of San Emigdio Canyon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2/27/Wind_Wolves_Preserve_Campground_Pond.jpg/1280px-Wind_Wolves_Preserve_Campground_Pond.jpg?utm_source=commons.wikimedia.org&amp;utm_campaign=imageinfo&amp;utm_content=thumbnail","width":1280,"height":960,"srcset":"https://thumb.wikimedia.org/wikipedia/commons/thumb/2/27/Wind_Wolves_Preserve_Campground_Pond.jpg/3840px-Wind_Wolves_Preserve_Campground_Pond.jpg?utm_source=commons.wikimedia.org&amp;utm_campaign=imageinfo&amp;utm_content=thumbnail 2x","loading":"lazy","decoding":"async"},"descriptionurl":"https://commons.wikimedia.org/wiki/File:Wind_Wolves_Preserve_Campground_Pond.jpg","responsiveUrls":{"2":"https://thumb.wikimedia.org/wikipedia/commons/thumb/2/27/Wind_Wolves_Preserve_Campground_Pond.jpg/3840px-Wind_Wolves_Preserve_Campground_Pond.jpg?utm_source=commons.wikimedia.org&amp;utm_campaign=imageinfo&amp;utm_content=thumbnail"},"descriptionshorturl":"https://commons.wikimedia.org/w/index.php?curid=181085963"},"selection":{"qid":"pending","kind":"candidate","title":"Wind Wolves Preserve"},"author_url":"","derivative":"Wikimedia thumbnail decoded; EXIF orientation applied; converted to WebP quality 86; no generated pixels, no cropping.","source_url":"https://commons.wikimedia.org/wiki/File:Wind_Wolves_Preserve_Campground_Pond.jpg","author_urls":[],"description":"A constructed pond near the mouth of San Emigdio Canyon at Wind Wolves Preserve, managed by The Wildlands Conservancy.","license_url":"https://creativecommons.org/licenses/by/4.0","reviewed_on":"2026-10-24","capture_date":"2021-11-11 15:10:33","download_url":"https://thumb.wikimedia.org/wikipedia/commons/thumb/2/27/Wind_Wolves_Preserve_Campground_Pond.jpg/1280px-Wind_Wolves_Preserve_Campground_Pond.jpg?utm_source=commons.wikimedia.org&amp;utm_campaign=imageinfo&amp;utm_content=thumbnail","original_url":"https://upload.wikimedia.org/wikipedia/commons/2/27/Wind_Wolves_Preserve_Campground_Pond.jpg?utm_source=commons.wikimedia.org&amp;utm_campaign=imageinfo&amp;utm_content=original","pixel_review":{"method":"İndirilen kare temas sayfasında görüldü; kaynak mekân kimliğiyle eşleştirildi. Seçim kaydı final-pixel-review.json.","status":"verified","caption":"Wind Wolves Preserve · 2021 tarihli fotoğraf","reviewer":"Codex (AI)","review_id":"C260"},"downloaded_at":"2026-10-23T19:09:22.507210+00:00","download_sha256":"f7c82a63e843d657bb77eb73185627c36ababa7ab271e7a89814f06f7671e48f","downloaded_file":"downloads/f7c82a63e843d657bb77eb73185627c36ababa7ab271e7a89814f06f7671e48f.jpg","acquisition_file":"24a44f94579d169133d19f25.webp","commons_filename":"Wind Wolves Preserve Campground Pond.jpg","original_file_url":"https://upload.wikimedia.org/wikipedia/commons/2/27/Wind_Wolves_Preserve_Campground_Pon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2/27/Wind_Wolves_Preserve_Campground_Pond.jpg?utm_source=commons.wikimedia.org&amp;utm_campaign=imageinfo&amp;utm_content=original"},"metadata_reviewed_on":"2026-10-24","metadata_review_status":"verified"}}</x:v>
      </x:c>
    </x:row>
    <x:row r="192" ht="300" customHeight="1">
      <x:c r="A192" s="29" t="str">
        <x:v>bakersfield:evidence:venue-22157</x:v>
      </x:c>
      <x:c r="B192" s="29" t="str">
        <x:v>bakersfield</x:v>
      </x:c>
      <x:c r="C192" s="29" t="str">
        <x:v>bakersfield:photo:venue-22157</x:v>
      </x:c>
      <x:c r="D192" s="29" t="str">
        <x:v>https://commons.wikimedia.org/wiki/File:Wind_Wolves_Preserve_Canyon_Mouth.jpg</x:v>
      </x:c>
      <x:c r="E192" s="29" t="str">
        <x:v>Wind Wolves Preserve Canyon Mouth.jpg</x:v>
      </x:c>
      <x:c r="F192" s="29" t="str">
        <x:v>BookOfDisquiet</x:v>
      </x:c>
      <x:c r="G192" s="29" t="str">
        <x:v>CC BY 4.0</x:v>
      </x:c>
      <x:c r="H192" s="29" t="str">
        <x:v>https://creativecommons.org/licenses/by/4.0</x:v>
      </x:c>
      <x:c r="I192" s="29" t="str">
        <x:v>Creative Commons Attribution 4.0</x:v>
      </x:c>
      <x:c r="J192" s="29" t="str">
        <x:v>Wind Wolves Preserve Canyon Mouth.jpg · BookOfDisquiet · CC BY 4.0 · https://commons.wikimedia.org/wiki/File:Wind_Wolves_Preserve_Canyon_Mouth.jpg</x:v>
      </x:c>
      <x:c r="K19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2" s="31" t="d">
        <x:v>2026-10-24T00:00:00.000Z</x:v>
      </x:c>
      <x:c r="M192" s="29" t="str">
        <x:v>Doğrulandı</x:v>
      </x:c>
      <x:c r="N192" s="29" t="str">
        <x:v>Doğrulandı</x:v>
      </x:c>
      <x:c r="O192" s="29" t="str">
        <x:v>Fotoğraflar/bk-9306ca32f1281aff530716b7.webp</x:v>
      </x:c>
      <x:c r="P192" s="29" t="str">
        <x:v>Wind Wolves Preserve · 2024 tarihli fotoğraf · İndirilen kare temas sayfasında görüldü; kaynak mekân kimliğiyle eşleştirildi. Seçim kaydı final-pixel-review.json.</x:v>
      </x:c>
      <x:c r="Q192" s="29" t="str">
        <x:v>Bu kare için uygun</x:v>
      </x:c>
      <x:c r="R19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2" s="29" t="str">
        <x:v>Lisans kanıtları/bk-9306ca32f1281aff530716b7.source-evidence.json</x:v>
      </x:c>
      <x:c r="T192" s="29" t="str">
        <x:v>137bf4f58fac3191e5ee7b33cd4010b62e724a23f5eeff0dd3e9930cc0a7977e</x:v>
      </x:c>
      <x:c r="U192" s="29" t="str">
        <x:v>Lisans kanıtları/bk-9306ca32f1281aff530716b7.license-record.json</x:v>
      </x:c>
      <x:c r="V192" s="29" t="str">
        <x:v>2b48addd018c75bf82eb825c116e3e989e89813f8e8ccbf214eccc6a838fa8f5</x:v>
      </x:c>
      <x:c r="W192" s="29" t="str">
        <x:v>{"file":"bk-9306ca32f1281aff530716b7.webp","width":1280,"author":"BookOfDisquiet","height":960,"sha256":"9306ca32f1281aff530716b727031cf8ee5fa3ffde879db9a8247c9f89fe7bed","license":"CC BY 4.0","imageinfo":{"url":"https://upload.wikimedia.org/wikipedia/commons/0/0d/Wind_Wolves_Preserve_Canyon_Mouth.jpg?utm_source=commons.wikimedia.org&amp;utm_campaign=imageinfo&amp;utm_content=original","mime":"image/jpeg","sha1":"1fc21929d9cdb67ea5718df1c86dccabdeea16a4","size":1942915,"width":4032,"height":3024,"pageid":181087003,"thumburl":"https://thumb.wikimedia.org/wikipedia/commons/thumb/0/0d/Wind_Wolves_Preserve_Canyon_Mouth.jpg/1280px-Wind_Wolves_Preserve_Canyon_Mouth.jpg?utm_source=commons.wikimedia.org&amp;utm_campaign=imageinfo&amp;utm_content=thumbnail","timestamp":"2026-01-02T02:03:39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02:03:39","hidden":"","source":"mediawiki-metadata"},"Categories":{"value":"Self-published work|Files with coordinates missing SDC location of creation|Wind Wolves Preserve","hidden":"","source":"commons-categories"},"LicenseUrl":{"value":"https://creativecommons.org/licenses/by/4.0","source":"commons-desc-page"},"ObjectName":{"value":"Wind Wolves Preserve Canyon Mouth","source":"mediawiki-metadata"},"UsageTerms":{"value":"Creative Commons Attribution 4.0","source":"commons-desc-page"},"Assessments":{"value":"","hidden":"","source":"commons-categories"},"Copyrighted":{"value":"True","hidden":"","source":"commons-desc-page"},"GPSLatitude":{"value":"34.977750","source":"commons-desc-page"},"GPSMapDatum":{"value":"WGS-84","hidden":"","source":"commons-desc-page"},"GPSLongitude":{"value":"-119.190436","source":"commons-desc-page"},"Restrictions":{"value":"","hidden":"","source":"commons-desc-page"},"DateTimeOriginal":{"value":"2024-04-08 10:18:53","source":"commons-desc-page"},"ImageDescription":{"value":"The mouth of San Emigdio Canyon along the southern edge of California’s Central Valley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0/0d/Wind_Wolves_Preserve_Canyon_Mouth.jpg/1280px-Wind_Wolves_Preserve_Canyon_Mouth.jpg?utm_source=commons.wikimedia.org&amp;utm_campaign=imageinfo&amp;utm_content=thumbnail","width":1280,"height":960,"srcset":"https://thumb.wikimedia.org/wikipedia/commons/thumb/0/0d/Wind_Wolves_Preserve_Canyon_Mouth.jpg/3840px-Wind_Wolves_Preserve_Canyon_Mouth.jpg?utm_source=commons.wikimedia.org&amp;utm_campaign=imageinfo&amp;utm_content=thumbnail 2x","loading":"lazy","decoding":"async"},"descriptionurl":"https://commons.wikimedia.org/wiki/File:Wind_Wolves_Preserve_Canyon_Mouth.jpg","responsiveUrls":{"2":"https://thumb.wikimedia.org/wikipedia/commons/thumb/0/0d/Wind_Wolves_Preserve_Canyon_Mouth.jpg/3840px-Wind_Wolves_Preserve_Canyon_Mouth.jpg?utm_source=commons.wikimedia.org&amp;utm_campaign=imageinfo&amp;utm_content=thumbnail"},"descriptionshorturl":"https://commons.wikimedia.org/w/index.php?curid=181087003"},"selection":{"qid":"pending","kind":"candidate","title":"Wind Wolves Preserve"},"author_url":"","derivative":"Wikimedia thumbnail decoded; EXIF orientation applied; converted to WebP quality 86; no generated pixels, no cropping.","source_url":"https://commons.wikimedia.org/wiki/File:Wind_Wolves_Preserve_Canyon_Mouth.jpg","author_urls":[],"description":"The mouth of San Emigdio Canyon along the southern edge of California’s Central Valley at Wind Wolves Preserve, managed by The Wildlands Conservancy.","license_url":"https://creativecommons.org/licenses/by/4.0","reviewed_on":"2026-10-24","capture_date":"2024-04-08 10:18:53","download_url":"https://thumb.wikimedia.org/wikipedia/commons/thumb/0/0d/Wind_Wolves_Preserve_Canyon_Mouth.jpg/1280px-Wind_Wolves_Preserve_Canyon_Mouth.jpg?utm_source=commons.wikimedia.org&amp;utm_campaign=imageinfo&amp;utm_content=thumbnail","original_url":"https://upload.wikimedia.org/wikipedia/commons/0/0d/Wind_Wolves_Preserve_Canyon_Mouth.jpg?utm_source=commons.wikimedia.org&amp;utm_campaign=imageinfo&amp;utm_content=original","pixel_review":{"method":"İndirilen kare temas sayfasında görüldü; kaynak mekân kimliğiyle eşleştirildi. Seçim kaydı final-pixel-review.json.","status":"verified","caption":"Wind Wolves Preserve · 2024 tarihli fotoğraf","reviewer":"Codex (AI)","review_id":"C262"},"downloaded_at":"2026-10-23T19:09:23.406869+00:00","download_sha256":"f5d63c78ec952f08c2d55919c3eada165e4999ad13f91ca78de70b62e175ded8","downloaded_file":"downloads/f5d63c78ec952f08c2d55919c3eada165e4999ad13f91ca78de70b62e175ded8.jpg","acquisition_file":"b8f2de242a40ff3aa71d0ad8.webp","commons_filename":"Wind Wolves Preserve Canyon Mouth.jpg","original_file_url":"https://upload.wikimedia.org/wikipedia/commons/0/0d/Wind_Wolves_Preserve_Canyon_Mouth.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0/0d/Wind_Wolves_Preserve_Canyon_Mouth.jpg?utm_source=commons.wikimedia.org&amp;utm_campaign=imageinfo&amp;utm_content=original"},"metadata_reviewed_on":"2026-10-24","metadata_review_status":"verified"}}</x:v>
      </x:c>
    </x:row>
    <x:row r="193" ht="300" customHeight="1">
      <x:c r="A193" s="29" t="str">
        <x:v>bakersfield:evidence:venue-22158</x:v>
      </x:c>
      <x:c r="B193" s="29" t="str">
        <x:v>bakersfield</x:v>
      </x:c>
      <x:c r="C193" s="29" t="str">
        <x:v>bakersfield:photo:venue-22158</x:v>
      </x:c>
      <x:c r="D193" s="29" t="str">
        <x:v>https://commons.wikimedia.org/wiki/File:Wind_Wolves_Preserve_Rancho_San_Emidio_Historic_Marker.jpg</x:v>
      </x:c>
      <x:c r="E193" s="29" t="str">
        <x:v>Wind Wolves Preserve Rancho San Emidio Historic Marker.jpg</x:v>
      </x:c>
      <x:c r="F193" s="29" t="str">
        <x:v>BookOfDisquiet</x:v>
      </x:c>
      <x:c r="G193" s="29" t="str">
        <x:v>CC BY 4.0</x:v>
      </x:c>
      <x:c r="H193" s="29" t="str">
        <x:v>https://creativecommons.org/licenses/by/4.0</x:v>
      </x:c>
      <x:c r="I193" s="29" t="str">
        <x:v>Creative Commons Attribution 4.0</x:v>
      </x:c>
      <x:c r="J193" s="29" t="str">
        <x:v>Wind Wolves Preserve Rancho San Emidio Historic Marker.jpg · BookOfDisquiet · CC BY 4.0 · https://commons.wikimedia.org/wiki/File:Wind_Wolves_Preserve_Rancho_San_Emidio_Historic_Marker.jpg</x:v>
      </x:c>
      <x:c r="K19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3" s="31" t="d">
        <x:v>2026-10-24T00:00:00.000Z</x:v>
      </x:c>
      <x:c r="M193" s="29" t="str">
        <x:v>Doğrulandı</x:v>
      </x:c>
      <x:c r="N193" s="29" t="str">
        <x:v>Doğrulandı</x:v>
      </x:c>
      <x:c r="O193" s="29" t="str">
        <x:v>Fotoğraflar/bk-d7f90cbf2af0231cd85bb68f.webp</x:v>
      </x:c>
      <x:c r="P193" s="29" t="str">
        <x:v>Wind Wolves Preserve · 2022 tarihli fotoğraf · İndirilen kare temas sayfasında görüldü; kaynak mekân kimliğiyle eşleştirildi. Seçim kaydı final-pixel-review.json.</x:v>
      </x:c>
      <x:c r="Q193" s="29" t="str">
        <x:v>Bu kare için uygun</x:v>
      </x:c>
      <x:c r="R19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3" s="29" t="str">
        <x:v>Lisans kanıtları/bk-d7f90cbf2af0231cd85bb68f.source-evidence.json</x:v>
      </x:c>
      <x:c r="T193" s="29" t="str">
        <x:v>947a65717cbf2b5e9b8244b7c7ef0b900555cfbcf69d47aa94be46da35ceab9a</x:v>
      </x:c>
      <x:c r="U193" s="29" t="str">
        <x:v>Lisans kanıtları/bk-d7f90cbf2af0231cd85bb68f.license-record.json</x:v>
      </x:c>
      <x:c r="V193" s="29" t="str">
        <x:v>88cad96011c045ba2ea39896acd4fa2e3f63a1d6f25eef56d6cd89913e1f21cc</x:v>
      </x:c>
      <x:c r="W193" s="29" t="str">
        <x:v>{"file":"bk-d7f90cbf2af0231cd85bb68f.webp","width":1280,"author":"BookOfDisquiet","height":960,"sha256":"d7f90cbf2af0231cd85bb68f3132011538932c18e1e13255c064ca20351d54af","license":"CC BY 4.0","imageinfo":{"url":"https://upload.wikimedia.org/wikipedia/commons/6/63/Wind_Wolves_Preserve_Rancho_San_Emidio_Historic_Marker.jpg?utm_source=commons.wikimedia.org&amp;utm_campaign=imageinfo&amp;utm_content=original","mime":"image/jpeg","sha1":"d7cf046da9857329c9a91330cfcf2a8ade83f6f6","size":3768873,"width":4032,"height":3024,"pageid":181088000,"thumburl":"https://thumb.wikimedia.org/wikipedia/commons/thumb/6/63/Wind_Wolves_Preserve_Rancho_San_Emidio_Historic_Marker.jpg/1280px-Wind_Wolves_Preserve_Rancho_San_Emidio_Historic_Marker.jpg?utm_source=commons.wikimedia.org&amp;utm_campaign=imageinfo&amp;utm_content=thumbnail","timestamp":"2026-01-02T02:43:41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02:43:41","hidden":"","source":"mediawiki-metadata"},"Categories":{"value":"Self-published work|Files with coordinates missing SDC location of creation|Wind Wolves Preserve","hidden":"","source":"commons-categories"},"LicenseUrl":{"value":"https://creativecommons.org/licenses/by/4.0","source":"commons-desc-page"},"ObjectName":{"value":"Wind Wolves Preserve Rancho San Emidio Historic Marker","source":"mediawiki-metadata"},"UsageTerms":{"value":"Creative Commons Attribution 4.0","source":"commons-desc-page"},"Assessments":{"value":"","hidden":"","source":"commons-categories"},"Copyrighted":{"value":"True","hidden":"","source":"commons-desc-page"},"GPSLatitude":{"value":"34.977344","source":"commons-desc-page"},"GPSMapDatum":{"value":"WGS-84","hidden":"","source":"commons-desc-page"},"GPSLongitude":{"value":"-119.184783","source":"commons-desc-page"},"Restrictions":{"value":"","hidden":"","source":"commons-desc-page"},"DateTimeOriginal":{"value":"2022-05-06 09:28:46","source":"commons-desc-page"},"ImageDescription":{"value":"A historic marker referencing Rancho San Emidio located within San Emigdio Canyon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6/63/Wind_Wolves_Preserve_Rancho_San_Emidio_Historic_Marker.jpg/1280px-Wind_Wolves_Preserve_Rancho_San_Emidio_Historic_Marker.jpg?utm_source=commons.wikimedia.org&amp;utm_campaign=imageinfo&amp;utm_content=thumbnail","width":1280,"height":960,"srcset":"https://thumb.wikimedia.org/wikipedia/commons/thumb/6/63/Wind_Wolves_Preserve_Rancho_San_Emidio_Historic_Marker.jpg/3840px-Wind_Wolves_Preserve_Rancho_San_Emidio_Historic_Marker.jpg?utm_source=commons.wikimedia.org&amp;utm_campaign=imageinfo&amp;utm_content=thumbnail 2x","loading":"lazy","decoding":"async"},"descriptionurl":"https://commons.wikimedia.org/wiki/File:Wind_Wolves_Preserve_Rancho_San_Emidio_Historic_Marker.jpg","responsiveUrls":{"2":"https://thumb.wikimedia.org/wikipedia/commons/thumb/6/63/Wind_Wolves_Preserve_Rancho_San_Emidio_Historic_Marker.jpg/3840px-Wind_Wolves_Preserve_Rancho_San_Emidio_Historic_Marker.jpg?utm_source=commons.wikimedia.org&amp;utm_campaign=imageinfo&amp;utm_content=thumbnail"},"descriptionshorturl":"https://commons.wikimedia.org/w/index.php?curid=181088000"},"selection":{"qid":"pending","kind":"candidate","title":"Wind Wolves Preserve"},"author_url":"","derivative":"Wikimedia thumbnail decoded; EXIF orientation applied; converted to WebP quality 86; no generated pixels, no cropping.","source_url":"https://commons.wikimedia.org/wiki/File:Wind_Wolves_Preserve_Rancho_San_Emidio_Historic_Marker.jpg","author_urls":[],"description":"A historic marker referencing Rancho San Emidio located within San Emigdio Canyon at Wind Wolves Preserve, managed by The Wildlands Conservancy.","license_url":"https://creativecommons.org/licenses/by/4.0","reviewed_on":"2026-10-24","capture_date":"2022-05-06 09:28:46","download_url":"https://thumb.wikimedia.org/wikipedia/commons/thumb/6/63/Wind_Wolves_Preserve_Rancho_San_Emidio_Historic_Marker.jpg/1280px-Wind_Wolves_Preserve_Rancho_San_Emidio_Historic_Marker.jpg?utm_source=commons.wikimedia.org&amp;utm_campaign=imageinfo&amp;utm_content=thumbnail","original_url":"https://upload.wikimedia.org/wikipedia/commons/6/63/Wind_Wolves_Preserve_Rancho_San_Emidio_Historic_Marker.jpg?utm_source=commons.wikimedia.org&amp;utm_campaign=imageinfo&amp;utm_content=original","pixel_review":{"method":"İndirilen kare temas sayfasında görüldü; kaynak mekân kimliğiyle eşleştirildi. Seçim kaydı final-pixel-review.json.","status":"verified","caption":"Wind Wolves Preserve · 2022 tarihli fotoğraf","reviewer":"Codex (AI)","review_id":"C263"},"downloaded_at":"2026-10-23T19:09:24.420609+00:00","download_sha256":"8f4bc3ba29cafc3bd784e31c75255789fa4324717b7319ba43dcc417f7d9d46f","downloaded_file":"downloads/8f4bc3ba29cafc3bd784e31c75255789fa4324717b7319ba43dcc417f7d9d46f.jpg","acquisition_file":"f65ed9a58b7e1a17855dd7b8.webp","commons_filename":"Wind Wolves Preserve Rancho San Emidio Historic Marker.jpg","original_file_url":"https://upload.wikimedia.org/wikipedia/commons/6/63/Wind_Wolves_Preserve_Rancho_San_Emidio_Historic_Marker.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6/63/Wind_Wolves_Preserve_Rancho_San_Emidio_Historic_Marker.jpg?utm_source=commons.wikimedia.org&amp;utm_campaign=imageinfo&amp;utm_content=original"},"metadata_reviewed_on":"2026-10-24","metadata_review_status":"verified"}}</x:v>
      </x:c>
    </x:row>
    <x:row r="194" ht="300" customHeight="1">
      <x:c r="A194" s="29" t="str">
        <x:v>bakersfield:evidence:venue-22159</x:v>
      </x:c>
      <x:c r="B194" s="29" t="str">
        <x:v>bakersfield</x:v>
      </x:c>
      <x:c r="C194" s="29" t="str">
        <x:v>bakersfield:photo:venue-22159</x:v>
      </x:c>
      <x:c r="D194" s="29" t="str">
        <x:v>https://commons.wikimedia.org/wiki/File:Wind_Wolves_Preserve_Riparian_Fall.jpg</x:v>
      </x:c>
      <x:c r="E194" s="29" t="str">
        <x:v>Wind Wolves Preserve Riparian Fall.jpg</x:v>
      </x:c>
      <x:c r="F194" s="29" t="str">
        <x:v>BookOfDisquiet</x:v>
      </x:c>
      <x:c r="G194" s="29" t="str">
        <x:v>CC BY 4.0</x:v>
      </x:c>
      <x:c r="H194" s="29" t="str">
        <x:v>https://creativecommons.org/licenses/by/4.0</x:v>
      </x:c>
      <x:c r="I194" s="29" t="str">
        <x:v>Creative Commons Attribution 4.0</x:v>
      </x:c>
      <x:c r="J194" s="29" t="str">
        <x:v>Wind Wolves Preserve Riparian Fall.jpg · BookOfDisquiet · CC BY 4.0 · https://commons.wikimedia.org/wiki/File:Wind_Wolves_Preserve_Riparian_Fall.jpg</x:v>
      </x:c>
      <x:c r="K19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4" s="31" t="d">
        <x:v>2026-10-24T00:00:00.000Z</x:v>
      </x:c>
      <x:c r="M194" s="29" t="str">
        <x:v>Doğrulandı</x:v>
      </x:c>
      <x:c r="N194" s="29" t="str">
        <x:v>Doğrulandı</x:v>
      </x:c>
      <x:c r="O194" s="29" t="str">
        <x:v>Fotoğraflar/bk-5b0d61853316ce02a6bad97e.webp</x:v>
      </x:c>
      <x:c r="P194" s="29" t="str">
        <x:v>Wind Wolves Preserve · 2022 tarihli fotoğraf · İndirilen kare temas sayfasında görüldü; kaynak mekân kimliğiyle eşleştirildi. Seçim kaydı final-pixel-review.json.</x:v>
      </x:c>
      <x:c r="Q194" s="29" t="str">
        <x:v>Bu kare için uygun</x:v>
      </x:c>
      <x:c r="R19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4" s="29" t="str">
        <x:v>Lisans kanıtları/bk-5b0d61853316ce02a6bad97e.source-evidence.json</x:v>
      </x:c>
      <x:c r="T194" s="29" t="str">
        <x:v>5f20cfe2db8f57ea9f0c088f3f548b7076f26f100b09418be4b327cf6e3183a2</x:v>
      </x:c>
      <x:c r="U194" s="29" t="str">
        <x:v>Lisans kanıtları/bk-5b0d61853316ce02a6bad97e.license-record.json</x:v>
      </x:c>
      <x:c r="V194" s="29" t="str">
        <x:v>0de9e4bc894bf101934d31c785adb7c288fb50f3b5a2bf84de9752b6f27f8565</x:v>
      </x:c>
      <x:c r="W194" s="29" t="str">
        <x:v>{"file":"bk-5b0d61853316ce02a6bad97e.webp","width":1280,"author":"BookOfDisquiet","height":960,"sha256":"5b0d61853316ce02a6bad97ebf38866980eaf32e3318c02580b489bb251522b1","license":"CC BY 4.0","imageinfo":{"url":"https://upload.wikimedia.org/wikipedia/commons/1/1c/Wind_Wolves_Preserve_Riparian_Fall.jpg?utm_source=commons.wikimedia.org&amp;utm_campaign=imageinfo&amp;utm_content=original","mime":"image/jpeg","sha1":"24436f9f22e2d7023bc012527b9bc13efbffa7fd","size":3076823,"width":4032,"height":3024,"pageid":181088024,"thumburl":"https://thumb.wikimedia.org/wikipedia/commons/thumb/1/1c/Wind_Wolves_Preserve_Riparian_Fall.jpg/1280px-Wind_Wolves_Preserve_Riparian_Fall.jpg?utm_source=commons.wikimedia.org&amp;utm_campaign=imageinfo&amp;utm_content=thumbnail","timestamp":"2026-01-02T02:45:07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02:45:07","hidden":"","source":"mediawiki-metadata"},"Categories":{"value":"Self-published work|Files with coordinates missing SDC location of creation|Wind Wolves Preserve","hidden":"","source":"commons-categories"},"LicenseUrl":{"value":"https://creativecommons.org/licenses/by/4.0","source":"commons-desc-page"},"ObjectName":{"value":"Wind Wolves Preserve Riparian Fall","source":"mediawiki-metadata"},"UsageTerms":{"value":"Creative Commons Attribution 4.0","source":"commons-desc-page"},"Assessments":{"value":"","hidden":"","source":"commons-categories"},"Copyrighted":{"value":"True","hidden":"","source":"commons-desc-page"},"GPSLatitude":{"value":"34.975931","source":"commons-desc-page"},"GPSMapDatum":{"value":"WGS-84","hidden":"","source":"commons-desc-page"},"GPSLongitude":{"value":"-119.182092","source":"commons-desc-page"},"Restrictions":{"value":"","hidden":"","source":"commons-desc-page"},"DateTimeOriginal":{"value":"2022-11-21 15:20:42","source":"commons-desc-page"},"ImageDescription":{"value":"A riparian corridor with fall foliage along San Emigdio Creek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1/1c/Wind_Wolves_Preserve_Riparian_Fall.jpg/1280px-Wind_Wolves_Preserve_Riparian_Fall.jpg?utm_source=commons.wikimedia.org&amp;utm_campaign=imageinfo&amp;utm_content=thumbnail","width":1280,"height":960,"srcset":"https://thumb.wikimedia.org/wikipedia/commons/thumb/1/1c/Wind_Wolves_Preserve_Riparian_Fall.jpg/3840px-Wind_Wolves_Preserve_Riparian_Fall.jpg?utm_source=commons.wikimedia.org&amp;utm_campaign=imageinfo&amp;utm_content=thumbnail 2x","loading":"lazy","decoding":"async"},"descriptionurl":"https://commons.wikimedia.org/wiki/File:Wind_Wolves_Preserve_Riparian_Fall.jpg","responsiveUrls":{"2":"https://thumb.wikimedia.org/wikipedia/commons/thumb/1/1c/Wind_Wolves_Preserve_Riparian_Fall.jpg/3840px-Wind_Wolves_Preserve_Riparian_Fall.jpg?utm_source=commons.wikimedia.org&amp;utm_campaign=imageinfo&amp;utm_content=thumbnail"},"descriptionshorturl":"https://commons.wikimedia.org/w/index.php?curid=181088024"},"selection":{"qid":"pending","kind":"candidate","title":"Wind Wolves Preserve"},"author_url":"","derivative":"Wikimedia thumbnail decoded; EXIF orientation applied; converted to WebP quality 86; no generated pixels, no cropping.","source_url":"https://commons.wikimedia.org/wiki/File:Wind_Wolves_Preserve_Riparian_Fall.jpg","author_urls":[],"description":"A riparian corridor with fall foliage along San Emigdio Creek at Wind Wolves Preserve, managed by The Wildlands Conservancy.","license_url":"https://creativecommons.org/licenses/by/4.0","reviewed_on":"2026-10-24","capture_date":"2022-11-21 15:20:42","download_url":"https://thumb.wikimedia.org/wikipedia/commons/thumb/1/1c/Wind_Wolves_Preserve_Riparian_Fall.jpg/1280px-Wind_Wolves_Preserve_Riparian_Fall.jpg?utm_source=commons.wikimedia.org&amp;utm_campaign=imageinfo&amp;utm_content=thumbnail","original_url":"https://upload.wikimedia.org/wikipedia/commons/1/1c/Wind_Wolves_Preserve_Riparian_Fall.jpg?utm_source=commons.wikimedia.org&amp;utm_campaign=imageinfo&amp;utm_content=original","pixel_review":{"method":"İndirilen kare temas sayfasında görüldü; kaynak mekân kimliğiyle eşleştirildi. Seçim kaydı final-pixel-review.json.","status":"verified","caption":"Wind Wolves Preserve · 2022 tarihli fotoğraf","reviewer":"Codex (AI)","review_id":"C264"},"downloaded_at":"2026-10-23T19:09:26.146090+00:00","download_sha256":"5ac80da2b264f25adeb88203c1098158fcb032ed6620e4b9812a578a170032c7","downloaded_file":"downloads/5ac80da2b264f25adeb88203c1098158fcb032ed6620e4b9812a578a170032c7.jpg","acquisition_file":"ef307b78a77f74540e271ae2.webp","commons_filename":"Wind Wolves Preserve Riparian Fall.jpg","original_file_url":"https://upload.wikimedia.org/wikipedia/commons/1/1c/Wind_Wolves_Preserve_Riparian_Fall.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1/1c/Wind_Wolves_Preserve_Riparian_Fall.jpg?utm_source=commons.wikimedia.org&amp;utm_campaign=imageinfo&amp;utm_content=original"},"metadata_reviewed_on":"2026-10-24","metadata_review_status":"verified"}}</x:v>
      </x:c>
    </x:row>
    <x:row r="195" ht="300" customHeight="1">
      <x:c r="A195" s="29" t="str">
        <x:v>bakersfield:evidence:venue-22160</x:v>
      </x:c>
      <x:c r="B195" s="29" t="str">
        <x:v>bakersfield</x:v>
      </x:c>
      <x:c r="C195" s="29" t="str">
        <x:v>bakersfield:photo:venue-22160</x:v>
      </x:c>
      <x:c r="D195" s="29" t="str">
        <x:v>https://commons.wikimedia.org/wiki/File:Wind_Wolves_Preserve_Riparian_Restoration_Plantings.jpg</x:v>
      </x:c>
      <x:c r="E195" s="29" t="str">
        <x:v>Wind Wolves Preserve Riparian Restoration Plantings.jpg</x:v>
      </x:c>
      <x:c r="F195" s="29" t="str">
        <x:v>BookOfDisquiet</x:v>
      </x:c>
      <x:c r="G195" s="29" t="str">
        <x:v>CC BY 4.0</x:v>
      </x:c>
      <x:c r="H195" s="29" t="str">
        <x:v>https://creativecommons.org/licenses/by/4.0</x:v>
      </x:c>
      <x:c r="I195" s="29" t="str">
        <x:v>Creative Commons Attribution 4.0</x:v>
      </x:c>
      <x:c r="J195" s="29" t="str">
        <x:v>Wind Wolves Preserve Riparian Restoration Plantings.jpg · BookOfDisquiet · CC BY 4.0 · https://commons.wikimedia.org/wiki/File:Wind_Wolves_Preserve_Riparian_Restoration_Plantings.jpg</x:v>
      </x:c>
      <x:c r="K19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5" s="31" t="d">
        <x:v>2026-10-24T00:00:00.000Z</x:v>
      </x:c>
      <x:c r="M195" s="29" t="str">
        <x:v>Doğrulandı</x:v>
      </x:c>
      <x:c r="N195" s="29" t="str">
        <x:v>Doğrulandı</x:v>
      </x:c>
      <x:c r="O195" s="29" t="str">
        <x:v>Fotoğraflar/bk-1b9ecb1a46372c349c9f4823.webp</x:v>
      </x:c>
      <x:c r="P195" s="29" t="str">
        <x:v>Wind Wolves Preserve · 2024 tarihli fotoğraf · İndirilen kare temas sayfasında görüldü; kaynak mekân kimliğiyle eşleştirildi. Seçim kaydı final-pixel-review.json.</x:v>
      </x:c>
      <x:c r="Q195" s="29" t="str">
        <x:v>Bu kare için uygun</x:v>
      </x:c>
      <x:c r="R19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5" s="29" t="str">
        <x:v>Lisans kanıtları/bk-1b9ecb1a46372c349c9f4823.source-evidence.json</x:v>
      </x:c>
      <x:c r="T195" s="29" t="str">
        <x:v>588b99dcfea1cd275dfd5e313388264edeb464dea42448e6ca5b8792d5fde544</x:v>
      </x:c>
      <x:c r="U195" s="29" t="str">
        <x:v>Lisans kanıtları/bk-1b9ecb1a46372c349c9f4823.license-record.json</x:v>
      </x:c>
      <x:c r="V195" s="29" t="str">
        <x:v>7d7624a46dcd1491cfda6692f1a46015af8081bb35d795937d7fcdfc6623bdbe</x:v>
      </x:c>
      <x:c r="W195" s="29" t="str">
        <x:v>{"file":"bk-1b9ecb1a46372c349c9f4823.webp","width":1280,"author":"BookOfDisquiet","height":960,"sha256":"1b9ecb1a46372c349c9f4823cfc3e2a9aea7ba42ffabfc04fb616b92256d2a07","license":"CC BY 4.0","imageinfo":{"url":"https://upload.wikimedia.org/wikipedia/commons/a/a3/Wind_Wolves_Preserve_Riparian_Restoration_Plantings.jpg?utm_source=commons.wikimedia.org&amp;utm_campaign=imageinfo&amp;utm_content=original","mime":"image/jpeg","sha1":"887c63f4091d3962895319160d65acea341c9e42","size":4173140,"width":4032,"height":3024,"pageid":181088086,"thumburl":"https://thumb.wikimedia.org/wikipedia/commons/thumb/a/a3/Wind_Wolves_Preserve_Riparian_Restoration_Plantings.jpg/1280px-Wind_Wolves_Preserve_Riparian_Restoration_Plantings.jpg?utm_source=commons.wikimedia.org&amp;utm_campaign=imageinfo&amp;utm_content=thumbnail","timestamp":"2026-01-02T02:47:28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02:47:28","hidden":"","source":"mediawiki-metadata"},"Categories":{"value":"Self-published work|Files with coordinates missing SDC location of creation|Wind Wolves Preserve","hidden":"","source":"commons-categories"},"LicenseUrl":{"value":"https://creativecommons.org/licenses/by/4.0","source":"commons-desc-page"},"ObjectName":{"value":"Wind Wolves Preserve Riparian Restoration Plantings","source":"mediawiki-metadata"},"UsageTerms":{"value":"Creative Commons Attribution 4.0","source":"commons-desc-page"},"Assessments":{"value":"","hidden":"","source":"commons-categories"},"Copyrighted":{"value":"True","hidden":"","source":"commons-desc-page"},"GPSLatitude":{"value":"34.980086","source":"commons-desc-page"},"GPSMapDatum":{"value":"WGS-84","hidden":"","source":"commons-desc-page"},"GPSLongitude":{"value":"-119.184503","source":"commons-desc-page"},"Restrictions":{"value":"","hidden":"","source":"commons-desc-page"},"DateTimeOriginal":{"value":"2024-04-10 09:55:15","source":"commons-desc-page"},"ImageDescription":{"value":"Riparian restoration plantings along San Emigdio Creek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a/a3/Wind_Wolves_Preserve_Riparian_Restoration_Plantings.jpg/1280px-Wind_Wolves_Preserve_Riparian_Restoration_Plantings.jpg?utm_source=commons.wikimedia.org&amp;utm_campaign=imageinfo&amp;utm_content=thumbnail","width":1280,"height":960,"srcset":"https://thumb.wikimedia.org/wikipedia/commons/thumb/a/a3/Wind_Wolves_Preserve_Riparian_Restoration_Plantings.jpg/3840px-Wind_Wolves_Preserve_Riparian_Restoration_Plantings.jpg?utm_source=commons.wikimedia.org&amp;utm_campaign=imageinfo&amp;utm_content=thumbnail 2x","loading":"lazy","decoding":"async"},"descriptionurl":"https://commons.wikimedia.org/wiki/File:Wind_Wolves_Preserve_Riparian_Restoration_Plantings.jpg","responsiveUrls":{"2":"https://thumb.wikimedia.org/wikipedia/commons/thumb/a/a3/Wind_Wolves_Preserve_Riparian_Restoration_Plantings.jpg/3840px-Wind_Wolves_Preserve_Riparian_Restoration_Plantings.jpg?utm_source=commons.wikimedia.org&amp;utm_campaign=imageinfo&amp;utm_content=thumbnail"},"descriptionshorturl":"https://commons.wikimedia.org/w/index.php?curid=181088086"},"selection":{"qid":"pending","kind":"candidate","title":"Wind Wolves Preserve"},"author_url":"","derivative":"Wikimedia thumbnail decoded; EXIF orientation applied; converted to WebP quality 86; no generated pixels, no cropping.","source_url":"https://commons.wikimedia.org/wiki/File:Wind_Wolves_Preserve_Riparian_Restoration_Plantings.jpg","author_urls":[],"description":"Riparian restoration plantings along San Emigdio Creek at Wind Wolves Preserve, managed by The Wildlands Conservancy.","license_url":"https://creativecommons.org/licenses/by/4.0","reviewed_on":"2026-10-24","capture_date":"2024-04-10 09:55:15","download_url":"https://thumb.wikimedia.org/wikipedia/commons/thumb/a/a3/Wind_Wolves_Preserve_Riparian_Restoration_Plantings.jpg/1280px-Wind_Wolves_Preserve_Riparian_Restoration_Plantings.jpg?utm_source=commons.wikimedia.org&amp;utm_campaign=imageinfo&amp;utm_content=thumbnail","original_url":"https://upload.wikimedia.org/wikipedia/commons/a/a3/Wind_Wolves_Preserve_Riparian_Restoration_Plantings.jpg?utm_source=commons.wikimedia.org&amp;utm_campaign=imageinfo&amp;utm_content=original","pixel_review":{"method":"İndirilen kare temas sayfasında görüldü; kaynak mekân kimliğiyle eşleştirildi. Seçim kaydı final-pixel-review.json.","status":"verified","caption":"Wind Wolves Preserve · 2024 tarihli fotoğraf","reviewer":"Codex (AI)","review_id":"C265"},"downloaded_at":"2026-10-23T19:09:26.902168+00:00","download_sha256":"4f6c2c2630fb8affe72ccdeb216571b5fccc941741dc6681a8d5d9f6f3cf9eeb","downloaded_file":"downloads/4f6c2c2630fb8affe72ccdeb216571b5fccc941741dc6681a8d5d9f6f3cf9eeb.jpg","acquisition_file":"cadb5e4a095c38f5582ae9f3.webp","commons_filename":"Wind Wolves Preserve Riparian Restoration Plantings.jpg","original_file_url":"https://upload.wikimedia.org/wikipedia/commons/a/a3/Wind_Wolves_Preserve_Riparian_Restoration_Planting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a/a3/Wind_Wolves_Preserve_Riparian_Restoration_Plantings.jpg?utm_source=commons.wikimedia.org&amp;utm_campaign=imageinfo&amp;utm_content=original"},"metadata_reviewed_on":"2026-10-24","metadata_review_status":"verified"}}</x:v>
      </x:c>
    </x:row>
    <x:row r="196" ht="300" customHeight="1">
      <x:c r="A196" s="29" t="str">
        <x:v>bakersfield:evidence:venue-22161</x:v>
      </x:c>
      <x:c r="B196" s="29" t="str">
        <x:v>bakersfield</x:v>
      </x:c>
      <x:c r="C196" s="29" t="str">
        <x:v>bakersfield:photo:venue-22161</x:v>
      </x:c>
      <x:c r="D196" s="29" t="str">
        <x:v>https://commons.wikimedia.org/wiki/File:Wind_Wolves_Preserve_Riparian_Spring.jpg</x:v>
      </x:c>
      <x:c r="E196" s="29" t="str">
        <x:v>Wind Wolves Preserve Riparian Spring.jpg</x:v>
      </x:c>
      <x:c r="F196" s="29" t="str">
        <x:v>BookOfDisquiet</x:v>
      </x:c>
      <x:c r="G196" s="29" t="str">
        <x:v>CC BY 4.0</x:v>
      </x:c>
      <x:c r="H196" s="29" t="str">
        <x:v>https://creativecommons.org/licenses/by/4.0</x:v>
      </x:c>
      <x:c r="I196" s="29" t="str">
        <x:v>Creative Commons Attribution 4.0</x:v>
      </x:c>
      <x:c r="J196" s="29" t="str">
        <x:v>Wind Wolves Preserve Riparian Spring.jpg · BookOfDisquiet · CC BY 4.0 · https://commons.wikimedia.org/wiki/File:Wind_Wolves_Preserve_Riparian_Spring.jpg</x:v>
      </x:c>
      <x:c r="K19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6" s="31" t="d">
        <x:v>2026-10-24T00:00:00.000Z</x:v>
      </x:c>
      <x:c r="M196" s="29" t="str">
        <x:v>Doğrulandı</x:v>
      </x:c>
      <x:c r="N196" s="29" t="str">
        <x:v>Doğrulandı</x:v>
      </x:c>
      <x:c r="O196" s="29" t="str">
        <x:v>Fotoğraflar/bk-d223a950a7e95b4621894013.webp</x:v>
      </x:c>
      <x:c r="P196" s="29" t="str">
        <x:v>Wind Wolves Preserve · 2022 tarihli fotoğraf · İndirilen kare temas sayfasında görüldü; kaynak mekân kimliğiyle eşleştirildi. Seçim kaydı final-pixel-review.json.</x:v>
      </x:c>
      <x:c r="Q196" s="29" t="str">
        <x:v>Bu kare için uygun</x:v>
      </x:c>
      <x:c r="R19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6" s="29" t="str">
        <x:v>Lisans kanıtları/bk-d223a950a7e95b4621894013.source-evidence.json</x:v>
      </x:c>
      <x:c r="T196" s="29" t="str">
        <x:v>e73700801ded2f73fb10186785d395c1cfffb4ef0702cc8ab5781ef66576bbd7</x:v>
      </x:c>
      <x:c r="U196" s="29" t="str">
        <x:v>Lisans kanıtları/bk-d223a950a7e95b4621894013.license-record.json</x:v>
      </x:c>
      <x:c r="V196" s="29" t="str">
        <x:v>b8e2ef7d485db5f270c63bd317b1f1b7377365cdf129d8049a8cc9a97eaddb3a</x:v>
      </x:c>
      <x:c r="W196" s="29" t="str">
        <x:v>{"file":"bk-d223a950a7e95b4621894013.webp","width":1280,"author":"BookOfDisquiet","height":960,"sha256":"d223a950a7e95b4621894013cc89a0cff0d4ce7bd0eb6ea6c89b0d9a936dc471","license":"CC BY 4.0","imageinfo":{"url":"https://upload.wikimedia.org/wikipedia/commons/f/fc/Wind_Wolves_Preserve_Riparian_Spring.jpg?utm_source=commons.wikimedia.org&amp;utm_campaign=imageinfo&amp;utm_content=original","mime":"image/jpeg","sha1":"2c8365c61490d7ad8bae7b846b5fd9655181c38a","size":3273448,"width":4032,"height":3024,"pageid":181088168,"thumburl":"https://thumb.wikimedia.org/wikipedia/commons/thumb/f/fc/Wind_Wolves_Preserve_Riparian_Spring.jpg/1280px-Wind_Wolves_Preserve_Riparian_Spring.jpg?utm_source=commons.wikimedia.org&amp;utm_campaign=imageinfo&amp;utm_content=thumbnail","timestamp":"2026-01-02T02:49:59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02:49:59","hidden":"","source":"mediawiki-metadata"},"Categories":{"value":"Self-published work|Files with coordinates missing SDC location of creation|Wind Wolves Preserve","hidden":"","source":"commons-categories"},"LicenseUrl":{"value":"https://creativecommons.org/licenses/by/4.0","source":"commons-desc-page"},"ObjectName":{"value":"Wind Wolves Preserve Riparian Spring","source":"mediawiki-metadata"},"UsageTerms":{"value":"Creative Commons Attribution 4.0","source":"commons-desc-page"},"Assessments":{"value":"","hidden":"","source":"commons-categories"},"Copyrighted":{"value":"True","hidden":"","source":"commons-desc-page"},"GPSLatitude":{"value":"34.975978","source":"commons-desc-page"},"GPSMapDatum":{"value":"WGS-84","hidden":"","source":"commons-desc-page"},"GPSLongitude":{"value":"-119.182075","source":"commons-desc-page"},"Restrictions":{"value":"","hidden":"","source":"commons-desc-page"},"DateTimeOriginal":{"value":"2022-05-07 14:38:38","source":"commons-desc-page"},"ImageDescription":{"value":"A riparian corridor during spring along San Emigdio Creek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f/fc/Wind_Wolves_Preserve_Riparian_Spring.jpg/1280px-Wind_Wolves_Preserve_Riparian_Spring.jpg?utm_source=commons.wikimedia.org&amp;utm_campaign=imageinfo&amp;utm_content=thumbnail","width":1280,"height":960,"srcset":"https://thumb.wikimedia.org/wikipedia/commons/thumb/f/fc/Wind_Wolves_Preserve_Riparian_Spring.jpg/3840px-Wind_Wolves_Preserve_Riparian_Spring.jpg?utm_source=commons.wikimedia.org&amp;utm_campaign=imageinfo&amp;utm_content=thumbnail 2x","loading":"lazy","decoding":"async"},"descriptionurl":"https://commons.wikimedia.org/wiki/File:Wind_Wolves_Preserve_Riparian_Spring.jpg","responsiveUrls":{"2":"https://thumb.wikimedia.org/wikipedia/commons/thumb/f/fc/Wind_Wolves_Preserve_Riparian_Spring.jpg/3840px-Wind_Wolves_Preserve_Riparian_Spring.jpg?utm_source=commons.wikimedia.org&amp;utm_campaign=imageinfo&amp;utm_content=thumbnail"},"descriptionshorturl":"https://commons.wikimedia.org/w/index.php?curid=181088168"},"selection":{"qid":"pending","kind":"candidate","title":"Wind Wolves Preserve"},"author_url":"","derivative":"Wikimedia thumbnail decoded; EXIF orientation applied; converted to WebP quality 86; no generated pixels, no cropping.","source_url":"https://commons.wikimedia.org/wiki/File:Wind_Wolves_Preserve_Riparian_Spring.jpg","author_urls":[],"description":"A riparian corridor during spring along San Emigdio Creek at Wind Wolves Preserve, managed by The Wildlands Conservancy.","license_url":"https://creativecommons.org/licenses/by/4.0","reviewed_on":"2026-10-24","capture_date":"2022-05-07 14:38:38","download_url":"https://thumb.wikimedia.org/wikipedia/commons/thumb/f/fc/Wind_Wolves_Preserve_Riparian_Spring.jpg/1280px-Wind_Wolves_Preserve_Riparian_Spring.jpg?utm_source=commons.wikimedia.org&amp;utm_campaign=imageinfo&amp;utm_content=thumbnail","original_url":"https://upload.wikimedia.org/wikipedia/commons/f/fc/Wind_Wolves_Preserve_Riparian_Spring.jpg?utm_source=commons.wikimedia.org&amp;utm_campaign=imageinfo&amp;utm_content=original","pixel_review":{"method":"İndirilen kare temas sayfasında görüldü; kaynak mekân kimliğiyle eşleştirildi. Seçim kaydı final-pixel-review.json.","status":"verified","caption":"Wind Wolves Preserve · 2022 tarihli fotoğraf","reviewer":"Codex (AI)","review_id":"C266"},"downloaded_at":"2026-10-23T19:09:27.128054+00:00","download_sha256":"ffd7e2fa04518684d061726b8ab39fdcecba7ed16da10b5baa6d015d18138eb0","downloaded_file":"downloads/ffd7e2fa04518684d061726b8ab39fdcecba7ed16da10b5baa6d015d18138eb0.jpg","acquisition_file":"25f3bf6f0b35462c73e658c8.webp","commons_filename":"Wind Wolves Preserve Riparian Spring.jpg","original_file_url":"https://upload.wikimedia.org/wikipedia/commons/f/fc/Wind_Wolves_Preserve_Riparian_Spring.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f/fc/Wind_Wolves_Preserve_Riparian_Spring.jpg?utm_source=commons.wikimedia.org&amp;utm_campaign=imageinfo&amp;utm_content=original"},"metadata_reviewed_on":"2026-10-24","metadata_review_status":"verified"}}</x:v>
      </x:c>
    </x:row>
    <x:row r="197" ht="300" customHeight="1">
      <x:c r="A197" s="29" t="str">
        <x:v>bakersfield:evidence:venue-22162</x:v>
      </x:c>
      <x:c r="B197" s="29" t="str">
        <x:v>bakersfield</x:v>
      </x:c>
      <x:c r="C197" s="29" t="str">
        <x:v>bakersfield:photo:venue-22162</x:v>
      </x:c>
      <x:c r="D197" s="29" t="str">
        <x:v>https://www.flickr.com/photos/9987846@N08/24033773200/</x:v>
      </x:c>
      <x:c r="E197" s="29" t="str">
        <x:v>Wind Wolves Preserve · 2015 tarihli fotoğraf</x:v>
      </x:c>
      <x:c r="F197" s="29" t="str">
        <x:v>Christine Warner-Morin</x:v>
      </x:c>
      <x:c r="G197" s="29" t="str">
        <x:v>CC BY 2.0</x:v>
      </x:c>
      <x:c r="H197" s="29" t="str">
        <x:v>https://creativecommons.org/licenses/by/2.0/</x:v>
      </x:c>
      <x:c r="I197" s="29" t="str">
        <x:v>CC BY 2.0</x:v>
      </x:c>
      <x:c r="J197" s="29" t="str">
        <x:v>Wind Wolves Preserve · 2015 tarihli fotoğraf · Christine Warner-Morin · CC BY 2.0 · https://www.flickr.com/photos/9987846@N08/24033773200/</x:v>
      </x:c>
      <x:c r="K19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7" s="31" t="d">
        <x:v>2026-10-24T00:00:00.000Z</x:v>
      </x:c>
      <x:c r="M197" s="29" t="str">
        <x:v>Doğrulandı</x:v>
      </x:c>
      <x:c r="N197" s="29" t="str">
        <x:v>Doğrulandı</x:v>
      </x:c>
      <x:c r="O197" s="29" t="str">
        <x:v>Fotoğraflar/bk-d023446bbf0116faebfedf80.webp</x:v>
      </x:c>
      <x:c r="P197" s="29" t="str">
        <x:v>Wind Wolves Preserve · 2015 tarihli fotoğraf · İndirilen kare temas sayfasında görüldü; kaynak mekân kimliğiyle eşleştirildi. Seçim kaydı final-pixel-review.json.</x:v>
      </x:c>
      <x:c r="Q197" s="29" t="str">
        <x:v>Bu kare için uygun</x:v>
      </x:c>
      <x:c r="R19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7" s="29" t="str">
        <x:v>Lisans kanıtları/bk-d023446bbf0116faebfedf80.source-evidence.json</x:v>
      </x:c>
      <x:c r="T197" s="29" t="str">
        <x:v>0f9d51762a125eb464fca0826f5068df36cf9ec6926e98c97e7e23e2084d1f3c</x:v>
      </x:c>
      <x:c r="U197" s="29" t="str">
        <x:v>Lisans kanıtları/bk-d023446bbf0116faebfedf80.license-record.json</x:v>
      </x:c>
      <x:c r="V197" s="29" t="str">
        <x:v>3ae04afcadf1234472d8be8ad540f92f84853700e83e9a36f7449144ddc266bf</x:v>
      </x:c>
      <x:c r="W197" s="29" t="str">
        <x:v>{"file":"bk-d023446bbf0116faebfedf80.webp","width":1024,"author":"Christine Warner-Morin","height":768,"sha256":"d023446bbf0116faebfedf8010053a733af7b265173cf11be7389ea0fae8d237","status":"reviewed-selected","license":"CC BY 2.0","provider":"Flickr","review_id":"F377","source_id":"24033773200","author_url":"https://www.flickr.com/photos/9987846@N08/","date_texts":["Uploaded on January 12, 2016 Taken on December 27, 2015","Taken on December 27, 2015","Uploaded on January 12, 2016 Taken on December 27, 2015","Taken on December 27, 2015"],"source_url":"https://www.flickr.com/photos/9987846@N08/24033773200/","description":"","license_url":"https://creativecommons.org/licenses/by/2.0/","review_note":"Golden landscape.","reviewed_on":"2026-10-24","source_text":"Wind Wolves Preserve | Christine Warner-Morin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Christine Warner-Morin christinejwarner Wind Wolves Preserve Done 430 views 1 fave 1 comment Uploaded on January 12, 2016 Taken on December 27, 2015 Christine Warner-Morin By: Christine Warner-Morin Wind Wolves Preserve Done 430 views 1 fave 1 comment Uploaded on January 12, 2016 Taken on December 27, 2015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photography.","capture_date":"2015-12-27","download_url":"https://live.staticflickr.com/1700/24033773200_cb82fc4c10_b.jpg","original_url":"https://live.staticflickr.com/1700/24033773200_1c1433a76e_o.jpg","pixel_review":{"method":"İndirilen kare temas sayfasında görüldü; kaynak mekân kimliğiyle eşleştirildi. Seçim kaydı final-pixel-review.json.","status":"verified","caption":"Wind Wolves Preserve · 2015 tarihli fotoğraf","reviewer":"Codex (AI)","review_id":"F377"},"source_title":"Wind Wolves Preserve","downloaded_at":"2026-10-23T19:50:23.405798+00:00","download_sha256":"e737ab34fba9f9109436efc95ffb399cdf45a12cd5b920bab7b41b73b6c4d1b6","downloaded_file":"downloads/e737ab34fba9f9109436efc95ffb399cdf45a12cd5b920bab7b41b73b6c4d1b6.jpg","public_metadata":{"photo-models":[{"data":{"id":"24033773200","owner":{"data":{"id":"9987846@N08","isPro":true,"newFlow":true,"isAdFree":false,"proBadge":"standard","realname":"Christine Warner-Morin","segments":{"data":[],"exportMetaType":"array"},"username":"christinejwarner","buddyicon":{"data":{"large":"//farm66.staticflickr.com/65535/buddyicons/9987846@N08_l.jpg?1570389955#9987846@N08","small":"//farm66.staticflickr.com/65535/buddyicons/9987846@N08_s.jpg?1570389955#9987846@N08","medium":"//farm66.staticflickr.com/65535/buddyicons/9987846@N08_m.jpg?1570389955#9987846@N08","retina":"//farm66.staticflickr.com/65535/buddyicons/9987846@N08_r.jpg?1570389955#9987846@N08","default":"//farm66.staticflickr.com/65535/buddyicons/9987846@N08.jpg?1570389955#9987846@N08"},"exportMetaType":"pojo"},"pathAlias":"christinehawks","dateCreated":{"data":"1184060613","exportMetaType":"serializeFunction"},"subscription":{"data":{"isPro":false,"isClosed":false,"isPastDue":false},"exportMetaType":"pojo"},"eligibleGifts":{"data":["year","month","week"],"exportMetaType":"array"},"isEligibleForGifts":true,"_flickrModelRegistry":"person-models"},"exportMetaType":"model"},"sizes":{"data":{"c":{"data":{"url":"//live.staticflickr.com/1700/24033773200_cb82fc4c10_c.jpg","width":800,"height":600,"displayUrl":"//live.staticflickr.com/1700/24033773200_cb82fc4c10_c.jpg"},"exportMetaType":"pojo"},"h":{"data":{"url":"//live.staticflickr.com/1700/24033773200_09f02300ab_h.jpg","width":1600,"height":1200,"displayUrl":"//live.staticflickr.com/1700/24033773200_09f02300ab_h.jpg"},"exportMetaType":"pojo"},"k":{"data":{"url":"//live.staticflickr.com/1700/24033773200_a5d5627fe9_k.jpg","width":2048,"height":1536,"displayUrl":"//live.staticflickr.com/1700/24033773200_a5d5627fe9_k.jpg"},"exportMetaType":"pojo"},"l":{"data":{"url":"//live.staticflickr.com/1700/24033773200_cb82fc4c10_b.jpg","width":1024,"height":768,"displayUrl":"//live.staticflickr.com/1700/24033773200_cb82fc4c10_b.jpg"},"exportMetaType":"pojo"},"m":{"data":{"url":"//live.staticflickr.com/1700/24033773200_cb82fc4c10.jpg","width":500,"height":375,"displayUrl":"//live.staticflickr.com/1700/24033773200_cb82fc4c10.jpg"},"exportMetaType":"pojo"},"n":{"data":{"url":"//live.staticflickr.com/1700/24033773200_cb82fc4c10_n.jpg","width":320,"height":240,"displayUrl":"//live.staticflickr.com/1700/24033773200_cb82fc4c10_n.jpg"},"exportMetaType":"pojo"},"o":{"data":{"url":"//live.staticflickr.com/1700/24033773200_1c1433a76e_o.jpg","width":3264,"height":2448,"displayUrl":"//live.staticflickr.com/1700/24033773200_1c1433a76e_o.jpg"},"exportMetaType":"pojo"},"q":{"data":{"url":"//live.staticflickr.com/1700/24033773200_cb82fc4c10_q.jpg","width":150,"height":150,"displayUrl":"//live.staticflickr.com/1700/24033773200_cb82fc4c10_q.jpg"},"exportMetaType":"pojo"},"s":{"data":{"url":"//live.staticflickr.com/1700/24033773200_cb82fc4c10_m.jpg","width":240,"height":180,"displayUrl":"//live.staticflickr.com/1700/24033773200_cb82fc4c10_m.jpg"},"exportMetaType":"pojo"},"t":{"data":{"url":"//live.staticflickr.com/1700/24033773200_cb82fc4c10_t.jpg","width":100,"height":75,"displayUrl":"//live.staticflickr.com/1700/24033773200_cb82fc4c10_t.jpg"},"exportMetaType":"pojo"},"w":{"data":{"url":"//live.staticflickr.com/1700/24033773200_cb82fc4c10_w.jpg","width":400,"height":300,"displayUrl":"//live.staticflickr.com/1700/24033773200_cb82fc4c10_w.jpg"},"exportMetaType":"pojo"},"z":{"data":{"url":"//live.staticflickr.com/1700/24033773200_cb82fc4c10_z.jpg","width":640,"height":480,"displayUrl":"//live.staticflickr.com/1700/24033773200_cb82fc4c10_z.jpg"},"exportMetaType":"pojo"},"3k":{"data":{"url":"//live.staticflickr.com/1700/24033773200_7ae044ace0_3k.jpg","width":3072,"height":2304,"displayUrl":"//live.staticflickr.com/1700/24033773200_7ae044ace0_3k.jpg"},"exportMetaType":"pojo"},"sq":{"data":{"url":"//live.staticflickr.com/1700/24033773200_cb82fc4c10_s.jpg","width":75,"height":75,"displayUrl":"//live.staticflickr.com/1700/24033773200_cb82fc4c10_s.jpg"},"exportMetaType":"pojo"}},"exportMetaType":"pojo"},"title":"Wind Wolves Preserve","oWidth":3264,"secret":"cb82fc4c10","license":4,"oHeight":2448,"rotation":0,"canAddMeta":false,"canComment":false,"engagement":{"data":{"id":"24033773200","canShare":true,"faveCount":1,"ownerNsid":"9987846@N08","reactions":{"data":{"like":{"data":{"id":"like","count":5,"canReact":true,"didViewerReact":true},"exportMetaType":"pojo"},"someOtherReaction":{"data":{"id":"someOtherReaction","count":3,"canReact":true,"didViewerReact":false},"exportMetaType":"pojo"}},"exportMetaType":"pojo"},"viewCount":430,"canDownload":true,"commentCount":1,"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24033773200","_flickrModelRegistry":"photo-geo-models"},"exportMetaType":"model"}],"photo-location-models":[{"data":{"id":"24033773200","geo":{"data":"~2","exportMetaType":"model"},"text":"","levels":{"data":{},"exportMetaType":"pojo"},"staticMaps":{"data":{},"exportMetaType":"pojo"},"_flickrModelRegistry":"photo-location-models"},"exportMetaType":"model"}],"photo-head-meta-models":[{"data":{"id":"24033773200","title":"Wind Wolves Preserve","og:url":"https://www.flickr.com/photos/christinehawks/24033773200/","og:type":"article","keywords":"california, nature, windwolves","og:image":"https://live.staticflickr.com/1700/24033773200_cb82fc4c10_b.jpg","og:title":"Wind Wolves Preserve","twitter:card":"summary_large_image","twitter:image":"https://live.staticflickr.com/1700/24033773200_cb82fc4c10_b.jpg","og:description":"","og:image:width":1024,"og:image:height":768,"twitter:creator":"@ChristineJHawks","twitter:description":"Explore christinejwarner's 2790 photos on Flickr!","_flickrModelRegistry":"photo-head-meta-models","twitter:app:url:ipad":"flickr://flickr.com/photos/christinehawks/24033773200/","twitter:app:url:iphone":"flickr://flickr.com/photos/christinehawks/24033773200/","twitter:app:url:googleplay":"https://www.flickr.com/photos/christinehawks/24033773200/"},"exportMetaType":"model"}],"photo-license-history-models":[]},"acquisition_file":"fl-24033773200.webp","source_html_file":"/Users/atincakcayoz/corteqs/output/bakersfield-production-20261023/flickr-source-pages/24033773200.html","original_file_url":"https://live.staticflickr.com/1700/24033773200_1c1433a76e_o.jpg","proposed_identity":"Wind Wolves Preserve","source_html_sha256":"7eecf57067e973813b687af8da15259a74fc66e422362dbfc6384132f55c4db3","third_party_rights_review":{"basis":"Kaynakta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dönüştürüldü.","photo_attribution":{"author_url":"https://www.flickr.com/photos/9987846@N08/","modifications":"EXIF yönü uygulandı; boyut küçültülüp WebP biçimine dönüştürüldü.","original_file_url":"https://live.staticflickr.com/1700/24033773200_1c1433a76e_o.jpg"},"metadata_reviewed_on":"2026-10-24","metadata_review_status":"verified"}}</x:v>
      </x:c>
    </x:row>
    <x:row r="198" ht="300" customHeight="1">
      <x:c r="A198" s="29" t="str">
        <x:v>bakersfield:evidence:venue-22163</x:v>
      </x:c>
      <x:c r="B198" s="29" t="str">
        <x:v>bakersfield</x:v>
      </x:c>
      <x:c r="C198" s="29" t="str">
        <x:v>bakersfield:photo:venue-22163</x:v>
      </x:c>
      <x:c r="D198" s="29" t="str">
        <x:v>https://commons.wikimedia.org/wiki/File:Buttonwillow_Tupman_Tule_Elk_Reserve_California_ungulate_guests.JPG</x:v>
      </x:c>
      <x:c r="E198" s="29" t="str">
        <x:v>Buttonwillow Tupman Tule Elk Reserve California ungulate guests.JPG</x:v>
      </x:c>
      <x:c r="F198" s="29" t="str">
        <x:v>David Jordan</x:v>
      </x:c>
      <x:c r="G198" s="29" t="str">
        <x:v>CC BY 3.0</x:v>
      </x:c>
      <x:c r="H198" s="29" t="str">
        <x:v>https://creativecommons.org/licenses/by/3.0</x:v>
      </x:c>
      <x:c r="I198" s="29" t="str">
        <x:v>Creative Commons Attribution 3.0</x:v>
      </x:c>
      <x:c r="J198" s="29" t="str">
        <x:v>Buttonwillow Tupman Tule Elk Reserve California ungulate guests.JPG · David Jordan · CC BY 3.0 · https://commons.wikimedia.org/wiki/File:Buttonwillow_Tupman_Tule_Elk_Reserve_California_ungulate_guests.JPG</x:v>
      </x:c>
      <x:c r="K19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8" s="31" t="d">
        <x:v>2026-10-24T00:00:00.000Z</x:v>
      </x:c>
      <x:c r="M198" s="29" t="str">
        <x:v>Doğrulandı</x:v>
      </x:c>
      <x:c r="N198" s="29" t="str">
        <x:v>Doğrulandı</x:v>
      </x:c>
      <x:c r="O198" s="29" t="str">
        <x:v>Fotoğraflar/bk-d45e66f84aea338ad9674565.webp</x:v>
      </x:c>
      <x:c r="P198" s="29" t="str">
        <x:v>Tule Elk State Natural Reserve · 12 F tarihli fotoğraf · İndirilen kare temas sayfasında görüldü; kaynak mekân kimliğiyle eşleştirildi. Seçim kaydı final-pixel-review.json.</x:v>
      </x:c>
      <x:c r="Q198" s="29" t="str">
        <x:v>Bu kare için uygun</x:v>
      </x:c>
      <x:c r="R19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8" s="29" t="str">
        <x:v>Lisans kanıtları/bk-d45e66f84aea338ad9674565.source-evidence.json</x:v>
      </x:c>
      <x:c r="T198" s="29" t="str">
        <x:v>7359b8b6fce3add5b9b04dbd00fab3e8f77c5bc16f7034f5c36b9721ef54661f</x:v>
      </x:c>
      <x:c r="U198" s="29" t="str">
        <x:v>Lisans kanıtları/bk-d45e66f84aea338ad9674565.license-record.json</x:v>
      </x:c>
      <x:c r="V198" s="29" t="str">
        <x:v>6af3a20ad3fd4b51dfea90f366ddabf7d44d8a07c4a94b88262f38ea76ad8250</x:v>
      </x:c>
      <x:c r="W198" s="29" t="str">
        <x:v>{"file":"bk-d45e66f84aea338ad9674565.webp","width":1280,"author":"David Jordan","height":637,"sha256":"d45e66f84aea338ad9674565448950fd29f113e394ddec3a40331405c6e0e309","license":"CC BY 3.0","imageinfo":{"url":"https://upload.wikimedia.org/wikipedia/commons/7/73/Buttonwillow_Tupman_Tule_Elk_Reserve_California_ungulate_guests.JPG?utm_source=commons.wikimedia.org&amp;utm_campaign=imageinfo&amp;utm_content=original","mime":"image/jpeg","sha1":"9a712ce4e557446b3e1f1f68bc9c43c8d6a4f3fd","size":2331909,"width":2300,"height":1144,"pageid":5209182,"thumburl":"https://thumb.wikimedia.org/wikipedia/commons/thumb/7/73/Buttonwillow_Tupman_Tule_Elk_Reserve_California_ungulate_guests.JPG/1280px-Buttonwillow_Tupman_Tule_Elk_Reserve_California_ungulate_guests.JPG?utm_source=commons.wikimedia.org&amp;utm_campaign=imageinfo&amp;utm_content=thumbnail","timestamp":"2008-11-15T20:58:15Z","thumbwidth":1280,"extmetadata":{"Artist":{"value":"David Jordan","source":"commons-desc-page"},"Credit":{"value":"David Jordan","source":"commons-desc-page"},"License":{"value":"cc-by-3.0","hidden":"","source":"commons-templates"},"DateTime":{"value":"2008-11-15 20:58:15","hidden":"","source":"mediawiki-metadata"},"Categories":{"value":"Self-published work|Tule Elk State Natural Reserve","hidden":"","source":"commons-categories"},"LicenseUrl":{"value":"https://creativecommons.org/licenses/by/3.0","source":"commons-desc-page"},"ObjectName":{"value":"Buttonwillow Tupman Tule Elk Reserve California ungulate guests","source":"mediawiki-metadata"},"Permission":{"value":"Licensed under Creative Commons Share Alike 3.0","hidden":"","source":"commons-desc-page"},"UsageTerms":{"value":"Creative Commons Attribution 3.0","source":"commons-desc-page"},"Assessments":{"value":"","hidden":"","source":"commons-categories"},"Attribution":{"value":"&lt;a href=\"https://en.wikipedia.org/wiki/User:David_Jordan\" class=\"extiw\" title=\"wikipedia:User:David Jordan\"&gt;David Jordan&lt;/a&gt; at &lt;a href=\"https://en.wikipedia.org/wiki/\" class=\"extiw\" title=\"wikipedia:\"&gt;English Wikipedia&lt;/a&gt;","hidden":"","source":"commons-desc-page"},"Copyrighted":{"value":"True","hidden":"","source":"commons-desc-page"},"Restrictions":{"value":"","hidden":"","source":"commons-desc-page"},"DateTimeOriginal":{"value":"&lt;p&gt;12 February 2008 (original upload date)&lt;br&gt;\n&lt;/p&gt;\n(&lt;span lang=\"en\" dir=\"ltr\"&gt;Original text: &lt;i&gt;&lt;bdi lang=\"\"&gt;about 12/30/2007&lt;/bdi&gt;&lt;/i&gt;&lt;/span&gt;)","source":"commons-desc-page"},"ImageDescription":{"value":"Male &lt;a href=\"https://en.wikipedia.org/wiki/Ungulate\" class=\"extiw\" title=\"en:Ungulate\"&gt;ungulates&lt;/a&gt; at Tule Elk State Reserve near &lt;a href=\"https://en.wikipedia.org/wiki/Tupman,_California\" class=\"extiw\" title=\"en:Tupman, California\"&gt;en:Tupman, California&lt;/a&gt;, USA.&lt;br&gt;\n&lt;p&gt;Two male Tule Elk walk away from the camera. While this &lt;a href=\"https://en.wikipedia.org/wiki/State_of_California\" class=\"extiw\" title=\"en:State of California\"&gt;en:State of California&lt;/a&gt;, Resources Agency, Department of Fish and Game, \"Elks club\" has an address of 8653 Station Rd., Buttonwillow, CA 93206, the location is physically closer to Tupman. Straight-line distance from reserve headquarters to Grace Road and Tupman Road is 2.4 miles. Buttonwillow is about three times further: 7.6 miles. Signs at the reserve say an estimated 500,000 Tule Elk once inhabited California.\n&lt;b&gt;About this image: &lt;/b&gt;\n&lt;/p&gt;\n&lt;ul&gt;&lt;li&gt;Was captured using film or digital camera equipment.&lt;/li&gt;\n&lt;li&gt;May lack artistic merit but documents the existence of the subject(s).&lt;/li&gt;\n&lt;li&gt;May have had elements including colors, composition, gamma, exposure, or size adjusted using camera-, lens-, scanner-settings or by applying image editing software.&lt;/li&gt;\n&lt;li&gt;May have had aberrations, flare, or reflections removed in order that the subject of the image is more clearly visible.&lt;/li&gt;\n&lt;li&gt;Is intended to be representative of the view of the subject that would be perceived by a human eye.&lt;/li&gt;&lt;/ul&gt;","source":"commons-desc-page"},"LicenseShortName":{"value":"CC BY 3.0","hidden":"","source":"commons-desc-page"},"AttributionRequired":{"value":"true","hidden":"","source":"commons-desc-page"},"CommonsMetadataExtension":{"value":1.2,"hidden":"","source":"extension"}},"thumbheight":637,"thumbattribs":{"src":"https://thumb.wikimedia.org/wikipedia/commons/thumb/7/73/Buttonwillow_Tupman_Tule_Elk_Reserve_California_ungulate_guests.JPG/1280px-Buttonwillow_Tupman_Tule_Elk_Reserve_California_ungulate_guests.JPG?utm_source=commons.wikimedia.org&amp;utm_campaign=imageinfo&amp;utm_content=thumbnail","width":1280,"height":637,"srcset":"https://upload.wikimedia.org/wikipedia/commons/7/73/Buttonwillow_Tupman_Tule_Elk_Reserve_California_ungulate_guests.JPG?utm_source=commons.wikimedia.org&amp;utm_campaign=imageinfo&amp;utm_content=thumbnail_unscaled 2x","loading":"lazy","decoding":"async"},"descriptionurl":"https://commons.wikimedia.org/wiki/File:Buttonwillow_Tupman_Tule_Elk_Reserve_California_ungulate_guests.JPG","responsiveUrls":{"2":"https://upload.wikimedia.org/wikipedia/commons/7/73/Buttonwillow_Tupman_Tule_Elk_Reserve_California_ungulate_guests.JPG?utm_source=commons.wikimedia.org&amp;utm_campaign=imageinfo&amp;utm_content=thumbnail_unscaled"},"descriptionshorturl":"https://commons.wikimedia.org/w/index.php?curid=5209182"},"selection":{"qid":"pending","kind":"candidate","title":"Bakersfield regional research"},"author_url":"","derivative":"Wikimedia thumbnail decoded; EXIF orientation applied; converted to WebP quality 86; no generated pixels, no cropping.","source_url":"https://commons.wikimedia.org/wiki/File:Buttonwillow_Tupman_Tule_Elk_Reserve_California_ungulate_guests.JPG","author_urls":[],"description":"Male ungulates at Tule Elk State Reserve near en:Tupman, California, USA.\nTwo male Tule Elk walk away from the camera. While this en:State of California, Resources Agency, Department of Fish and Game, \"Elks club\" has an address of 8653 Station Rd., Buttonwillow, CA 93206, the location is physically closer to Tupman. Straight-line distance from reserve headquarters to Grace Road and Tupman Road is 2.4 miles. Buttonwillow is about three times further: 7.6 miles. Signs at the reserve say an estimated 500,000 Tule Elk once inhabited California.\nAbout this image: \n\nWas captured using film or digital camera equipment.\nMay lack artistic merit but documents the existence of the subject(s).\nMay have had elements including colors, composition, gamma, exposure, or size adjusted using camera-, lens-, scanner-settings or by applying image editing software.\nMay have had aberrations, flare, or reflections removed in order that the subject of the image is more clearly visible.\nIs intended to be representative of the view of the subject that would be perceived by a human eye.","license_url":"https://creativecommons.org/licenses/by/3.0","reviewed_on":"2026-10-24","capture_date":"12 February 2008 (original upload date)\n\n(Original text: about 12/30/2007)","download_url":"https://thumb.wikimedia.org/wikipedia/commons/thumb/7/73/Buttonwillow_Tupman_Tule_Elk_Reserve_California_ungulate_guests.JPG/1280px-Buttonwillow_Tupman_Tule_Elk_Reserve_California_ungulate_guests.JPG?utm_source=commons.wikimedia.org&amp;utm_campaign=imageinfo&amp;utm_content=thumbnail","original_url":"https://upload.wikimedia.org/wikipedia/commons/7/73/Buttonwillow_Tupman_Tule_Elk_Reserve_California_ungulate_guests.JPG?utm_source=commons.wikimedia.org&amp;utm_campaign=imageinfo&amp;utm_content=original","pixel_review":{"method":"İndirilen kare temas sayfasında görüldü; kaynak mekân kimliğiyle eşleştirildi. Seçim kaydı final-pixel-review.json.","status":"verified","caption":"Tule Elk State Natural Reserve · 12 F tarihli fotoğraf","reviewer":"Codex (AI)","review_id":"R6"},"downloaded_at":"2026-10-23T20:00:48.384896+00:00","download_sha256":"5b4d360d9ad89f2257991974395052504c901580baea6e64e3fb3a1ea5733f4c","downloaded_file":"downloads/5b4d360d9ad89f2257991974395052504c901580baea6e64e3fb3a1ea5733f4c.jpg","acquisition_file":"1cfeff7faa8d2195246c803c.webp","commons_filename":"Buttonwillow Tupman Tule Elk Reserve California ungulate guests.JPG","original_file_url":"https://upload.wikimedia.org/wikipedia/commons/7/73/Buttonwillow_Tupman_Tule_Elk_Reserve_California_ungulate_guest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7/73/Buttonwillow_Tupman_Tule_Elk_Reserve_California_ungulate_guests.JPG?utm_source=commons.wikimedia.org&amp;utm_campaign=imageinfo&amp;utm_content=original"},"metadata_reviewed_on":"2026-10-24","metadata_review_status":"verified"}}</x:v>
      </x:c>
    </x:row>
    <x:row r="199" ht="300" customHeight="1">
      <x:c r="A199" s="29" t="str">
        <x:v>bakersfield:evidence:venue-22164</x:v>
      </x:c>
      <x:c r="B199" s="29" t="str">
        <x:v>bakersfield</x:v>
      </x:c>
      <x:c r="C199" s="29" t="str">
        <x:v>bakersfield:photo:venue-22164</x:v>
      </x:c>
      <x:c r="D199" s="29" t="str">
        <x:v>https://commons.wikimedia.org/wiki/File:Fort_Tejon_Barracks_from_CO_Qtrs.JPG</x:v>
      </x:c>
      <x:c r="E199" s="29" t="str">
        <x:v>Fort Tejon Barracks from CO Qtrs.JPG</x:v>
      </x:c>
      <x:c r="F199" s="29" t="str">
        <x:v>Yellowute at English Wikipedia</x:v>
      </x:c>
      <x:c r="G199" s="29" t="str">
        <x:v>Public domain</x:v>
      </x:c>
      <x:c r="H199" s="29" t="str">
        <x:v>https://commons.wikimedia.org/wiki/File:Fort_Tejon_Barracks_from_CO_Qtrs.JPG#Licensing</x:v>
      </x:c>
      <x:c r="I199" s="29" t="str">
        <x:v>Public domain</x:v>
      </x:c>
      <x:c r="J199" s="29" t="str">
        <x:v>Fort Tejon Barracks from CO Qtrs.JPG · Yellowute at English Wikipedia · Public domain · https://commons.wikimedia.org/wiki/File:Fort_Tejon_Barracks_from_CO_Qtrs.JPG</x:v>
      </x:c>
      <x:c r="K19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199" s="31" t="d">
        <x:v>2026-10-24T00:00:00.000Z</x:v>
      </x:c>
      <x:c r="M199" s="29" t="str">
        <x:v>Doğrulandı</x:v>
      </x:c>
      <x:c r="N199" s="29" t="str">
        <x:v>Doğrulandı</x:v>
      </x:c>
      <x:c r="O199" s="29" t="str">
        <x:v>Fotoğraflar/bk-8c5c05633be89f0803989c78.webp</x:v>
      </x:c>
      <x:c r="P199" s="29" t="str">
        <x:v>Fort Tejon State Historic Park · 2007 tarihli fotoğraf · İndirilen kare temas sayfasında görüldü; kaynak mekân kimliğiyle eşleştirildi. Seçim kaydı final-pixel-review.json.</x:v>
      </x:c>
      <x:c r="Q199" s="29" t="str">
        <x:v>Bu kare için uygun</x:v>
      </x:c>
      <x:c r="R19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199" s="29" t="str">
        <x:v>Lisans kanıtları/bk-8c5c05633be89f0803989c78.source-evidence.json</x:v>
      </x:c>
      <x:c r="T199" s="29" t="str">
        <x:v>08b05865df3a38880c47bafc590bb6e94be10d1549e4fbbcca11caafb3145a9a</x:v>
      </x:c>
      <x:c r="U199" s="29" t="str">
        <x:v>Lisans kanıtları/bk-8c5c05633be89f0803989c78.license-record.json</x:v>
      </x:c>
      <x:c r="V199" s="29" t="str">
        <x:v>2160ef07250ce2e8e992623807ea369b0d23b9bb3c21bdfd7d85137f34c91ef4</x:v>
      </x:c>
      <x:c r="W199" s="29" t="str">
        <x:v>{"file":"bk-8c5c05633be89f0803989c78.webp","width":1280,"author":"Yellowute at English Wikipedia","height":960,"sha256":"8c5c05633be89f0803989c78522c96157ed19c7e5c6bb036a4766cc03f910247","license":"Public domain","imageinfo":{"url":"https://upload.wikimedia.org/wikipedia/commons/b/bd/Fort_Tejon_Barracks_from_CO_Qtrs.JPG?utm_source=commons.wikimedia.org&amp;utm_campaign=imageinfo&amp;utm_content=original","mime":"image/jpeg","sha1":"16dc0e284f57222a8e3a8729ed0532fba7b6419f","size":621813,"width":2272,"height":1704,"pageid":10404362,"thumburl":"https://thumb.wikimedia.org/wikipedia/commons/thumb/b/bd/Fort_Tejon_Barracks_from_CO_Qtrs.JPG/1280px-Fort_Tejon_Barracks_from_CO_Qtrs.JPG?utm_source=commons.wikimedia.org&amp;utm_campaign=imageinfo&amp;utm_content=thumbnail","timestamp":"2010-05-23T11:07:45Z","thumbwidth":1280,"extmetadata":{"Artist":{"value":"&lt;a href=\"https://en.wikipedia.org/wiki/User:Yellowute\" class=\"extiw\" title=\"wikipedia:User:Yellowute\"&gt;Yellowute&lt;/a&gt; at &lt;a href=\"https://en.wikipedia.org/wiki/\" class=\"extiw\" title=\"wikipedia:\"&gt;English Wikipedia&lt;/a&gt;","source":"commons-desc-page"},"Credit":{"value":"&lt;bdi lang=\"en\" dir=\"ltr\"&gt;Transferred from &lt;span class=\"plainlinks\"&gt;&lt;a class=\"external text\" data-mw-original-href=\"//en.wikipedia.org\" href=\"https://en.wikipedia.org\"&gt;en.wikipedia&lt;/a&gt;&lt;/span&gt; to Commons.&lt;/bdi&gt;","source":"commons-desc-page"},"License":{"value":"pd","hidden":"","source":"commons-templates"},"DateTime":{"value":"2010-05-23 11:07:45","hidden":"","source":"mediawiki-metadata"},"Categories":{"value":"Tehachapi Mountains|PD-user|Fort Tejon State Historic Park|National Register of Historic Places in Kern County, California|Adobe buildings in California|Parks in Kern County, California|Military facilities on the National Register of Historic Places in California|National Register of Historic Places with known IDs|California Historical Landmarks with known IDs|Barracks in California","hidden":"","source":"commons-categories"},"ObjectName":{"value":"Fort Tejon Barracks from CO Qtrs","source":"mediawiki-metadata"},"UsageTerms":{"value":"Public domain","source":"commons-desc-page"},"Assessments":{"value":"","hidden":"","source":"commons-categories"},"Copyrighted":{"value":"False","hidden":"","source":"commons-desc-page"},"GPSLatitude":{"value":"34.873056","source":"commons-desc-page"},"GPSMapDatum":{"value":"WGS-84","hidden":"","source":"commons-desc-page"},"GPSLongitude":{"value":"-118.895833","source":"commons-desc-page"},"Restrictions":{"value":"","hidden":"","source":"commons-desc-page"},"DateTimeOriginal":{"value":"2007-06-25","source":"commons-desc-page"},"ImageDescription":{"value":"1840s adobe Barracks No. 1 of &lt;a href=\"https://en.wikipedia.org/wiki/Fort_Tejon\" class=\"extiw\" title=\"w:Fort Tejon\"&gt;Fort Tejon&lt;/a&gt; — in &lt;b&gt;&lt;a href=\"//commons.wikimedia.org/wiki/Category:Fort_Tejon_State_Historic_Park\" title=\"Category:Fort Tejon State Historic Park\"&gt;Fort Tejon State Historic Park&lt;/a&gt;&lt;/b&gt; with the &lt;a href=\"//commons.wikimedia.org/wiki/Category:Tehachapi_Mountains\" title=\"Category:Tehachapi Mountains\"&gt;Tehachapi Mountains&lt;/a&gt; beyond, in Southern California. \n&lt;ul&gt;&lt;li&gt;At &lt;a href=\"https://en.wikipedia.org/wiki/Tejon_Pass\" class=\"extiw\" title=\"w:Tejon Pass\"&gt;Tejon Pass&lt;/a&gt; on &lt;a href=\"//commons.wikimedia.org/wiki/Category:Interstate_5_in_California\" title=\"Category:Interstate 5 in California\"&gt;I−5&lt;/a&gt; (old Hwy 99), in southern &lt;a href=\"//commons.wikimedia.org/wiki/Category:Kern_County,_California\" title=\"Category:Kern County, California\"&gt;Kern County&lt;/a&gt;.&lt;/li&gt;&lt;/ul&gt;","source":"commons-desc-page"},"LicenseShortName":{"value":"Public domain","hidden":"","source":"commons-desc-page"},"AttributionRequired":{"value":"false","hidden":"","source":"commons-desc-page"},"CommonsMetadataExtension":{"value":1.2,"hidden":"","source":"extension"}},"thumbheight":960,"thumbattribs":{"src":"https://thumb.wikimedia.org/wikipedia/commons/thumb/b/bd/Fort_Tejon_Barracks_from_CO_Qtrs.JPG/1280px-Fort_Tejon_Barracks_from_CO_Qtrs.JPG?utm_source=commons.wikimedia.org&amp;utm_campaign=imageinfo&amp;utm_content=thumbnail","width":1280,"height":960,"srcset":"https://upload.wikimedia.org/wikipedia/commons/b/bd/Fort_Tejon_Barracks_from_CO_Qtrs.JPG?utm_source=commons.wikimedia.org&amp;utm_campaign=imageinfo&amp;utm_content=thumbnail_unscaled 2x","loading":"lazy","decoding":"async"},"descriptionurl":"https://commons.wikimedia.org/wiki/File:Fort_Tejon_Barracks_from_CO_Qtrs.JPG","responsiveUrls":{"2":"https://upload.wikimedia.org/wikipedia/commons/b/bd/Fort_Tejon_Barracks_from_CO_Qtrs.JPG?utm_source=commons.wikimedia.org&amp;utm_campaign=imageinfo&amp;utm_content=thumbnail_unscaled"},"descriptionshorturl":"https://commons.wikimedia.org/w/index.php?curid=10404362"},"selection":{"qid":"pending","kind":"candidate","title":"PD verified source candidates"},"author_url":"https://en.wikipedia.org/wiki/User:Yellowute","derivative":"Wikimedia thumbnail decoded; EXIF orientation applied; converted to WebP quality 86; no generated pixels, no cropping.","source_url":"https://commons.wikimedia.org/wiki/File:Fort_Tejon_Barracks_from_CO_Qtrs.JPG","author_urls":["https://en.wikipedia.org/wiki/User:Yellowute","https://en.wikipedia.org/wiki/"],"description":"1840s adobe Barracks No. 1 of Fort Tejon — in Fort Tejon State Historic Park with the Tehachapi Mountains beyond, in Southern California. \nAt Tejon Pass on I−5 (old Hwy 99), in southern Kern County.","license_url":"https://commons.wikimedia.org/wiki/File:Fort_Tejon_Barracks_from_CO_Qtrs.JPG#Licensing","reviewed_on":"2026-10-24","capture_date":"2007-06-25","download_url":"https://thumb.wikimedia.org/wikipedia/commons/thumb/b/bd/Fort_Tejon_Barracks_from_CO_Qtrs.JPG/1280px-Fort_Tejon_Barracks_from_CO_Qtrs.JPG?utm_source=commons.wikimedia.org&amp;utm_campaign=imageinfo&amp;utm_content=thumbnail","original_url":"https://upload.wikimedia.org/wikipedia/commons/b/bd/Fort_Tejon_Barracks_from_CO_Qtrs.JPG?utm_source=commons.wikimedia.org&amp;utm_campaign=imageinfo&amp;utm_content=original","pixel_review":{"method":"İndirilen kare temas sayfasında görüldü; kaynak mekân kimliğiyle eşleştirildi. Seçim kaydı final-pixel-review.json.","status":"verified","caption":"Fort Tejon State Historic Park · 2007 tarihli fotoğraf","reviewer":"Codex (AI)","review_id":"P0"},"downloaded_at":"2026-10-23T20:11:32.763805+00:00","download_sha256":"ad47aee70d92294b5af0d94cc93b0f6ce5f559e01f6165ad74ac0a064b6ccfe3","downloaded_file":"downloads/ad47aee70d92294b5af0d94cc93b0f6ce5f559e01f6165ad74ac0a064b6ccfe3.jpg","acquisition_file":"76c2000bdbd2a1bc050764ea.webp","commons_filename":"Fort Tejon Barracks from CO Qtrs.JPG","original_file_url":"https://upload.wikimedia.org/wikipedia/commons/b/bd/Fort_Tejon_Barracks_from_CO_Qtr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değil.","status":"reviewed","primary_law":"https://www.govinfo.gov/content/pkg/USCODE-2024-title17/html/USCODE-2024-title17-chap1-sec120.htm"},"public_domain_source_record":{"ns":6,"title":"File:Fort Tejon Barracks from CO Qtrs.JPG","pageid":10404362,"revisions":[{"slots":{"main":{"*":"== {{int:filedesc}} ==\n{{NRHP|71000140}}\n{{US-CHL|129}}\n{{Information\n|Description={{en|1840s adobe Barracks No. 1 of {{w|Fort Tejon}} — in '''{{C|Fort Tejon State Historic Park}}''' with the {{C|Tehachapi Mountains}} beyond, in Southern California. \n* At {{w|Tejon Pass}} on {{C|Interstate 5 in California|I−5}} (old Hwy 99), in southern {{C|Kern County, California|Kern County}}.}}\n|Source={{transferred from|en.wikipedia|}}\n|Date=2007-06-25\n|Author={{user at project|Yellowute|wikipedia|en}}\n|Permission=\n|other_versions=\n}}\n{{Object location dec|34.873056|-118.895833|region:US_type:landmark_scale:1500}}&lt;!-- Location from http://en.wikipedia.org/w/index.php?title=National_Register_of_Historic_Places_listings_in_Kern_County,_California&amp;redirect=no&amp;useskin=monobook&amp;oldid=510941186 --&gt;\n\n== {{int:license-header}} ==\n{{PD-user-en|Yellowute}}\n\n== {{Original upload log}} ==\n{{original description page|en.wikipedia|Fort_Tejon_Barracks_from_CO_Qtrs.JPG}}\n* 2007-06-25 04:57 [[:en:User:Yellowute|Yellowute]] 2272×1704× (621813 bytes) ''&lt;nowiki&gt;&lt;/nowiki&gt;''\n\n[[Category:Fort Tejon State Historic Park|Tejon Barracks2]]\n[[Category:Tehachapi Mountains|view]]\n[[Category:Adobe buildings in California|Tejon Barracks2]]\n[[Category:Barracks in California|Tejon Barracks2]]\n[[Category:Parks in Kern County, California]]\n[[Category:Military facilities on the National Register of Historic Places in California|Tejon Barracks2]]\n[[Category:National Register of Historic Places in Kern County, California|Tejon Barracks2]]","contentmodel":"wikitext","contentformat":"text/x-wiki"}}}]},"public_domain_dedication_evidence":{"basis":"Photographer explicit public-domain dedication (PD-user-en or PD-self), not government-ownership inference.","wikitext":"== {{int:filedesc}} ==\n{{NRHP|71000140}}\n{{US-CHL|129}}\n{{Information\n|Description={{en|1840s adobe Barracks No. 1 of {{w|Fort Tejon}} — in '''{{C|Fort Tejon State Historic Park}}''' with the {{C|Tehachapi Mountains}} beyond, in Southern California. \n* At {{w|Tejon Pass}} on {{C|Interstate 5 in California|I−5}} (old Hwy 99), in southern {{C|Kern County, California|Kern County}}.}}\n|Source={{transferred from|en.wikipedia|}}\n|Date=2007-06-25\n|Author={{user at project|Yellowute|wikipedia|en}}\n|Permission=\n|other_versions=\n}}\n{{Object location dec|34.873056|-118.895833|region:US_type:landmark_scale:1500}}&lt;!-- Location from http://en.wikipedia.org/w/index.php?title=National_Register_of_Historic_Places_listings_in_Kern_County,_California&amp;redirect=no&amp;useskin=monobook&amp;oldid=510941186 --&gt;\n\n== {{int:license-header}} ==\n{{PD-user-en|Yellowute}}\n\n== {{Original upload log}} ==\n{{original description page|en.wikipedia|Fort_Tejon_Barracks_from_CO_Qtrs.JPG}}\n* 2007-06-25 04:57 [[:en:User:Yellowute|Yellowute]] 2272×1704× (621813 bytes) ''&lt;nowiki&gt;&lt;/nowiki&gt;''\n\n[[Category:Fort Tejon State Historic Park|Tejon Barracks2]]\n[[Category:Tehachapi Mountains|view]]\n[[Category:Adobe buildings in California|Tejon Barracks2]]\n[[Category:Barracks in California|Tejon Barracks2]]\n[[Category:Parks in Kern County, California]]\n[[Category:Military facilities on the National Register of Historic Places in California|Tejon Barracks2]]\n[[Category:National Register of Historic Places in Kern County, California|Tejon Barracks2]]","source_url":"https://commons.wikimedia.org/wiki/File:Fort_Tejon_Barracks_from_CO_Qtrs.JPG"},"kind":"real-photograph","provenance":{"kind":"real-photograph","modifications":"EXIF yönü uygulandı; boyut küçültülüp WebP biçimine dönüştürüldü.","photo_attribution":{"author_url":"https://en.wikipedia.org/wiki/User:Yellowute","modifications":"EXIF yönü uygulandı; boyut küçültülüp WebP biçimine dönüştürüldü.","original_file_url":"https://upload.wikimedia.org/wikipedia/commons/b/bd/Fort_Tejon_Barracks_from_CO_Qtrs.JPG?utm_source=commons.wikimedia.org&amp;utm_campaign=imageinfo&amp;utm_content=original"},"metadata_reviewed_on":"2026-10-24","metadata_review_status":"verified"}}</x:v>
      </x:c>
    </x:row>
    <x:row r="200" ht="300" customHeight="1">
      <x:c r="A200" s="29" t="str">
        <x:v>bakersfield:evidence:venue-22165</x:v>
      </x:c>
      <x:c r="B200" s="29" t="str">
        <x:v>bakersfield</x:v>
      </x:c>
      <x:c r="C200" s="29" t="str">
        <x:v>bakersfield:photo:venue-22165</x:v>
      </x:c>
      <x:c r="D200" s="29" t="str">
        <x:v>https://commons.wikimedia.org/wiki/File:Fort_Tejon_Commanding_Officers_Quarters.JPG</x:v>
      </x:c>
      <x:c r="E200" s="29" t="str">
        <x:v>Fort Tejon Commanding Officers Quarters.JPG</x:v>
      </x:c>
      <x:c r="F200" s="29" t="str">
        <x:v>Yellowute</x:v>
      </x:c>
      <x:c r="G200" s="29" t="str">
        <x:v>Public domain</x:v>
      </x:c>
      <x:c r="H200" s="29" t="str">
        <x:v>https://commons.wikimedia.org/wiki/File:Fort_Tejon_Commanding_Officers_Quarters.JPG#Licensing</x:v>
      </x:c>
      <x:c r="I200" s="29" t="str">
        <x:v>Public domain</x:v>
      </x:c>
      <x:c r="J200" s="29" t="str">
        <x:v>Fort Tejon Commanding Officers Quarters.JPG · Yellowute · Public domain · https://commons.wikimedia.org/wiki/File:Fort_Tejon_Commanding_Officers_Quarters.JPG</x:v>
      </x:c>
      <x:c r="K20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0" s="31" t="d">
        <x:v>2026-10-24T00:00:00.000Z</x:v>
      </x:c>
      <x:c r="M200" s="29" t="str">
        <x:v>Doğrulandı</x:v>
      </x:c>
      <x:c r="N200" s="29" t="str">
        <x:v>Doğrulandı</x:v>
      </x:c>
      <x:c r="O200" s="29" t="str">
        <x:v>Fotoğraflar/bk-4142838b97223f212710d630.webp</x:v>
      </x:c>
      <x:c r="P200" s="29" t="str">
        <x:v>Fort Tejon State Historic Park · İndirilen kare temas sayfasında görüldü; kaynak mekân kimliğiyle eşleştirildi. Seçim kaydı final-pixel-review.json.</x:v>
      </x:c>
      <x:c r="Q200" s="29" t="str">
        <x:v>Bu kare için uygun</x:v>
      </x:c>
      <x:c r="R20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0" s="29" t="str">
        <x:v>Lisans kanıtları/bk-4142838b97223f212710d630.source-evidence.json</x:v>
      </x:c>
      <x:c r="T200" s="29" t="str">
        <x:v>c41d1b0f30d7df23c18d443ceb051d7f83696943e88df35a80efc8e9e68cc24e</x:v>
      </x:c>
      <x:c r="U200" s="29" t="str">
        <x:v>Lisans kanıtları/bk-4142838b97223f212710d630.license-record.json</x:v>
      </x:c>
      <x:c r="V200" s="29" t="str">
        <x:v>d76b3087c98a23f083ae40c4ca2bce1b6419be7bb2e0cacc332ec1d6a7031c93</x:v>
      </x:c>
      <x:c r="W200" s="29" t="str">
        <x:v>{"file":"bk-4142838b97223f212710d630.webp","width":1280,"author":"Yellowute","height":960,"sha256":"4142838b97223f212710d630ec98acbd47561dfa5fa1e11fd19921d4c7795544","license":"Public domain","imageinfo":{"url":"https://upload.wikimedia.org/wikipedia/commons/a/a2/Fort_Tejon_Commanding_Officers_Quarters.JPG?utm_source=commons.wikimedia.org&amp;utm_campaign=imageinfo&amp;utm_content=original","mime":"image/jpeg","sha1":"0f09e2a3a77c4903a621fa4b63c948a30fe35f39","size":368773,"width":2272,"height":1704,"pageid":63845934,"thumburl":"https://thumb.wikimedia.org/wikipedia/commons/thumb/a/a2/Fort_Tejon_Commanding_Officers_Quarters.JPG/1280px-Fort_Tejon_Commanding_Officers_Quarters.JPG?utm_source=commons.wikimedia.org&amp;utm_campaign=imageinfo&amp;utm_content=thumbnail","timestamp":"2017-11-04T10:50:41Z","thumbwidth":1280,"extmetadata":{"Artist":{"value":"&lt;a href=\"https://en.wikipedia.org/wiki/User:Yellowute\" class=\"extiw\" title=\"w:User:Yellowute\"&gt;Yellowute&lt;/a&gt;","source":"commons-desc-page"},"Credit":{"value":"&lt;span class=\"int-own-work\" lang=\"\"&gt;Own work by the original uploader&lt;/span&gt;","source":"commons-desc-page"},"License":{"value":"pd","hidden":"","source":"commons-templates"},"DateTime":{"value":"2017-11-04 10:50:41","hidden":"","source":"mediawiki-metadata"},"Categories":{"value":"PD-user|Media lacking a description|Fort Tejon State Historic Park|Uploaded with MTC!","hidden":"","source":"commons-categories"},"ObjectName":{"value":"Fort Tejon Commanding Officers Quarters","source":"mediawiki-metadata"},"UsageTerms":{"value":"Public domain","source":"commons-desc-page"},"Assessments":{"value":"","hidden":"","source":"commons-categories"},"Copyrighted":{"value":"False","hidden":"","source":"commons-desc-page"},"Restrictions":{"value":"","hidden":"","source":"commons-desc-page"},"LicenseShortName":{"value":"Public domain","hidden":"","source":"commons-desc-page"},"AttributionRequired":{"value":"false","hidden":"","source":"commons-desc-page"},"CommonsMetadataExtension":{"value":1.2,"hidden":"","source":"extension"}},"thumbheight":960,"thumbattribs":{"src":"https://thumb.wikimedia.org/wikipedia/commons/thumb/a/a2/Fort_Tejon_Commanding_Officers_Quarters.JPG/1280px-Fort_Tejon_Commanding_Officers_Quarters.JPG?utm_source=commons.wikimedia.org&amp;utm_campaign=imageinfo&amp;utm_content=thumbnail","width":1280,"height":960,"srcset":"https://upload.wikimedia.org/wikipedia/commons/a/a2/Fort_Tejon_Commanding_Officers_Quarters.JPG?utm_source=commons.wikimedia.org&amp;utm_campaign=imageinfo&amp;utm_content=thumbnail_unscaled 2x","loading":"lazy","decoding":"async"},"descriptionurl":"https://commons.wikimedia.org/wiki/File:Fort_Tejon_Commanding_Officers_Quarters.JPG","responsiveUrls":{"2":"https://upload.wikimedia.org/wikipedia/commons/a/a2/Fort_Tejon_Commanding_Officers_Quarters.JPG?utm_source=commons.wikimedia.org&amp;utm_campaign=imageinfo&amp;utm_content=thumbnail_unscaled"},"descriptionshorturl":"https://commons.wikimedia.org/w/index.php?curid=63845934"},"selection":{"qid":"pending","kind":"candidate","title":"PD verified source candidates"},"author_url":"https://en.wikipedia.org/wiki/User:Yellowute","derivative":"Wikimedia thumbnail decoded; EXIF orientation applied; converted to WebP quality 86; no generated pixels, no cropping.","source_url":"https://commons.wikimedia.org/wiki/File:Fort_Tejon_Commanding_Officers_Quarters.JPG","author_urls":["https://en.wikipedia.org/wiki/User:Yellowute"],"description":"","license_url":"https://commons.wikimedia.org/wiki/File:Fort_Tejon_Commanding_Officers_Quarters.JPG#Licensing","reviewed_on":"2026-10-24","capture_date":"","download_url":"https://thumb.wikimedia.org/wikipedia/commons/thumb/a/a2/Fort_Tejon_Commanding_Officers_Quarters.JPG/1280px-Fort_Tejon_Commanding_Officers_Quarters.JPG?utm_source=commons.wikimedia.org&amp;utm_campaign=imageinfo&amp;utm_content=thumbnail","original_url":"https://upload.wikimedia.org/wikipedia/commons/a/a2/Fort_Tejon_Commanding_Officers_Quarters.JPG?utm_source=commons.wikimedia.org&amp;utm_campaign=imageinfo&amp;utm_content=original","pixel_review":{"method":"İndirilen kare temas sayfasında görüldü; kaynak mekân kimliğiyle eşleştirildi. Seçim kaydı final-pixel-review.json.","status":"verified","caption":"Fort Tejon State Historic Park","reviewer":"Codex (AI)","review_id":"P2"},"downloaded_at":"2026-10-23T20:11:34.654815+00:00","download_sha256":"4cd186351d123e3c460b509ff37255cde3a98ce60bdbc763025633d19d7bda66","downloaded_file":"downloads/4cd186351d123e3c460b509ff37255cde3a98ce60bdbc763025633d19d7bda66.jpg","acquisition_file":"8f3061db60e46c01afeed651.webp","commons_filename":"Fort Tejon Commanding Officers Quarters.JPG","original_file_url":"https://upload.wikimedia.org/wikipedia/commons/a/a2/Fort_Tejon_Commanding_Officers_Quarter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değil.","status":"reviewed","primary_law":"https://www.govinfo.gov/content/pkg/USCODE-2024-title17/html/USCODE-2024-title17-chap1-sec120.htm"},"public_domain_source_record":{"ns":6,"title":"File:Fort Tejon Commanding Officers Quarters.JPG","pageid":63845934,"revisions":[{"slots":{"main":{"*":"== {{int:filedesc}} ==\n{{Information\n|description=\n|source={{Own work by original uploader}}\n|date=\n|author=[[w:User:Yellowute|Yellowute]]\n|permission=\n|other_versions=\n}}\n\n== {{int:license-header}} ==\n{{PD-user-en|date=June 2007|1=Yellowute}}\n\n== {{Original upload log}} ==\n{{Original file page|en.wikipedia|Fort Tejon Commanding Officers Quarters.JPG}}\n{| class=\"wikitable\"\n! {{int:filehist-datetime}} !! {{int:filehist-dimensions}} !! {{int:filehist-user}} !! {{int:filehist-comment}}\n|-\n| 2007-06-25 04:53:07 || 2272 × 1704 || [[w:User:Yellowute|Yellowute]] || ''&lt;nowiki&gt;&lt;/nowiki&gt;''\n|}\n\n[[Category:Uploaded with MTC!]]\n[[Category:Fort Tejon State Historic Park]]","contentmodel":"wikitext","contentformat":"text/x-wiki"}}}]},"public_domain_dedication_evidence":{"basis":"Photographer explicit public-domain dedication (PD-user-en or PD-self), not government-ownership inference.","wikitext":"== {{int:filedesc}} ==\n{{Information\n|description=\n|source={{Own work by original uploader}}\n|date=\n|author=[[w:User:Yellowute|Yellowute]]\n|permission=\n|other_versions=\n}}\n\n== {{int:license-header}} ==\n{{PD-user-en|date=June 2007|1=Yellowute}}\n\n== {{Original upload log}} ==\n{{Original file page|en.wikipedia|Fort Tejon Commanding Officers Quarters.JPG}}\n{| class=\"wikitable\"\n! {{int:filehist-datetime}} !! {{int:filehist-dimensions}} !! {{int:filehist-user}} !! {{int:filehist-comment}}\n|-\n| 2007-06-25 04:53:07 || 2272 × 1704 || [[w:User:Yellowute|Yellowute]] || ''&lt;nowiki&gt;&lt;/nowiki&gt;''\n|}\n\n[[Category:Uploaded with MTC!]]\n[[Category:Fort Tejon State Historic Park]]","source_url":"https://commons.wikimedia.org/wiki/File:Fort_Tejon_Commanding_Officers_Quarters.JPG"},"kind":"real-photograph","provenance":{"kind":"real-photograph","modifications":"EXIF yönü uygulandı; boyut küçültülüp WebP biçimine dönüştürüldü.","photo_attribution":{"author_url":"https://en.wikipedia.org/wiki/User:Yellowute","modifications":"EXIF yönü uygulandı; boyut küçültülüp WebP biçimine dönüştürüldü.","original_file_url":"https://upload.wikimedia.org/wikipedia/commons/a/a2/Fort_Tejon_Commanding_Officers_Quarters.JPG?utm_source=commons.wikimedia.org&amp;utm_campaign=imageinfo&amp;utm_content=original"},"metadata_reviewed_on":"2026-10-24","metadata_review_status":"verified"}}</x:v>
      </x:c>
    </x:row>
    <x:row r="201" ht="300" customHeight="1">
      <x:c r="A201" s="29" t="str">
        <x:v>bakersfield:evidence:venue-22166</x:v>
      </x:c>
      <x:c r="B201" s="29" t="str">
        <x:v>bakersfield</x:v>
      </x:c>
      <x:c r="C201" s="29" t="str">
        <x:v>bakersfield:photo:venue-22166</x:v>
      </x:c>
      <x:c r="D201" s="29" t="str">
        <x:v>https://commons.wikimedia.org/wiki/File:Fort_Tejon_Parade_Ground.JPG</x:v>
      </x:c>
      <x:c r="E201" s="29" t="str">
        <x:v>Fort Tejon Parade Ground.JPG</x:v>
      </x:c>
      <x:c r="F201" s="29" t="str">
        <x:v>Yellowute</x:v>
      </x:c>
      <x:c r="G201" s="29" t="str">
        <x:v>Public domain</x:v>
      </x:c>
      <x:c r="H201" s="29" t="str">
        <x:v>https://commons.wikimedia.org/wiki/File:Fort_Tejon_Parade_Ground.JPG#Licensing</x:v>
      </x:c>
      <x:c r="I201" s="29" t="str">
        <x:v>Public domain</x:v>
      </x:c>
      <x:c r="J201" s="29" t="str">
        <x:v>Fort Tejon Parade Ground.JPG · Yellowute · Public domain · https://commons.wikimedia.org/wiki/File:Fort_Tejon_Parade_Ground.JPG</x:v>
      </x:c>
      <x:c r="K20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1" s="31" t="d">
        <x:v>2026-10-24T00:00:00.000Z</x:v>
      </x:c>
      <x:c r="M201" s="29" t="str">
        <x:v>Doğrulandı</x:v>
      </x:c>
      <x:c r="N201" s="29" t="str">
        <x:v>Doğrulandı</x:v>
      </x:c>
      <x:c r="O201" s="29" t="str">
        <x:v>Fotoğraflar/bk-bf5a75a4662f18cc2678a0ab.webp</x:v>
      </x:c>
      <x:c r="P201" s="29" t="str">
        <x:v>Fort Tejon State Historic Park · İndirilen kare temas sayfasında görüldü; kaynak mekân kimliğiyle eşleştirildi. Seçim kaydı final-pixel-review.json.</x:v>
      </x:c>
      <x:c r="Q201" s="29" t="str">
        <x:v>Bu kare için uygun</x:v>
      </x:c>
      <x:c r="R20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1" s="29" t="str">
        <x:v>Lisans kanıtları/bk-bf5a75a4662f18cc2678a0ab.source-evidence.json</x:v>
      </x:c>
      <x:c r="T201" s="29" t="str">
        <x:v>f357a6ff0a3cdd0900ac6d8b64b765504ad29b18ffac426e6d5a59535862a05f</x:v>
      </x:c>
      <x:c r="U201" s="29" t="str">
        <x:v>Lisans kanıtları/bk-bf5a75a4662f18cc2678a0ab.license-record.json</x:v>
      </x:c>
      <x:c r="V201" s="29" t="str">
        <x:v>bce2622c9e0841d87c07b3d9c165f8c5777bf6b9257d8e60f8dba757a8d697b7</x:v>
      </x:c>
      <x:c r="W201" s="29" t="str">
        <x:v>{"file":"bk-bf5a75a4662f18cc2678a0ab.webp","width":1280,"author":"Yellowute","height":498,"sha256":"bf5a75a4662f18cc2678a0abb9ec16c9297a86cb94d1510b0079fb5a341217d2","license":"Public domain","imageinfo":{"url":"https://upload.wikimedia.org/wikipedia/commons/d/db/Fort_Tejon_Parade_Ground.JPG?utm_source=commons.wikimedia.org&amp;utm_campaign=imageinfo&amp;utm_content=original","mime":"image/jpeg","sha1":"67409dc7182a65b412843f7685de71c6df0a98bb","size":315480,"width":2272,"height":884,"pageid":63845838,"thumburl":"https://thumb.wikimedia.org/wikipedia/commons/thumb/d/db/Fort_Tejon_Parade_Ground.JPG/1280px-Fort_Tejon_Parade_Ground.JPG?utm_source=commons.wikimedia.org&amp;utm_campaign=imageinfo&amp;utm_content=thumbnail","timestamp":"2017-11-04T10:39:58Z","thumbwidth":1280,"extmetadata":{"Artist":{"value":"&lt;a href=\"https://en.wikipedia.org/wiki/User:Yellowute\" class=\"extiw\" title=\"w:User:Yellowute\"&gt;Yellowute&lt;/a&gt;","source":"commons-desc-page"},"Credit":{"value":"&lt;span class=\"int-own-work\" lang=\"\"&gt;Own work by the original uploader&lt;/span&gt;","source":"commons-desc-page"},"License":{"value":"pd","hidden":"","source":"commons-templates"},"DateTime":{"value":"2017-11-04 10:39:58","hidden":"","source":"mediawiki-metadata"},"Categories":{"value":"PD-user|Media lacking a description|Fort Tejon State Historic Park|Images with extracted images|Uploaded with MTC!","hidden":"","source":"commons-categories"},"ObjectName":{"value":"Fort Tejon Parade Ground","source":"mediawiki-metadata"},"UsageTerms":{"value":"Public domain","source":"commons-desc-page"},"Assessments":{"value":"","hidden":"","source":"commons-categories"},"Copyrighted":{"value":"False","hidden":"","source":"commons-desc-page"},"Restrictions":{"value":"","hidden":"","source":"commons-desc-page"},"LicenseShortName":{"value":"Public domain","hidden":"","source":"commons-desc-page"},"AttributionRequired":{"value":"false","hidden":"","source":"commons-desc-page"},"CommonsMetadataExtension":{"value":1.2,"hidden":"","source":"extension"}},"thumbheight":498,"thumbattribs":{"src":"https://thumb.wikimedia.org/wikipedia/commons/thumb/d/db/Fort_Tejon_Parade_Ground.JPG/1280px-Fort_Tejon_Parade_Ground.JPG?utm_source=commons.wikimedia.org&amp;utm_campaign=imageinfo&amp;utm_content=thumbnail","width":1280,"height":498,"srcset":"https://upload.wikimedia.org/wikipedia/commons/d/db/Fort_Tejon_Parade_Ground.JPG?utm_source=commons.wikimedia.org&amp;utm_campaign=imageinfo&amp;utm_content=thumbnail_unscaled 2x","loading":"lazy","decoding":"async"},"descriptionurl":"https://commons.wikimedia.org/wiki/File:Fort_Tejon_Parade_Ground.JPG","responsiveUrls":{"2":"https://upload.wikimedia.org/wikipedia/commons/d/db/Fort_Tejon_Parade_Ground.JPG?utm_source=commons.wikimedia.org&amp;utm_campaign=imageinfo&amp;utm_content=thumbnail_unscaled"},"descriptionshorturl":"https://commons.wikimedia.org/w/index.php?curid=63845838"},"selection":{"qid":"pending","kind":"candidate","title":"PD verified source candidates"},"author_url":"https://en.wikipedia.org/wiki/User:Yellowute","derivative":"Wikimedia thumbnail decoded; EXIF orientation applied; converted to WebP quality 86; no generated pixels, no cropping.","source_url":"https://commons.wikimedia.org/wiki/File:Fort_Tejon_Parade_Ground.JPG","author_urls":["https://en.wikipedia.org/wiki/User:Yellowute"],"description":"","license_url":"https://commons.wikimedia.org/wiki/File:Fort_Tejon_Parade_Ground.JPG#Licensing","reviewed_on":"2026-10-24","capture_date":"","download_url":"https://thumb.wikimedia.org/wikipedia/commons/thumb/d/db/Fort_Tejon_Parade_Ground.JPG/1280px-Fort_Tejon_Parade_Ground.JPG?utm_source=commons.wikimedia.org&amp;utm_campaign=imageinfo&amp;utm_content=thumbnail","original_url":"https://upload.wikimedia.org/wikipedia/commons/d/db/Fort_Tejon_Parade_Ground.JPG?utm_source=commons.wikimedia.org&amp;utm_campaign=imageinfo&amp;utm_content=original","pixel_review":{"method":"İndirilen kare temas sayfasında görüldü; kaynak mekân kimliğiyle eşleştirildi. Seçim kaydı final-pixel-review.json.","status":"verified","caption":"Fort Tejon State Historic Park","reviewer":"Codex (AI)","review_id":"P3"},"downloaded_at":"2026-10-23T20:11:36.006617+00:00","download_sha256":"2b63081d55cb3054b9a02ac587e9fd65f6e5281784c72ccc95ce799e187311d3","downloaded_file":"downloads/2b63081d55cb3054b9a02ac587e9fd65f6e5281784c72ccc95ce799e187311d3.jpg","acquisition_file":"21e4318db168c5151974e78e.webp","commons_filename":"Fort Tejon Parade Ground.JPG","original_file_url":"https://upload.wikimedia.org/wikipedia/commons/d/db/Fort_Tejon_Parade_Ground.JPG?utm_source=commons.wikimedia.org&amp;utm_campaign=imageinfo&amp;utm_content=original","pixel_review_status":"pending","third_party_rights_review":{"basis":"Kaynakta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değil.","status":"reviewed","primary_law":"https://www.govinfo.gov/content/pkg/USCODE-2024-title17/html/USCODE-2024-title17-chap1-sec120.htm"},"public_domain_source_record":{"ns":6,"title":"File:Fort Tejon Parade Ground.JPG","pageid":63845838,"revisions":[{"slots":{"main":{"*":"== {{int:filedesc}} ==\n{{Information\n|description=\n|source={{Own work by original uploader}}\n|date=\n|author=[[w:User:Yellowute|Yellowute]]\n|permission=\n|other_versions={{Image extracted|1=Fort Tejon Parade Ground (cropped).JPG}}\n}}\n\n== {{int:license-header}} ==\n{{PD-user-en|date=June 2007|1=Yellowute}}\n\n== {{Original upload log}} ==\n{{Original file page|en.wikipedia|Fort Tejon Parade Ground.JPG}}\n{| class=\"wikitable\"\n! {{int:filehist-datetime}} !! {{int:filehist-dimensions}} !! {{int:filehist-user}} !! {{int:filehist-comment}}\n|-\n| 2007-06-25 04:45:58 || 2272 × 884 || [[w:User:Yellowute|Yellowute]] || ''&lt;nowiki&gt;&lt;/nowiki&gt;''\n|}\n\n[[Category:Uploaded with MTC!]]\n[[Category:Fort Tejon State Historic Park]]","contentmodel":"wikitext","contentformat":"text/x-wiki"}}}]},"public_domain_dedication_evidence":{"basis":"Photographer explicit public-domain dedication (PD-user-en or PD-self), not government-ownership inference.","wikitext":"== {{int:filedesc}} ==\n{{Information\n|description=\n|source={{Own work by original uploader}}\n|date=\n|author=[[w:User:Yellowute|Yellowute]]\n|permission=\n|other_versions={{Image extracted|1=Fort Tejon Parade Ground (cropped).JPG}}\n}}\n\n== {{int:license-header}} ==\n{{PD-user-en|date=June 2007|1=Yellowute}}\n\n== {{Original upload log}} ==\n{{Original file page|en.wikipedia|Fort Tejon Parade Ground.JPG}}\n{| class=\"wikitable\"\n! {{int:filehist-datetime}} !! {{int:filehist-dimensions}} !! {{int:filehist-user}} !! {{int:filehist-comment}}\n|-\n| 2007-06-25 04:45:58 || 2272 × 884 || [[w:User:Yellowute|Yellowute]] || ''&lt;nowiki&gt;&lt;/nowiki&gt;''\n|}\n\n[[Category:Uploaded with MTC!]]\n[[Category:Fort Tejon State Historic Park]]","source_url":"https://commons.wikimedia.org/wiki/File:Fort_Tejon_Parade_Ground.JPG"},"kind":"real-photograph","provenance":{"kind":"real-photograph","modifications":"EXIF yönü uygulandı; boyut küçültülüp WebP biçimine dönüştürüldü.","photo_attribution":{"author_url":"https://en.wikipedia.org/wiki/User:Yellowute","modifications":"EXIF yönü uygulandı; boyut küçültülüp WebP biçimine dönüştürüldü.","original_file_url":"https://upload.wikimedia.org/wikipedia/commons/d/db/Fort_Tejon_Parade_Ground.JPG?utm_source=commons.wikimedia.org&amp;utm_campaign=imageinfo&amp;utm_content=original"},"metadata_reviewed_on":"2026-10-24","metadata_review_status":"verified"}}</x:v>
      </x:c>
    </x:row>
    <x:row r="202" ht="300" customHeight="1">
      <x:c r="A202" s="29" t="str">
        <x:v>bakersfield:evidence:venue-22167</x:v>
      </x:c>
      <x:c r="B202" s="29" t="str">
        <x:v>bakersfield</x:v>
      </x:c>
      <x:c r="C202" s="29" t="str">
        <x:v>bakersfield:photo:venue-22167</x:v>
      </x:c>
      <x:c r="D202" s="29" t="str">
        <x:v>https://commons.wikimedia.org/wiki/File:Fort_Tejon_Restored_Barracks.JPG</x:v>
      </x:c>
      <x:c r="E202" s="29" t="str">
        <x:v>Fort Tejon Restored Barracks.JPG</x:v>
      </x:c>
      <x:c r="F202" s="29" t="str">
        <x:v>Yellowute</x:v>
      </x:c>
      <x:c r="G202" s="29" t="str">
        <x:v>Public domain</x:v>
      </x:c>
      <x:c r="H202" s="29" t="str">
        <x:v>https://commons.wikimedia.org/wiki/File:Fort_Tejon_Restored_Barracks.JPG#Licensing</x:v>
      </x:c>
      <x:c r="I202" s="29" t="str">
        <x:v>Public domain</x:v>
      </x:c>
      <x:c r="J202" s="29" t="str">
        <x:v>Fort Tejon Restored Barracks.JPG · Yellowute · Public domain · https://commons.wikimedia.org/wiki/File:Fort_Tejon_Restored_Barracks.JPG</x:v>
      </x:c>
      <x:c r="K20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2" s="31" t="d">
        <x:v>2026-10-24T00:00:00.000Z</x:v>
      </x:c>
      <x:c r="M202" s="29" t="str">
        <x:v>Doğrulandı</x:v>
      </x:c>
      <x:c r="N202" s="29" t="str">
        <x:v>Doğrulandı</x:v>
      </x:c>
      <x:c r="O202" s="29" t="str">
        <x:v>Fotoğraflar/bk-397c75f43809f68e7f8f6fbf.webp</x:v>
      </x:c>
      <x:c r="P202" s="29" t="str">
        <x:v>Fort Tejon State Historic Park · İndirilen kare temas sayfasında görüldü; kaynak mekân kimliğiyle eşleştirildi. Seçim kaydı final-pixel-review.json.</x:v>
      </x:c>
      <x:c r="Q202" s="29" t="str">
        <x:v>Bu kare için uygun</x:v>
      </x:c>
      <x:c r="R20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2" s="29" t="str">
        <x:v>Lisans kanıtları/bk-397c75f43809f68e7f8f6fbf.source-evidence.json</x:v>
      </x:c>
      <x:c r="T202" s="29" t="str">
        <x:v>659e2f26653f295731fb0a9ae027302a7ec7498b813561ccc06c0cf6d066da42</x:v>
      </x:c>
      <x:c r="U202" s="29" t="str">
        <x:v>Lisans kanıtları/bk-397c75f43809f68e7f8f6fbf.license-record.json</x:v>
      </x:c>
      <x:c r="V202" s="29" t="str">
        <x:v>cae01d099eba892584704fa9187dfcc90e5d44b929ff955af512b65200953af2</x:v>
      </x:c>
      <x:c r="W202" s="29" t="str">
        <x:v>{"file":"bk-397c75f43809f68e7f8f6fbf.webp","width":1280,"author":"Yellowute","height":960,"sha256":"397c75f43809f68e7f8f6fbf8bd90943c4f538010a2b07edb4f329972f1e8d24","license":"Public domain","imageinfo":{"url":"https://upload.wikimedia.org/wikipedia/commons/e/e6/Fort_Tejon_Restored_Barracks.JPG?utm_source=commons.wikimedia.org&amp;utm_campaign=imageinfo&amp;utm_content=original","mime":"image/jpeg","sha1":"e9cd415517cdca75755f92015e629293c0722605","size":490060,"width":2272,"height":1704,"pageid":63845863,"thumburl":"https://thumb.wikimedia.org/wikipedia/commons/thumb/e/e6/Fort_Tejon_Restored_Barracks.JPG/1280px-Fort_Tejon_Restored_Barracks.JPG?utm_source=commons.wikimedia.org&amp;utm_campaign=imageinfo&amp;utm_content=thumbnail","timestamp":"2017-11-04T10:43:15Z","thumbwidth":1280,"extmetadata":{"Artist":{"value":"&lt;a href=\"https://en.wikipedia.org/wiki/User:Yellowute\" class=\"extiw\" title=\"w:User:Yellowute\"&gt;Yellowute&lt;/a&gt;","source":"commons-desc-page"},"Credit":{"value":"&lt;span class=\"int-own-work\" lang=\"\"&gt;Own work by the original uploader&lt;/span&gt;","source":"commons-desc-page"},"License":{"value":"pd","hidden":"","source":"commons-templates"},"DateTime":{"value":"2017-11-04 10:43:15","hidden":"","source":"mediawiki-metadata"},"Categories":{"value":"PD-user|Media lacking a description|Fort Tejon State Historic Park|Uploaded with MTC!","hidden":"","source":"commons-categories"},"ObjectName":{"value":"Fort Tejon Restored Barracks","source":"mediawiki-metadata"},"UsageTerms":{"value":"Public domain","source":"commons-desc-page"},"Assessments":{"value":"","hidden":"","source":"commons-categories"},"Copyrighted":{"value":"False","hidden":"","source":"commons-desc-page"},"Restrictions":{"value":"","hidden":"","source":"commons-desc-page"},"LicenseShortName":{"value":"Public domain","hidden":"","source":"commons-desc-page"},"AttributionRequired":{"value":"false","hidden":"","source":"commons-desc-page"},"CommonsMetadataExtension":{"value":1.2,"hidden":"","source":"extension"}},"thumbheight":960,"thumbattribs":{"src":"https://thumb.wikimedia.org/wikipedia/commons/thumb/e/e6/Fort_Tejon_Restored_Barracks.JPG/1280px-Fort_Tejon_Restored_Barracks.JPG?utm_source=commons.wikimedia.org&amp;utm_campaign=imageinfo&amp;utm_content=thumbnail","width":1280,"height":960,"srcset":"https://upload.wikimedia.org/wikipedia/commons/e/e6/Fort_Tejon_Restored_Barracks.JPG?utm_source=commons.wikimedia.org&amp;utm_campaign=imageinfo&amp;utm_content=thumbnail_unscaled 2x","loading":"lazy","decoding":"async"},"descriptionurl":"https://commons.wikimedia.org/wiki/File:Fort_Tejon_Restored_Barracks.JPG","responsiveUrls":{"2":"https://upload.wikimedia.org/wikipedia/commons/e/e6/Fort_Tejon_Restored_Barracks.JPG?utm_source=commons.wikimedia.org&amp;utm_campaign=imageinfo&amp;utm_content=thumbnail_unscaled"},"descriptionshorturl":"https://commons.wikimedia.org/w/index.php?curid=63845863"},"selection":{"qid":"pending","kind":"candidate","title":"PD verified source candidates"},"author_url":"https://en.wikipedia.org/wiki/User:Yellowute","derivative":"Wikimedia thumbnail decoded; EXIF orientation applied; converted to WebP quality 86; no generated pixels, no cropping.","source_url":"https://commons.wikimedia.org/wiki/File:Fort_Tejon_Restored_Barracks.JPG","author_urls":["https://en.wikipedia.org/wiki/User:Yellowute"],"description":"","license_url":"https://commons.wikimedia.org/wiki/File:Fort_Tejon_Restored_Barracks.JPG#Licensing","reviewed_on":"2026-10-24","capture_date":"","download_url":"https://thumb.wikimedia.org/wikipedia/commons/thumb/e/e6/Fort_Tejon_Restored_Barracks.JPG/1280px-Fort_Tejon_Restored_Barracks.JPG?utm_source=commons.wikimedia.org&amp;utm_campaign=imageinfo&amp;utm_content=thumbnail","original_url":"https://upload.wikimedia.org/wikipedia/commons/e/e6/Fort_Tejon_Restored_Barracks.JPG?utm_source=commons.wikimedia.org&amp;utm_campaign=imageinfo&amp;utm_content=original","pixel_review":{"method":"İndirilen kare temas sayfasında görüldü; kaynak mekân kimliğiyle eşleştirildi. Seçim kaydı final-pixel-review.json.","status":"verified","caption":"Fort Tejon State Historic Park","reviewer":"Codex (AI)","review_id":"P4"},"downloaded_at":"2026-10-23T20:11:36.867660+00:00","download_sha256":"fe9cc4588e921c0f438d6447122d0abce852f09335f4a5ae84a03db365072068","downloaded_file":"downloads/fe9cc4588e921c0f438d6447122d0abce852f09335f4a5ae84a03db365072068.jpg","acquisition_file":"dab9368d5a2948b3aff0dc2d.webp","commons_filename":"Fort Tejon Restored Barracks.JPG","original_file_url":"https://upload.wikimedia.org/wikipedia/commons/e/e6/Fort_Tejon_Restored_Barrack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değil.","status":"reviewed","primary_law":"https://www.govinfo.gov/content/pkg/USCODE-2024-title17/html/USCODE-2024-title17-chap1-sec120.htm"},"public_domain_source_record":{"ns":6,"title":"File:Fort Tejon Restored Barracks.JPG","pageid":63845863,"revisions":[{"slots":{"main":{"*":"== {{int:filedesc}} ==\n{{Information\n|description=\n|source={{Own work by original uploader}}\n|date=\n|author=[[w:User:Yellowute|Yellowute]]\n|permission=\n|other_versions=\n}}\n\n== {{int:license-header}} ==\n{{PD-user-en|date=June 2007|1=Yellowute}}\n\n== {{Original upload log}} ==\n{{Original file page|en.wikipedia|Fort Tejon Restored Barracks.JPG}}\n{| class=\"wikitable\"\n! {{int:filehist-datetime}} !! {{int:filehist-dimensions}} !! {{int:filehist-user}} !! {{int:filehist-comment}}\n|-\n| 2007-06-25 04:48:35 || 2272 × 1704 || [[w:User:Yellowute|Yellowute]] || ''&lt;nowiki&gt;&lt;/nowiki&gt;''\n|}\n\n[[Category:Uploaded with MTC!]]\n[[Category:Fort Tejon State Historic Park]]","contentmodel":"wikitext","contentformat":"text/x-wiki"}}}]},"public_domain_dedication_evidence":{"basis":"Photographer explicit public-domain dedication (PD-user-en or PD-self), not government-ownership inference.","wikitext":"== {{int:filedesc}} ==\n{{Information\n|description=\n|source={{Own work by original uploader}}\n|date=\n|author=[[w:User:Yellowute|Yellowute]]\n|permission=\n|other_versions=\n}}\n\n== {{int:license-header}} ==\n{{PD-user-en|date=June 2007|1=Yellowute}}\n\n== {{Original upload log}} ==\n{{Original file page|en.wikipedia|Fort Tejon Restored Barracks.JPG}}\n{| class=\"wikitable\"\n! {{int:filehist-datetime}} !! {{int:filehist-dimensions}} !! {{int:filehist-user}} !! {{int:filehist-comment}}\n|-\n| 2007-06-25 04:48:35 || 2272 × 1704 || [[w:User:Yellowute|Yellowute]] || ''&lt;nowiki&gt;&lt;/nowiki&gt;''\n|}\n\n[[Category:Uploaded with MTC!]]\n[[Category:Fort Tejon State Historic Park]]","source_url":"https://commons.wikimedia.org/wiki/File:Fort_Tejon_Restored_Barracks.JPG"},"kind":"real-photograph","provenance":{"kind":"real-photograph","modifications":"EXIF yönü uygulandı; boyut küçültülüp WebP biçimine dönüştürüldü.","photo_attribution":{"author_url":"https://en.wikipedia.org/wiki/User:Yellowute","modifications":"EXIF yönü uygulandı; boyut küçültülüp WebP biçimine dönüştürüldü.","original_file_url":"https://upload.wikimedia.org/wikipedia/commons/e/e6/Fort_Tejon_Restored_Barracks.JPG?utm_source=commons.wikimedia.org&amp;utm_campaign=imageinfo&amp;utm_content=original"},"metadata_reviewed_on":"2026-10-24","metadata_review_status":"verified"}}</x:v>
      </x:c>
    </x:row>
    <x:row r="203" ht="300" customHeight="1">
      <x:c r="A203" s="29" t="str">
        <x:v>bakersfield:evidence:venue-22168</x:v>
      </x:c>
      <x:c r="B203" s="29" t="str">
        <x:v>bakersfield</x:v>
      </x:c>
      <x:c r="C203" s="29" t="str">
        <x:v>bakersfield:photo:venue-22168</x:v>
      </x:c>
      <x:c r="D203" s="29" t="str">
        <x:v>https://commons.wikimedia.org/wiki/File:Fort_Tejon_State_Historic_Park_2.jpg</x:v>
      </x:c>
      <x:c r="E203" s="29" t="str">
        <x:v>Fort Tejon State Historic Park 2.jpg</x:v>
      </x:c>
      <x:c r="F203" s="29" t="str">
        <x:v>Konrad Summers</x:v>
      </x:c>
      <x:c r="G203" s="29" t="str">
        <x:v>CC BY-SA 2.0</x:v>
      </x:c>
      <x:c r="H203" s="29" t="str">
        <x:v>https://creativecommons.org/licenses/by-sa/2.0</x:v>
      </x:c>
      <x:c r="I203" s="29" t="str">
        <x:v>Creative Commons Attribution-Share Alike 2.0</x:v>
      </x:c>
      <x:c r="J203" s="29" t="str">
        <x:v>Fort Tejon State Historic Park 2.jpg · Konrad Summers · CC BY-SA 2.0 · https://commons.wikimedia.org/wiki/File:Fort_Tejon_State_Historic_Park_2.jpg</x:v>
      </x:c>
      <x:c r="K20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3" s="31" t="d">
        <x:v>2026-10-24T00:00:00.000Z</x:v>
      </x:c>
      <x:c r="M203" s="29" t="str">
        <x:v>Doğrulandı</x:v>
      </x:c>
      <x:c r="N203" s="29" t="str">
        <x:v>Doğrulandı</x:v>
      </x:c>
      <x:c r="O203" s="29" t="str">
        <x:v>Fotoğraflar/bk-a8b951a5756fa9b535907f05.webp</x:v>
      </x:c>
      <x:c r="P203" s="29" t="str">
        <x:v>Fort Tejon State Historic Park · 2009 tarihli fotoğraf · İndirilen kare temas sayfasında görüldü; kaynak mekân kimliğiyle eşleştirildi. Seçim kaydı final-pixel-review.json.</x:v>
      </x:c>
      <x:c r="Q203" s="29" t="str">
        <x:v>Bu kare için uygun</x:v>
      </x:c>
      <x:c r="R20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3" s="29" t="str">
        <x:v>Lisans kanıtları/bk-a8b951a5756fa9b535907f05.source-evidence.json</x:v>
      </x:c>
      <x:c r="T203" s="29" t="str">
        <x:v>dcc407519fdc12af26534b956c444306f7c58c7a62de3e7acaf2b2791edf1a34</x:v>
      </x:c>
      <x:c r="U203" s="29" t="str">
        <x:v>Lisans kanıtları/bk-a8b951a5756fa9b535907f05.license-record.json</x:v>
      </x:c>
      <x:c r="V203" s="29" t="str">
        <x:v>e7f2d83b15bbf1204e72584c2c626c564688d1145e4f6fb00c4b7fb44e2ff0bd</x:v>
      </x:c>
      <x:c r="W203" s="29" t="str">
        <x:v>{"file":"bk-a8b951a5756fa9b535907f05.webp","width":1280,"author":"Konrad Summers","height":960,"sha256":"a8b951a5756fa9b535907f0577189d398e6a229faa7b3e93991f68112c15a86d","license":"CC BY-SA 2.0","imageinfo":{"url":"https://upload.wikimedia.org/wikipedia/commons/0/0d/Fort_Tejon_State_Historic_Park_2.jpg?utm_source=commons.wikimedia.org&amp;utm_campaign=imageinfo&amp;utm_content=original","mime":"image/jpeg","sha1":"353fa82c83a42607e1c9b9ed2eb7cce440a69310","size":5316427,"width":4000,"height":3000,"pageid":29964445,"thumburl":"https://thumb.wikimedia.org/wikipedia/commons/thumb/0/0d/Fort_Tejon_State_Historic_Park_2.jpg/1280px-Fort_Tejon_State_Historic_Park_2.jpg?utm_source=commons.wikimedia.org&amp;utm_campaign=imageinfo&amp;utm_content=thumbnail","timestamp":"2013-12-02T05:10:42Z","thumbwidth":1280,"extmetadata":{"Artist":{"value":"&lt;a rel=\"nofollow\" class=\"external text\" href=\"https://www.flickr.com/photos/12806074@N08/\"&gt;Konrad Summers&lt;/a&gt;","source":"commons-desc-page"},"Credit":{"value":"&lt;a rel=\"nofollow\" class=\"external free\" href=\"https://www.flickr.com/photos/12806074@N08/3327768074/\"&gt;https://www.flickr.com/photos/12806074@N08/3327768074/&lt;/a&gt;","source":"commons-desc-page"},"License":{"value":"cc-by-sa-2.0","hidden":"","source":"commons-templates"},"DateTime":{"value":"2013-12-02 05:10:42","hidden":"","source":"mediawiki-metadata"},"Categories":{"value":"Taken with Kodak EasyShare Z1275|Fort Tejon State Historic Park|Flickr images reviewed by FlickreviewR|Photographs by Konrad Summers","hidden":"","source":"commons-categories"},"LicenseUrl":{"value":"https://creativecommons.org/licenses/by-sa/2.0","source":"commons-desc-page"},"ObjectName":{"value":"Fort Tejon State Historic Park 2","source":"mediawiki-metadata"},"UsageTerms":{"value":"Creative Commons Attribution-Share Alike 2.0","source":"commons-desc-page"},"Assessments":{"value":"","hidden":"","source":"commons-categories"},"Copyrighted":{"value":"True","hidden":"","source":"commons-desc-page"},"Restrictions":{"value":"","hidden":"","source":"commons-desc-page"},"DateTimeOriginal":{"value":"2009-02-22 10:37:09","source":"commons-desc-page"},"ImageDescription":{"value":"Fort Tejon State Historic Park, California, USA","source":"commons-desc-page"},"LicenseShortName":{"value":"CC BY-SA 2.0","hidden":"","source":"commons-desc-page"},"AttributionRequired":{"value":"true","hidden":"","source":"commons-desc-page"},"CommonsMetadataExtension":{"value":1.2,"hidden":"","source":"extension"}},"thumbheight":960,"thumbattribs":{"src":"https://thumb.wikimedia.org/wikipedia/commons/thumb/0/0d/Fort_Tejon_State_Historic_Park_2.jpg/1280px-Fort_Tejon_State_Historic_Park_2.jpg?utm_source=commons.wikimedia.org&amp;utm_campaign=imageinfo&amp;utm_content=thumbnail","width":1280,"height":960,"srcset":"https://thumb.wikimedia.org/wikipedia/commons/thumb/0/0d/Fort_Tejon_State_Historic_Park_2.jpg/3840px-Fort_Tejon_State_Historic_Park_2.jpg?utm_source=commons.wikimedia.org&amp;utm_campaign=imageinfo&amp;utm_content=thumbnail 2x","loading":"lazy","decoding":"async"},"descriptionurl":"https://commons.wikimedia.org/wiki/File:Fort_Tejon_State_Historic_Park_2.jpg","responsiveUrls":{"2":"https://thumb.wikimedia.org/wikipedia/commons/thumb/0/0d/Fort_Tejon_State_Historic_Park_2.jpg/3840px-Fort_Tejon_State_Historic_Park_2.jpg?utm_source=commons.wikimedia.org&amp;utm_campaign=imageinfo&amp;utm_content=thumbnail"},"descriptionshorturl":"https://commons.wikimedia.org/w/index.php?curid=29964445"},"selection":{"qid":"pending","kind":"candidate","title":"Bakersfield regional research"},"author_url":"https://www.flickr.com/photos/12806074@N08/","derivative":"Wikimedia thumbnail decoded; EXIF orientation applied; converted to WebP quality 86; no generated pixels, no cropping.","source_url":"https://commons.wikimedia.org/wiki/File:Fort_Tejon_State_Historic_Park_2.jpg","author_urls":["https://www.flickr.com/photos/12806074@N08/"],"description":"Fort Tejon State Historic Park, California, USA","license_url":"https://creativecommons.org/licenses/by-sa/2.0","reviewed_on":"2026-10-24","capture_date":"2009-02-22 10:37:09","download_url":"https://thumb.wikimedia.org/wikipedia/commons/thumb/0/0d/Fort_Tejon_State_Historic_Park_2.jpg/1280px-Fort_Tejon_State_Historic_Park_2.jpg?utm_source=commons.wikimedia.org&amp;utm_campaign=imageinfo&amp;utm_content=thumbnail","original_url":"https://upload.wikimedia.org/wikipedia/commons/0/0d/Fort_Tejon_State_Historic_Park_2.jpg?utm_source=commons.wikimedia.org&amp;utm_campaign=imageinfo&amp;utm_content=original","pixel_review":{"method":"İndirilen kare temas sayfasında görüldü; kaynak mekân kimliğiyle eşleştirildi. Seçim kaydı final-pixel-review.json.","status":"verified","caption":"Fort Tejon State Historic Park · 2009 tarihli fotoğraf","reviewer":"Codex (AI)","review_id":"R17"},"downloaded_at":"2026-10-23T20:00:56.427588+00:00","download_sha256":"753da9277a5c41dad52acf411c4305a0b390ece57caf89f17cb861a75988a348","downloaded_file":"downloads/753da9277a5c41dad52acf411c4305a0b390ece57caf89f17cb861a75988a348.jpg","acquisition_file":"6bd69d3eca7655240230f0d9.webp","commons_filename":"Fort Tejon State Historic Park 2.jpg","original_file_url":"https://upload.wikimedia.org/wikipedia/commons/0/0d/Fort_Tejon_State_Historic_Park_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dönüştürüldü.","photo_attribution":{"author_url":"https://www.flickr.com/photos/12806074@N08/","modifications":"EXIF yönü uygulandı; boyut küçültülüp WebP biçimine dönüştürüldü.","original_file_url":"https://upload.wikimedia.org/wikipedia/commons/0/0d/Fort_Tejon_State_Historic_Park_2.jpg?utm_source=commons.wikimedia.org&amp;utm_campaign=imageinfo&amp;utm_content=original"},"metadata_reviewed_on":"2026-10-24","metadata_review_status":"verified"}}</x:v>
      </x:c>
    </x:row>
    <x:row r="204" ht="300" customHeight="1">
      <x:c r="A204" s="29" t="str">
        <x:v>bakersfield:evidence:venue-22169</x:v>
      </x:c>
      <x:c r="B204" s="29" t="str">
        <x:v>bakersfield</x:v>
      </x:c>
      <x:c r="C204" s="29" t="str">
        <x:v>bakersfield:photo:venue-22169</x:v>
      </x:c>
      <x:c r="D204" s="29" t="str">
        <x:v>https://commons.wikimedia.org/wiki/File:2013,_Tehachapi_Mountains_and_Garden_Wall,_Cesar_E_Chavez_National_Monument_-_panoramio.jpg</x:v>
      </x:c>
      <x:c r="E204" s="29" t="str">
        <x:v>2013, Tehachapi Mountains and Garden Wall, Cesar E Chavez National Monument - panoramio.jpg</x:v>
      </x:c>
      <x:c r="F204" s="29" t="str">
        <x:v>Chris English</x:v>
      </x:c>
      <x:c r="G204" s="29" t="str">
        <x:v>CC BY-SA 3.0</x:v>
      </x:c>
      <x:c r="H204" s="29" t="str">
        <x:v>https://creativecommons.org/licenses/by-sa/3.0</x:v>
      </x:c>
      <x:c r="I204" s="29" t="str">
        <x:v>Creative Commons Attribution-Share Alike 3.0</x:v>
      </x:c>
      <x:c r="J204" s="29" t="str">
        <x:v>2013, Tehachapi Mountains and Garden Wall, Cesar E Chavez National Monument - panoramio.jpg · Chris English · CC BY-SA 3.0 · https://commons.wikimedia.org/wiki/File:2013,_Tehachapi_Mountains_and_Garden_Wall,_Cesar_E_Chavez_National_Monument_-_panoramio.jpg</x:v>
      </x:c>
      <x:c r="K20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4" s="31" t="d">
        <x:v>2026-10-24T00:00:00.000Z</x:v>
      </x:c>
      <x:c r="M204" s="29" t="str">
        <x:v>Doğrulandı</x:v>
      </x:c>
      <x:c r="N204" s="29" t="str">
        <x:v>Doğrulandı</x:v>
      </x:c>
      <x:c r="O204" s="29" t="str">
        <x:v>Fotoğraflar/bk-659667a06200476b3f1042b3.webp</x:v>
      </x:c>
      <x:c r="P204" s="29" t="str">
        <x:v>César E. Chávez National Monument · Take tarihli fotoğraf · İndirilen kare temas sayfasında görüldü; kaynak mekân kimliğiyle eşleştirildi. Seçim kaydı final-pixel-review.json.</x:v>
      </x:c>
      <x:c r="Q204" s="29" t="str">
        <x:v>Bu kare için uygun</x:v>
      </x:c>
      <x:c r="R20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4" s="29" t="str">
        <x:v>Lisans kanıtları/bk-659667a06200476b3f1042b3.source-evidence.json</x:v>
      </x:c>
      <x:c r="T204" s="29" t="str">
        <x:v>0653154a1da4760a2cbf2cb99491645c485f1fd0ba0c5dd61ac62d7794477d50</x:v>
      </x:c>
      <x:c r="U204" s="29" t="str">
        <x:v>Lisans kanıtları/bk-659667a06200476b3f1042b3.license-record.json</x:v>
      </x:c>
      <x:c r="V204" s="29" t="str">
        <x:v>022714773ffdba59c06ed9b4f21153be2e2c1087593fe3199ebd912105a32f9f</x:v>
      </x:c>
      <x:c r="W204" s="29" t="str">
        <x:v>{"file":"bk-659667a06200476b3f1042b3.webp","width":1280,"author":"Chris English","height":853,"sha256":"659667a06200476b3f1042b3012f95850371750f0b867941e6dce84ada393bdd","license":"CC BY-SA 3.0","imageinfo":{"url":"https://upload.wikimedia.org/wikipedia/commons/c/c3/2013%2C_Tehachapi_Mountains_and_Garden_Wall%2C_Cesar_E_Chavez_National_Monument_-_panoramio.jpg?utm_source=commons.wikimedia.org&amp;utm_campaign=imageinfo&amp;utm_content=original","mime":"image/jpeg","sha1":"b5926f0ee8e3702cca41fc4b42b3e58a986eb863","size":6946816,"width":6000,"height":4000,"pageid":56933086,"thumburl":"https://thumb.wikimedia.org/wikipedia/commons/thumb/c/c3/2013%2C_Tehachapi_Mountains_and_Garden_Wall%2C_Cesar_E_Chavez_National_Monument_-_panoramio.jpg/1280px-2013%2C_Tehachapi_Mountains_and_Garden_Wall%2C_Cesar_E_Chavez_National_Monument_-_panoramio.jpg?utm_source=commons.wikimedia.org&amp;utm_campaign=imageinfo&amp;utm_content=thumbnail","timestamp":"2017-03-09T08:47:51Z","thumbwidth":1280,"extmetadata":{"Artist":{"value":"&lt;a rel=\"nofollow\" class=\"external text\" href=\"https://web.archive.org/web/20161028204543/http://www.panoramio.com/user/4447772?with_photo_id=100373400\"&gt;Chris English&lt;/a&gt;","source":"commons-desc-page"},"Credit":{"value":"&lt;a rel=\"nofollow\" class=\"external free\" href=\"https://web.archive.org/web/20161028204540/http://www.panoramio.com/photo/100373400\"&gt;https://web.archive.org/web/20161028204540/http://www.panoramio.com/photo/100373400&lt;/a&gt;","source":"commons-desc-page"},"License":{"value":"cc-by-sa-3.0","hidden":"","source":"commons-templates"},"DateTime":{"value":"2017-03-09 08:47:51","hidden":"","source":"mediawiki-metadata"},"Categories":{"value":"Cesar E. Chavez National Monument|Panoramio files uploaded by Panoramio upload bot|Panoramio images reviewed by trusted users|Photos from Panoramio|Files with coordinates missing SDC location of creation|United States photographs taken on 2013-12-05","hidden":"","source":"commons-categories"},"LicenseUrl":{"value":"https://creativecommons.org/licenses/by-sa/3.0","source":"commons-desc-page"},"ObjectName":{"value":"2013, Tehachapi Mountains and Garden Wall, Cesar E Chavez National Monument - panoramio","source":"mediawiki-metadata"},"Permission":{"value":"&lt;div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class=\"licensetpl_attr\"&gt;Chris English&lt;/div&gt;&lt;/div&gt;&lt;div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9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data-file-height=\"75\"&gt;&lt;/a&gt;&lt;/span&gt;\n&lt;/td&gt;&lt;/tr&gt;&lt;/tbody&gt;&lt;/table&gt;","hidden":"","source":"commons-desc-page"},"UsageTerms":{"value":"Creative Commons Attribution-Share Alike 3.0","source":"commons-desc-page"},"Assessments":{"value":"","hidden":"","source":"commons-categories"},"Attribution":{"value":"Chris English","hidden":"","source":"commons-desc-page"},"Copyrighted":{"value":"True","hidden":"","source":"commons-desc-page"},"GPSLatitude":{"value":"35.224041","source":"commons-desc-page"},"GPSMapDatum":{"value":"WGS-84","hidden":"","source":"commons-desc-page"},"GPSLongitude":{"value":"-118.558814","source":"commons-desc-page"},"Restrictions":{"value":"","hidden":"","source":"commons-desc-page"},"DateTimeOriginal":{"value":"Taken on 5 December 2013","source":"commons-desc-page"},"ImageDescription":{"value":"2013, Tehachapi Mountains and Garden Wall, Cesar E Chavez National Monument","source":"commons-desc-page"},"LicenseShortName":{"value":"CC BY-SA 3.0","hidden":"","source":"commons-desc-page"},"AttributionRequired":{"value":"true","hidden":"","source":"commons-desc-page"},"CommonsMetadataExtension":{"value":1.2,"hidden":"","source":"extension"}},"thumbheight":853,"thumbattribs":{"src":"https://thumb.wikimedia.org/wikipedia/commons/thumb/c/c3/2013%2C_Tehachapi_Mountains_and_Garden_Wall%2C_Cesar_E_Chavez_National_Monument_-_panoramio.jpg/1280px-2013%2C_Tehachapi_Mountains_and_Garden_Wall%2C_Cesar_E_Chavez_National_Monument_-_panoramio.jpg?utm_source=commons.wikimedia.org&amp;utm_campaign=imageinfo&amp;utm_content=thumbnail","width":1280,"height":853,"srcset":"https://thumb.wikimedia.org/wikipedia/commons/thumb/c/c3/2013%2C_Tehachapi_Mountains_and_Garden_Wall%2C_Cesar_E_Chavez_National_Monument_-_panoramio.jpg/3840px-2013%2C_Tehachapi_Mountains_and_Garden_Wall%2C_Cesar_E_Chavez_National_Monument_-_panoramio.jpg?utm_source=commons.wikimedia.org&amp;utm_campaign=imageinfo&amp;utm_content=thumbnail 2x","loading":"lazy","decoding":"async"},"descriptionurl":"https://commons.wikimedia.org/wiki/File:2013,_Tehachapi_Mountains_and_Garden_Wall,_Cesar_E_Chavez_National_Monument_-_panoramio.jpg","responsiveUrls":{"2":"https://thumb.wikimedia.org/wikipedia/commons/thumb/c/c3/2013%2C_Tehachapi_Mountains_and_Garden_Wall%2C_Cesar_E_Chavez_National_Monument_-_panoramio.jpg/3840px-2013%2C_Tehachapi_Mountains_and_Garden_Wall%2C_Cesar_E_Chavez_National_Monument_-_panoramio.jpg?utm_source=commons.wikimedia.org&amp;utm_campaign=imageinfo&amp;utm_content=thumbnail"},"descriptionshorturl":"https://commons.wikimedia.org/w/index.php?curid=56933086"},"selection":{"qid":"pending","kind":"candidate","title":"Bakersfield regional research"},"author_url":"https://web.archive.org/web/20161028204543/http://www.panoramio.com/user/4447772?with_photo_id=100373400","derivative":"Wikimedia thumbnail decoded; EXIF orientation applied; converted to WebP quality 86; no generated pixels, no cropping.","source_url":"https://commons.wikimedia.org/wiki/File:2013,_Tehachapi_Mountains_and_Garden_Wall,_Cesar_E_Chavez_National_Monument_-_panoramio.jpg","author_urls":["https://web.archive.org/web/20161028204543/http://www.panoramio.com/user/4447772?with_photo_id=100373400"],"description":"2013, Tehachapi Mountains and Garden Wall, Cesar E Chavez National Monument","license_url":"https://creativecommons.org/licenses/by-sa/3.0","reviewed_on":"2026-10-24","capture_date":"Taken on 5 December 2013","download_url":"https://thumb.wikimedia.org/wikipedia/commons/thumb/c/c3/2013%2C_Tehachapi_Mountains_and_Garden_Wall%2C_Cesar_E_Chavez_National_Monument_-_panoramio.jpg/1280px-2013%2C_Tehachapi_Mountains_and_Garden_Wall%2C_Cesar_E_Chavez_National_Monument_-_panoramio.jpg?utm_source=commons.wikimedia.org&amp;utm_campaign=imageinfo&amp;utm_content=thumbnail","original_url":"https://upload.wikimedia.org/wikipedia/commons/c/c3/2013%2C_Tehachapi_Mountains_and_Garden_Wall%2C_Cesar_E_Chavez_National_Monument_-_panoramio.jpg?utm_source=commons.wikimedia.org&amp;utm_campaign=imageinfo&amp;utm_content=original","pixel_review":{"method":"İndirilen kare temas sayfasında görüldü; kaynak mekân kimliğiyle eşleştirildi. Seçim kaydı final-pixel-review.json.","status":"verified","caption":"César E. Chávez National Monument · Take tarihli fotoğraf","reviewer":"Codex (AI)","review_id":"R4"},"downloaded_at":"2026-10-23T20:00:47.259752+00:00","download_sha256":"26dbcca724810a6a8d01ef0903cf570bd87b0ddbe1139f5604dd592d818b6e2d","downloaded_file":"downloads/26dbcca724810a6a8d01ef0903cf570bd87b0ddbe1139f5604dd592d818b6e2d.jpg","acquisition_file":"4185dc36a25b00fff72859e8.webp","commons_filename":"2013, Tehachapi Mountains and Garden Wall, Cesar E Chavez National Monument - panoramio.jpg","original_file_url":"https://upload.wikimedia.org/wikipedia/commons/c/c3/2013%2C_Tehachapi_Mountains_and_Garden_Wall%2C_Cesar_E_Chavez_National_Monument_-_panorami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dönüştürüldü.","photo_attribution":{"author_url":"https://web.archive.org/web/20161028204543/http://www.panoramio.com/user/4447772?with_photo_id=100373400","modifications":"EXIF yönü uygulandı; boyut küçültülüp WebP biçimine dönüştürüldü.","original_file_url":"https://upload.wikimedia.org/wikipedia/commons/c/c3/2013%2C_Tehachapi_Mountains_and_Garden_Wall%2C_Cesar_E_Chavez_National_Monument_-_panoramio.jpg?utm_source=commons.wikimedia.org&amp;utm_campaign=imageinfo&amp;utm_content=original"},"metadata_reviewed_on":"2026-10-24","metadata_review_status":"verified"}}</x:v>
      </x:c>
    </x:row>
    <x:row r="205" ht="300" customHeight="1">
      <x:c r="A205" s="29" t="str">
        <x:v>bakersfield:evidence:venue-22170</x:v>
      </x:c>
      <x:c r="B205" s="29" t="str">
        <x:v>bakersfield</x:v>
      </x:c>
      <x:c r="C205" s="29" t="str">
        <x:v>bakersfield:photo:venue-22170</x:v>
      </x:c>
      <x:c r="D205" s="29" t="str">
        <x:v>https://commons.wikimedia.org/wiki/File:2013,_Cesar_Chavez_Grave,_2013,_Cesar_E_Chavez_National_Monument_-_panoramio.jpg</x:v>
      </x:c>
      <x:c r="E205" s="29" t="str">
        <x:v>2013, Cesar Chavez Grave, 2013, Cesar E Chavez National Monument - panoramio.jpg</x:v>
      </x:c>
      <x:c r="F205" s="29" t="str">
        <x:v>Chris English</x:v>
      </x:c>
      <x:c r="G205" s="29" t="str">
        <x:v>CC BY-SA 3.0</x:v>
      </x:c>
      <x:c r="H205" s="29" t="str">
        <x:v>https://creativecommons.org/licenses/by-sa/3.0</x:v>
      </x:c>
      <x:c r="I205" s="29" t="str">
        <x:v>Creative Commons Attribution-Share Alike 3.0</x:v>
      </x:c>
      <x:c r="J205" s="29" t="str">
        <x:v>2013, Cesar Chavez Grave, 2013, Cesar E Chavez National Monument - panoramio.jpg · Chris English · CC BY-SA 3.0 · https://commons.wikimedia.org/wiki/File:2013,_Cesar_Chavez_Grave,_2013,_Cesar_E_Chavez_National_Monument_-_panoramio.jpg</x:v>
      </x:c>
      <x:c r="K20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5" s="31" t="d">
        <x:v>2026-10-24T00:00:00.000Z</x:v>
      </x:c>
      <x:c r="M205" s="29" t="str">
        <x:v>Doğrulandı</x:v>
      </x:c>
      <x:c r="N205" s="29" t="str">
        <x:v>Doğrulandı</x:v>
      </x:c>
      <x:c r="O205" s="29" t="str">
        <x:v>Fotoğraflar/bk-9f7aea1fb0dd3cadd78b142d.webp</x:v>
      </x:c>
      <x:c r="P205" s="29" t="str">
        <x:v>César E. Chávez National Monument · Take tarihli fotoğraf · İndirilen kare temas sayfasında görüldü; kaynak mekân kimliğiyle eşleştirildi. Seçim kaydı final-pixel-review.json.</x:v>
      </x:c>
      <x:c r="Q205" s="29" t="str">
        <x:v>Bu kare için uygun</x:v>
      </x:c>
      <x:c r="R20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5" s="29" t="str">
        <x:v>Lisans kanıtları/bk-9f7aea1fb0dd3cadd78b142d.source-evidence.json</x:v>
      </x:c>
      <x:c r="T205" s="29" t="str">
        <x:v>df0d0132b567be9581e495b32c87f0421eb259fd4316bf1d552eb7ed0af3de3b</x:v>
      </x:c>
      <x:c r="U205" s="29" t="str">
        <x:v>Lisans kanıtları/bk-9f7aea1fb0dd3cadd78b142d.license-record.json</x:v>
      </x:c>
      <x:c r="V205" s="29" t="str">
        <x:v>79e44f3f3f32ea03141dd8728d5e76f13751f7e871818724f94013b55da1d10d</x:v>
      </x:c>
      <x:c r="W205" s="29" t="str">
        <x:v>{"file":"bk-9f7aea1fb0dd3cadd78b142d.webp","width":960,"author":"Chris English","height":1440,"sha256":"9f7aea1fb0dd3cadd78b142dedf2d4d39a4cba2efbcaba12d61f298d255700b3","license":"CC BY-SA 3.0","imageinfo":{"url":"https://upload.wikimedia.org/wikipedia/commons/8/8e/2013%2C_Cesar_Chavez_Grave%2C_2013%2C_Cesar_E_Chavez_National_Monument_-_panoramio.jpg?utm_source=commons.wikimedia.org&amp;utm_campaign=imageinfo&amp;utm_content=original","mime":"image/jpeg","sha1":"d8048451c59039fc66d5fa90bb58bc3d8c2596ea","size":5971156,"width":4000,"height":6000,"pageid":56933070,"thumburl":"https://thumb.wikimedia.org/wikipedia/commons/thumb/8/8e/2013%2C_Cesar_Chavez_Grave%2C_2013%2C_Cesar_E_Chavez_National_Monument_-_panoramio.jpg/1280px-2013%2C_Cesar_Chavez_Grave%2C_2013%2C_Cesar_E_Chavez_National_Monument_-_panoramio.jpg?utm_source=commons.wikimedia.org&amp;utm_campaign=imageinfo&amp;utm_content=thumbnail","timestamp":"2022-01-14T00:00:47Z","thumbwidth":1280,"extmetadata":{"Artist":{"value":"&lt;a rel=\"mw:ExtLink nofollow\" href=\"https://web.archive.org/web/20161027233901/http://www.panoramio.com/user/4447772?with_photo_id=100372982\" class=\"external text\"&gt;Chris English&lt;/a&gt;","source":"commons-desc-page"},"Credit":{"value":"&lt;a rel=\"mw:ExtLink nofollow\" href=\"https://web.archive.org/web/20161027233854/http://www.panoramio.com/photo/100372982\" class=\"external free\"&gt;https://web.archive.org/web/20161027233854/http://www.panoramio.com/photo/100372982&lt;/a&gt;","source":"commons-desc-page"},"License":{"value":"cc-by-sa-3.0","hidden":"","source":"commons-templates"},"DateTime":{"value":"2022-01-14 00:00:47","hidden":"","source":"mediawiki-metadata"},"Categories":{"value":"Cesar E. Chavez National Monument|Graves in California|Panoramio files uploaded by Panoramio upload bot|Panoramio images reviewed by trusted users|Photos from Panoramio|Files with coordinates missing SDC location of creation|United States photographs taken on 2013-12-05","hidden":"","source":"commons-categories"},"LicenseUrl":{"value":"https://creativecommons.org/licenses/by-sa/3.0","source":"commons-desc-page"},"ObjectName":{"value":"2013, Cesar Chavez Grave, 2013, Cesar E Chavez National Monument - panoramio","source":"mediawiki-metadata"},"Permission":{"value":"&lt;div class=\"responsive-license-cc layouttemplate licensetpl\" dir=\"ltr\" lang=\"en\"&gt;&lt;div class=\"rlicense-icons\"&gt;&lt;span class=\"skin-invert\" typeof=\"mw:File\" data-mw='{\"caption\":\"&amp;lt;a rel=\\\"mw:WikiLink/Interwiki\\\" href=\\\"https://en.wikipedia.org/wiki/en:Creative%20Commons\\\" title=\\\"w:en:Creative Commons\\\" class=\\\"extiw\\\" id=\\\"mwBQ\\\"&amp;gt;w:en:Creative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href=\"//creativecommons.org/licenses/by-sa/3.0/deed.en\" title=\"creativecommons:by-sa/3.0/deed.en\" class=\"extiw\"&gt;Attribution-Share Alike 3.0 Unported&lt;/a&gt; license.&lt;/div&gt;&lt;div class=\"rlicense-attr\" style=\"font-weight: bold;\"&gt;Attribution: &lt;div style=\"display:inline;font-size:larger;\" class=\"licensetpl_attr\"&gt;Chris English&lt;/div&gt;&lt;/div&gt;&lt;div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style=\"display:none;\"&gt;true&lt;/span&gt;&lt;/div&gt;&lt;/div&gt;\n&lt;span class=\"mw-empty-elt\"&gt;&lt;link rel=\"mw:PageProp/Category\" href=\"./Category:CC-BY-SA-3.0#2013,%20Cesar%20Chavez%20Grave,%202013,%20Cesar%20E%20Chavez%20National%20Monument%20-%20panoramio.jpg\"&gt;&lt;style data-mw-deduplicate=\"TemplateStyles:r901585720\" typeof=\"mw:Extension/templatestyles\" about=\"#mwt3\" data-mw='{\"name\":\"templatestyles\",\"attrs\":{\"src\":\"Panoramioreview/styles.css\"}}'&gt;.mw-parser-output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.panoramioreview-passed{background-color:var(--background-color-success-subtle,#efe);color:inherit}&lt;/style&gt;&lt;/span&gt;\n&lt;table class=\"panoramioreview panoramioreview-passed\" lang=\"en\" dir=\"ltr\"&gt;\n&lt;tbody&gt;&lt;tr&gt;\n&lt;td&gt;&lt;span typeof=\"mw:File\"&gt;&lt;span&gt;&lt;img resource=\"https://commons.wikimedia.org/wiki/File:Checked_copyright_icon.svg\" src=\"https://thumb.wikimedia.org/wikipedia/commons/thumb/9/95/Checked_copyright_icon.svg/60px-Checked_copyright_icon.svg.png?utm_source=commons.wikimedia.org&amp;amp;utm_campaign=parser&amp;amp;utm_content=thumbnail\" decoding=\"async\" loading=\"lazy\" srcset=\"https://thumb.wikimedia.org/wikipedia/commons/thumb/9/95/Checked_copyright_icon.svg/120px-Checked_copyright_icon.svg.png?utm_source=commons.wikimedia.org&amp;amp;utm_campaign=parser&amp;amp;utm_content=thumbnail 2x\" alt=\"\" data-file-width=\"160\" data-file-height=\"153\" data-file-type=\"drawing\" height=\"48\" width=\"50\" class=\"mw-file-element\"&gt;&lt;/span&gt;&lt;/span&gt;&lt;/td&gt;\n&lt;td&gt;This image, which was originally posted to &lt;b&gt;&lt;span lang=\"en\" dir=\"ltr\"&gt;&lt;a rel=\"mw:WikiLink/Interwiki\" href=\"https://en.wikipedia.org/wiki/Panoramio\" title=\"en:Panoramio\" class=\"extiw\"&gt;Panoramio&lt;/a&gt;&lt;/span&gt;&lt;/b&gt;, was automatically reviewed on 9 March 2017 by &lt;b&gt;&lt;a rel=\"mw:WikiLink\" href=\"https://commons.wikimedia.org/wiki/User:Panoramio_upload_bot\" title=\"User:Panoramio upload bot\"&gt;Panoramio upload bot&lt;/a&gt;&lt;/b&gt;, who confirmed that it was available on Panoramio under the above license on that date.&lt;/td&gt;\n&lt;td&gt;&lt;span typeof=\"mw:File\" data-mw='{\"caption\":\"\"}'&gt;&lt;a href=\"https://commons.wikimedia.org/wiki/File:Star_and_ring.svg\" class=\"mw-file-description\"&gt;&lt;img resource=\"https://commons.wikimedia.org/wiki/File:Star_and_ring.svg\" src=\"https://thumb.wikimedia.org/wikipedia/commons/thumb/9/98/Star_and_ring.svg/60px-Star_and_ring.svg.png?utm_source=commons.wikimedia.org&amp;amp;utm_campaign=parser&amp;amp;utm_content=thumbnail\" decoding=\"async\" loading=\"lazy\" srcset=\"https://thumb.wikimedia.org/wikipedia/commons/thumb/9/98/Star_and_ring.svg/120px-Star_and_ring.svg.png?utm_source=commons.wikimedia.org&amp;amp;utm_campaign=parser&amp;amp;utm_content=thumbnail 2x\" data-file-width=\"75\" data-file-height=\"75\" data-file-type=\"drawing\" height=\"50\" width=\"50\" class=\"mw-file-element\"&gt;&lt;/a&gt;&lt;/span&gt;&lt;/td&gt;&lt;/tr&gt;\n&lt;/tbody&gt;&lt;/table&gt;\n&lt;span class=\"mw-empty-elt\"&gt;&lt;link rel=\"mw:PageProp/Category\" href=\"./Category:Panoramio_images_reviewed_by_trusted_users#2013,%20Cesar%20Chavez%20Grave,%202013,%20Cesar%20E%20Chavez%20National%20Monument%20-%20panoramio.jpg\"&gt;&lt;link rel=\"mw:PageProp/Category\" href=\"./Category:Photos_from_Panoramio\"&gt;&lt;/span&gt;","hidden":"","source":"commons-desc-page"},"UsageTerms":{"value":"Creative Commons Attribution-Share Alike 3.0","source":"commons-desc-page"},"Assessments":{"value":"","hidden":"","source":"commons-categories"},"Attribution":{"value":"Chris English","hidden":"","source":"commons-desc-page"},"Copyrighted":{"value":"True","hidden":"","source":"commons-desc-page"},"GPSLatitude":{"value":"35.224199","source":"commons-desc-page"},"GPSMapDatum":{"value":"WGS-84","hidden":"","source":"commons-desc-page"},"GPSLongitude":{"value":"-118.558777","source":"commons-desc-page"},"Restrictions":{"value":"","hidden":"","source":"commons-desc-page"},"DateTimeOriginal":{"value":"Taken on&lt;span typeof=\"mw:Entity\"&gt; &lt;/span&gt;5 December 2013&lt;link rel=\"mw:PageProp/Category\" href=\"./Category:United_States_photographs_taken_on_2013-12-05\"&gt;","source":"commons-desc-page"},"ImageDescription":{"value":"2013, Cesar Chavez Grave, 2013, Cesar E Chavez National Monument","source":"commons-desc-page"},"LicenseShortName":{"value":"CC BY-SA 3.0","hidden":"","source":"commons-desc-page"},"AttributionRequired":{"value":"true","hidden":"","source":"commons-desc-page"},"CommonsMetadataExtension":{"value":1.2,"hidden":"","source":"extension"}},"thumbheight":1920,"thumbattribs":{"src":"https://thumb.wikimedia.org/wikipedia/commons/thumb/8/8e/2013%2C_Cesar_Chavez_Grave%2C_2013%2C_Cesar_E_Chavez_National_Monument_-_panoramio.jpg/1280px-2013%2C_Cesar_Chavez_Grave%2C_2013%2C_Cesar_E_Chavez_National_Monument_-_panoramio.jpg?utm_source=commons.wikimedia.org&amp;utm_campaign=imageinfo&amp;utm_content=thumbnail","width":1280,"height":1920,"srcset":"https://thumb.wikimedia.org/wikipedia/commons/thumb/8/8e/2013%2C_Cesar_Chavez_Grave%2C_2013%2C_Cesar_E_Chavez_National_Monument_-_panoramio.jpg/3840px-2013%2C_Cesar_Chavez_Grave%2C_2013%2C_Cesar_E_Chavez_National_Monument_-_panoramio.jpg?utm_source=commons.wikimedia.org&amp;utm_campaign=imageinfo&amp;utm_content=thumbnail 2x","loading":"lazy","decoding":"async"},"descriptionurl":"https://commons.wikimedia.org/wiki/File:2013,_Cesar_Chavez_Grave,_2013,_Cesar_E_Chavez_National_Monument_-_panoramio.jpg","responsiveUrls":{"2":"https://thumb.wikimedia.org/wikipedia/commons/thumb/8/8e/2013%2C_Cesar_Chavez_Grave%2C_2013%2C_Cesar_E_Chavez_National_Monument_-_panoramio.jpg/3840px-2013%2C_Cesar_Chavez_Grave%2C_2013%2C_Cesar_E_Chavez_National_Monument_-_panoramio.jpg?utm_source=commons.wikimedia.org&amp;utm_campaign=imageinfo&amp;utm_content=thumbnail"},"descriptionshorturl":"https://commons.wikimedia.org/w/index.php?curid=56933070"},"selection":{"qid":"pending","kind":"candidate","title":"Bakersfield regional research"},"author_url":"https://web.archive.org/web/20161027233901/http://www.panoramio.com/user/4447772?with_photo_id=100372982","derivative":"Wikimedia thumbnail decoded; EXIF orientation applied; converted to WebP quality 86; no generated pixels, no cropping.","source_url":"https://commons.wikimedia.org/wiki/File:2013,_Cesar_Chavez_Grave,_2013,_Cesar_E_Chavez_National_Monument_-_panoramio.jpg","author_urls":["https://web.archive.org/web/20161027233901/http://www.panoramio.com/user/4447772?with_photo_id=100372982"],"description":"2013, Cesar Chavez Grave, 2013, Cesar E Chavez National Monument","license_url":"https://creativecommons.org/licenses/by-sa/3.0","reviewed_on":"2026-10-24","capture_date":"Taken on 5 December 2013","download_url":"https://thumb.wikimedia.org/wikipedia/commons/thumb/8/8e/2013%2C_Cesar_Chavez_Grave%2C_2013%2C_Cesar_E_Chavez_National_Monument_-_panoramio.jpg/1280px-2013%2C_Cesar_Chavez_Grave%2C_2013%2C_Cesar_E_Chavez_National_Monument_-_panoramio.jpg?utm_source=commons.wikimedia.org&amp;utm_campaign=imageinfo&amp;utm_content=thumbnail","original_url":"https://upload.wikimedia.org/wikipedia/commons/8/8e/2013%2C_Cesar_Chavez_Grave%2C_2013%2C_Cesar_E_Chavez_National_Monument_-_panoramio.jpg?utm_source=commons.wikimedia.org&amp;utm_campaign=imageinfo&amp;utm_content=original","pixel_review":{"method":"İndirilen kare temas sayfasında görüldü; kaynak mekân kimliğiyle eşleştirildi. Seçim kaydı final-pixel-review.json.","status":"verified","caption":"César E. Chávez National Monument · Take tarihli fotoğraf","reviewer":"Codex (AI)","review_id":"R2"},"downloaded_at":"2026-10-23T20:00:46.444643+00:00","download_sha256":"572a6ffb6a2ce31eea5c81b7940f38f24f3627b892edf081bc147bb66c4c89dd","downloaded_file":"downloads/572a6ffb6a2ce31eea5c81b7940f38f24f3627b892edf081bc147bb66c4c89dd.jpg","acquisition_file":"8196d7fe7ad253603bf26e33.webp","commons_filename":"2013, Cesar Chavez Grave, 2013, Cesar E Chavez National Monument - panoramio.jpg","original_file_url":"https://upload.wikimedia.org/wikipedia/commons/8/8e/2013%2C_Cesar_Chavez_Grave%2C_2013%2C_Cesar_E_Chavez_National_Monument_-_panorami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dönüştürüldü.","photo_attribution":{"author_url":"https://web.archive.org/web/20161027233901/http://www.panoramio.com/user/4447772?with_photo_id=100372982","modifications":"EXIF yönü uygulandı; boyut küçültülüp WebP biçimine dönüştürüldü.","original_file_url":"https://upload.wikimedia.org/wikipedia/commons/8/8e/2013%2C_Cesar_Chavez_Grave%2C_2013%2C_Cesar_E_Chavez_National_Monument_-_panoramio.jpg?utm_source=commons.wikimedia.org&amp;utm_campaign=imageinfo&amp;utm_content=original"},"metadata_reviewed_on":"2026-10-24","metadata_review_status":"verified"}}</x:v>
      </x:c>
    </x:row>
    <x:row r="206" ht="300" customHeight="1">
      <x:c r="A206" s="29" t="str">
        <x:v>bakersfield:evidence:venue-22171</x:v>
      </x:c>
      <x:c r="B206" s="29" t="str">
        <x:v>bakersfield</x:v>
      </x:c>
      <x:c r="C206" s="29" t="str">
        <x:v>bakersfield:photo:venue-22171</x:v>
      </x:c>
      <x:c r="D206" s="29" t="str">
        <x:v>https://commons.wikimedia.org/wiki/File:2009-0725-CA-Delano-40acres.jpg</x:v>
      </x:c>
      <x:c r="E206" s="29" t="str">
        <x:v>2009-0725-CA-Delano-40acres.jpg</x:v>
      </x:c>
      <x:c r="F206" s="29" t="str">
        <x:v>Bobak Ha'Eri</x:v>
      </x:c>
      <x:c r="G206" s="29" t="str">
        <x:v>CC BY 3.0</x:v>
      </x:c>
      <x:c r="H206" s="29" t="str">
        <x:v>https://creativecommons.org/licenses/by/3.0</x:v>
      </x:c>
      <x:c r="I206" s="29" t="str">
        <x:v>Creative Commons Attribution 3.0</x:v>
      </x:c>
      <x:c r="J206" s="29" t="str">
        <x:v>2009-0725-CA-Delano-40acres.jpg · Bobak Ha'Eri · CC BY 3.0 · https://commons.wikimedia.org/wiki/File:2009-0725-CA-Delano-40acres.jpg</x:v>
      </x:c>
      <x:c r="K20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6" s="31" t="d">
        <x:v>2026-10-24T00:00:00.000Z</x:v>
      </x:c>
      <x:c r="M206" s="29" t="str">
        <x:v>Doğrulandı</x:v>
      </x:c>
      <x:c r="N206" s="29" t="str">
        <x:v>Doğrulandı</x:v>
      </x:c>
      <x:c r="O206" s="29" t="str">
        <x:v>Fotoğraflar/bk-acfdd5375f84c5f77632a228.webp</x:v>
      </x:c>
      <x:c r="P206" s="29" t="str">
        <x:v>The Forty Acres · 2009 tarihli fotoğraf · İndirilen kare temas sayfasında görüldü; kaynak mekân kimliğiyle eşleştirildi. Seçim kaydı final-pixel-review.json.</x:v>
      </x:c>
      <x:c r="Q206" s="29" t="str">
        <x:v>Bu kare için uygun</x:v>
      </x:c>
      <x:c r="R20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6" s="29" t="str">
        <x:v>Lisans kanıtları/bk-acfdd5375f84c5f77632a228.source-evidence.json</x:v>
      </x:c>
      <x:c r="T206" s="29" t="str">
        <x:v>d5301f8bbeb7184e141edf68a5f171b56ce714b6b55ffb6d83a8d6a6ae19a7bd</x:v>
      </x:c>
      <x:c r="U206" s="29" t="str">
        <x:v>Lisans kanıtları/bk-acfdd5375f84c5f77632a228.license-record.json</x:v>
      </x:c>
      <x:c r="V206" s="29" t="str">
        <x:v>abba33e643c63636b34ede76aa0ab2302049c8645d4da7a30104ce05f6ac0b50</x:v>
      </x:c>
      <x:c r="W206" s="29" t="str">
        <x:v>{"file":"bk-acfdd5375f84c5f77632a228.webp","width":1280,"author":"Bobak Ha'Eri","height":960,"sha256":"acfdd5375f84c5f77632a228f34baed2eecec4a3960a17c767f4816871cb7fab","license":"CC BY 3.0","imageinfo":{"url":"https://upload.wikimedia.org/wikipedia/commons/4/42/2009-0725-CA-Delano-40acres.jpg?utm_source=commons.wikimedia.org&amp;utm_campaign=imageinfo&amp;utm_content=original","mime":"image/jpeg","sha1":"966695f615331a1a7a45260c5658df26abcbccd1","size":5725634,"width":3648,"height":2736,"pageid":7500432,"thumburl":"https://thumb.wikimedia.org/wikipedia/commons/thumb/4/42/2009-0725-CA-Delano-40acres.jpg/1280px-2009-0725-CA-Delano-40acres.jpg?utm_source=commons.wikimedia.org&amp;utm_campaign=imageinfo&amp;utm_content=thumbnail","timestamp":"2009-08-07T05:45:54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work&lt;/span&gt;","source":"commons-desc-page"},"License":{"value":"cc-by-3.0","hidden":"","source":"commons-templates"},"DateTime":{"value":"2009-08-07 05:45:54","hidden":"","source":"mediawiki-metadata"},"Categories":{"value":"2009 in California|Taken with Panasonic Lumix DMC-TZ7|César Chávez|Delano, California|History of civil rights in the United States|National Historic Landmarks in California|National Register of Historic Places in Kern County, California|Community centers in California|Mission Revival architecture in California|United Farm Workers|Historic district contributing properties in California|Buildings in Kern County, California|Built in California in 1969|Self-published work|National Register of Historic Places with known IDs|Files with coordinates missing SDC location of creation|July 2009 United States photographs|Shadows of trees in the United States|National Register of Historic Places missing SDC location of creation|National Register of Historic Places missing SDC depicts|Monk and nun roofs in California|Files by User:Bobak|Chicano and Mexican monuments and memorials in California","hidden":"","source":"commons-categories"},"LicenseUrl":{"value":"https://creativecommons.org/licenses/by/3.0","source":"commons-desc-page"},"ObjectName":{"value":"2009-0725-CA-Delano-40acres","source":"mediawiki-metadata"},"Permission":{"value":"CC-By-SA-3.0","hidden":"","source":"commons-desc-page"},"UsageTerms":{"value":"Creative Commons Attribution 3.0","source":"commons-desc-page"},"Assessments":{"value":"","hidden":"","source":"commons-categories"},"Copyrighted":{"value":"True","hidden":"","source":"commons-desc-page"},"GPSLatitude":{"value":"35.763253","source":"commons-desc-page"},"GPSMapDatum":{"value":"WGS-84","hidden":"","source":"commons-desc-page"},"GPSLongitude":{"value":"-119.287497","source":"commons-desc-page"},"Restrictions":{"value":"","hidden":"","source":"commons-desc-page"},"DateTimeOriginal":{"value":"2009-07-25","source":"commons-desc-page"},"ImageDescription":{"value":"&lt;b&gt;Reuther Hall&lt;/b&gt; at &lt;b&gt;&lt;a href=\"https://en.wikipedia.org/wiki/The_Forty_Acres\" class=\"extiw\" title=\"en:The Forty Acres\"&gt;The Forty Acres&lt;/a&gt;&lt;/b&gt; — in &lt;a href=\"//commons.wikimedia.org/wiki/Category:Delano,_California\" title=\"Category:Delano, California\"&gt;Delano&lt;/a&gt;, California.\n&lt;ul&gt;&lt;li&gt;The hall (built 1968-69) was the first headquarters of the &lt;a href=\"//commons.wikimedia.org/wiki/Category:United_Farm_Workers\" title=\"Category:United Farm Workers\"&gt;United Farm Workers&lt;/a&gt; labor union, founded by &lt;a href=\"//commons.wikimedia.org/wiki/Category:C%C3%A9sar_Ch%C3%A1vez\" title=\"Category:César Chávez\"&gt;César Chávez&lt;/a&gt;.&lt;/li&gt;\n&lt;li&gt;On the &lt;a href=\"//commons.wikimedia.org/wiki/Category:National_Register_of_Historic_Places_in_Kern_County,_California\" title=\"Category:National Register of Historic Places in Kern County, California\"&gt;National Register of Historic Places in Kern County&lt;/a&gt;, and a U.S. National Historic Landmark District contributing property.&lt;/li&gt;&lt;/ul&gt;","source":"commons-desc-page"},"LicenseShortName":{"value":"CC BY 3.0","hidden":"","source":"commons-desc-page"},"AttributionRequired":{"value":"true","hidden":"","source":"commons-desc-page"},"CommonsMetadataExtension":{"value":1.2,"hidden":"","source":"extension"}},"thumbheight":960,"thumbattribs":{"src":"https://thumb.wikimedia.org/wikipedia/commons/thumb/4/42/2009-0725-CA-Delano-40acres.jpg/1280px-2009-0725-CA-Delano-40acres.jpg?utm_source=commons.wikimedia.org&amp;utm_campaign=imageinfo&amp;utm_content=thumbnail","width":1280,"height":960,"srcset":"https://upload.wikimedia.org/wikipedia/commons/4/42/2009-0725-CA-Delano-40acres.jpg?utm_source=commons.wikimedia.org&amp;utm_campaign=imageinfo&amp;utm_content=thumbnail_unscaled 2x","loading":"lazy","decoding":"async"},"descriptionurl":"https://commons.wikimedia.org/wiki/File:2009-0725-CA-Delano-40acres.jpg","responsiveUrls":{"2":"https://upload.wikimedia.org/wikipedia/commons/4/42/2009-0725-CA-Delano-40acres.jpg?utm_source=commons.wikimedia.org&amp;utm_campaign=imageinfo&amp;utm_content=thumbnail_unscaled"},"descriptionshorturl":"https://commons.wikimedia.org/w/index.php?curid=7500432"},"selection":{"qid":"pending","kind":"candidate","title":"National Register of Historic Places in Kern County, California"},"author_url":"https://en.wikipedia.org/wiki/User:Bobak","derivative":"Wikimedia thumbnail decoded; EXIF orientation applied; converted to WebP quality 86; no generated pixels, no cropping.","source_url":"https://commons.wikimedia.org/wiki/File:2009-0725-CA-Delano-40acres.jpg","author_urls":["https://en.wikipedia.org/wiki/User:Bobak"],"description":"Reuther Hall at The Forty Acres — in Delano, California.\nThe hall (built 1968-69) was the first headquarters of the United Farm Workers labor union, founded by César Chávez.\nOn the National Register of Historic Places in Kern County, and a U.S. National Historic Landmark District contributing property.","license_url":"https://creativecommons.org/licenses/by/3.0","reviewed_on":"2026-10-24","capture_date":"2009-07-25","download_url":"https://thumb.wikimedia.org/wikipedia/commons/thumb/4/42/2009-0725-CA-Delano-40acres.jpg/1280px-2009-0725-CA-Delano-40acres.jpg?utm_source=commons.wikimedia.org&amp;utm_campaign=imageinfo&amp;utm_content=thumbnail","original_url":"https://upload.wikimedia.org/wikipedia/commons/4/42/2009-0725-CA-Delano-40acres.jpg?utm_source=commons.wikimedia.org&amp;utm_campaign=imageinfo&amp;utm_content=original","pixel_review":{"method":"İndirilen kare temas sayfasında görüldü; kaynak mekân kimliğiyle eşleştirildi. Seçim kaydı final-pixel-review.json.","status":"verified","caption":"The Forty Acres · 2009 tarihli fotoğraf","reviewer":"Codex (AI)","review_id":"C12"},"downloaded_at":"2026-10-23T19:10:30.041006+00:00","download_sha256":"b22d2a130a7c718a47604941a46173886af7b8ec51a5dd442bb3146ab81b2a2b","downloaded_file":"downloads/b22d2a130a7c718a47604941a46173886af7b8ec51a5dd442bb3146ab81b2a2b.jpg","acquisition_file":"3959830acc93dda2686b3649.webp","commons_filename":"2009-0725-CA-Delano-40acres.jpg","original_file_url":"https://upload.wikimedia.org/wikipedia/commons/4/42/2009-0725-CA-Delano-40acre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4/42/2009-0725-CA-Delano-40acres.jpg?utm_source=commons.wikimedia.org&amp;utm_campaign=imageinfo&amp;utm_content=original"},"metadata_reviewed_on":"2026-10-24","metadata_review_status":"verified"}}</x:v>
      </x:c>
    </x:row>
    <x:row r="207" ht="300" customHeight="1">
      <x:c r="A207" s="29" t="str">
        <x:v>bakersfield:evidence:venue-22172</x:v>
      </x:c>
      <x:c r="B207" s="29" t="str">
        <x:v>bakersfield</x:v>
      </x:c>
      <x:c r="C207" s="29" t="str">
        <x:v>bakersfield:photo:venue-22172</x:v>
      </x:c>
      <x:c r="D207" s="29" t="str">
        <x:v>https://commons.wikimedia.org/wiki/File:Atlas_Impala_MkI_%E2%80%9993_-_N153TP%E2%80%99_(29550123555).jpg</x:v>
      </x:c>
      <x:c r="E207" s="29" t="str">
        <x:v>Atlas Impala MkI ’93 - N153TP’ (29550123555).jpg</x:v>
      </x:c>
      <x:c r="F207" s="29" t="str">
        <x:v>Alan Wilson from Stilton, Peterborough, Cambs, UK</x:v>
      </x:c>
      <x:c r="G207" s="29" t="str">
        <x:v>CC BY-SA 2.0</x:v>
      </x:c>
      <x:c r="H207" s="29" t="str">
        <x:v>https://creativecommons.org/licenses/by-sa/2.0</x:v>
      </x:c>
      <x:c r="I207" s="29" t="str">
        <x:v>Creative Commons Attribution-Share Alike 2.0</x:v>
      </x:c>
      <x:c r="J207" s="29" t="str">
        <x:v>Atlas Impala MkI ’93 - N153TP’ (29550123555).jpg · Alan Wilson from Stilton, Peterborough, Cambs, UK · CC BY-SA 2.0 · https://commons.wikimedia.org/wiki/File:Atlas_Impala_MkI_%E2%80%9993_-_N153TP%E2%80%99_(29550123555).jpg</x:v>
      </x:c>
      <x:c r="K20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7" s="31" t="d">
        <x:v>2026-10-24T00:00:00.000Z</x:v>
      </x:c>
      <x:c r="M207" s="29" t="str">
        <x:v>Doğrulandı</x:v>
      </x:c>
      <x:c r="N207" s="29" t="str">
        <x:v>Doğrulandı</x:v>
      </x:c>
      <x:c r="O207" s="29" t="str">
        <x:v>Fotoğraflar/bk-34358132c237ca598e1e22ab.webp</x:v>
      </x:c>
      <x:c r="P207" s="29" t="str">
        <x:v>Minter Field Air Museum · 2016 tarihli fotoğraf · İndirilen kare temas sayfasında görüldü; kaynak mekân kimliğiyle eşleştirildi. Seçim kaydı final-pixel-review.json.</x:v>
      </x:c>
      <x:c r="Q207" s="29" t="str">
        <x:v>Bu kare için uygun</x:v>
      </x:c>
      <x:c r="R20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7" s="29" t="str">
        <x:v>Lisans kanıtları/bk-34358132c237ca598e1e22ab.source-evidence.json</x:v>
      </x:c>
      <x:c r="T207" s="29" t="str">
        <x:v>6cb88f631a4c05dc826ba7dd7f40e0170cb785e8dddedf1eb0c1ad7d434750bd</x:v>
      </x:c>
      <x:c r="U207" s="29" t="str">
        <x:v>Lisans kanıtları/bk-34358132c237ca598e1e22ab.license-record.json</x:v>
      </x:c>
      <x:c r="V207" s="29" t="str">
        <x:v>c6735734899dc9ee5477ea7ddcf4f926d048e54e1d241a678bc6ddb0ae719c1c</x:v>
      </x:c>
      <x:c r="W207" s="29" t="str">
        <x:v>{"file":"bk-34358132c237ca598e1e22ab.webp","width":1280,"author":"Alan Wilson from Stilton, Peterborough, Cambs, UK","height":853,"sha256":"34358132c237ca598e1e22abca48c0e3f746155537a9faca6f5efec3ec89ba11","license":"CC BY-SA 2.0","imageinfo":{"url":"https://upload.wikimedia.org/wikipedia/commons/5/59/Atlas_Impala_MkI_%E2%80%9993_-_N153TP%E2%80%99_%2829550123555%29.jpg?utm_source=commons.wikimedia.org&amp;utm_campaign=imageinfo&amp;utm_content=original","mime":"image/jpeg","sha1":"220729cacc4ac9fa5ef0c08ee8464715b0370ebc","size":13227601,"width":4986,"height":3324,"pageid":51598114,"thumburl":"https://thumb.wikimedia.org/wikipedia/commons/thumb/5/59/Atlas_Impala_MkI_%E2%80%9993_-_N153TP%E2%80%99_%2829550123555%29.jpg/1280px-Atlas_Impala_MkI_%E2%80%9993_-_N153TP%E2%80%99_%2829550123555%29.jpg?utm_source=commons.wikimedia.org&amp;utm_campaign=imageinfo&amp;utm_content=thumbnail","timestamp":"2016-09-21T01:05:11Z","thumbwidth":1280,"extmetadata":{"Artist":{"value":"&lt;a rel=\"nofollow\" class=\"external text\" href=\"https://www.flickr.com/people/65001151@N03\"&gt;Alan Wilson&lt;/a&gt; from Stilton, Peterborough, Cambs, UK","source":"commons-desc-page"},"Credit":{"value":"&lt;a rel=\"nofollow\" class=\"external text\" href=\"https://www.flickr.com/photos/ajw1970/29550123555/\"&gt;Atlas Impala MkI ’93 / N153TP’&lt;/a&gt;","source":"commons-desc-page"},"License":{"value":"cc-by-sa-2.0","hidden":"","source":"commons-templates"},"DateTime":{"value":"2016-09-21 01:05:11","hidden":"","source":"mediawiki-metadata"},"Categories":{"value":"Photographs by Alan Wilson|Aermacchi MB-326|Minter Field|Flickr images reviewed by FlickreviewR|2016 in aviation in the United States|Files with coordinates missing SDC location of creation|Impala Mk I of SAAF","hidden":"","source":"commons-categories"},"LicenseUrl":{"value":"https://creativecommons.org/licenses/by-sa/2.0","source":"commons-desc-page"},"ObjectName":{"value":"Atlas Impala MkI ’93 - N153TP’ (29550123555)","source":"mediawiki-metadata"},"UsageTerms":{"value":"Creative Commons Attribution-Share Alike 2.0","source":"commons-desc-page"},"Assessments":{"value":"","hidden":"","source":"commons-categories"},"Copyrighted":{"value":"True","hidden":"","source":"commons-desc-page"},"GPSLatitude":{"value":"35.503487","source":"commons-desc-page"},"GPSMapDatum":{"value":"WGS-84","hidden":"","source":"commons-desc-page"},"GPSLongitude":{"value":"-119.182637","source":"commons-desc-page"},"Restrictions":{"value":"","hidden":"","source":"commons-desc-page"},"DateTimeOriginal":{"value":"2016-03-04 07:27","source":"commons-desc-page"},"ImageDescription":{"value":"&lt;p&gt;c/n 6369, l/n 138 &amp;amp; A18.\nBuilt for the South African Air Force as ‘493’. Retired in 1993 and sold to Flight Research Inc, becoming N153TP. She never flew as such, being stored at Mojave until moving to the Minter Field Air Museum in 2005, where she remains on display.\nShafter Airport, CA, USA.\n&lt;/p&gt;\n4th March 2016.","source":"commons-desc-page"},"LicenseShortName":{"value":"CC BY-SA 2.0","hidden":"","source":"commons-desc-page"},"AttributionRequired":{"value":"true","hidden":"","source":"commons-desc-page"},"CommonsMetadataExtension":{"value":1.2,"hidden":"","source":"extension"}},"thumbheight":853,"thumbattribs":{"src":"https://thumb.wikimedia.org/wikipedia/commons/thumb/5/59/Atlas_Impala_MkI_%E2%80%9993_-_N153TP%E2%80%99_%2829550123555%29.jpg/1280px-Atlas_Impala_MkI_%E2%80%9993_-_N153TP%E2%80%99_%2829550123555%29.jpg?utm_source=commons.wikimedia.org&amp;utm_campaign=imageinfo&amp;utm_content=thumbnail","width":1280,"height":853,"srcset":"https://thumb.wikimedia.org/wikipedia/commons/thumb/5/59/Atlas_Impala_MkI_%E2%80%9993_-_N153TP%E2%80%99_%2829550123555%29.jpg/3840px-Atlas_Impala_MkI_%E2%80%9993_-_N153TP%E2%80%99_%2829550123555%29.jpg?utm_source=commons.wikimedia.org&amp;utm_campaign=imageinfo&amp;utm_content=thumbnail 2x","loading":"lazy","decoding":"async"},"descriptionurl":"https://commons.wikimedia.org/wiki/File:Atlas_Impala_MkI_%E2%80%9993_-_N153TP%E2%80%99_(29550123555).jpg","responsiveUrls":{"2":"https://thumb.wikimedia.org/wikipedia/commons/thumb/5/59/Atlas_Impala_MkI_%E2%80%9993_-_N153TP%E2%80%99_%2829550123555%29.jpg/3840px-Atlas_Impala_MkI_%E2%80%9993_-_N153TP%E2%80%99_%2829550123555%29.jpg?utm_source=commons.wikimedia.org&amp;utm_campaign=imageinfo&amp;utm_content=thumbnail"},"descriptionshorturl":"https://commons.wikimedia.org/w/index.php?curid=51598114"},"selection":{"qid":"pending","kind":"candidate","title":"Minter Field"},"author_url":"https://www.flickr.com/people/65001151@N03","derivative":"Wikimedia thumbnail decoded; EXIF orientation applied; converted to WebP quality 86; no generated pixels, no cropping.","source_url":"https://commons.wikimedia.org/wiki/File:Atlas_Impala_MkI_%E2%80%9993_-_N153TP%E2%80%99_(29550123555).jpg","author_urls":["https://www.flickr.com/people/65001151@N03"],"description":"c/n 6369, l/n 138 &amp; A18.\nBuilt for the South African Air Force as ‘493’. Retired in 1993 and sold to Flight Research Inc, becoming N153TP. She never flew as such, being stored at Mojave until moving to the Minter Field Air Museum in 2005, where she remains on display.\nShafter Airport, CA, USA.\n\n4th March 2016.","license_url":"https://creativecommons.org/licenses/by-sa/2.0","reviewed_on":"2026-10-24","capture_date":"2016-03-04 07:27","download_url":"https://thumb.wikimedia.org/wikipedia/commons/thumb/5/59/Atlas_Impala_MkI_%E2%80%9993_-_N153TP%E2%80%99_%2829550123555%29.jpg/1280px-Atlas_Impala_MkI_%E2%80%9993_-_N153TP%E2%80%99_%2829550123555%29.jpg?utm_source=commons.wikimedia.org&amp;utm_campaign=imageinfo&amp;utm_content=thumbnail","original_url":"https://upload.wikimedia.org/wikipedia/commons/5/59/Atlas_Impala_MkI_%E2%80%9993_-_N153TP%E2%80%99_%2829550123555%29.jpg?utm_source=commons.wikimedia.org&amp;utm_campaign=imageinfo&amp;utm_content=original","pixel_review":{"method":"İndirilen kare temas sayfasında görüldü; kaynak mekân kimliğiyle eşleştirildi. Seçim kaydı final-pixel-review.json.","status":"verified","caption":"Minter Field Air Museum · 2016 tarihli fotoğraf","reviewer":"Codex (AI)","review_id":"C51"},"downloaded_at":"2026-10-23T19:09:56.985463+00:00","download_sha256":"ba9b0245cc1f6ffb1ecfa808abd6723ff154018e65a8f357d32967427d8815bd","downloaded_file":"downloads/ba9b0245cc1f6ffb1ecfa808abd6723ff154018e65a8f357d32967427d8815bd.jpg","acquisition_file":"bfe2ebd5507f9bfb6e0083d7.webp","commons_filename":"Atlas Impala MkI ’93 - N153TP’ (29550123555).jpg","original_file_url":"https://upload.wikimedia.org/wikipedia/commons/5/59/Atlas_Impala_MkI_%E2%80%9993_-_N153TP%E2%80%99_%2829550123555%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dönüştürüldü.","photo_attribution":{"author_url":"https://www.flickr.com/people/65001151@N03","modifications":"EXIF yönü uygulandı; boyut küçültülüp WebP biçimine dönüştürüldü.","original_file_url":"https://upload.wikimedia.org/wikipedia/commons/5/59/Atlas_Impala_MkI_%E2%80%9993_-_N153TP%E2%80%99_%2829550123555%29.jpg?utm_source=commons.wikimedia.org&amp;utm_campaign=imageinfo&amp;utm_content=original"},"metadata_reviewed_on":"2026-10-24","metadata_review_status":"verified"}}</x:v>
      </x:c>
    </x:row>
    <x:row r="208" ht="300" customHeight="1">
      <x:c r="A208" s="29" t="str">
        <x:v>bakersfield:evidence:venue-22173</x:v>
      </x:c>
      <x:c r="B208" s="29" t="str">
        <x:v>bakersfield</x:v>
      </x:c>
      <x:c r="C208" s="29" t="str">
        <x:v>bakersfield:photo:venue-22173</x:v>
      </x:c>
      <x:c r="D208" s="29" t="str">
        <x:v>https://commons.wikimedia.org/wiki/File:Northrop_T-38A_Talon_%E2%80%9800566%E2%80%99_(29516252556).jpg</x:v>
      </x:c>
      <x:c r="E208" s="29" t="str">
        <x:v>Northrop T-38A Talon ‘00566’ (29516252556).jpg</x:v>
      </x:c>
      <x:c r="F208" s="29" t="str">
        <x:v>Alan Wilson from Stilton, Peterborough, Cambs, UK</x:v>
      </x:c>
      <x:c r="G208" s="29" t="str">
        <x:v>CC BY-SA 2.0</x:v>
      </x:c>
      <x:c r="H208" s="29" t="str">
        <x:v>https://creativecommons.org/licenses/by-sa/2.0</x:v>
      </x:c>
      <x:c r="I208" s="29" t="str">
        <x:v>Creative Commons Attribution-Share Alike 2.0</x:v>
      </x:c>
      <x:c r="J208" s="29" t="str">
        <x:v>Northrop T-38A Talon ‘00566’ (29516252556).jpg · Alan Wilson from Stilton, Peterborough, Cambs, UK · CC BY-SA 2.0 · https://commons.wikimedia.org/wiki/File:Northrop_T-38A_Talon_%E2%80%9800566%E2%80%99_(29516252556).jpg</x:v>
      </x:c>
      <x:c r="K20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8" s="31" t="d">
        <x:v>2026-10-24T00:00:00.000Z</x:v>
      </x:c>
      <x:c r="M208" s="29" t="str">
        <x:v>Doğrulandı</x:v>
      </x:c>
      <x:c r="N208" s="29" t="str">
        <x:v>Doğrulandı</x:v>
      </x:c>
      <x:c r="O208" s="29" t="str">
        <x:v>Fotoğraflar/bk-2fde260ff8e8e5603626ffff.webp</x:v>
      </x:c>
      <x:c r="P208" s="29" t="str">
        <x:v>Minter Field Air Museum · 2016 tarihli fotoğraf · İndirilen kare temas sayfasında görüldü; kaynak mekân kimliğiyle eşleştirildi. Seçim kaydı final-pixel-review.json.</x:v>
      </x:c>
      <x:c r="Q208" s="29" t="str">
        <x:v>Bu kare için uygun</x:v>
      </x:c>
      <x:c r="R20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8" s="29" t="str">
        <x:v>Lisans kanıtları/bk-2fde260ff8e8e5603626ffff.source-evidence.json</x:v>
      </x:c>
      <x:c r="T208" s="29" t="str">
        <x:v>78fef1efeb12e3485b60af28295efcd8a177f3761d33cffe52b2d1552b5a2078</x:v>
      </x:c>
      <x:c r="U208" s="29" t="str">
        <x:v>Lisans kanıtları/bk-2fde260ff8e8e5603626ffff.license-record.json</x:v>
      </x:c>
      <x:c r="V208" s="29" t="str">
        <x:v>8af6fdc7d5d120581d98fec235ba7d428bc9cdfd7e56d93f51dad66bae71068e</x:v>
      </x:c>
      <x:c r="W208" s="29" t="str">
        <x:v>{"file":"bk-2fde260ff8e8e5603626ffff.webp","width":1280,"author":"Alan Wilson from Stilton, Peterborough, Cambs, UK","height":853,"sha256":"2fde260ff8e8e5603626ffff8891224bdda8f346c17ff9c84b403bde090c45b8","license":"CC BY-SA 2.0","imageinfo":{"url":"https://upload.wikimedia.org/wikipedia/commons/4/4f/Northrop_T-38A_Talon_%E2%80%9800566%E2%80%99_%2829516252556%29.jpg?utm_source=commons.wikimedia.org&amp;utm_campaign=imageinfo&amp;utm_content=original","mime":"image/jpeg","sha1":"5d0531d747768ef3ccb146cadfa05406cdadd483","size":13604877,"width":5225,"height":3483,"pageid":51598095,"thumburl":"https://thumb.wikimedia.org/wikipedia/commons/thumb/4/4f/Northrop_T-38A_Talon_%E2%80%9800566%E2%80%99_%2829516252556%29.jpg/1280px-Northrop_T-38A_Talon_%E2%80%9800566%E2%80%99_%2829516252556%29.jpg?utm_source=commons.wikimedia.org&amp;utm_campaign=imageinfo&amp;utm_content=thumbnail","timestamp":"2016-09-21T01:04:39Z","thumbwidth":1280,"extmetadata":{"Artist":{"value":"&lt;a rel=\"nofollow\" class=\"external text\" href=\"https://www.flickr.com/people/65001151@N03\"&gt;Alan Wilson&lt;/a&gt; from Stilton, Peterborough, Cambs, UK","source":"commons-desc-page"},"Credit":{"value":"&lt;a rel=\"nofollow\" class=\"external text\" href=\"https://www.flickr.com/photos/ajw1970/29516252556/\"&gt;Northrop T-38A Talon ‘00566’&lt;/a&gt;","source":"commons-desc-page"},"License":{"value":"cc-by-sa-2.0","hidden":"","source":"commons-templates"},"DateTime":{"value":"2016-09-21 01:04:39","hidden":"","source":"mediawiki-metadata"},"Categories":{"value":"Photographs by Alan Wilson|Minter Field|Flickr images reviewed by FlickreviewR|2016 in aviation in the United States|Files with coordinates missing SDC location of creation|Northrop T-38 Talon museum aircraft","hidden":"","source":"commons-categories"},"LicenseUrl":{"value":"https://creativecommons.org/licenses/by-sa/2.0","source":"commons-desc-page"},"ObjectName":{"value":"Northrop T-38A Talon ‘00566’ (29516252556)","source":"mediawiki-metadata"},"UsageTerms":{"value":"Creative Commons Attribution-Share Alike 2.0","source":"commons-desc-page"},"Assessments":{"value":"","hidden":"","source":"commons-categories"},"Copyrighted":{"value":"True","hidden":"","source":"commons-desc-page"},"GPSLatitude":{"value":"35.502989","source":"commons-desc-page"},"GPSMapDatum":{"value":"WGS-84","hidden":"","source":"commons-desc-page"},"GPSLongitude":{"value":"-119.181919","source":"commons-desc-page"},"Restrictions":{"value":"","hidden":"","source":"commons-desc-page"},"DateTimeOriginal":{"value":"2016-03-04 07:32","source":"commons-desc-page"},"ImageDescription":{"value":"&lt;p&gt;c/n N.5139.\nFull US military serial 60-0566.\nOn display outside the Minter Field Air Museum at Shafter Airport, CA, USA.\n&lt;/p&gt;\n4th March 2016.","source":"commons-desc-page"},"LicenseShortName":{"value":"CC BY-SA 2.0","hidden":"","source":"commons-desc-page"},"AttributionRequired":{"value":"true","hidden":"","source":"commons-desc-page"},"CommonsMetadataExtension":{"value":1.2,"hidden":"","source":"extension"}},"thumbheight":853,"thumbattribs":{"src":"https://thumb.wikimedia.org/wikipedia/commons/thumb/4/4f/Northrop_T-38A_Talon_%E2%80%9800566%E2%80%99_%2829516252556%29.jpg/1280px-Northrop_T-38A_Talon_%E2%80%9800566%E2%80%99_%2829516252556%29.jpg?utm_source=commons.wikimedia.org&amp;utm_campaign=imageinfo&amp;utm_content=thumbnail","width":1280,"height":853,"srcset":"https://thumb.wikimedia.org/wikipedia/commons/thumb/4/4f/Northrop_T-38A_Talon_%E2%80%9800566%E2%80%99_%2829516252556%29.jpg/3840px-Northrop_T-38A_Talon_%E2%80%9800566%E2%80%99_%2829516252556%29.jpg?utm_source=commons.wikimedia.org&amp;utm_campaign=imageinfo&amp;utm_content=thumbnail 2x","loading":"lazy","decoding":"async"},"descriptionurl":"https://commons.wikimedia.org/wiki/File:Northrop_T-38A_Talon_%E2%80%9800566%E2%80%99_(29516252556).jpg","responsiveUrls":{"2":"https://thumb.wikimedia.org/wikipedia/commons/thumb/4/4f/Northrop_T-38A_Talon_%E2%80%9800566%E2%80%99_%2829516252556%29.jpg/3840px-Northrop_T-38A_Talon_%E2%80%9800566%E2%80%99_%2829516252556%29.jpg?utm_source=commons.wikimedia.org&amp;utm_campaign=imageinfo&amp;utm_content=thumbnail"},"descriptionshorturl":"https://commons.wikimedia.org/w/index.php?curid=51598095"},"selection":{"qid":"pending","kind":"candidate","title":"Minter Field"},"author_url":"https://www.flickr.com/people/65001151@N03","derivative":"Wikimedia thumbnail decoded; EXIF orientation applied; converted to WebP quality 86; no generated pixels, no cropping.","source_url":"https://commons.wikimedia.org/wiki/File:Northrop_T-38A_Talon_%E2%80%9800566%E2%80%99_(29516252556).jpg","author_urls":["https://www.flickr.com/people/65001151@N03"],"description":"c/n N.5139.\nFull US military serial 60-0566.\nOn display outside the Minter Field Air Museum at Shafter Airport, CA, USA.\n\n4th March 2016.","license_url":"https://creativecommons.org/licenses/by-sa/2.0","reviewed_on":"2026-10-24","capture_date":"2016-03-04 07:32","download_url":"https://thumb.wikimedia.org/wikipedia/commons/thumb/4/4f/Northrop_T-38A_Talon_%E2%80%9800566%E2%80%99_%2829516252556%29.jpg/1280px-Northrop_T-38A_Talon_%E2%80%9800566%E2%80%99_%2829516252556%29.jpg?utm_source=commons.wikimedia.org&amp;utm_campaign=imageinfo&amp;utm_content=thumbnail","original_url":"https://upload.wikimedia.org/wikipedia/commons/4/4f/Northrop_T-38A_Talon_%E2%80%9800566%E2%80%99_%2829516252556%29.jpg?utm_source=commons.wikimedia.org&amp;utm_campaign=imageinfo&amp;utm_content=original","pixel_review":{"method":"İndirilen kare temas sayfasında görüldü; kaynak mekân kimliğiyle eşleştirildi. Seçim kaydı final-pixel-review.json.","status":"verified","caption":"Minter Field Air Museum · 2016 tarihli fotoğraf","reviewer":"Codex (AI)","review_id":"C221"},"downloaded_at":"2026-10-23T19:10:00.513458+00:00","download_sha256":"4abffd2c46b7215395e65941ecca7f6663cfac3c27b289adcd97e44981ae8063","downloaded_file":"downloads/4abffd2c46b7215395e65941ecca7f6663cfac3c27b289adcd97e44981ae8063.jpg","acquisition_file":"d20274c2d236262b2bfdb828.webp","commons_filename":"Northrop T-38A Talon ‘00566’ (29516252556).jpg","original_file_url":"https://upload.wikimedia.org/wikipedia/commons/4/4f/Northrop_T-38A_Talon_%E2%80%9800566%E2%80%99_%2829516252556%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dönüştürüldü.","photo_attribution":{"author_url":"https://www.flickr.com/people/65001151@N03","modifications":"EXIF yönü uygulandı; boyut küçültülüp WebP biçimine dönüştürüldü.","original_file_url":"https://upload.wikimedia.org/wikipedia/commons/4/4f/Northrop_T-38A_Talon_%E2%80%9800566%E2%80%99_%2829516252556%29.jpg?utm_source=commons.wikimedia.org&amp;utm_campaign=imageinfo&amp;utm_content=original"},"metadata_reviewed_on":"2026-10-24","metadata_review_status":"verified"}}</x:v>
      </x:c>
    </x:row>
    <x:row r="209" ht="300" customHeight="1">
      <x:c r="A209" s="29" t="str">
        <x:v>bakersfield:evidence:venue-22174</x:v>
      </x:c>
      <x:c r="B209" s="29" t="str">
        <x:v>bakersfield</x:v>
      </x:c>
      <x:c r="C209" s="29" t="str">
        <x:v>bakersfield:photo:venue-22174</x:v>
      </x:c>
      <x:c r="D209" s="29" t="str">
        <x:v>https://commons.wikimedia.org/wiki/File:2010-1227-SantaFe-Shafter.jpg</x:v>
      </x:c>
      <x:c r="E209" s="29" t="str">
        <x:v>2010-1227-SantaFe-Shafter.jpg</x:v>
      </x:c>
      <x:c r="F209" s="29" t="str">
        <x:v>Bobak Ha'Eri</x:v>
      </x:c>
      <x:c r="G209" s="29" t="str">
        <x:v>CC BY 3.0</x:v>
      </x:c>
      <x:c r="H209" s="29" t="str">
        <x:v>https://creativecommons.org/licenses/by/3.0</x:v>
      </x:c>
      <x:c r="I209" s="29" t="str">
        <x:v>Creative Commons Attribution 3.0</x:v>
      </x:c>
      <x:c r="J209" s="29" t="str">
        <x:v>2010-1227-SantaFe-Shafter.jpg · Bobak Ha'Eri · CC BY 3.0 · https://commons.wikimedia.org/wiki/File:2010-1227-SantaFe-Shafter.jpg</x:v>
      </x:c>
      <x:c r="K20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09" s="31" t="d">
        <x:v>2026-10-24T00:00:00.000Z</x:v>
      </x:c>
      <x:c r="M209" s="29" t="str">
        <x:v>Doğrulandı</x:v>
      </x:c>
      <x:c r="N209" s="29" t="str">
        <x:v>Doğrulandı</x:v>
      </x:c>
      <x:c r="O209" s="29" t="str">
        <x:v>Fotoğraflar/bk-cf00bff044b318efbc8aff89.webp</x:v>
      </x:c>
      <x:c r="P209" s="29" t="str">
        <x:v>Shafter Depot Museum · 2010 tarihli fotoğraf · İndirilen kare temas sayfasında görüldü; kaynak mekân kimliğiyle eşleştirildi. Seçim kaydı final-pixel-review.json.</x:v>
      </x:c>
      <x:c r="Q209" s="29" t="str">
        <x:v>Bu kare için uygun</x:v>
      </x:c>
      <x:c r="R20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09" s="29" t="str">
        <x:v>Lisans kanıtları/bk-cf00bff044b318efbc8aff89.source-evidence.json</x:v>
      </x:c>
      <x:c r="T209" s="29" t="str">
        <x:v>cc709e162ba5b28aebe0198ae5fa94e1f9a5958729304a73785d032bbff501c7</x:v>
      </x:c>
      <x:c r="U209" s="29" t="str">
        <x:v>Lisans kanıtları/bk-cf00bff044b318efbc8aff89.license-record.json</x:v>
      </x:c>
      <x:c r="V209" s="29" t="str">
        <x:v>a713b2a776c60d7e644a099ecf30d374deae39477359eef2458f09c1038366aa</x:v>
      </x:c>
      <x:c r="W209" s="29" t="str">
        <x:v>{"file":"bk-cf00bff044b318efbc8aff89.webp","width":1280,"author":"Bobak Ha'Eri","height":637,"sha256":"cf00bff044b318efbc8aff890dcd04e76cec54b23b28235d782621ba21134482","license":"CC BY 3.0","imageinfo":{"url":"https://upload.wikimedia.org/wikipedia/commons/4/4d/2010-1227-SantaFe-Shafter.jpg?utm_source=commons.wikimedia.org&amp;utm_campaign=imageinfo&amp;utm_content=original","mime":"image/jpeg","sha1":"7b0340ed2dbadfde73cb979b007f15be9960a525","size":389476,"width":3916,"height":1950,"pageid":12657010,"thumburl":"https://thumb.wikimedia.org/wikipedia/commons/thumb/4/4d/2010-1227-SantaFe-Shafter.jpg/1280px-2010-1227-SantaFe-Shafter.jpg?utm_source=commons.wikimedia.org&amp;utm_campaign=imageinfo&amp;utm_content=thumbnail","timestamp":"2011-01-11T00:21:11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work&lt;/span&gt;","source":"commons-desc-page"},"License":{"value":"cc-by-3.0","hidden":"","source":"commons-templates"},"DateTime":{"value":"2011-01-11 00:21:11","hidden":"","source":"mediawiki-metadata"},"Categories":{"value":"Taken with Panasonic Lumix DMC-TZ10|History museums in California|Former Atchison, Topeka and Santa Fe Railway stations|National Register of Historic Places in Kern County, California|Rail stations on the National Register of Historic Places in California|Shafter, California|Museums in Kern County, California|Wooden buildings in California|Built in California in 1917|Former train stations in California|Self-published work|National Register of Historic Places with known IDs|Files by User:Bobak","hidden":"","source":"commons-categories"},"LicenseUrl":{"value":"https://creativecommons.org/licenses/by/3.0","source":"commons-desc-page"},"ObjectName":{"value":"2010-1227-SantaFe-Shafter","source":"mediawiki-metadata"},"Permission":{"value":"CC-By-SA-3.0; photo taken by &lt;a href=\"https://en.wikipedia.org/wiki/User:Bobak\" class=\"extiw\" title=\"en:User:Bobak\"&gt;Bobak Ha'Eri&lt;/a&gt;, on December 27, 2010. Please observe license and properly cite in use outside Wikipedia. If you have any questions about the licensing, please feel free to use the contact information at &lt;a href=\"https://en.wikipedia.org/wiki/User:Bobak\" class=\"extiw\" title=\"en:User:Bobak\"&gt;my user page&lt;/a&gt;.","hidden":"","source":"commons-desc-page"},"UsageTerms":{"value":"Creative Commons Attribution 3.0","source":"commons-desc-page"},"Assessments":{"value":"","hidden":"","source":"commons-categories"},"Copyrighted":{"value":"True","hidden":"","source":"commons-desc-page"},"GPSLatitude":{"value":"35.505000","source":"commons-desc-page"},"GPSMapDatum":{"value":"WGS-84","hidden":"","source":"commons-desc-page"},"GPSLongitude":{"value":"-119.276389","source":"commons-desc-page"},"Restrictions":{"value":"","hidden":"","source":"commons-desc-page"},"DateTimeOriginal":{"value":"2010-12-27","source":"commons-desc-page"},"ImageDescription":{"value":"&lt;b&gt;&lt;a href=\"https://en.wikipedia.org/wiki/Santa_Fe_Passenger_and_Freight_Depot\" class=\"extiw\" title=\"w:Santa Fe Passenger and Freight Depot\"&gt;Santa Fe Passenger and Freight Depot&lt;/a&gt;&lt;/b&gt; — now a history museum in &lt;a href=\"//commons.wikimedia.org/wiki/Category:Shafter,_California\" title=\"Category:Shafter, California\"&gt;Shafter&lt;/a&gt;, Kern County, California.\n&lt;ul&gt;&lt;li&gt;A &lt;a href=\"//commons.wikimedia.org/wiki/Category:Former_Atchison,_Topeka_and_Santa_Fe_Railway_stations\" title=\"Category:Former Atchison, Topeka and Santa Fe Railway stations\"&gt;former Atchison, Topeka and Santa Fe Railway station&lt;/a&gt; and depot.&lt;/li&gt;&lt;/ul&gt;","source":"commons-desc-page"},"LicenseShortName":{"value":"CC BY 3.0","hidden":"","source":"commons-desc-page"},"AttributionRequired":{"value":"true","hidden":"","source":"commons-desc-page"},"CommonsMetadataExtension":{"value":1.2,"hidden":"","source":"extension"}},"thumbheight":637,"thumbattribs":{"src":"https://thumb.wikimedia.org/wikipedia/commons/thumb/4/4d/2010-1227-SantaFe-Shafter.jpg/1280px-2010-1227-SantaFe-Shafter.jpg?utm_source=commons.wikimedia.org&amp;utm_campaign=imageinfo&amp;utm_content=thumbnail","width":1280,"height":637,"srcset":"https://thumb.wikimedia.org/wikipedia/commons/thumb/4/4d/2010-1227-SantaFe-Shafter.jpg/3840px-2010-1227-SantaFe-Shafter.jpg?utm_source=commons.wikimedia.org&amp;utm_campaign=imageinfo&amp;utm_content=thumbnail 2x","loading":"lazy","decoding":"async"},"descriptionurl":"https://commons.wikimedia.org/wiki/File:2010-1227-SantaFe-Shafter.jpg","responsiveUrls":{"2":"https://thumb.wikimedia.org/wikipedia/commons/thumb/4/4d/2010-1227-SantaFe-Shafter.jpg/3840px-2010-1227-SantaFe-Shafter.jpg?utm_source=commons.wikimedia.org&amp;utm_campaign=imageinfo&amp;utm_content=thumbnail"},"descriptionshorturl":"https://commons.wikimedia.org/w/index.php?curid=12657010"},"selection":{"qid":"pending","kind":"candidate","title":"Museums in Kern County, California"},"author_url":"https://en.wikipedia.org/wiki/User:Bobak","derivative":"Wikimedia thumbnail decoded; EXIF orientation applied; converted to WebP quality 86; no generated pixels, no cropping.","source_url":"https://commons.wikimedia.org/wiki/File:2010-1227-SantaFe-Shafter.jpg","author_urls":["https://en.wikipedia.org/wiki/User:Bobak"],"description":"Santa Fe Passenger and Freight Depot — now a history museum in Shafter, Kern County, California.\nA former Atchison, Topeka and Santa Fe Railway station and depot.","license_url":"https://creativecommons.org/licenses/by/3.0","reviewed_on":"2026-10-24","capture_date":"2010-12-27","download_url":"https://thumb.wikimedia.org/wikipedia/commons/thumb/4/4d/2010-1227-SantaFe-Shafter.jpg/1280px-2010-1227-SantaFe-Shafter.jpg?utm_source=commons.wikimedia.org&amp;utm_campaign=imageinfo&amp;utm_content=thumbnail","original_url":"https://upload.wikimedia.org/wikipedia/commons/4/4d/2010-1227-SantaFe-Shafter.jpg?utm_source=commons.wikimedia.org&amp;utm_campaign=imageinfo&amp;utm_content=original","pixel_review":{"method":"İndirilen kare temas sayfasında görüldü; kaynak mekân kimliğiyle eşleştirildi. Seçim kaydı final-pixel-review.json.","status":"verified","caption":"Shafter Depot Museum · 2010 tarihli fotoğraf","reviewer":"Codex (AI)","review_id":"C23"},"downloaded_at":"2026-10-23T19:10:06.335528+00:00","download_sha256":"dd9703ca4b7d12591d5c868004133e681c637ac87cdccb6845d8a087140acc6c","downloaded_file":"downloads/dd9703ca4b7d12591d5c868004133e681c637ac87cdccb6845d8a087140acc6c.jpg","acquisition_file":"f324c112055acdb155f1f025.webp","commons_filename":"2010-1227-SantaFe-Shafter.jpg","original_file_url":"https://upload.wikimedia.org/wikipedia/commons/4/4d/2010-1227-SantaFe-Shafter.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4/4d/2010-1227-SantaFe-Shafter.jpg?utm_source=commons.wikimedia.org&amp;utm_campaign=imageinfo&amp;utm_content=original"},"metadata_reviewed_on":"2026-10-24","metadata_review_status":"verified"}}</x:v>
      </x:c>
    </x:row>
    <x:row r="210" ht="300" customHeight="1">
      <x:c r="A210" s="29" t="str">
        <x:v>bakersfield:evidence:venue-22175</x:v>
      </x:c>
      <x:c r="B210" s="29" t="str">
        <x:v>bakersfield</x:v>
      </x:c>
      <x:c r="C210" s="29" t="str">
        <x:v>bakersfield:photo:venue-22175</x:v>
      </x:c>
      <x:c r="D210" s="29" t="str">
        <x:v>https://www.flickr.com/photos/19752067@N00/4548928228/</x:v>
      </x:c>
      <x:c r="E210" s="29" t="str">
        <x:v>Shafter Depot Museum · 2010 tarihli fotoğraf</x:v>
      </x:c>
      <x:c r="F210" s="29" t="str">
        <x:v>Bruce Fingerhood</x:v>
      </x:c>
      <x:c r="G210" s="29" t="str">
        <x:v>CC BY 2.0</x:v>
      </x:c>
      <x:c r="H210" s="29" t="str">
        <x:v>https://creativecommons.org/licenses/by/2.0/</x:v>
      </x:c>
      <x:c r="I210" s="29" t="str">
        <x:v>CC BY 2.0</x:v>
      </x:c>
      <x:c r="J210" s="29" t="str">
        <x:v>Shafter Depot Museum · 2010 tarihli fotoğraf · Bruce Fingerhood · CC BY 2.0 · https://www.flickr.com/photos/19752067@N00/4548928228/</x:v>
      </x:c>
      <x:c r="K21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0" s="31" t="d">
        <x:v>2026-10-24T00:00:00.000Z</x:v>
      </x:c>
      <x:c r="M210" s="29" t="str">
        <x:v>Doğrulandı</x:v>
      </x:c>
      <x:c r="N210" s="29" t="str">
        <x:v>Doğrulandı</x:v>
      </x:c>
      <x:c r="O210" s="29" t="str">
        <x:v>Fotoğraflar/bk-f8a943972477ddbdcb5047f9.webp</x:v>
      </x:c>
      <x:c r="P210" s="29" t="str">
        <x:v>Shafter Depot Museum · 2010 tarihli fotoğraf · İndirilen kare temas sayfasında görüldü; kaynak mekân kimliğiyle eşleştirildi. Seçim kaydı final-pixel-review.json.</x:v>
      </x:c>
      <x:c r="Q210" s="29" t="str">
        <x:v>Bu kare için uygun</x:v>
      </x:c>
      <x:c r="R21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0" s="29" t="str">
        <x:v>Lisans kanıtları/bk-f8a943972477ddbdcb5047f9.source-evidence.json</x:v>
      </x:c>
      <x:c r="T210" s="29" t="str">
        <x:v>e5255a101f58706735e419505de59ce08d1bfca6e51c832d8dacdcf89f944cad</x:v>
      </x:c>
      <x:c r="U210" s="29" t="str">
        <x:v>Lisans kanıtları/bk-f8a943972477ddbdcb5047f9.license-record.json</x:v>
      </x:c>
      <x:c r="V210" s="29" t="str">
        <x:v>86ce8b7438080012f8e087d04e0229e89cebc46d370909a08bf385777437a848</x:v>
      </x:c>
      <x:c r="W210" s="29" t="str">
        <x:v>{"file":"bk-f8a943972477ddbdcb5047f9.webp","width":1024,"author":"Bruce Fingerhood","height":683,"sha256":"f8a943972477ddbdcb5047f939dde6c5b7f15c3c0e70dcba6988603ae4dc071f","status":"reviewed-selected","license":"CC BY 2.0","provider":"Flickr","review_id":"F455","source_id":"4548928228","author_url":"https://www.flickr.com/photos/19752067@N00/","date_texts":["Uploaded on April 24, 2010 Taken on April 21, 2010","Taken on April 21, 2010","Uploaded on April 24, 2010 Taken on April 21, 2010","Taken on April 21, 2010"],"source_url":"https://www.flickr.com/photos/19752067@N00/4548928228/","description":"Santa Fe depot, Shafter CA. Road trip Spring 2010","license_url":"https://creativecommons.org/licenses/by/2.0/","review_note":"Depot exterior, exact identity visible.","reviewed_on":"2026-10-24","source_text":"shafter depot | Santa Fe depot, Shafter CA. Road trip Spring… | Bruce Fingerhood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Bruce Fingerhood Slideshow Bruce shafter depot Santa Fe depot, Shafter CA. Road trip Spring 2010 Done 818 views 2 faves 1 comment Uploaded on April 24, 2010 Taken on April 21, 2010 Bruce Fingerhood By: Bruce Fingerhood shafter depot Santa Fe depot, Shafter CA. Road trip Spring 2010 Done 818 views 2 faves 1 comment Uploaded on April 24, 2010 Taken on April 21,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photography.","capture_date":"2010-04-21","download_url":"https://live.staticflickr.com/4068/4548928228_5f5aed2b3a_b.jpg","original_url":"https://live.staticflickr.com/4068/4548928228_f9d3bb2baa_h.jpg","pixel_review":{"method":"İndirilen kare temas sayfasında görüldü; kaynak mekân kimliğiyle eşleştirildi. Seçim kaydı final-pixel-review.json.","status":"verified","caption":"Shafter Depot Museum · 2010 tarihli fotoğraf","reviewer":"Codex (AI)","review_id":"F455"},"source_title":"shafter depot","downloaded_at":"2026-10-23T19:50:28.599996+00:00","download_sha256":"44f1752eaf2c84f26940bb1466b910cf1ba2df64da8ad720fec47ebe4aaedaff","downloaded_file":"downloads/44f1752eaf2c84f26940bb1466b910cf1ba2df64da8ad720fec47ebe4aaedaff.jpg","public_metadata":{"photo-models":[{"data":{"id":"4548928228","owner":{"data":{"id":"19752067@N00","isPro":true,"newFlow":true,"isAdFree":false,"location":"Springfield, Oregon, US","proBadge":"standard","realname":"Bruce Fingerhood","segments":{"data":[],"exportMetaType":"array"},"username":"Slideshow Bruce","buddyicon":{"data":{"large":"//farm66.staticflickr.com/65535/buddyicons/19752067@N00_l.jpg?1680469078#19752067@N00","small":"//farm66.staticflickr.com/65535/buddyicons/19752067@N00_s.jpg?1680469078#19752067@N00","medium":"//farm66.staticflickr.com/65535/buddyicons/19752067@N00_m.jpg?1680469078#19752067@N00","retina":"//farm66.staticflickr.com/65535/buddyicons/19752067@N00_r.jpg?1680469078#19752067@N00","default":"//farm66.staticflickr.com/65535/buddyicons/19752067@N00.jpg?1680469078#19752067@N00"},"exportMetaType":"pojo"},"pathAlias":"springfieldhomer","dateCreated":{"data":"1114626088","exportMetaType":"serializeFunction"},"subscription":{"data":{"isPro":false,"isClosed":false,"isPastDue":false},"exportMetaType":"pojo"},"eligibleGifts":{"data":["year","month","week"],"exportMetaType":"array"},"isEligibleForGifts":true,"_flickrModelRegistry":"person-models"},"exportMetaType":"model"},"sizes":{"data":{"c":{"data":{"url":"//live.staticflickr.com/4068/4548928228_5f5aed2b3a_c.jpg","width":800,"height":534,"displayUrl":"//live.staticflickr.com/4068/4548928228_5f5aed2b3a_c.jpg"},"exportMetaType":"pojo"},"h":{"data":{"url":"//live.staticflickr.com/4068/4548928228_f9d3bb2baa_h.jpg","width":1600,"height":1067,"displayUrl":"//live.staticflickr.com/4068/4548928228_f9d3bb2baa_h.jpg"},"exportMetaType":"pojo"},"l":{"data":{"url":"//live.staticflickr.com/4068/4548928228_5f5aed2b3a_b.jpg","width":1024,"height":683,"displayUrl":"//live.staticflickr.com/4068/4548928228_5f5aed2b3a_b.jpg"},"exportMetaType":"pojo"},"m":{"data":{"url":"//live.staticflickr.com/4068/4548928228_5f5aed2b3a.jpg","width":500,"height":333,"displayUrl":"//live.staticflickr.com/4068/4548928228_5f5aed2b3a.jpg"},"exportMetaType":"pojo"},"n":{"data":{"url":"//live.staticflickr.com/4068/4548928228_5f5aed2b3a_n.jpg","width":320,"height":213,"displayUrl":"//live.staticflickr.com/4068/4548928228_5f5aed2b3a_n.jpg"},"exportMetaType":"pojo"},"o":{"data":{"url":"//live.staticflickr.com/4068/4548928228_863586db3f_o.jpg","width":1600,"height":1067,"displayUrl":"//live.staticflickr.com/4068/4548928228_863586db3f_o.jpg"},"exportMetaType":"pojo"},"q":{"data":{"url":"//live.staticflickr.com/4068/4548928228_5f5aed2b3a_q.jpg","width":150,"height":150,"displayUrl":"//live.staticflickr.com/4068/4548928228_5f5aed2b3a_q.jpg"},"exportMetaType":"pojo"},"s":{"data":{"url":"//live.staticflickr.com/4068/4548928228_5f5aed2b3a_m.jpg","width":240,"height":160,"displayUrl":"//live.staticflickr.com/4068/4548928228_5f5aed2b3a_m.jpg"},"exportMetaType":"pojo"},"t":{"data":{"url":"//live.staticflickr.com/4068/4548928228_5f5aed2b3a_t.jpg","width":100,"height":67,"displayUrl":"//live.staticflickr.com/4068/4548928228_5f5aed2b3a_t.jpg"},"exportMetaType":"pojo"},"w":{"data":{"url":"//live.staticflickr.com/4068/4548928228_5f5aed2b3a_w.jpg","width":400,"height":267,"displayUrl":"//live.staticflickr.com/4068/4548928228_5f5aed2b3a_w.jpg"},"exportMetaType":"pojo"},"z":{"data":{"url":"//live.staticflickr.com/4068/4548928228_5f5aed2b3a_z.jpg","width":640,"height":427,"displayUrl":"//live.staticflickr.com/4068/4548928228_5f5aed2b3a_z.jpg"},"exportMetaType":"pojo"},"sq":{"data":{"url":"//live.staticflickr.com/4068/4548928228_5f5aed2b3a_s.jpg","width":75,"height":75,"displayUrl":"//live.staticflickr.com/4068/4548928228_5f5aed2b3a_s.jpg"},"exportMetaType":"pojo"}},"exportMetaType":"pojo"},"title":"shafter depot","oWidth":1600,"secret":"5f5aed2b3a","license":4,"oHeight":1067,"rotation":0,"canAddMeta":false,"canComment":false,"engagement":{"data":{"id":"4548928228","canShare":true,"faveCount":2,"ownerNsid":"19752067@N00","reactions":{"data":{"like":{"data":{"id":"like","count":5,"canReact":true,"didViewerReact":true},"exportMetaType":"pojo"},"someOtherReaction":{"data":{"id":"someOtherReaction","count":3,"canReact":true,"didViewerReact":false},"exportMetaType":"pojo"}},"exportMetaType":"pojo"},"viewCount":818,"canDownload":true,"commentCount":1,"_flickrModelRegistry":"photo-engagement-models"},"exportMetaType":"model"},"description":"Santa Fe depot, Shafter CA. Road trip Spring 2010","safetyLevel":0,"upgradeSizes":{"data":[],"exportMetaType":"array"},"adEligibility":{"data":{"lane":1,"labels":{"data":["ProOwner"],"exportMetaType":"array"},"isAdEligible":false,"highScoreLabels":{"data":["ProOwner"],"exportMetaType":"array"}},"exportMetaType":"pojo"},"canPublicComment":true,"_flickrModelRegistry":"photo-models"},"exportMetaType":"model"}],"photo-geo-models":[{"data":{"id":"4548928228","hasGeo":true,"accuracy":11,"isPublic":true,"latitude":35.504701,"longitude":-119.276504,"_flickrModelRegistry":"photo-geo-models"},"exportMetaType":"model"}],"photo-location-models":[{"data":{"id":"4548928228","geo":{"data":"~2","exportMetaType":"model"},"text":"Shafter, California, United States","levels":{"data":{"county":{"data":{"name":"Kern","woeId":12587684},"exportMetaType":"pojo"},"region":{"data":{"name":"California","woeId":2347563},"exportMetaType":"pojo"},"country":{"data":{"name":"United States","woeId":23424977},"exportMetaType":"pojo"},"locality":{"data":{"name":"Shafter","woeId":2491484},"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4548928228","title":"shafter depot","og:url":"https://www.flickr.com/photos/springfieldhomer/4548928228/","og:type":"article","keywords":"california, road, trip, santafe, depot, 2010, shafter","og:image":"https://live.staticflickr.com/4068/4548928228_5f5aed2b3a_b.jpg","og:title":"shafter depot","twitter:card":"summary_large_image","twitter:image":"https://live.staticflickr.com/4068/4548928228_5f5aed2b3a_b.jpg","og:description":"Santa Fe depot, Shafter CA. Road trip Spring 2010","og:image:width":1024,"og:image:height":683,"twitter:description":"Santa Fe depot, Shafter CA. Road trip Spring 2010","_flickrModelRegistry":"photo-head-meta-models","twitter:app:url:ipad":"flickr://flickr.com/photos/springfieldhomer/4548928228/","twitter:app:url:iphone":"flickr://flickr.com/photos/springfieldhomer/4548928228/","twitter:app:url:googleplay":"https://www.flickr.com/photos/springfieldhomer/4548928228/"},"exportMetaType":"model"}],"photo-license-history-models":[]},"acquisition_file":"fl-4548928228.webp","source_html_file":"/Users/atincakcayoz/corteqs/output/bakersfield-production-20261023/flickr-source-pages/4548928228.html","original_file_url":"https://live.staticflickr.com/4068/4548928228_f9d3bb2baa_h.jpg","proposed_identity":"Shafter Depot","source_html_sha256":"23da0e315bb8543c8435ed829303a9a83d47954ce8c525fa659c1971f4011458","third_party_rights_review":{"basis":"Kaynakta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dönüştürüldü.","photo_attribution":{"author_url":"https://www.flickr.com/photos/19752067@N00/","modifications":"EXIF yönü uygulandı; boyut küçültülüp WebP biçimine dönüştürüldü.","original_file_url":"https://live.staticflickr.com/4068/4548928228_f9d3bb2baa_h.jpg"},"metadata_reviewed_on":"2026-10-24","metadata_review_status":"verified"}}</x:v>
      </x:c>
    </x:row>
    <x:row r="211" ht="300" customHeight="1">
      <x:c r="A211" s="29" t="str">
        <x:v>bakersfield:evidence:venue-22176</x:v>
      </x:c>
      <x:c r="B211" s="29" t="str">
        <x:v>bakersfield</x:v>
      </x:c>
      <x:c r="C211" s="29" t="str">
        <x:v>bakersfield:photo:venue-22176</x:v>
      </x:c>
      <x:c r="D211" s="29" t="str">
        <x:v>https://commons.wikimedia.org/wiki/File:2010-1227-GreenHotel-Shafter.jpg</x:v>
      </x:c>
      <x:c r="E211" s="29" t="str">
        <x:v>2010-1227-GreenHotel-Shafter.jpg</x:v>
      </x:c>
      <x:c r="F211" s="29" t="str">
        <x:v>Bobak Ha'Eri</x:v>
      </x:c>
      <x:c r="G211" s="29" t="str">
        <x:v>CC BY 3.0</x:v>
      </x:c>
      <x:c r="H211" s="29" t="str">
        <x:v>https://creativecommons.org/licenses/by/3.0</x:v>
      </x:c>
      <x:c r="I211" s="29" t="str">
        <x:v>Creative Commons Attribution 3.0</x:v>
      </x:c>
      <x:c r="J211" s="29" t="str">
        <x:v>2010-1227-GreenHotel-Shafter.jpg · Bobak Ha'Eri · CC BY 3.0 · https://commons.wikimedia.org/wiki/File:2010-1227-GreenHotel-Shafter.jpg</x:v>
      </x:c>
      <x:c r="K21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1" s="31" t="d">
        <x:v>2026-10-24T00:00:00.000Z</x:v>
      </x:c>
      <x:c r="M211" s="29" t="str">
        <x:v>Doğrulandı</x:v>
      </x:c>
      <x:c r="N211" s="29" t="str">
        <x:v>Doğrulandı</x:v>
      </x:c>
      <x:c r="O211" s="29" t="str">
        <x:v>Fotoğraflar/bk-201adedc69b89d8bf9783119.webp</x:v>
      </x:c>
      <x:c r="P211" s="29" t="str">
        <x:v>Historic Green Hotel · 2010 tarihli fotoğraf · İndirilen kare temas sayfasında görüldü; kaynak mekân kimliğiyle eşleştirildi. Seçim kaydı final-pixel-review.json.</x:v>
      </x:c>
      <x:c r="Q211" s="29" t="str">
        <x:v>Bu kare için uygun</x:v>
      </x:c>
      <x:c r="R21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1" s="29" t="str">
        <x:v>Lisans kanıtları/bk-201adedc69b89d8bf9783119.source-evidence.json</x:v>
      </x:c>
      <x:c r="T211" s="29" t="str">
        <x:v>0e7b58126c9c2d63467eb5967687a4927ca8d2606ff1689c9b593bb370fb8a99</x:v>
      </x:c>
      <x:c r="U211" s="29" t="str">
        <x:v>Lisans kanıtları/bk-201adedc69b89d8bf9783119.license-record.json</x:v>
      </x:c>
      <x:c r="V211" s="29" t="str">
        <x:v>8ab146f44e050870e429bfa179ef6205b988d89c2e379f4fb9289e1aa5ab827e</x:v>
      </x:c>
      <x:c r="W211" s="29" t="str">
        <x:v>{"file":"bk-201adedc69b89d8bf9783119.webp","width":1280,"author":"Bobak Ha'Eri","height":960,"sha256":"201adedc69b89d8bf9783119b1974db34089ffa5bde474949088221af59d5ffa","license":"CC BY 3.0","imageinfo":{"url":"https://upload.wikimedia.org/wikipedia/commons/e/e5/2010-1227-GreenHotel-Shafter.jpg?utm_source=commons.wikimedia.org&amp;utm_campaign=imageinfo&amp;utm_content=original","mime":"image/jpeg","sha1":"93fbf370125e36d2d39e2bac2205f6c83cccdd1f","size":573899,"width":2500,"height":1875,"pageid":12656979,"thumburl":"https://thumb.wikimedia.org/wikipedia/commons/thumb/e/e5/2010-1227-GreenHotel-Shafter.jpg/1280px-2010-1227-GreenHotel-Shafter.jpg?utm_source=commons.wikimedia.org&amp;utm_campaign=imageinfo&amp;utm_content=thumbnail","timestamp":"2011-01-11T00:16:55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work&lt;/span&gt;","source":"commons-desc-page"},"License":{"value":"cc-by-3.0","hidden":"","source":"commons-templates"},"DateTime":{"value":"2011-01-11 00:16:55","hidden":"","source":"mediawiki-metadata"},"Categories":{"value":"National Register of Historic Places in Kern County, California|Shafter, California|Self-published work|Hotels in Kern County, California|National Register of Historic Places with known IDs|Files by User:Bobak","hidden":"","source":"commons-categories"},"LicenseUrl":{"value":"https://creativecommons.org/licenses/by/3.0","source":"commons-desc-page"},"ObjectName":{"value":"2010-1227-GreenHotel-Shafter","source":"mediawiki-metadata"},"Permission":{"value":"CC-By-SA-3.0","hidden":"","source":"commons-desc-page"},"UsageTerms":{"value":"Creative Commons Attribution 3.0","source":"commons-desc-page"},"Assessments":{"value":"","hidden":"","source":"commons-categories"},"Copyrighted":{"value":"True","hidden":"","source":"commons-desc-page"},"GPSLatitude":{"value":"35.501667","source":"commons-desc-page"},"GPSMapDatum":{"value":"WGS-84","hidden":"","source":"commons-desc-page"},"GPSLongitude":{"value":"-119.285000","source":"commons-desc-page"},"Restrictions":{"value":"","hidden":"","source":"commons-desc-page"},"DateTimeOriginal":{"value":"2010-12-27","source":"commons-desc-page"},"ImageDescription":{"value":"&lt;b&gt;&lt;a href=\"https://en.wikipedia.org/wiki/Green_Hotel\" class=\"extiw\" title=\"en:Green Hotel\"&gt;en:Green Hotel&lt;/a&gt;&lt;/b&gt;, &lt;a href=\"https://en.wikipedia.org/wiki/Shafter,_California\" class=\"extiw\" title=\"en:Shafter, California\"&gt;Shafter, California&lt;/a&gt;, USA.","source":"commons-desc-page"},"LicenseShortName":{"value":"CC BY 3.0","hidden":"","source":"commons-desc-page"},"AttributionRequired":{"value":"true","hidden":"","source":"commons-desc-page"},"CommonsMetadataExtension":{"value":1.2,"hidden":"","source":"extension"}},"thumbheight":960,"thumbattribs":{"src":"https://thumb.wikimedia.org/wikipedia/commons/thumb/e/e5/2010-1227-GreenHotel-Shafter.jpg/1280px-2010-1227-GreenHotel-Shafter.jpg?utm_source=commons.wikimedia.org&amp;utm_campaign=imageinfo&amp;utm_content=thumbnail","width":1280,"height":960,"srcset":"https://upload.wikimedia.org/wikipedia/commons/e/e5/2010-1227-GreenHotel-Shafter.jpg?utm_source=commons.wikimedia.org&amp;utm_campaign=imageinfo&amp;utm_content=thumbnail_unscaled 2x","loading":"lazy","decoding":"async"},"descriptionurl":"https://commons.wikimedia.org/wiki/File:2010-1227-GreenHotel-Shafter.jpg","responsiveUrls":{"2":"https://upload.wikimedia.org/wikipedia/commons/e/e5/2010-1227-GreenHotel-Shafter.jpg?utm_source=commons.wikimedia.org&amp;utm_campaign=imageinfo&amp;utm_content=thumbnail_unscaled"},"descriptionshorturl":"https://commons.wikimedia.org/w/index.php?curid=12656979"},"selection":{"qid":"pending","kind":"candidate","title":"National Register of Historic Places in Kern County, California"},"author_url":"https://en.wikipedia.org/wiki/User:Bobak","derivative":"Wikimedia thumbnail decoded; EXIF orientation applied; converted to WebP quality 86; no generated pixels, no cropping.","source_url":"https://commons.wikimedia.org/wiki/File:2010-1227-GreenHotel-Shafter.jpg","author_urls":["https://en.wikipedia.org/wiki/User:Bobak"],"description":"en:Green Hotel, Shafter, California, USA.","license_url":"https://creativecommons.org/licenses/by/3.0","reviewed_on":"2026-10-24","capture_date":"2010-12-27","download_url":"https://thumb.wikimedia.org/wikipedia/commons/thumb/e/e5/2010-1227-GreenHotel-Shafter.jpg/1280px-2010-1227-GreenHotel-Shafter.jpg?utm_source=commons.wikimedia.org&amp;utm_campaign=imageinfo&amp;utm_content=thumbnail","original_url":"https://upload.wikimedia.org/wikipedia/commons/e/e5/2010-1227-GreenHotel-Shafter.jpg?utm_source=commons.wikimedia.org&amp;utm_campaign=imageinfo&amp;utm_content=original","pixel_review":{"method":"İndirilen kare temas sayfasında görüldü; kaynak mekân kimliğiyle eşleştirildi. Seçim kaydı final-pixel-review.json.","status":"verified","caption":"Historic Green Hotel · 2010 tarihli fotoğraf","reviewer":"Codex (AI)","review_id":"C22"},"downloaded_at":"2026-10-23T19:10:24.326917+00:00","download_sha256":"0ce0d3422b028c4299db23f148d01020159f62b54d3fbc57a17aaf38b1e6739e","downloaded_file":"downloads/0ce0d3422b028c4299db23f148d01020159f62b54d3fbc57a17aaf38b1e6739e.jpg","acquisition_file":"2fbceefc9301ea4ece0e14fe.webp","commons_filename":"2010-1227-GreenHotel-Shafter.jpg","original_file_url":"https://upload.wikimedia.org/wikipedia/commons/e/e5/2010-1227-GreenHotel-Shafter.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e/e5/2010-1227-GreenHotel-Shafter.jpg?utm_source=commons.wikimedia.org&amp;utm_campaign=imageinfo&amp;utm_content=original"},"metadata_reviewed_on":"2026-10-24","metadata_review_status":"verified"}}</x:v>
      </x:c>
    </x:row>
    <x:row r="212" ht="300" customHeight="1">
      <x:c r="A212" s="29" t="str">
        <x:v>bakersfield:evidence:venue-22177</x:v>
      </x:c>
      <x:c r="B212" s="29" t="str">
        <x:v>bakersfield</x:v>
      </x:c>
      <x:c r="C212" s="29" t="str">
        <x:v>bakersfield:photo:venue-22177</x:v>
      </x:c>
      <x:c r="D212" s="29" t="str">
        <x:v>https://www.flickr.com/photos/12806074@N08/3355732310/</x:v>
      </x:c>
      <x:c r="E212" s="29" t="str">
        <x:v>West Kern Oil Museum · 2009 tarihli fotoğraf</x:v>
      </x:c>
      <x:c r="F212" s="29" t="str">
        <x:v>Konrad Summers</x:v>
      </x:c>
      <x:c r="G212" s="29" t="str">
        <x:v>CC BY-SA 2.0</x:v>
      </x:c>
      <x:c r="H212" s="29" t="str">
        <x:v>https://creativecommons.org/licenses/by-sa/2.0/</x:v>
      </x:c>
      <x:c r="I212" s="29" t="str">
        <x:v>CC BY-SA 2.0</x:v>
      </x:c>
      <x:c r="J212" s="29" t="str">
        <x:v>West Kern Oil Museum · 2009 tarihli fotoğraf · Konrad Summers · CC BY-SA 2.0 · https://www.flickr.com/photos/12806074@N08/3355732310/</x:v>
      </x:c>
      <x:c r="K21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2" s="31" t="d">
        <x:v>2026-10-24T00:00:00.000Z</x:v>
      </x:c>
      <x:c r="M212" s="29" t="str">
        <x:v>Doğrulandı</x:v>
      </x:c>
      <x:c r="N212" s="29" t="str">
        <x:v>Doğrulandı</x:v>
      </x:c>
      <x:c r="O212" s="29" t="str">
        <x:v>Fotoğraflar/bk-fd5761a8ced14156c759f239.webp</x:v>
      </x:c>
      <x:c r="P212" s="29" t="str">
        <x:v>West Kern Oil Museum · 2009 tarihli fotoğraf · İndirilen kare temas sayfasında görüldü; kaynak mekân kimliğiyle eşleştirildi. Seçim kaydı final-pixel-review.json.</x:v>
      </x:c>
      <x:c r="Q212" s="29" t="str">
        <x:v>Bu kare için uygun</x:v>
      </x:c>
      <x:c r="R21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2" s="29" t="str">
        <x:v>Lisans kanıtları/bk-fd5761a8ced14156c759f239.source-evidence.json</x:v>
      </x:c>
      <x:c r="T212" s="29" t="str">
        <x:v>c3a1808894736e916bda95de442f6f21ebc0403c959a5c61aaf2740e9fcd335a</x:v>
      </x:c>
      <x:c r="U212" s="29" t="str">
        <x:v>Lisans kanıtları/bk-fd5761a8ced14156c759f239.license-record.json</x:v>
      </x:c>
      <x:c r="V212" s="29" t="str">
        <x:v>bdb63ce7f4253a34a0e3077234602826e0c81f19b378e61f47eec57ade637a82</x:v>
      </x:c>
      <x:c r="W212" s="29" t="str">
        <x:v>{"file":"bk-fd5761a8ced14156c759f239.webp","width":768,"author":"Konrad Summers","height":1024,"sha256":"fd5761a8ced14156c759f23968b1eed4d96670fbad439e5791de352e5d263e48","status":"reviewed-selected","license":"CC BY-SA 2.0","provider":"Flickr","review_id":"F283","source_id":"3355732310","author_url":"https://www.flickr.com/photos/12806074@N08/","date_texts":["Uploaded on March 15, 2009 Taken on February 22, 2009","Taken on February 22, 2009","Uploaded on March 15, 2009 Taken on February 22, 2009","Taken on February 22, 2009"],"source_url":"https://www.flickr.com/photos/12806074@N08/3355732310/","description":"Drilled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derrick.\n\nNovember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sight.\n\n&lt;a href=\"http://www.westkern-oilmuseum.org/derrick.htm\"&gt;www.westkern-oilmuseum.org/derrick.htm&lt;/a&gt;\n\n&lt;b&gt;Contest Entry&lt;/b&gt;\n&lt;a href=\"http://www.flickr.com/groups/fotocompetition/discuss/72157615657709488/\"&gt;Foto Competition&lt;/a&gt; Lost 2-1-5-0\n&lt;a href=\"http://www.flickr.com/groups/challenge_you/discuss/72157615572114273/\"&gt;Challenge You&lt;/a&gt; Lost 3-10\n&lt;a href=\"http://www.flickr.com/groups/challengefactory/discuss/72157615575259065/\"&gt;Challenge Factory&lt;/a&gt; Won  5-2-4\n&lt;a href=\"http://www.flickr.com/groups/you_rock/discuss/72157615852637676/\"&gt;You Rock! Challenge&lt;/a&gt; Lost 2-5-0\n&lt;a href=\"http://www.flickr.com/groups/challenge_you/discuss/72157615825885997/\"&gt;www.flickr.com/groups/challenge_you/discuss/7215761582588...&lt;/a&gt;","license_url":"https://creativecommons.org/licenses/by-sa/2.0/","review_note":"Derrick looking upward.","reviewed_on":"2026-10-24","source_text":"Wooden Derrick - Kern West Oil Museum | Drilled in 1917 and …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Konrad Summers tkksummers Wooden Derrick - Kern West Oil Museum 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 Contest Entry Foto Competition Lost 2-1-5-0 Challenge You Lost 3-10 Challenge Factory Won  5-2-4 You Rock! Challenge Lost 2-5-0 www.flickr.com/groups/challenge_you/discuss/7215761582588... Done 10,615 views 3 faves 1 comment Uploaded on March 15, 2009 Taken on February 22, 2009 Konrad Summers By: Konrad Summers Wooden Derrick - Kern West Oil Museum 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 Contest Entry Foto Competition Lost 2-1-5-0 Challenge You Lost 3-10 Challenge Factory Won  5-2-4 You Rock! Challenge Lost 2-5-0 www.flickr.com/groups/challenge_you/discuss/7215761582588... Done 10,615 views 3 faves 1 comment Uploaded on March 15, 2009 Taken on February 22,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photography.","capture_date":"2009-02-22","download_url":"https://live.staticflickr.com/3441/3355732310_ce54d49880_b.jpg","original_url":"https://live.staticflickr.com/3441/3355732310_185f935223_4k.jpg","pixel_review":{"method":"İndirilen kare temas sayfasında görüldü; kaynak mekân kimliğiyle eşleştirildi. Seçim kaydı final-pixel-review.json.","status":"verified","caption":"West Kern Oil Museum · 2009 tarihli fotoğraf","reviewer":"Codex (AI)","review_id":"F283"},"source_title":"Wooden Derrick - Kern West Oil Museum","downloaded_at":"2026-10-23T19:50:18.130826+00:00","download_sha256":"f190a50098693e9eafe676caa7289d07607b872605a629e42ac384fdbeb88d3b","downloaded_file":"downloads/f190a50098693e9eafe676caa7289d07607b872605a629e42ac384fdbeb88d3b.jpg","public_metadata":{"photo-models":[{"data":{"id":"3355732310","owner":{"data":{"id":"12806074@N08","isPro":true,"newFlow":true,"isAdFree":false,"location":"Orange County, California, USA","proBadge":"standard","realname":"Konrad Summers","segments":{"data":[],"exportMetaType":"array"},"username":"tkksummers","buddyicon":{"data":{"large":"//live.staticflickr.com/1065/buddyicons/12806074@N08_l.jpg?1189036389#12806074@N08","small":"//live.staticflickr.com/1065/buddyicons/12806074@N08_s.jpg?1189036389#12806074@N08","medium":"//live.staticflickr.com/1065/buddyicons/12806074@N08_m.jpg?1189036389#12806074@N08","retina":"//live.staticflickr.com/1065/buddyicons/12806074@N08_r.jpg?1189036389#12806074@N08","default":"//live.staticflickr.com/1065/buddyicons/12806074@N08.jpg?1189036389#12806074@N08"},"exportMetaType":"pojo"},"pathAlias":"tkksummers","dateCreated":{"data":"1189011076","exportMetaType":"serializeFunction"},"subscription":{"data":{"isPro":false,"isClosed":false,"isPastDue":false},"exportMetaType":"pojo"},"eligibleGifts":{"data":["year","month","week"],"exportMetaType":"array"},"isEligibleForGifts":true,"_flickrModelRegistry":"person-models"},"exportMetaType":"model"},"sizes":{"data":{"c":{"data":{"url":"//live.staticflickr.com/3441/3355732310_ce54d49880_c.jpg","width":600,"height":800,"displayUrl":"//live.staticflickr.com/3441/3355732310_ce54d49880_c.jpg"},"exportMetaType":"pojo"},"h":{"data":{"url":"//live.staticflickr.com/3441/3355732310_e4ece30388_h.jpg","width":1200,"height":1600,"displayUrl":"//live.staticflickr.com/3441/3355732310_e4ece30388_h.jpg"},"exportMetaType":"pojo"},"k":{"data":{"url":"//live.staticflickr.com/3441/3355732310_126d306b95_k.jpg","width":1536,"height":2048,"displayUrl":"//live.staticflickr.com/3441/3355732310_126d306b95_k.jpg"},"exportMetaType":"pojo"},"l":{"data":{"url":"//live.staticflickr.com/3441/3355732310_ce54d49880_b.jpg","width":768,"height":1024,"displayUrl":"//live.staticflickr.com/3441/3355732310_ce54d49880_b.jpg"},"exportMetaType":"pojo"},"m":{"data":{"url":"//live.staticflickr.com/3441/3355732310_ce54d49880.jpg","width":375,"height":500,"displayUrl":"//live.staticflickr.com/3441/3355732310_ce54d49880.jpg"},"exportMetaType":"pojo"},"n":{"data":{"url":"//live.staticflickr.com/3441/3355732310_ce54d49880_n.jpg","width":240,"height":320,"displayUrl":"//live.staticflickr.com/3441/3355732310_ce54d49880_n.jpg"},"exportMetaType":"pojo"},"o":{"data":{"url":"//live.staticflickr.com/3441/3355732310_fd24bf79e5_o.jpg","width":3000,"height":4000,"displayUrl":"//live.staticflickr.com/3441/3355732310_fd24bf79e5_o.jpg"},"exportMetaType":"pojo"},"q":{"data":{"url":"//live.staticflickr.com/3441/3355732310_ce54d49880_q.jpg","width":150,"height":150,"displayUrl":"//live.staticflickr.com/3441/3355732310_ce54d49880_q.jpg"},"exportMetaType":"pojo"},"s":{"data":{"url":"//live.staticflickr.com/3441/3355732310_ce54d49880_m.jpg","width":180,"height":240,"displayUrl":"//live.staticflickr.com/3441/3355732310_ce54d49880_m.jpg"},"exportMetaType":"pojo"},"t":{"data":{"url":"//live.staticflickr.com/3441/3355732310_ce54d49880_t.jpg","width":75,"height":100,"displayUrl":"//live.staticflickr.com/3441/3355732310_ce54d49880_t.jpg"},"exportMetaType":"pojo"},"w":{"data":{"url":"//live.staticflickr.com/3441/3355732310_ce54d49880_w.jpg","width":300,"height":400,"displayUrl":"//live.staticflickr.com/3441/3355732310_ce54d49880_w.jpg"},"exportMetaType":"pojo"},"z":{"data":{"url":"//live.staticflickr.com/3441/3355732310_ce54d49880_z.jpg","width":480,"height":640,"displayUrl":"//live.staticflickr.com/3441/3355732310_ce54d49880_z.jpg"},"exportMetaType":"pojo"},"3k":{"data":{"url":"//live.staticflickr.com/3441/3355732310_ac328b73a8_3k.jpg","width":2304,"height":3072,"displayUrl":"//live.staticflickr.com/3441/3355732310_ac328b73a8_3k.jpg"},"exportMetaType":"pojo"},"4k":{"data":{"url":"//live.staticflickr.com/3441/3355732310_185f935223_4k.jpg","width":3000,"height":4000,"displayUrl":"//live.staticflickr.com/3441/3355732310_185f935223_4k.jpg"},"exportMetaType":"pojo"},"sq":{"data":{"url":"//live.staticflickr.com/3441/3355732310_ce54d49880_s.jpg","width":75,"height":75,"displayUrl":"//live.staticflickr.com/3441/3355732310_ce54d49880_s.jpg"},"exportMetaType":"pojo"}},"exportMetaType":"pojo"},"title":"Wooden Derrick - Kern West Oil Museum","oWidth":3000,"secret":"ce54d49880","license":5,"oHeight":4000,"rotation":0,"canAddMeta":false,"canComment":false,"engagement":{"data":{"id":"3355732310","canShare":true,"faveCount":3,"ownerNsid":"12806074@N08","reactions":{"data":{"like":{"data":{"id":"like","count":5,"canReact":true,"didViewerReact":true},"exportMetaType":"pojo"},"someOtherReaction":{"data":{"id":"someOtherReaction","count":3,"canReact":true,"didViewerReact":false},"exportMetaType":"pojo"}},"exportMetaType":"pojo"},"viewCount":10615,"canDownload":true,"commentCount":1,"_flickrModelRegistry":"photo-engagement-models"},"exportMetaType":"model"},"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derrick.\n\nNovember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sight.\n\n&lt;a href=\"http://www.westkern-oilmuseum.org/derrick.htm\" rel=\"noreferrer nofollow\"&gt;www.westkern-oilmuseum.org/derrick.htm&lt;/a&gt;\n\n&lt;b&gt;Contest Entry&lt;/b&gt;\n&lt;a href=\"http://www.flickr.com/groups/fotocompetition/discuss/72157615657709488/\"&gt;Foto Competition&lt;/a&gt; Lost 2-1-5-0\n&lt;a href=\"http://www.flickr.com/groups/challenge_you/discuss/72157615572114273/\"&gt;Challenge You&lt;/a&gt; Lost 3-10\n&lt;a href=\"http://www.flickr.com/groups/challengefactory/discuss/72157615575259065/\"&gt;Challenge Factory&lt;/a&gt; Won  5-2-4\n&lt;a href=\"http://www.flickr.com/groups/you_rock/discuss/72157615852637676/\"&gt;You Rock! Challenge&lt;/a&gt; Lost 2-5-0\n&lt;a href=\"http://www.flickr.com/groups/challenge_you/discuss/72157615825885997/\"&gt;www.flickr.com/groups/challenge_you/discuss/7215761582588...&lt;/a&gt;","safetyLevel":0,"upgradeSizes":{"data":[],"exportMetaType":"array"},"adEligibility":{"data":{"lane":1,"labels":{"data":["ProOwner"],"exportMetaType":"array"},"isAdEligible":false,"highScoreLabels":{"data":["ProOwner"],"exportMetaType":"array"}},"exportMetaType":"pojo"},"canPublicComment":true,"_flickrModelRegistry":"photo-models"},"exportMetaType":"model"}],"photo-geo-models":[{"data":{"id":"3355732310","hasGeo":true,"accuracy":16,"isPublic":true,"latitude":35.132775,"longitude":-119.447862,"_flickrModelRegistry":"photo-geo-models"},"exportMetaType":"model"}],"photo-location-models":[{"data":{"id":"3355732310","geo":{"data":"~2","exportMetaType":"model"},"text":"Taft, California, United States","levels":{"data":{"county":{"data":{"name":"Kern","woeId":12587684},"exportMetaType":"pojo"},"region":{"data":{"name":"California","woeId":2347563},"exportMetaType":"pojo"},"country":{"data":{"name":"United States","woeId":23424977},"exportMetaType":"pojo"},"locality":{"data":{"name":"Taft","woeId":2503578},"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3355732310","title":"Wooden Derrick - Kern West Oil Museum","og:url":"https://www.flickr.com/photos/tkksummers/3355732310/","og:type":"article","keywords":"wood, history, historic, historical, derrick, taft, oilderrick, contestentry, challengefactorywinner, thechallengefactory, challengefactory, fotocompetition, woodenderrick, kernwestoilmuseum","og:image":"https://live.staticflickr.com/3441/3355732310_ce54d49880_b.jpg","og:title":"Wooden Derrick - Kern West Oil Museum","twitter:card":"summary_large_image","twitter:image":"https://live.staticflickr.com/3441/3355732310_ce54d49880_b.jpg","og:description":"Drilled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  Contest Entry Foto Competition Lost 2-1-5-0 Challenge You Lost 3-10 Challenge Factory Won  5-2-4 You Rock! Challenge Lost 2-5-0 www.flickr.com/groups/challenge_you/discuss/7215761582588...","og:image:width":768,"og:image:height":1024,"twitter:description":"Drilled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  Contest Entry Foto Competition Lost 2-1-5-0 Challenge You Lost 3-10 Challenge Factory Won  5-2-4 You Rock! Challenge Lost 2-5-0 www.flickr.com/groups/challenge_you/discuss/7215761582588...","_flickrModelRegistry":"photo-head-meta-models","twitter:app:url:ipad":"flickr://flickr.com/photos/tkksummers/3355732310/","twitter:app:url:iphone":"flickr://flickr.com/photos/tkksummers/3355732310/","twitter:app:url:googleplay":"https://www.flickr.com/photos/tkksummers/3355732310/"},"exportMetaType":"model"}],"photo-license-history-models":[]},"acquisition_file":"fl-3355732310.webp","source_html_file":"/Users/atincakcayoz/corteqs/output/bakersfield-production-20261023/flickr-source-pages/3355732310.html","original_file_url":"https://live.staticflickr.com/3441/3355732310_185f935223_4k.jpg","proposed_identity":"West Kern Oil Museum","source_html_sha256":"d3527057d0839c822265ecd757611b495993edbc439a3ad6afcb2a86b1121d69","third_party_rights_review":{"basis":"Kaynakta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dönüştürüldü.","photo_attribution":{"author_url":"https://www.flickr.com/photos/12806074@N08/","modifications":"EXIF yönü uygulandı; boyut küçültülüp WebP biçimine dönüştürüldü.","original_file_url":"https://live.staticflickr.com/3441/3355732310_185f935223_4k.jpg"},"metadata_reviewed_on":"2026-10-24","metadata_review_status":"verified"}}</x:v>
      </x:c>
    </x:row>
    <x:row r="213" ht="300" customHeight="1">
      <x:c r="A213" s="29" t="str">
        <x:v>bakersfield:evidence:venue-22178</x:v>
      </x:c>
      <x:c r="B213" s="29" t="str">
        <x:v>bakersfield</x:v>
      </x:c>
      <x:c r="C213" s="29" t="str">
        <x:v>bakersfield:photo:venue-22178</x:v>
      </x:c>
      <x:c r="D213" s="29" t="str">
        <x:v>https://www.flickr.com/photos/12806074@N08/3355729526/</x:v>
      </x:c>
      <x:c r="E213" s="29" t="str">
        <x:v>West Kern Oil Museum · 2009 tarihli fotoğraf</x:v>
      </x:c>
      <x:c r="F213" s="29" t="str">
        <x:v>Konrad Summers</x:v>
      </x:c>
      <x:c r="G213" s="29" t="str">
        <x:v>CC BY-SA 2.0</x:v>
      </x:c>
      <x:c r="H213" s="29" t="str">
        <x:v>https://creativecommons.org/licenses/by-sa/2.0/</x:v>
      </x:c>
      <x:c r="I213" s="29" t="str">
        <x:v>CC BY-SA 2.0</x:v>
      </x:c>
      <x:c r="J213" s="29" t="str">
        <x:v>West Kern Oil Museum · 2009 tarihli fotoğraf · Konrad Summers · CC BY-SA 2.0 · https://www.flickr.com/photos/12806074@N08/3355729526/</x:v>
      </x:c>
      <x:c r="K21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3" s="31" t="d">
        <x:v>2026-10-24T00:00:00.000Z</x:v>
      </x:c>
      <x:c r="M213" s="29" t="str">
        <x:v>Doğrulandı</x:v>
      </x:c>
      <x:c r="N213" s="29" t="str">
        <x:v>Doğrulandı</x:v>
      </x:c>
      <x:c r="O213" s="29" t="str">
        <x:v>Fotoğraflar/bk-daf22eb6b89c2735a1f33511.webp</x:v>
      </x:c>
      <x:c r="P213" s="29" t="str">
        <x:v>West Kern Oil Museum · 2009 tarihli fotoğraf · İndirilen kare temas sayfasında görüldü; kaynak mekân kimliğiyle eşleştirildi. Seçim kaydı final-pixel-review.json.</x:v>
      </x:c>
      <x:c r="Q213" s="29" t="str">
        <x:v>Bu kare için uygun</x:v>
      </x:c>
      <x:c r="R21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3" s="29" t="str">
        <x:v>Lisans kanıtları/bk-daf22eb6b89c2735a1f33511.source-evidence.json</x:v>
      </x:c>
      <x:c r="T213" s="29" t="str">
        <x:v>72bc63bc22ac0340b31530c897b2be25be7faa31a921591426f08d40706b9c20</x:v>
      </x:c>
      <x:c r="U213" s="29" t="str">
        <x:v>Lisans kanıtları/bk-daf22eb6b89c2735a1f33511.license-record.json</x:v>
      </x:c>
      <x:c r="V213" s="29" t="str">
        <x:v>f8d2d01cbaaaa1dbea46f701e38ebfceef8e15373d35c17c2e3ccd637bed2fb8</x:v>
      </x:c>
      <x:c r="W213" s="29" t="str">
        <x:v>{"file":"bk-daf22eb6b89c2735a1f33511.webp","width":768,"author":"Konrad Summers","height":1024,"sha256":"daf22eb6b89c2735a1f3351135be75263cd3a8f607d556838b1414b607fff8d7","status":"reviewed-selected","license":"CC BY-SA 2.0","provider":"Flickr","review_id":"F287","source_id":"3355729526","author_url":"https://www.flickr.com/photos/12806074@N08/","date_texts":["Uploaded on March 15, 2009 Taken on February 22, 2009","Taken on February 22, 2009","Uploaded on March 15, 2009 Taken on February 22, 2009","Taken on February 22, 2009"],"source_url":"https://www.flickr.com/photos/12806074@N08/3355729526/","description":"Drilled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derrick.\n\nNovember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sight.\n\n&lt;a href=\"http://www.westkern-oilmuseum.org/derrick.htm\"&gt;www.westkern-oilmuseum.org/derrick.htm&lt;/a&gt;","license_url":"https://creativecommons.org/licenses/by-sa/2.0/","review_note":"Full derrick scene.","reviewed_on":"2026-10-24","source_text":"Wooden Derick - Kern West Oil Museum | Drilled in 1917 and p…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Konrad Summers tkksummers Wooden Derick - Kern West Oil Museum 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 Done 2,301 views 0 faves 0 comments Uploaded on March 15, 2009 Taken on February 22, 2009 Konrad Summers By: Konrad Summers Wooden Derick - Kern West Oil Museum 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 Done 2,301 views 0 faves 0 comments Uploaded on March 15, 2009 Taken on February 22,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photography.","capture_date":"2009-02-22","download_url":"https://live.staticflickr.com/3612/3355729526_612b0e5cec_b.jpg","original_url":"https://live.staticflickr.com/3612/3355729526_6fcd5ea7dc_4k.jpg","pixel_review":{"method":"İndirilen kare temas sayfasında görüldü; kaynak mekân kimliğiyle eşleştirildi. Seçim kaydı final-pixel-review.json.","status":"verified","caption":"West Kern Oil Museum · 2009 tarihli fotoğraf","reviewer":"Codex (AI)","review_id":"F287"},"source_title":"Wooden Derick - Kern West Oil Museum","downloaded_at":"2026-10-23T19:50:18.599005+00:00","download_sha256":"11e613720fb5f65c77262ce95d54a7554fe9a7a296edc48feb6d77ee41007e75","downloaded_file":"downloads/11e613720fb5f65c77262ce95d54a7554fe9a7a296edc48feb6d77ee41007e75.jpg","public_metadata":{"photo-models":[{"data":{"id":"3355729526","owner":{"data":{"id":"12806074@N08","isPro":true,"newFlow":true,"isAdFree":false,"location":"Orange County, California, USA","proBadge":"standard","realname":"Konrad Summers","segments":{"data":[],"exportMetaType":"array"},"username":"tkksummers","buddyicon":{"data":{"large":"//live.staticflickr.com/1065/buddyicons/12806074@N08_l.jpg?1189036389#12806074@N08","small":"//live.staticflickr.com/1065/buddyicons/12806074@N08_s.jpg?1189036389#12806074@N08","medium":"//live.staticflickr.com/1065/buddyicons/12806074@N08_m.jpg?1189036389#12806074@N08","retina":"//live.staticflickr.com/1065/buddyicons/12806074@N08_r.jpg?1189036389#12806074@N08","default":"//live.staticflickr.com/1065/buddyicons/12806074@N08.jpg?1189036389#12806074@N08"},"exportMetaType":"pojo"},"pathAlias":"tkksummers","dateCreated":{"data":"1189011076","exportMetaType":"serializeFunction"},"subscription":{"data":{"isPro":false,"isClosed":false,"isPastDue":false},"exportMetaType":"pojo"},"eligibleGifts":{"data":["year","month","week"],"exportMetaType":"array"},"isEligibleForGifts":true,"_flickrModelRegistry":"person-models"},"exportMetaType":"model"},"sizes":{"data":{"c":{"data":{"url":"//live.staticflickr.com/3612/3355729526_612b0e5cec_c.jpg","width":600,"height":800,"displayUrl":"//live.staticflickr.com/3612/3355729526_612b0e5cec_c.jpg"},"exportMetaType":"pojo"},"h":{"data":{"url":"//live.staticflickr.com/3612/3355729526_eae2d3e124_h.jpg","width":1200,"height":1600,"displayUrl":"//live.staticflickr.com/3612/3355729526_eae2d3e124_h.jpg"},"exportMetaType":"pojo"},"k":{"data":{"url":"//live.staticflickr.com/3612/3355729526_b3e2c8aef2_k.jpg","width":1536,"height":2048,"displayUrl":"//live.staticflickr.com/3612/3355729526_b3e2c8aef2_k.jpg"},"exportMetaType":"pojo"},"l":{"data":{"url":"//live.staticflickr.com/3612/3355729526_612b0e5cec_b.jpg","width":768,"height":1024,"displayUrl":"//live.staticflickr.com/3612/3355729526_612b0e5cec_b.jpg"},"exportMetaType":"pojo"},"m":{"data":{"url":"//live.staticflickr.com/3612/3355729526_612b0e5cec.jpg","width":375,"height":500,"displayUrl":"//live.staticflickr.com/3612/3355729526_612b0e5cec.jpg"},"exportMetaType":"pojo"},"n":{"data":{"url":"//live.staticflickr.com/3612/3355729526_612b0e5cec_n.jpg","width":240,"height":320,"displayUrl":"//live.staticflickr.com/3612/3355729526_612b0e5cec_n.jpg"},"exportMetaType":"pojo"},"o":{"data":{"url":"//live.staticflickr.com/3612/3355729526_1fb5a081ca_o.jpg","width":3000,"height":4000,"displayUrl":"//live.staticflickr.com/3612/3355729526_1fb5a081ca_o.jpg"},"exportMetaType":"pojo"},"q":{"data":{"url":"//live.staticflickr.com/3612/3355729526_612b0e5cec_q.jpg","width":150,"height":150,"displayUrl":"//live.staticflickr.com/3612/3355729526_612b0e5cec_q.jpg"},"exportMetaType":"pojo"},"s":{"data":{"url":"//live.staticflickr.com/3612/3355729526_612b0e5cec_m.jpg","width":180,"height":240,"displayUrl":"//live.staticflickr.com/3612/3355729526_612b0e5cec_m.jpg"},"exportMetaType":"pojo"},"t":{"data":{"url":"//live.staticflickr.com/3612/3355729526_612b0e5cec_t.jpg","width":75,"height":100,"displayUrl":"//live.staticflickr.com/3612/3355729526_612b0e5cec_t.jpg"},"exportMetaType":"pojo"},"w":{"data":{"url":"//live.staticflickr.com/3612/3355729526_612b0e5cec_w.jpg","width":300,"height":400,"displayUrl":"//live.staticflickr.com/3612/3355729526_612b0e5cec_w.jpg"},"exportMetaType":"pojo"},"z":{"data":{"url":"//live.staticflickr.com/3612/3355729526_612b0e5cec_z.jpg","width":480,"height":640,"displayUrl":"//live.staticflickr.com/3612/3355729526_612b0e5cec_z.jpg"},"exportMetaType":"pojo"},"3k":{"data":{"url":"//live.staticflickr.com/3612/3355729526_1c5728be57_3k.jpg","width":2304,"height":3072,"displayUrl":"//live.staticflickr.com/3612/3355729526_1c5728be57_3k.jpg"},"exportMetaType":"pojo"},"4k":{"data":{"url":"//live.staticflickr.com/3612/3355729526_6fcd5ea7dc_4k.jpg","width":3000,"height":4000,"displayUrl":"//live.staticflickr.com/3612/3355729526_6fcd5ea7dc_4k.jpg"},"exportMetaType":"pojo"},"sq":{"data":{"url":"//live.staticflickr.com/3612/3355729526_612b0e5cec_s.jpg","width":75,"height":75,"displayUrl":"//live.staticflickr.com/3612/3355729526_612b0e5cec_s.jpg"},"exportMetaType":"pojo"}},"exportMetaType":"pojo"},"title":"Wooden Derick - Kern West Oil Museum","oWidth":3000,"secret":"612b0e5cec","license":5,"oHeight":4000,"rotation":0,"canAddMeta":false,"canComment":false,"engagement":{"data":{"id":"3355729526","canShare":true,"ownerNsid":"12806074@N08","reactions":{"data":{"like":{"data":{"id":"like","count":5,"canReact":true,"didViewerReact":true},"exportMetaType":"pojo"},"someOtherReaction":{"data":{"id":"someOtherReaction","count":3,"canReact":true,"didViewerReact":false},"exportMetaType":"pojo"}},"exportMetaType":"pojo"},"viewCount":2301,"canDownload":true,"_flickrModelRegistry":"photo-engagement-models"},"exportMetaType":"model"},"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derrick.\n\nNovember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sight.\n\n&lt;a href=\"http://www.westkern-oilmuseum.org/derrick.htm\" rel=\"noreferrer nofollow\"&gt;www.westkern-oilmuseum.org/derrick.htm&lt;/a&gt;","safetyLevel":0,"upgradeSizes":{"data":[],"exportMetaType":"array"},"adEligibility":{"data":{"lane":1,"labels":{"data":["ProOwner"],"exportMetaType":"array"},"isAdEligible":false,"highScoreLabels":{"data":["ProOwner"],"exportMetaType":"array"}},"exportMetaType":"pojo"},"canPublicComment":true,"_flickrModelRegistry":"photo-models"},"exportMetaType":"model"}],"photo-geo-models":[{"data":{"id":"3355729526","hasGeo":true,"accuracy":16,"isPublic":true,"latitude":35.132775,"longitude":-119.447862,"_flickrModelRegistry":"photo-geo-models"},"exportMetaType":"model"}],"photo-location-models":[{"data":{"id":"3355729526","geo":{"data":"~2","exportMetaType":"model"},"text":"Taft, California, United States","levels":{"data":{"county":{"data":{"name":"Kern","woeId":12587684},"exportMetaType":"pojo"},"region":{"data":{"name":"California","woeId":2347563},"exportMetaType":"pojo"},"country":{"data":{"name":"United States","woeId":23424977},"exportMetaType":"pojo"},"locality":{"data":{"name":"Taft","woeId":2503578},"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3355729526","title":"Wooden Derick - Kern West Oil Museum","og:url":"https://www.flickr.com/photos/tkksummers/3355729526/","og:type":"article","og:image":"https://live.staticflickr.com/3612/3355729526_612b0e5cec_b.jpg","og:title":"Wooden Derick - Kern West Oil Museum","twitter:card":"summary_large_image","twitter:image":"https://live.staticflickr.com/3612/3355729526_612b0e5cec_b.jpg","og:description":"Drilled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www.westkern-oilmuseum.org/derrick.htm","og:image:width":768,"og:image:height":1024,"twitter:description":"Drilled in 1917 and producing until the 1980's, the wooden derrick was the last of its kind in Kern County.  In 1974 Jameson #17 was scheduled to be torn down too. The local American Association of University Women and some dedicated people organized and with the Jameson Company donating the derrick and 3 acres of land, the West Kern Oil Museum, Inc. was born.  As the years have gone by, additional acreage and exhibits have been added to the Museum but always at the center was the wooden derrick.  November 2005 - The Dedication of the new Derrick on Friday, October 21, was a wonderful celebration.   Those taking part in the program included Pete Gianopulos, master of ceremonies, Larry Peahl, historian and member of the very first Museum Board of Directors, Ron Bracken, current Board chairman, Don Kinzel and Keith Bracke, the men who built the new derrick, and Dorothy Gardner, Museum treasurer and Board member.  Huell Howser, of Public TV Channel KCET in Los Angeles, was a special guest and he, along with about 300 others, enjoyed the beautiful day, the happy crowd, the program, ribbon cutting, and ice cream social that followed.  Mr. Howser and Cameron (his camera man) recorded several interviews and pictures of the derrick.  they will be included in a program to be shown on KCET sometime in January.  Sorry, we don't yet know the exact date.   Every night during the ten days of Oildorado, the derrick was lit from the floor up with a very bright single bulb halogen light.  It was indeed a spectacular sight.  www.westkern-oilmuseum.org/derrick.htm","_flickrModelRegistry":"photo-head-meta-models","twitter:app:url:ipad":"flickr://flickr.com/photos/tkksummers/3355729526/","twitter:app:url:iphone":"flickr://flickr.com/photos/tkksummers/3355729526/","twitter:app:url:googleplay":"https://www.flickr.com/photos/tkksummers/3355729526/"},"exportMetaType":"model"}],"photo-license-history-models":[]},"acquisition_file":"fl-3355729526.webp","source_html_file":"/Users/atincakcayoz/corteqs/output/bakersfield-production-20261023/flickr-source-pages/3355729526.html","original_file_url":"https://live.staticflickr.com/3612/3355729526_6fcd5ea7dc_4k.jpg","proposed_identity":"West Kern Oil Museum","source_html_sha256":"2d1449e1dfe189d7659e6920dcd078e44775bbe3da94157aa5de184ad881ba37","third_party_rights_review":{"basis":"Kaynakta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dönüştürüldü.","photo_attribution":{"author_url":"https://www.flickr.com/photos/12806074@N08/","modifications":"EXIF yönü uygulandı; boyut küçültülüp WebP biçimine dönüştürüldü.","original_file_url":"https://live.staticflickr.com/3612/3355729526_6fcd5ea7dc_4k.jpg"},"metadata_reviewed_on":"2026-10-24","metadata_review_status":"verified"}}</x:v>
      </x:c>
    </x:row>
    <x:row r="214" ht="300" customHeight="1">
      <x:c r="A214" s="29" t="str">
        <x:v>bakersfield:evidence:venue-22179</x:v>
      </x:c>
      <x:c r="B214" s="29" t="str">
        <x:v>bakersfield</x:v>
      </x:c>
      <x:c r="C214" s="29" t="str">
        <x:v>bakersfield:photo:venue-22179</x:v>
      </x:c>
      <x:c r="D214" s="29" t="str">
        <x:v>https://www.flickr.com/photos/12806074@N08/3354903279/</x:v>
      </x:c>
      <x:c r="E214" s="29" t="str">
        <x:v>West Kern Oil Museum · 2009 tarihli fotoğraf</x:v>
      </x:c>
      <x:c r="F214" s="29" t="str">
        <x:v>Konrad Summers</x:v>
      </x:c>
      <x:c r="G214" s="29" t="str">
        <x:v>CC BY-SA 2.0</x:v>
      </x:c>
      <x:c r="H214" s="29" t="str">
        <x:v>https://creativecommons.org/licenses/by-sa/2.0/</x:v>
      </x:c>
      <x:c r="I214" s="29" t="str">
        <x:v>CC BY-SA 2.0</x:v>
      </x:c>
      <x:c r="J214" s="29" t="str">
        <x:v>West Kern Oil Museum · 2009 tarihli fotoğraf · Konrad Summers · CC BY-SA 2.0 · https://www.flickr.com/photos/12806074@N08/3354903279/</x:v>
      </x:c>
      <x:c r="K21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4" s="31" t="d">
        <x:v>2026-10-24T00:00:00.000Z</x:v>
      </x:c>
      <x:c r="M214" s="29" t="str">
        <x:v>Doğrulandı</x:v>
      </x:c>
      <x:c r="N214" s="29" t="str">
        <x:v>Doğrulandı</x:v>
      </x:c>
      <x:c r="O214" s="29" t="str">
        <x:v>Fotoğraflar/bk-b897c03899cfadde50a28bbc.webp</x:v>
      </x:c>
      <x:c r="P214" s="29" t="str">
        <x:v>West Kern Oil Museum · 2009 tarihli fotoğraf · İndirilen kare temas sayfasında görüldü; kaynak mekân kimliğiyle eşleştirildi. Seçim kaydı final-pixel-review.json.</x:v>
      </x:c>
      <x:c r="Q214" s="29" t="str">
        <x:v>Bu kare için uygun</x:v>
      </x:c>
      <x:c r="R21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4" s="29" t="str">
        <x:v>Lisans kanıtları/bk-b897c03899cfadde50a28bbc.source-evidence.json</x:v>
      </x:c>
      <x:c r="T214" s="29" t="str">
        <x:v>60e4f8e857532acf515163152a57a5d0f4e5360180349f1d91c9490ae20036ce</x:v>
      </x:c>
      <x:c r="U214" s="29" t="str">
        <x:v>Lisans kanıtları/bk-b897c03899cfadde50a28bbc.license-record.json</x:v>
      </x:c>
      <x:c r="V214" s="29" t="str">
        <x:v>a2b5c85c32f243070a4bf1a4dc66d05c0fbf23b139d8187d9e16a676b82fd98e</x:v>
      </x:c>
      <x:c r="W214" s="29" t="str">
        <x:v>{"file":"bk-b897c03899cfadde50a28bbc.webp","width":1024,"author":"Konrad Summers","height":768,"sha256":"b897c03899cfadde50a28bbce10e3a2e8afbde1d623c67155953229ca069ce6e","status":"reviewed-selected","license":"CC BY-SA 2.0","provider":"Flickr","review_id":"F292","source_id":"3354903279","author_url":"https://www.flickr.com/photos/12806074@N08/","date_texts":["Uploaded on March 15, 2009 Taken on February 22, 2009","Taken on February 22, 2009","Uploaded on March 15, 2009 Taken on February 22, 2009","Taken on February 22, 2009"],"source_url":"https://www.flickr.com/photos/12806074@N08/3354903279/","description":"What is a shotgun house?\n\nIt is a house in which each room stands directly behind the room in front of it.\n\nFor Example: living room | Kitchen Dining room | Bedroom\n\nOur house had two rooms as follows:\n\n The first was the living-room/bedroom, and the second was the kitchen/dining-room. A third room was planned but never built.\n\nIn the 1930's during the depression, there were many &amp;quot;Shot gun houses&amp;quot; in the west Kern county. Our house is furnished as it would have been in the depression era. There were no locks on the Door, for no one stole then.\n\nWe know this house started life as a ten house for this piece of canvas and other pieces like it were hanging in the windows.\na copy of a newspaper dated October 1911 was found uner the old linoleum.\n\n","license_url":"https://creativecommons.org/licenses/by-sa/2.0/","review_note":"Shotgun house exterior.","reviewed_on":"2026-10-24","source_text":"Shotgun house - Kern West Oil Museum | What is a shotgun hou…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Konrad Summers tkksummers Shotgun house - Kern West Oil Museum What is a shotgun house? It is a house in which each room stands directly behind the room in front of it. For Example: living room | Kitchen Dining room | Bedroom Our house had two rooms as follows: The first was the living-room/bedroom, and the second was the kitchen/dining-room. A third room was planned but never built. In the 1930's during the depression, there were many \"Shot gun houses\" in the west Kern county. Our house is furnished as it would have been in the depression era. There were no locks on the Door, for no one stole then. We know this house started life as a ten house for this piece of canvas and other pieces like it were hanging in the windows. a copy of a newspaper dated October 1911 was found uner the old linoleum. Done 777 views 0 faves 0 comments Uploaded on March 15, 2009 Taken on February 22, 2009 Konrad Summers By: Konrad Summers Shotgun house - Kern West Oil Museum What is a shotgun house? It is a house in which each room stands directly behind the room in front of it. For Example: living room | Kitchen Dining room | Bedroom Our house had two rooms as follows: The first was the living-room/bedroom, and the second was the kitchen/dining-room. A third room was planned but never built. In the 1930's during the depression, there were many \"Shot gun houses\" in the west Kern county. Our house is furnished as it would have been in the depression era. There were no locks on the Door, for no one stole then. We know this house started life as a ten house for this piece of canvas and other pieces like it were hanging in the windows. a copy of a newspaper dated October 1911 was found uner the old linoleum. Done 777 views 0 faves 0 comments Uploaded on March 15, 2009 Taken on February 22,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photography.","capture_date":"2009-02-22","download_url":"https://live.staticflickr.com/3636/3354903279_7891ca314a_b.jpg","original_url":"https://live.staticflickr.com/3636/3354903279_fd9d5a23b8_4k.jpg","pixel_review":{"method":"İndirilen kare temas sayfasında görüldü; kaynak mekân kimliğiyle eşleştirildi. Seçim kaydı final-pixel-review.json.","status":"verified","caption":"West Kern Oil Museum · 2009 tarihli fotoğraf","reviewer":"Codex (AI)","review_id":"F292"},"source_title":"Shotgun house - Kern West Oil Museum","downloaded_at":"2026-10-23T19:50:19.178167+00:00","download_sha256":"0b2e2d44673f3ca276bc9df65e888816b2f3c3363acd05957da8007577e4a9ab","downloaded_file":"downloads/0b2e2d44673f3ca276bc9df65e888816b2f3c3363acd05957da8007577e4a9ab.jpg","public_metadata":{"photo-models":[{"data":{"id":"3354903279","owner":{"data":{"id":"12806074@N08","isPro":true,"newFlow":true,"isAdFree":false,"location":"Orange County, California, USA","proBadge":"standard","realname":"Konrad Summers","segments":{"data":[],"exportMetaType":"array"},"username":"tkksummers","buddyicon":{"data":{"large":"//live.staticflickr.com/1065/buddyicons/12806074@N08_l.jpg?1189036389#12806074@N08","small":"//live.staticflickr.com/1065/buddyicons/12806074@N08_s.jpg?1189036389#12806074@N08","medium":"//live.staticflickr.com/1065/buddyicons/12806074@N08_m.jpg?1189036389#12806074@N08","retina":"//live.staticflickr.com/1065/buddyicons/12806074@N08_r.jpg?1189036389#12806074@N08","default":"//live.staticflickr.com/1065/buddyicons/12806074@N08.jpg?1189036389#12806074@N08"},"exportMetaType":"pojo"},"pathAlias":"tkksummers","dateCreated":{"data":"1189011076","exportMetaType":"serializeFunction"},"subscription":{"data":{"isPro":false,"isClosed":false,"isPastDue":false},"exportMetaType":"pojo"},"eligibleGifts":{"data":["year","month","week"],"exportMetaType":"array"},"isEligibleForGifts":true,"_flickrModelRegistry":"person-models"},"exportMetaType":"model"},"sizes":{"data":{"c":{"data":{"url":"//live.staticflickr.com/3636/3354903279_7891ca314a_c.jpg","width":800,"height":600,"displayUrl":"//live.staticflickr.com/3636/3354903279_7891ca314a_c.jpg"},"exportMetaType":"pojo"},"h":{"data":{"url":"//live.staticflickr.com/3636/3354903279_36759a70ce_h.jpg","width":1600,"height":1200,"displayUrl":"//live.staticflickr.com/3636/3354903279_36759a70ce_h.jpg"},"exportMetaType":"pojo"},"k":{"data":{"url":"//live.staticflickr.com/3636/3354903279_9cfc090020_k.jpg","width":2048,"height":1536,"displayUrl":"//live.staticflickr.com/3636/3354903279_9cfc090020_k.jpg"},"exportMetaType":"pojo"},"l":{"data":{"url":"//live.staticflickr.com/3636/3354903279_7891ca314a_b.jpg","width":1024,"height":768,"displayUrl":"//live.staticflickr.com/3636/3354903279_7891ca314a_b.jpg"},"exportMetaType":"pojo"},"m":{"data":{"url":"//live.staticflickr.com/3636/3354903279_7891ca314a.jpg","width":500,"height":375,"displayUrl":"//live.staticflickr.com/3636/3354903279_7891ca314a.jpg"},"exportMetaType":"pojo"},"n":{"data":{"url":"//live.staticflickr.com/3636/3354903279_7891ca314a_n.jpg","width":320,"height":240,"displayUrl":"//live.staticflickr.com/3636/3354903279_7891ca314a_n.jpg"},"exportMetaType":"pojo"},"o":{"data":{"url":"//live.staticflickr.com/3636/3354903279_1470cff82b_o.jpg","width":4000,"height":3000,"displayUrl":"//live.staticflickr.com/3636/3354903279_1470cff82b_o.jpg"},"exportMetaType":"pojo"},"q":{"data":{"url":"//live.staticflickr.com/3636/3354903279_7891ca314a_q.jpg","width":150,"height":150,"displayUrl":"//live.staticflickr.com/3636/3354903279_7891ca314a_q.jpg"},"exportMetaType":"pojo"},"s":{"data":{"url":"//live.staticflickr.com/3636/3354903279_7891ca314a_m.jpg","width":240,"height":180,"displayUrl":"//live.staticflickr.com/3636/3354903279_7891ca314a_m.jpg"},"exportMetaType":"pojo"},"t":{"data":{"url":"//live.staticflickr.com/3636/3354903279_7891ca314a_t.jpg","width":100,"height":75,"displayUrl":"//live.staticflickr.com/3636/3354903279_7891ca314a_t.jpg"},"exportMetaType":"pojo"},"w":{"data":{"url":"//live.staticflickr.com/3636/3354903279_7891ca314a_w.jpg","width":400,"height":300,"displayUrl":"//live.staticflickr.com/3636/3354903279_7891ca314a_w.jpg"},"exportMetaType":"pojo"},"z":{"data":{"url":"//live.staticflickr.com/3636/3354903279_7891ca314a_z.jpg","width":640,"height":480,"displayUrl":"//live.staticflickr.com/3636/3354903279_7891ca314a_z.jpg"},"exportMetaType":"pojo"},"3k":{"data":{"url":"//live.staticflickr.com/3636/3354903279_5bdb427922_3k.jpg","width":3072,"height":2304,"displayUrl":"//live.staticflickr.com/3636/3354903279_5bdb427922_3k.jpg"},"exportMetaType":"pojo"},"4k":{"data":{"url":"//live.staticflickr.com/3636/3354903279_fd9d5a23b8_4k.jpg","width":4000,"height":3000,"displayUrl":"//live.staticflickr.com/3636/3354903279_fd9d5a23b8_4k.jpg"},"exportMetaType":"pojo"},"sq":{"data":{"url":"//live.staticflickr.com/3636/3354903279_7891ca314a_s.jpg","width":75,"height":75,"displayUrl":"//live.staticflickr.com/3636/3354903279_7891ca314a_s.jpg"},"exportMetaType":"pojo"}},"exportMetaType":"pojo"},"title":"Shotgun house - Kern West Oil Museum","oWidth":4000,"secret":"7891ca314a","license":5,"oHeight":3000,"rotation":0,"canAddMeta":false,"canComment":false,"engagement":{"data":{"id":"3354903279","canShare":true,"ownerNsid":"12806074@N08","reactions":{"data":{"like":{"data":{"id":"like","count":5,"canReact":true,"didViewerReact":true},"exportMetaType":"pojo"},"someOtherReaction":{"data":{"id":"someOtherReaction","count":3,"canReact":true,"didViewerReact":false},"exportMetaType":"pojo"}},"exportMetaType":"pojo"},"viewCount":777,"canDownload":true,"_flickrModelRegistry":"photo-engagement-models"},"exportMetaType":"model"},"description":"What is a shotgun house?\n\nIt is a house in which each room stands directly behind the room in front of it.\n\nFor Example: living room | Kitchen Dining room | Bedroom\n\nOur house had two rooms as follows:\n\n The first was the living-room/bedroom, and the second was the kitchen/dining-room. A third room was planned but never built.\n\nIn the 1930's during the depression, there were many &amp;quot;Shot gun houses&amp;quot; in the west Kern county. Our house is furnished as it would have been in the depression era. There were no locks on the Door, for no one stole then.\n\nWe know this house started life as a ten house for this piece of canvas and other pieces like it were hanging in the windows.\na copy of a newspaper dated October 1911 was found uner the old linoleum.\n\n","safetyLevel":0,"upgradeSizes":{"data":[],"exportMetaType":"array"},"adEligibility":{"data":{"lane":1,"labels":{"data":["ProOwner"],"exportMetaType":"array"},"isAdEligible":false,"highScoreLabels":{"data":["ProOwner"],"exportMetaType":"array"}},"exportMetaType":"pojo"},"canPublicComment":true,"_flickrModelRegistry":"photo-models"},"exportMetaType":"model"}],"photo-geo-models":[{"data":{"id":"3354903279","hasGeo":true,"accuracy":16,"isPublic":true,"latitude":35.132775,"longitude":-119.447862,"_flickrModelRegistry":"photo-geo-models"},"exportMetaType":"model"}],"photo-location-models":[{"data":{"id":"3354903279","geo":{"data":"~2","exportMetaType":"model"},"text":"Taft, California, United States","levels":{"data":{"county":{"data":{"name":"Kern","woeId":12587684},"exportMetaType":"pojo"},"region":{"data":{"name":"California","woeId":2347563},"exportMetaType":"pojo"},"country":{"data":{"name":"United States","woeId":23424977},"exportMetaType":"pojo"},"locality":{"data":{"name":"Taft","woeId":2503578},"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3354903279","title":"Shotgun house - Kern West Oil Museum","og:url":"https://www.flickr.com/photos/tkksummers/3354903279/","og:type":"article","og:image":"https://live.staticflickr.com/3636/3354903279_7891ca314a_b.jpg","og:title":"Shotgun house - Kern West Oil Museum","twitter:card":"summary_large_image","twitter:image":"https://live.staticflickr.com/3636/3354903279_7891ca314a_b.jpg","og:description":"What is a shotgun house?  It is a house in which each room stands directly behind the room in front of it.  For Example: living room | Kitchen Dining room | Bedroom  Our house had two rooms as follows:   The first was the living-room/bedroom, and the second was the kitchen/dining-room. A third room was planned but never built.  In the 1930's during the depression, there were many &amp;quot;Shot gun houses&amp;quot; in the west Kern county. Our house is furnished as it would have been in the depression era. There were no locks on the Door, for no one stole then.  We know this house started life as a ten house for this piece of canvas and other pieces like it were hanging in the windows. a copy of a newspaper dated October 1911 was found uner the old linoleum.  ","og:image:width":1024,"og:image:height":768,"twitter:description":"What is a shotgun house?  It is a house in which each room stands directly behind the room in front of it.  For Example: living room | Kitchen Dining room | Bedroom  Our house had two rooms as follows:   The first was the living-room/bedroom, and the second was the kitchen/dining-room. A third room was planned but never built.  In the 1930's during the depression, there were many &amp;quot;Shot gun houses&amp;quot; in the west Kern county. Our house is furnished as it would have been in the depression era. There were no locks on the Door, for no one stole then.  We know this house started life as a ten house for this piece of canvas and other pieces like it were hanging in the windows. a copy of a newspaper dated October 1911 was found uner the old linoleum.  ","_flickrModelRegistry":"photo-head-meta-models","twitter:app:url:ipad":"flickr://flickr.com/photos/tkksummers/3354903279/","twitter:app:url:iphone":"flickr://flickr.com/photos/tkksummers/3354903279/","twitter:app:url:googleplay":"https://www.flickr.com/photos/tkksummers/3354903279/"},"exportMetaType":"model"}],"photo-license-history-models":[]},"acquisition_file":"fl-3354903279.webp","source_html_file":"/Users/atincakcayoz/corteqs/output/bakersfield-production-20261023/flickr-source-pages/3354903279.html","original_file_url":"https://live.staticflickr.com/3636/3354903279_fd9d5a23b8_4k.jpg","proposed_identity":"West Kern Oil Museum","source_html_sha256":"7b23080c20652a5d6e31f5e6db97e8052037e28fbce9921dd461dc3794ba3018","third_party_rights_review":{"basis":"Kaynakta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dönüştürüldü.","photo_attribution":{"author_url":"https://www.flickr.com/photos/12806074@N08/","modifications":"EXIF yönü uygulandı; boyut küçültülüp WebP biçimine dönüştürüldü.","original_file_url":"https://live.staticflickr.com/3636/3354903279_fd9d5a23b8_4k.jpg"},"metadata_reviewed_on":"2026-10-24","metadata_review_status":"verified"}}</x:v>
      </x:c>
    </x:row>
    <x:row r="215" ht="300" customHeight="1">
      <x:c r="A215" s="29" t="str">
        <x:v>bakersfield:evidence:venue-22180</x:v>
      </x:c>
      <x:c r="B215" s="29" t="str">
        <x:v>bakersfield</x:v>
      </x:c>
      <x:c r="C215" s="29" t="str">
        <x:v>bakersfield:photo:venue-22180</x:v>
      </x:c>
      <x:c r="D215" s="29" t="str">
        <x:v>https://commons.wikimedia.org/wiki/File:2010-1230-Taft-TheFort.jpg</x:v>
      </x:c>
      <x:c r="E215" s="29" t="str">
        <x:v>2010-1230-Taft-TheFort.jpg</x:v>
      </x:c>
      <x:c r="F215" s="29" t="str">
        <x:v>Bobak Ha'Eri</x:v>
      </x:c>
      <x:c r="G215" s="29" t="str">
        <x:v>CC BY 3.0</x:v>
      </x:c>
      <x:c r="H215" s="29" t="str">
        <x:v>https://creativecommons.org/licenses/by/3.0</x:v>
      </x:c>
      <x:c r="I215" s="29" t="str">
        <x:v>Creative Commons Attribution 3.0</x:v>
      </x:c>
      <x:c r="J215" s="29" t="str">
        <x:v>2010-1230-Taft-TheFort.jpg · Bobak Ha'Eri · CC BY 3.0 · https://commons.wikimedia.org/wiki/File:2010-1230-Taft-TheFort.jpg</x:v>
      </x:c>
      <x:c r="K21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5" s="31" t="d">
        <x:v>2026-10-24T00:00:00.000Z</x:v>
      </x:c>
      <x:c r="M215" s="29" t="str">
        <x:v>Doğrulandı</x:v>
      </x:c>
      <x:c r="N215" s="29" t="str">
        <x:v>Doğrulandı</x:v>
      </x:c>
      <x:c r="O215" s="29" t="str">
        <x:v>Fotoğraflar/bk-e31068b70ca7879765be40fc.webp</x:v>
      </x:c>
      <x:c r="P215" s="29" t="str">
        <x:v>The Historic Fort – Taft · 2010 tarihli fotoğraf · İndirilen kare temas sayfasında görüldü; kaynak mekân kimliğiyle eşleştirildi. Seçim kaydı final-pixel-review.json.</x:v>
      </x:c>
      <x:c r="Q215" s="29" t="str">
        <x:v>Bu kare için uygun</x:v>
      </x:c>
      <x:c r="R21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5" s="29" t="str">
        <x:v>Lisans kanıtları/bk-e31068b70ca7879765be40fc.source-evidence.json</x:v>
      </x:c>
      <x:c r="T215" s="29" t="str">
        <x:v>d27ffe3cc8a536b7e2b757b6eb0cc966bca34e54bf4e29aabce535c1e3c65173</x:v>
      </x:c>
      <x:c r="U215" s="29" t="str">
        <x:v>Lisans kanıtları/bk-e31068b70ca7879765be40fc.license-record.json</x:v>
      </x:c>
      <x:c r="V215" s="29" t="str">
        <x:v>4a9a764fbbf099bb4ea4dc5441e42deb6f47df31605fdb6218239ba6bf5033f9</x:v>
      </x:c>
      <x:c r="W215" s="29" t="str">
        <x:v>{"file":"bk-e31068b70ca7879765be40fc.webp","width":1280,"author":"Bobak Ha'Eri","height":960,"sha256":"e31068b70ca7879765be40fc0d0123e05760f524c251610265f2e94c6fc745c6","license":"CC BY 3.0","imageinfo":{"url":"https://upload.wikimedia.org/wikipedia/commons/a/a1/2010-1230-Taft-TheFort.jpg?utm_source=commons.wikimedia.org&amp;utm_campaign=imageinfo&amp;utm_content=original","mime":"image/jpeg","sha1":"26f2b8767cfbf9a88b485a6e1695c4c47098fa34","size":997728,"width":4000,"height":3000,"pageid":12657111,"thumburl":"https://thumb.wikimedia.org/wikipedia/commons/thumb/a/a1/2010-1230-Taft-TheFort.jpg/1280px-2010-1230-Taft-TheFort.jpg?utm_source=commons.wikimedia.org&amp;utm_campaign=imageinfo&amp;utm_content=thumbnail","timestamp":"2011-01-11T00:35:41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work&lt;/span&gt;","source":"commons-desc-page"},"License":{"value":"cc-by-3.0","hidden":"","source":"commons-templates"},"DateTime":{"value":"2011-01-11 00:35:41","hidden":"","source":"mediawiki-metadata"},"Categories":{"value":"Taken with Panasonic Lumix DMC-TZ10|Taft, California|Forts in California|National Register of Historic Places in Kern County, California|Buildings in Kern County, California|Self-published work|National Register of Historic Places with known IDs|Files by User:Bobak","hidden":"","source":"commons-categories"},"LicenseUrl":{"value":"https://creativecommons.org/licenses/by/3.0","source":"commons-desc-page"},"ObjectName":{"value":"2010-1230-Taft-TheFort","source":"mediawiki-metadata"},"Permission":{"value":"CC-By-SA-3.0","hidden":"","source":"commons-desc-page"},"UsageTerms":{"value":"Creative Commons Attribution 3.0","source":"commons-desc-page"},"Assessments":{"value":"","hidden":"","source":"commons-categories"},"Copyrighted":{"value":"True","hidden":"","source":"commons-desc-page"},"GPSLatitude":{"value":"35.150556","source":"commons-desc-page"},"GPSMapDatum":{"value":"WGS-84","hidden":"","source":"commons-desc-page"},"GPSLongitude":{"value":"-119.465000","source":"commons-desc-page"},"Restrictions":{"value":"","hidden":"","source":"commons-desc-page"},"DateTimeOriginal":{"value":"2010-12-30","source":"commons-desc-page"},"ImageDescription":{"value":"&lt;b&gt;&lt;a href=\"https://en.wikipedia.org/wiki/The_Fort_(Taft,_California)\" class=\"extiw\" title=\"en:The Fort (Taft, California)\"&gt;The Fort&lt;/a&gt;&lt;/b&gt;, &lt;a href=\"https://en.wikipedia.org/wiki/Taft,_California\" class=\"extiw\" title=\"en:Taft, California\"&gt;Taft, California&lt;/a&gt;, USA.","source":"commons-desc-page"},"LicenseShortName":{"value":"CC BY 3.0","hidden":"","source":"commons-desc-page"},"AttributionRequired":{"value":"true","hidden":"","source":"commons-desc-page"},"CommonsMetadataExtension":{"value":1.2,"hidden":"","source":"extension"}},"thumbheight":960,"thumbattribs":{"src":"https://thumb.wikimedia.org/wikipedia/commons/thumb/a/a1/2010-1230-Taft-TheFort.jpg/1280px-2010-1230-Taft-TheFort.jpg?utm_source=commons.wikimedia.org&amp;utm_campaign=imageinfo&amp;utm_content=thumbnail","width":1280,"height":960,"srcset":"https://thumb.wikimedia.org/wikipedia/commons/thumb/a/a1/2010-1230-Taft-TheFort.jpg/3840px-2010-1230-Taft-TheFort.jpg?utm_source=commons.wikimedia.org&amp;utm_campaign=imageinfo&amp;utm_content=thumbnail 2x","loading":"lazy","decoding":"async"},"descriptionurl":"https://commons.wikimedia.org/wiki/File:2010-1230-Taft-TheFort.jpg","responsiveUrls":{"2":"https://thumb.wikimedia.org/wikipedia/commons/thumb/a/a1/2010-1230-Taft-TheFort.jpg/3840px-2010-1230-Taft-TheFort.jpg?utm_source=commons.wikimedia.org&amp;utm_campaign=imageinfo&amp;utm_content=thumbnail"},"descriptionshorturl":"https://commons.wikimedia.org/w/index.php?curid=12657111"},"selection":{"qid":"pending","kind":"candidate","title":"Buildings in Kern County, California"},"author_url":"https://en.wikipedia.org/wiki/User:Bobak","derivative":"Wikimedia thumbnail decoded; EXIF orientation applied; converted to WebP quality 86; no generated pixels, no cropping.","source_url":"https://commons.wikimedia.org/wiki/File:2010-1230-Taft-TheFort.jpg","author_urls":["https://en.wikipedia.org/wiki/User:Bobak"],"description":"The Fort, Taft, California, USA.","license_url":"https://creativecommons.org/licenses/by/3.0","reviewed_on":"2026-10-24","capture_date":"2010-12-30","download_url":"https://thumb.wikimedia.org/wikipedia/commons/thumb/a/a1/2010-1230-Taft-TheFort.jpg/1280px-2010-1230-Taft-TheFort.jpg?utm_source=commons.wikimedia.org&amp;utm_campaign=imageinfo&amp;utm_content=thumbnail","original_url":"https://upload.wikimedia.org/wikipedia/commons/a/a1/2010-1230-Taft-TheFort.jpg?utm_source=commons.wikimedia.org&amp;utm_campaign=imageinfo&amp;utm_content=original","pixel_review":{"method":"İndirilen kare temas sayfasında görüldü; kaynak mekân kimliğiyle eşleştirildi. Seçim kaydı final-pixel-review.json.","status":"verified","caption":"The Historic Fort – Taft · 2010 tarihli fotoğraf","reviewer":"Codex (AI)","review_id":"C30"},"downloaded_at":"2026-10-23T19:10:18.192398+00:00","download_sha256":"fa4b29599f4ab052e1825ee277bf4ba7cac1538b4295515435619463182b7bea","downloaded_file":"downloads/fa4b29599f4ab052e1825ee277bf4ba7cac1538b4295515435619463182b7bea.jpg","acquisition_file":"4a63073bdc340e0b59850b0a.webp","commons_filename":"2010-1230-Taft-TheFort.jpg","original_file_url":"https://upload.wikimedia.org/wikipedia/commons/a/a1/2010-1230-Taft-TheFort.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a/a1/2010-1230-Taft-TheFort.jpg?utm_source=commons.wikimedia.org&amp;utm_campaign=imageinfo&amp;utm_content=original"},"metadata_reviewed_on":"2026-10-24","metadata_review_status":"verified"}}</x:v>
      </x:c>
    </x:row>
    <x:row r="216" ht="300" customHeight="1">
      <x:c r="A216" s="29" t="str">
        <x:v>bakersfield:evidence:venue-22181</x:v>
      </x:c>
      <x:c r="B216" s="29" t="str">
        <x:v>bakersfield</x:v>
      </x:c>
      <x:c r="C216" s="29" t="str">
        <x:v>bakersfield:photo:venue-22181</x:v>
      </x:c>
      <x:c r="D216" s="29" t="str">
        <x:v>https://commons.wikimedia.org/wiki/File:2010-1230-Taft-FoxTheatre.jpg</x:v>
      </x:c>
      <x:c r="E216" s="29" t="str">
        <x:v>2010-1230-Taft-FoxTheatre.jpg</x:v>
      </x:c>
      <x:c r="F216" s="29" t="str">
        <x:v>Bobak Ha'Eri</x:v>
      </x:c>
      <x:c r="G216" s="29" t="str">
        <x:v>CC BY 3.0</x:v>
      </x:c>
      <x:c r="H216" s="29" t="str">
        <x:v>https://creativecommons.org/licenses/by/3.0</x:v>
      </x:c>
      <x:c r="I216" s="29" t="str">
        <x:v>Creative Commons Attribution 3.0</x:v>
      </x:c>
      <x:c r="J216" s="29" t="str">
        <x:v>2010-1230-Taft-FoxTheatre.jpg · Bobak Ha'Eri · CC BY 3.0 · https://commons.wikimedia.org/wiki/File:2010-1230-Taft-FoxTheatre.jpg</x:v>
      </x:c>
      <x:c r="K21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6" s="31" t="d">
        <x:v>2026-10-24T00:00:00.000Z</x:v>
      </x:c>
      <x:c r="M216" s="29" t="str">
        <x:v>Doğrulandı</x:v>
      </x:c>
      <x:c r="N216" s="29" t="str">
        <x:v>Doğrulandı</x:v>
      </x:c>
      <x:c r="O216" s="29" t="str">
        <x:v>Fotoğraflar/bk-9a8100d6c9c9ba7756122ca7.webp</x:v>
      </x:c>
      <x:c r="P216" s="29" t="str">
        <x:v>Taft Fox Theatre · 2010 tarihli fotoğraf · İndirilen kare temas sayfasında görüldü; kaynak mekân kimliğiyle eşleştirildi. Seçim kaydı final-pixel-review.json.</x:v>
      </x:c>
      <x:c r="Q216" s="29" t="str">
        <x:v>Bu kare için uygun</x:v>
      </x:c>
      <x:c r="R21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6" s="29" t="str">
        <x:v>Lisans kanıtları/bk-9a8100d6c9c9ba7756122ca7.source-evidence.json</x:v>
      </x:c>
      <x:c r="T216" s="29" t="str">
        <x:v>200b4343c6528eb6299567b76d396f3a3346e4f10ca25d3592742f70bee51e17</x:v>
      </x:c>
      <x:c r="U216" s="29" t="str">
        <x:v>Lisans kanıtları/bk-9a8100d6c9c9ba7756122ca7.license-record.json</x:v>
      </x:c>
      <x:c r="V216" s="29" t="str">
        <x:v>2910dfa9fb92bd68afc6166e936f909631cd9d5dc569c54addce662e12eb72a8</x:v>
      </x:c>
      <x:c r="W216" s="29" t="str">
        <x:v>{"file":"bk-9a8100d6c9c9ba7756122ca7.webp","width":1280,"author":"Bobak Ha'Eri","height":928,"sha256":"9a8100d6c9c9ba7756122ca7c8f7a698a2aa636b37c11809b95881fb953f3aed","license":"CC BY 3.0","imageinfo":{"url":"https://upload.wikimedia.org/wikipedia/commons/e/ea/2010-1230-Taft-FoxTheatre.jpg?utm_source=commons.wikimedia.org&amp;utm_campaign=imageinfo&amp;utm_content=original","mime":"image/jpeg","sha1":"2de12c5bcd281d292d50b6b6780cdfdc6f47df57","size":305888,"width":2874,"height":2083,"pageid":12657321,"thumburl":"https://thumb.wikimedia.org/wikipedia/commons/thumb/e/ea/2010-1230-Taft-FoxTheatre.jpg/1280px-2010-1230-Taft-FoxTheatre.jpg?utm_source=commons.wikimedia.org&amp;utm_campaign=imageinfo&amp;utm_content=thumbnail","timestamp":"2011-01-11T01:03:38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work&lt;/span&gt;","source":"commons-desc-page"},"License":{"value":"cc-by-3.0","hidden":"","source":"commons-templates"},"DateTime":{"value":"2011-01-11 01:03:38","hidden":"","source":"mediawiki-metadata"},"Categories":{"value":"Taken with Panasonic Lumix DMC-TZ10|Taft, California|Cinemas in California|Buildings in Kern County, California|Marquees (signage) in California|Self-published work|Fox Theatres|Files by User:Bobak","hidden":"","source":"commons-categories"},"LicenseUrl":{"value":"https://creativecommons.org/licenses/by/3.0","source":"commons-desc-page"},"ObjectName":{"value":"2010-1230-Taft-FoxTheatre","source":"mediawiki-metadata"},"Permission":{"value":"CC-By-SA-3.0","hidden":"","source":"commons-desc-page"},"UsageTerms":{"value":"Creative Commons Attribution 3.0","source":"commons-desc-page"},"Assessments":{"value":"","hidden":"","source":"commons-categories"},"Copyrighted":{"value":"True","hidden":"","source":"commons-desc-page"},"Restrictions":{"value":"","hidden":"","source":"commons-desc-page"},"DateTimeOriginal":{"value":"2010-12-30","source":"commons-desc-page"},"ImageDescription":{"value":"Taft Fox Theatre — a &lt;a href=\"//commons.wikimedia.org/wiki/Category:Fox_Theatre\" title=\"Category:Fox Theatre\"&gt;Fox Theatre&lt;/a&gt; cinema in &lt;a href=\"//commons.wikimedia.org/wiki/Category:Taft,_California\" title=\"Category:Taft, California\"&gt;Taft&lt;/a&gt;, central California.","source":"commons-desc-page"},"LicenseShortName":{"value":"CC BY 3.0","hidden":"","source":"commons-desc-page"},"AttributionRequired":{"value":"true","hidden":"","source":"commons-desc-page"},"CommonsMetadataExtension":{"value":1.2,"hidden":"","source":"extension"}},"thumbheight":928,"thumbattribs":{"src":"https://thumb.wikimedia.org/wikipedia/commons/thumb/e/ea/2010-1230-Taft-FoxTheatre.jpg/1280px-2010-1230-Taft-FoxTheatre.jpg?utm_source=commons.wikimedia.org&amp;utm_campaign=imageinfo&amp;utm_content=thumbnail","width":1280,"height":928,"srcset":"https://upload.wikimedia.org/wikipedia/commons/e/ea/2010-1230-Taft-FoxTheatre.jpg?utm_source=commons.wikimedia.org&amp;utm_campaign=imageinfo&amp;utm_content=thumbnail_unscaled 2x","loading":"lazy","decoding":"async"},"descriptionurl":"https://commons.wikimedia.org/wiki/File:2010-1230-Taft-FoxTheatre.jpg","responsiveUrls":{"2":"https://upload.wikimedia.org/wikipedia/commons/e/ea/2010-1230-Taft-FoxTheatre.jpg?utm_source=commons.wikimedia.org&amp;utm_campaign=imageinfo&amp;utm_content=thumbnail_unscaled"},"descriptionshorturl":"https://commons.wikimedia.org/w/index.php?curid=12657321"},"selection":{"qid":"pending","kind":"candidate","title":"Buildings in Kern County, California"},"author_url":"https://en.wikipedia.org/wiki/User:Bobak","derivative":"Wikimedia thumbnail decoded; EXIF orientation applied; converted to WebP quality 86; no generated pixels, no cropping.","source_url":"https://commons.wikimedia.org/wiki/File:2010-1230-Taft-FoxTheatre.jpg","author_urls":["https://en.wikipedia.org/wiki/User:Bobak"],"description":"Taft Fox Theatre — a Fox Theatre cinema in Taft, central California.","license_url":"https://creativecommons.org/licenses/by/3.0","reviewed_on":"2026-10-24","capture_date":"2010-12-30","download_url":"https://thumb.wikimedia.org/wikipedia/commons/thumb/e/ea/2010-1230-Taft-FoxTheatre.jpg/1280px-2010-1230-Taft-FoxTheatre.jpg?utm_source=commons.wikimedia.org&amp;utm_campaign=imageinfo&amp;utm_content=thumbnail","original_url":"https://upload.wikimedia.org/wikipedia/commons/e/ea/2010-1230-Taft-FoxTheatre.jpg?utm_source=commons.wikimedia.org&amp;utm_campaign=imageinfo&amp;utm_content=original","pixel_review":{"method":"İndirilen kare temas sayfasında görüldü; kaynak mekân kimliğiyle eşleştirildi. Seçim kaydı final-pixel-review.json.","status":"verified","caption":"Taft Fox Theatre · 2010 tarihli fotoğraf","reviewer":"Codex (AI)","review_id":"C29"},"downloaded_at":"2026-10-23T19:10:17.649951+00:00","download_sha256":"e6dc54ced49ee9e225c71f73fb7f8c7607b663e612a03a13d271a87c8eddf650","downloaded_file":"downloads/e6dc54ced49ee9e225c71f73fb7f8c7607b663e612a03a13d271a87c8eddf650.jpg","acquisition_file":"d81cbef04fb6f97e233e89c5.webp","commons_filename":"2010-1230-Taft-FoxTheatre.jpg","original_file_url":"https://upload.wikimedia.org/wikipedia/commons/e/ea/2010-1230-Taft-FoxTheatr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e/ea/2010-1230-Taft-FoxTheatre.jpg?utm_source=commons.wikimedia.org&amp;utm_campaign=imageinfo&amp;utm_content=original"},"metadata_reviewed_on":"2026-10-24","metadata_review_status":"verified"}}</x:v>
      </x:c>
    </x:row>
    <x:row r="217" ht="300" customHeight="1">
      <x:c r="A217" s="29" t="str">
        <x:v>bakersfield:evidence:venue-22182</x:v>
      </x:c>
      <x:c r="B217" s="29" t="str">
        <x:v>bakersfield</x:v>
      </x:c>
      <x:c r="C217" s="29" t="str">
        <x:v>bakersfield:photo:venue-22182</x:v>
      </x:c>
      <x:c r="D217" s="29" t="str">
        <x:v>https://commons.wikimedia.org/wiki/File:2009-0726-CA-Tehachapi-Beekay.jpg</x:v>
      </x:c>
      <x:c r="E217" s="29" t="str">
        <x:v>2009-0726-CA-Tehachapi-Beekay.jpg</x:v>
      </x:c>
      <x:c r="F217" s="29" t="str">
        <x:v>Bobak Ha'Eri</x:v>
      </x:c>
      <x:c r="G217" s="29" t="str">
        <x:v>CC BY 3.0</x:v>
      </x:c>
      <x:c r="H217" s="29" t="str">
        <x:v>https://creativecommons.org/licenses/by/3.0</x:v>
      </x:c>
      <x:c r="I217" s="29" t="str">
        <x:v>Creative Commons Attribution 3.0</x:v>
      </x:c>
      <x:c r="J217" s="29" t="str">
        <x:v>2009-0726-CA-Tehachapi-Beekay.jpg · Bobak Ha'Eri · CC BY 3.0 · https://commons.wikimedia.org/wiki/File:2009-0726-CA-Tehachapi-Beekay.jpg</x:v>
      </x:c>
      <x:c r="K21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7" s="31" t="d">
        <x:v>2026-10-24T00:00:00.000Z</x:v>
      </x:c>
      <x:c r="M217" s="29" t="str">
        <x:v>Doğrulandı</x:v>
      </x:c>
      <x:c r="N217" s="29" t="str">
        <x:v>Doğrulandı</x:v>
      </x:c>
      <x:c r="O217" s="29" t="str">
        <x:v>Fotoğraflar/bk-3735c508ed89efc1d76a2f1f.webp</x:v>
      </x:c>
      <x:c r="P217" s="29" t="str">
        <x:v>BeeKay Theatre · 2009 tarihli fotoğraf · İndirilen kare temas sayfasında görüldü; kaynak mekân kimliğiyle eşleştirildi. Seçim kaydı final-pixel-review.json.</x:v>
      </x:c>
      <x:c r="Q217" s="29" t="str">
        <x:v>Bu kare için uygun</x:v>
      </x:c>
      <x:c r="R21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7" s="29" t="str">
        <x:v>Lisans kanıtları/bk-3735c508ed89efc1d76a2f1f.source-evidence.json</x:v>
      </x:c>
      <x:c r="T217" s="29" t="str">
        <x:v>aae3233022647c555723c95657c68166db74e1bcecd1c6a781603361e0bf4e76</x:v>
      </x:c>
      <x:c r="U217" s="29" t="str">
        <x:v>Lisans kanıtları/bk-3735c508ed89efc1d76a2f1f.license-record.json</x:v>
      </x:c>
      <x:c r="V217" s="29" t="str">
        <x:v>ec729f46db023786270adb67421b943084d9bd0a205c04dcb1f5a08d18bdff48</x:v>
      </x:c>
      <x:c r="W217" s="29" t="str">
        <x:v>{"file":"bk-3735c508ed89efc1d76a2f1f.webp","width":1280,"author":"Bobak Ha'Eri","height":943,"sha256":"3735c508ed89efc1d76a2f1f355acad20cbc4ebcf85ab317c77c0c124604a93c","license":"CC BY 3.0","imageinfo":{"url":"https://upload.wikimedia.org/wikipedia/commons/c/c5/2009-0726-CA-Tehachapi-Beekay.jpg?utm_source=commons.wikimedia.org&amp;utm_campaign=imageinfo&amp;utm_content=original","mime":"image/jpeg","sha1":"7d5bd31c33381d01f9590b557eb77a8fcffa6697","size":3217595,"width":2670,"height":1968,"pageid":7514882,"thumburl":"https://thumb.wikimedia.org/wikipedia/commons/thumb/c/c5/2009-0726-CA-Tehachapi-Beekay.jpg/1280px-2009-0726-CA-Tehachapi-Beekay.jpg?utm_source=commons.wikimedia.org&amp;utm_campaign=imageinfo&amp;utm_content=thumbnail","timestamp":"2009-08-09T06:18:31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work&lt;/span&gt;","source":"commons-desc-page"},"License":{"value":"cc-by-3.0","hidden":"","source":"commons-templates"},"DateTime":{"value":"2009-08-09 06:18:31","hidden":"","source":"mediawiki-metadata"},"Categories":{"value":"Taken with Panasonic Lumix DMC-TZ7|Theaters in California|Tehachapi, California|Buildings in Kern County, California|Self-published work|Files by User:Bobak","hidden":"","source":"commons-categories"},"LicenseUrl":{"value":"https://creativecommons.org/licenses/by/3.0","source":"commons-desc-page"},"ObjectName":{"value":"2009-0726-CA-Tehachapi-Beekay","source":"mediawiki-metadata"},"Permission":{"value":"CC-By-SA-3.0","hidden":"","source":"commons-desc-page"},"UsageTerms":{"value":"Creative Commons Attribution 3.0","source":"commons-desc-page"},"Assessments":{"value":"","hidden":"","source":"commons-categories"},"Copyrighted":{"value":"True","hidden":"","source":"commons-desc-page"},"Restrictions":{"value":"","hidden":"","source":"commons-desc-page"},"DateTimeOriginal":{"value":"2009-07-26","source":"commons-desc-page"},"ImageDescription":{"value":"Beekay Theater, &lt;a href=\"https://en.wikipedia.org/wiki/Tehachapi,_California\" class=\"extiw\" title=\"en:Tehachapi, California\"&gt;Tehachapi, California&lt;/a&gt;, USA.","source":"commons-desc-page"},"LicenseShortName":{"value":"CC BY 3.0","hidden":"","source":"commons-desc-page"},"AttributionRequired":{"value":"true","hidden":"","source":"commons-desc-page"},"CommonsMetadataExtension":{"value":1.2,"hidden":"","source":"extension"}},"thumbheight":943,"thumbattribs":{"src":"https://thumb.wikimedia.org/wikipedia/commons/thumb/c/c5/2009-0726-CA-Tehachapi-Beekay.jpg/1280px-2009-0726-CA-Tehachapi-Beekay.jpg?utm_source=commons.wikimedia.org&amp;utm_campaign=imageinfo&amp;utm_content=thumbnail","width":1280,"height":943,"srcset":"https://upload.wikimedia.org/wikipedia/commons/c/c5/2009-0726-CA-Tehachapi-Beekay.jpg?utm_source=commons.wikimedia.org&amp;utm_campaign=imageinfo&amp;utm_content=thumbnail_unscaled 2x","loading":"lazy","decoding":"async"},"descriptionurl":"https://commons.wikimedia.org/wiki/File:2009-0726-CA-Tehachapi-Beekay.jpg","responsiveUrls":{"2":"https://upload.wikimedia.org/wikipedia/commons/c/c5/2009-0726-CA-Tehachapi-Beekay.jpg?utm_source=commons.wikimedia.org&amp;utm_campaign=imageinfo&amp;utm_content=thumbnail_unscaled"},"descriptionshorturl":"https://commons.wikimedia.org/w/index.php?curid=7514882"},"selection":{"qid":"pending","kind":"candidate","title":"Tehachapi, California"},"author_url":"https://en.wikipedia.org/wiki/User:Bobak","derivative":"Wikimedia thumbnail decoded; EXIF orientation applied; converted to WebP quality 86; no generated pixels, no cropping.","source_url":"https://commons.wikimedia.org/wiki/File:2009-0726-CA-Tehachapi-Beekay.jpg","author_urls":["https://en.wikipedia.org/wiki/User:Bobak"],"description":"Beekay Theater, Tehachapi, California, USA.","license_url":"https://creativecommons.org/licenses/by/3.0","reviewed_on":"2026-10-24","capture_date":"2009-07-26","download_url":"https://thumb.wikimedia.org/wikipedia/commons/thumb/c/c5/2009-0726-CA-Tehachapi-Beekay.jpg/1280px-2009-0726-CA-Tehachapi-Beekay.jpg?utm_source=commons.wikimedia.org&amp;utm_campaign=imageinfo&amp;utm_content=thumbnail","original_url":"https://upload.wikimedia.org/wikipedia/commons/c/c5/2009-0726-CA-Tehachapi-Beekay.jpg?utm_source=commons.wikimedia.org&amp;utm_campaign=imageinfo&amp;utm_content=original","pixel_review":{"method":"İndirilen kare temas sayfasında görüldü; kaynak mekân kimliğiyle eşleştirildi. Seçim kaydı final-pixel-review.json.","status":"verified","caption":"BeeKay Theatre · 2009 tarihli fotoğraf","reviewer":"Codex (AI)","review_id":"C18"},"downloaded_at":"2026-10-23T19:09:08.003030+00:00","download_sha256":"5012af2037bd24a728f9f78e3ba9a9c0b7b01df0d7a5acef2770d017f2661311","downloaded_file":"downloads/5012af2037bd24a728f9f78e3ba9a9c0b7b01df0d7a5acef2770d017f2661311.jpg","acquisition_file":"cbebb588256c5e31952d020e.webp","commons_filename":"2009-0726-CA-Tehachapi-Beekay.jpg","original_file_url":"https://upload.wikimedia.org/wikipedia/commons/c/c5/2009-0726-CA-Tehachapi-Beekay.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c/c5/2009-0726-CA-Tehachapi-Beekay.jpg?utm_source=commons.wikimedia.org&amp;utm_campaign=imageinfo&amp;utm_content=original"},"metadata_reviewed_on":"2026-10-24","metadata_review_status":"verified"}}</x:v>
      </x:c>
    </x:row>
    <x:row r="218" ht="300" customHeight="1">
      <x:c r="A218" s="29" t="str">
        <x:v>bakersfield:evidence:venue-22183</x:v>
      </x:c>
      <x:c r="B218" s="29" t="str">
        <x:v>bakersfield</x:v>
      </x:c>
      <x:c r="C218" s="29" t="str">
        <x:v>bakersfield:photo:venue-22183</x:v>
      </x:c>
      <x:c r="D218" s="29" t="str">
        <x:v>https://commons.wikimedia.org/wiki/File:2009-0726-CA-Tehachapi-ErreaHouse.jpg</x:v>
      </x:c>
      <x:c r="E218" s="29" t="str">
        <x:v>2009-0726-CA-Tehachapi-ErreaHouse.jpg</x:v>
      </x:c>
      <x:c r="F218" s="29" t="str">
        <x:v>Bobak Ha'Eri</x:v>
      </x:c>
      <x:c r="G218" s="29" t="str">
        <x:v>CC BY 3.0</x:v>
      </x:c>
      <x:c r="H218" s="29" t="str">
        <x:v>https://creativecommons.org/licenses/by/3.0</x:v>
      </x:c>
      <x:c r="I218" s="29" t="str">
        <x:v>Creative Commons Attribution 3.0</x:v>
      </x:c>
      <x:c r="J218" s="29" t="str">
        <x:v>2009-0726-CA-Tehachapi-ErreaHouse.jpg · Bobak Ha'Eri · CC BY 3.0 · https://commons.wikimedia.org/wiki/File:2009-0726-CA-Tehachapi-ErreaHouse.jpg</x:v>
      </x:c>
      <x:c r="K21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8" s="31" t="d">
        <x:v>2026-10-24T00:00:00.000Z</x:v>
      </x:c>
      <x:c r="M218" s="29" t="str">
        <x:v>Doğrulandı</x:v>
      </x:c>
      <x:c r="N218" s="29" t="str">
        <x:v>Doğrulandı</x:v>
      </x:c>
      <x:c r="O218" s="29" t="str">
        <x:v>Fotoğraflar/bk-f9808e4d1e4a118b99927a2a.webp</x:v>
      </x:c>
      <x:c r="P218" s="29" t="str">
        <x:v>Errea House Museum · 2009 tarihli fotoğraf · İndirilen kare temas sayfasında görüldü; kaynak mekân kimliğiyle eşleştirildi. Seçim kaydı final-pixel-review.json.</x:v>
      </x:c>
      <x:c r="Q218" s="29" t="str">
        <x:v>Bu kare için uygun</x:v>
      </x:c>
      <x:c r="R21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8" s="29" t="str">
        <x:v>Lisans kanıtları/bk-f9808e4d1e4a118b99927a2a.source-evidence.json</x:v>
      </x:c>
      <x:c r="T218" s="29" t="str">
        <x:v>004c8546822646c7e24769ffdc53fd09a347596491e201db8b3b0ddfd120b210</x:v>
      </x:c>
      <x:c r="U218" s="29" t="str">
        <x:v>Lisans kanıtları/bk-f9808e4d1e4a118b99927a2a.license-record.json</x:v>
      </x:c>
      <x:c r="V218" s="29" t="str">
        <x:v>cf3266eb161ceff5562ae22d31bd11ab6fc545f357fc35ee71db15da5119e5e6</x:v>
      </x:c>
      <x:c r="W218" s="29" t="str">
        <x:v>{"file":"bk-f9808e4d1e4a118b99927a2a.webp","width":1280,"author":"Bobak Ha'Eri","height":856,"sha256":"f9808e4d1e4a118b99927a2ad5db4dd3e3bea17614e0a574a4ece1a932cafea0","license":"CC BY 3.0","imageinfo":{"url":"https://upload.wikimedia.org/wikipedia/commons/b/b3/2009-0726-CA-Tehachapi-ErreaHouse.jpg?utm_source=commons.wikimedia.org&amp;utm_campaign=imageinfo&amp;utm_content=original","mime":"image/jpeg","sha1":"69b19bac8439ca1a35ba3f2ab7c09048fbeeb186","size":2612371,"width":2682,"height":1794,"pageid":7514812,"thumburl":"https://thumb.wikimedia.org/wikipedia/commons/thumb/b/b3/2009-0726-CA-Tehachapi-ErreaHouse.jpg/1280px-2009-0726-CA-Tehachapi-ErreaHouse.jpg?utm_source=commons.wikimedia.org&amp;utm_campaign=imageinfo&amp;utm_content=thumbnail","timestamp":"2009-08-09T06:01:40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work&lt;/span&gt;","source":"commons-desc-page"},"License":{"value":"cc-by-3.0","hidden":"","source":"commons-templates"},"DateTime":{"value":"2009-08-09 06:01:40","hidden":"","source":"mediawiki-metadata"},"Categories":{"value":"Taken with Panasonic Lumix DMC-TZ7|Historic house museums in California|Tehachapi, California|Museums in Kern County, California|Porches in California|1870s houses in California|Self-published work|National Register of Historic Places with known IDs|Files by User:Bobak|Houses on the National Register of Historic Places in Kern County, California|Wooden houses in Kern County, California","hidden":"","source":"commons-categories"},"LicenseUrl":{"value":"https://creativecommons.org/licenses/by/3.0","source":"commons-desc-page"},"ObjectName":{"value":"2009-0726-CA-Tehachapi-ErreaHouse","source":"mediawiki-metadata"},"Permission":{"value":"CC-By-SA-3.0","hidden":"","source":"commons-desc-page"},"UsageTerms":{"value":"Creative Commons Attribution 3.0","source":"commons-desc-page"},"Assessments":{"value":"","hidden":"","source":"commons-categories"},"Copyrighted":{"value":"True","hidden":"","source":"commons-desc-page"},"GPSLatitude":{"value":"35.129444","source":"commons-desc-page"},"GPSMapDatum":{"value":"WGS-84","hidden":"","source":"commons-desc-page"},"GPSLongitude":{"value":"-118.446944","source":"commons-desc-page"},"Restrictions":{"value":"","hidden":"","source":"commons-desc-page"},"DateTimeOriginal":{"value":"2009-07-26","source":"commons-desc-page"},"ImageDescription":{"value":"&lt;b&gt;&lt;a href=\"https://en.wikipedia.org/wiki/Errea_House\" class=\"extiw\" title=\"en:Errea House\"&gt;Errea House&lt;/a&gt;&lt;/b&gt; — a historic house museum at &lt;a href=\"//commons.wikimedia.org/wiki/Category:Tehachapi,_California\" title=\"Category:Tehachapi, California\"&gt;Tehachapi&lt;/a&gt;, California.\n&lt;ul&gt;&lt;li&gt;The 1870s house is on the &lt;a href=\"//commons.wikimedia.org/wiki/Category:National_Register_of_Historic_Places_in_Kern_County,_California\" title=\"Category:National Register of Historic Places in Kern County, California\"&gt;National Register of Historic Places in Kern County, California&lt;/a&gt;.&lt;/li&gt;&lt;/ul&gt;","source":"commons-desc-page"},"LicenseShortName":{"value":"CC BY 3.0","hidden":"","source":"commons-desc-page"},"AttributionRequired":{"value":"true","hidden":"","source":"commons-desc-page"},"CommonsMetadataExtension":{"value":1.2,"hidden":"","source":"extension"}},"thumbheight":856,"thumbattribs":{"src":"https://thumb.wikimedia.org/wikipedia/commons/thumb/b/b3/2009-0726-CA-Tehachapi-ErreaHouse.jpg/1280px-2009-0726-CA-Tehachapi-ErreaHouse.jpg?utm_source=commons.wikimedia.org&amp;utm_campaign=imageinfo&amp;utm_content=thumbnail","width":1280,"height":856,"srcset":"https://upload.wikimedia.org/wikipedia/commons/b/b3/2009-0726-CA-Tehachapi-ErreaHouse.jpg?utm_source=commons.wikimedia.org&amp;utm_campaign=imageinfo&amp;utm_content=thumbnail_unscaled 2x","loading":"lazy","decoding":"async"},"descriptionurl":"https://commons.wikimedia.org/wiki/File:2009-0726-CA-Tehachapi-ErreaHouse.jpg","responsiveUrls":{"2":"https://upload.wikimedia.org/wikipedia/commons/b/b3/2009-0726-CA-Tehachapi-ErreaHouse.jpg?utm_source=commons.wikimedia.org&amp;utm_campaign=imageinfo&amp;utm_content=thumbnail_unscaled"},"descriptionshorturl":"https://commons.wikimedia.org/w/index.php?curid=7514812"},"selection":{"qid":"pending","kind":"candidate","title":"Tehachapi, California"},"author_url":"https://en.wikipedia.org/wiki/User:Bobak","derivative":"Wikimedia thumbnail decoded; EXIF orientation applied; converted to WebP quality 86; no generated pixels, no cropping.","source_url":"https://commons.wikimedia.org/wiki/File:2009-0726-CA-Tehachapi-ErreaHouse.jpg","author_urls":["https://en.wikipedia.org/wiki/User:Bobak"],"description":"Errea House — a historic house museum at Tehachapi, California.\nThe 1870s house is on the National Register of Historic Places in Kern County, California.","license_url":"https://creativecommons.org/licenses/by/3.0","reviewed_on":"2026-10-24","capture_date":"2009-07-26","download_url":"https://thumb.wikimedia.org/wikipedia/commons/thumb/b/b3/2009-0726-CA-Tehachapi-ErreaHouse.jpg/1280px-2009-0726-CA-Tehachapi-ErreaHouse.jpg?utm_source=commons.wikimedia.org&amp;utm_campaign=imageinfo&amp;utm_content=thumbnail","original_url":"https://upload.wikimedia.org/wikipedia/commons/b/b3/2009-0726-CA-Tehachapi-ErreaHouse.jpg?utm_source=commons.wikimedia.org&amp;utm_campaign=imageinfo&amp;utm_content=original","pixel_review":{"method":"İndirilen kare temas sayfasında görüldü; kaynak mekân kimliğiyle eşleştirildi. Seçim kaydı final-pixel-review.json.","status":"verified","caption":"Errea House Museum · 2009 tarihli fotoğraf","reviewer":"Codex (AI)","review_id":"C20"},"downloaded_at":"2026-10-23T19:09:09.042954+00:00","download_sha256":"17952c42e4af2a329c9f644dd031a5725566f0466f4d736a7fa6b3affcc6e8c7","downloaded_file":"downloads/17952c42e4af2a329c9f644dd031a5725566f0466f4d736a7fa6b3affcc6e8c7.jpg","acquisition_file":"61888c64506f43b779bb0569.webp","commons_filename":"2009-0726-CA-Tehachapi-ErreaHouse.jpg","original_file_url":"https://upload.wikimedia.org/wikipedia/commons/b/b3/2009-0726-CA-Tehachapi-ErreaHous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b/b3/2009-0726-CA-Tehachapi-ErreaHouse.jpg?utm_source=commons.wikimedia.org&amp;utm_campaign=imageinfo&amp;utm_content=original"},"metadata_reviewed_on":"2026-10-24","metadata_review_status":"verified"}}</x:v>
      </x:c>
    </x:row>
    <x:row r="219" ht="300" customHeight="1">
      <x:c r="A219" s="29" t="str">
        <x:v>bakersfield:evidence:venue-22184</x:v>
      </x:c>
      <x:c r="B219" s="29" t="str">
        <x:v>bakersfield</x:v>
      </x:c>
      <x:c r="C219" s="29" t="str">
        <x:v>bakersfield:photo:venue-22184</x:v>
      </x:c>
      <x:c r="D219" s="29" t="str">
        <x:v>https://commons.wikimedia.org/wiki/File:Going_Down_Tehachapi_Loop.jpg</x:v>
      </x:c>
      <x:c r="E219" s="29" t="str">
        <x:v>Going Down Tehachapi Loop.jpg</x:v>
      </x:c>
      <x:c r="F219" s="29" t="str">
        <x:v>David Brossard</x:v>
      </x:c>
      <x:c r="G219" s="29" t="str">
        <x:v>CC BY-SA 2.0</x:v>
      </x:c>
      <x:c r="H219" s="29" t="str">
        <x:v>https://creativecommons.org/licenses/by-sa/2.0</x:v>
      </x:c>
      <x:c r="I219" s="29" t="str">
        <x:v>Creative Commons Attribution-Share Alike 2.0</x:v>
      </x:c>
      <x:c r="J219" s="29" t="str">
        <x:v>Going Down Tehachapi Loop.jpg · David Brossard · CC BY-SA 2.0 · https://commons.wikimedia.org/wiki/File:Going_Down_Tehachapi_Loop.jpg</x:v>
      </x:c>
      <x:c r="K21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19" s="31" t="d">
        <x:v>2026-10-24T00:00:00.000Z</x:v>
      </x:c>
      <x:c r="M219" s="29" t="str">
        <x:v>Doğrulandı</x:v>
      </x:c>
      <x:c r="N219" s="29" t="str">
        <x:v>Doğrulandı</x:v>
      </x:c>
      <x:c r="O219" s="29" t="str">
        <x:v>Fotoğraflar/bk-9686ca28350d2abefa298c8a.webp</x:v>
      </x:c>
      <x:c r="P219" s="29" t="str">
        <x:v>Tehachapi Loop · 2015 tarihli fotoğraf · İndirilen kare temas sayfasında görüldü; kaynak mekân kimliğiyle eşleştirildi. Seçim kaydı final-pixel-review.json.</x:v>
      </x:c>
      <x:c r="Q219" s="29" t="str">
        <x:v>Bu kare için uygun</x:v>
      </x:c>
      <x:c r="R21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19" s="29" t="str">
        <x:v>Lisans kanıtları/bk-9686ca28350d2abefa298c8a.source-evidence.json</x:v>
      </x:c>
      <x:c r="T219" s="29" t="str">
        <x:v>651fe7c18a1eaf35ef79105b8309990a0dce112506de53ab1d1caef93ae6bd46</x:v>
      </x:c>
      <x:c r="U219" s="29" t="str">
        <x:v>Lisans kanıtları/bk-9686ca28350d2abefa298c8a.license-record.json</x:v>
      </x:c>
      <x:c r="V219" s="29" t="str">
        <x:v>08a4bedc1ae24a8a38e016d2e538f8ece852340edc6986b51f72abb3a3abc2b5</x:v>
      </x:c>
      <x:c r="W219" s="29" t="str">
        <x:v>{"file":"bk-9686ca28350d2abefa298c8a.webp","width":1280,"author":"David Brossard","height":718,"sha256":"9686ca28350d2abefa298c8ad5961dfcb44ad0f2cf33d2bef0069f6c8cca5c53","license":"CC BY-SA 2.0","imageinfo":{"url":"https://upload.wikimedia.org/wikipedia/commons/4/4f/Going_Down_Tehachapi_Loop.jpg?utm_source=commons.wikimedia.org&amp;utm_campaign=imageinfo&amp;utm_content=original","mime":"image/jpeg","sha1":"b90fa90a1dd19066c8362b2ad8009ded79bf4461","size":4448400,"width":5276,"height":2960,"pageid":105084320,"thumburl":"https://thumb.wikimedia.org/wikipedia/commons/thumb/4/4f/Going_Down_Tehachapi_Loop.jpg/1280px-Going_Down_Tehachapi_Loop.jpg?utm_source=commons.wikimedia.org&amp;utm_campaign=imageinfo&amp;utm_content=thumbnail","timestamp":"2021-05-09T02:59:38Z","thumbwidth":1280,"extmetadata":{"Artist":{"value":"David Brossard","source":"commons-desc-page"},"Credit":{"value":"&lt;a rel=\"nofollow\" class=\"external free\" href=\"https://www.flickr.com/photos/string_bass_dave/17978104948/\"&gt;https://www.flickr.com/photos/string_bass_dave/17978104948/&lt;/a&gt;","source":"commons-desc-page"},"License":{"value":"cc-by-sa-2.0","hidden":"","source":"commons-templates"},"DateTime":{"value":"2021-05-09 02:59:38","hidden":"","source":"mediawiki-metadata"},"Categories":{"value":"Tehachapi Loop|California montane chaparral and woodlands|Freight trains in California|Files with coordinates missing SDC location of creation|Flickr images reviewed by FlickreviewR 2","hidden":"","source":"commons-categories"},"LicenseUrl":{"value":"https://creativecommons.org/licenses/by-sa/2.0","source":"commons-desc-page"},"ObjectName":{"value":"Going Down Tehachapi Loop","source":"mediawiki-metadata"},"UsageTerms":{"value":"Creative Commons Attribution-Share Alike 2.0","source":"commons-desc-page"},"Assessments":{"value":"","hidden":"","source":"commons-categories"},"Copyrighted":{"value":"True","hidden":"","source":"commons-desc-page"},"GPSLatitude":{"value":"35.196911","source":"commons-desc-page"},"GPSMapDatum":{"value":"WGS-84","hidden":"","source":"commons-desc-page"},"GPSLongitude":{"value":"-118.532769","source":"commons-desc-page"},"Restrictions":{"value":"","hidden":"","source":"commons-desc-page"},"DateTimeOriginal":{"value":"2015-03-23 17:47:03","source":"commons-desc-page"},"ImageDescription":{"value":"Any trip to Bakersfield requires a side-trip to the Tehachapi Loop near Keane.  It was a bit stormy, so the light was really nice.\nA BNSF hopper car train swings around the Tehachapi Loop in the dramatic clouds and sunlight and disappears into the Tunnel 9; passing under itself and leaving the loop.  Helper locomotives are at the end of the consist and in the middle (barely visible where the train goes behind the cone-shaped hill to the right of the frame).","source":"commons-desc-page"},"LicenseShortName":{"value":"CC BY-SA 2.0","hidden":"","source":"commons-desc-page"},"AttributionRequired":{"value":"true","hidden":"","source":"commons-desc-page"},"CommonsMetadataExtension":{"value":1.2,"hidden":"","source":"extension"}},"thumbheight":718,"thumbattribs":{"src":"https://thumb.wikimedia.org/wikipedia/commons/thumb/4/4f/Going_Down_Tehachapi_Loop.jpg/1280px-Going_Down_Tehachapi_Loop.jpg?utm_source=commons.wikimedia.org&amp;utm_campaign=imageinfo&amp;utm_content=thumbnail","width":1280,"height":718,"srcset":"https://thumb.wikimedia.org/wikipedia/commons/thumb/4/4f/Going_Down_Tehachapi_Loop.jpg/3840px-Going_Down_Tehachapi_Loop.jpg?utm_source=commons.wikimedia.org&amp;utm_campaign=imageinfo&amp;utm_content=thumbnail 2x","loading":"lazy","decoding":"async"},"descriptionurl":"https://commons.wikimedia.org/wiki/File:Going_Down_Tehachapi_Loop.jpg","responsiveUrls":{"2":"https://thumb.wikimedia.org/wikipedia/commons/thumb/4/4f/Going_Down_Tehachapi_Loop.jpg/3840px-Going_Down_Tehachapi_Loop.jpg?utm_source=commons.wikimedia.org&amp;utm_campaign=imageinfo&amp;utm_content=thumbnail"},"descriptionshorturl":"https://commons.wikimedia.org/w/index.php?curid=105084320"},"selection":{"qid":"pending","kind":"candidate","title":"Additional local candidates"},"author_url":"","derivative":"Wikimedia thumbnail decoded; EXIF orientation applied; converted to WebP quality 86; no generated pixels, no cropping.","source_url":"https://commons.wikimedia.org/wiki/File:Going_Down_Tehachapi_Loop.jpg","author_urls":[],"description":"Any trip to Bakersfield requires a side-trip to the Tehachapi Loop near Keane.  It was a bit stormy, so the light was really nice.\nA BNSF hopper car train swings around the Tehachapi Loop in the dramatic clouds and sunlight and disappears into the Tunnel 9; passing under itself and leaving the loop.  Helper locomotives are at the end of the consist and in the middle (barely visible where the train goes behind the cone-shaped hill to the right of the frame).","license_url":"https://creativecommons.org/licenses/by-sa/2.0","reviewed_on":"2026-10-24","capture_date":"2015-03-23 17:47:03","download_url":"https://thumb.wikimedia.org/wikipedia/commons/thumb/4/4f/Going_Down_Tehachapi_Loop.jpg/1280px-Going_Down_Tehachapi_Loop.jpg?utm_source=commons.wikimedia.org&amp;utm_campaign=imageinfo&amp;utm_content=thumbnail","original_url":"https://upload.wikimedia.org/wikipedia/commons/4/4f/Going_Down_Tehachapi_Loop.jpg?utm_source=commons.wikimedia.org&amp;utm_campaign=imageinfo&amp;utm_content=original","pixel_review":{"method":"İndirilen kare temas sayfasında görüldü; kaynak mekân kimliğiyle eşleştirildi. Seçim kaydı final-pixel-review.json.","status":"verified","caption":"Tehachapi Loop · 2015 tarihli fotoğraf","reviewer":"Codex (AI)","review_id":"A19"},"downloaded_at":"2026-10-23T19:34:28.484587+00:00","download_sha256":"ea31233ddb3a9f00b9fc98951aa0dd21677a81c6cf2c39c18e21388c642b8b3c","downloaded_file":"downloads/ea31233ddb3a9f00b9fc98951aa0dd21677a81c6cf2c39c18e21388c642b8b3c.jpg","acquisition_file":"5182422d275411ff9c6b6aef.webp","commons_filename":"Going Down Tehachapi Loop.jpg","original_file_url":"https://upload.wikimedia.org/wikipedia/commons/4/4f/Going_Down_Tehachapi_Loop.jpg?utm_source=commons.wikimedia.org&amp;utm_campaign=imageinfo&amp;utm_content=original","pixel_review_status":"pending","third_party_rights_review":{"basis":"Kaynakta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4/4f/Going_Down_Tehachapi_Loop.jpg?utm_source=commons.wikimedia.org&amp;utm_campaign=imageinfo&amp;utm_content=original"},"metadata_reviewed_on":"2026-10-24","metadata_review_status":"verified"}}</x:v>
      </x:c>
    </x:row>
    <x:row r="220" ht="300" customHeight="1">
      <x:c r="A220" s="29" t="str">
        <x:v>bakersfield:evidence:venue-22185</x:v>
      </x:c>
      <x:c r="B220" s="29" t="str">
        <x:v>bakersfield</x:v>
      </x:c>
      <x:c r="C220" s="29" t="str">
        <x:v>bakersfield:photo:venue-22185</x:v>
      </x:c>
      <x:c r="D220" s="29" t="str">
        <x:v>https://www.flickr.com/photos/28923985@N00/132226219/</x:v>
      </x:c>
      <x:c r="E220" s="29" t="str">
        <x:v>Tehachapi Loop · 2003 tarihli fotoğraf</x:v>
      </x:c>
      <x:c r="F220" s="29" t="str">
        <x:v>Greg Hewgill</x:v>
      </x:c>
      <x:c r="G220" s="29" t="str">
        <x:v>CC BY 2.0</x:v>
      </x:c>
      <x:c r="H220" s="29" t="str">
        <x:v>https://creativecommons.org/licenses/by/2.0/</x:v>
      </x:c>
      <x:c r="I220" s="29" t="str">
        <x:v>CC BY 2.0</x:v>
      </x:c>
      <x:c r="J220" s="29" t="str">
        <x:v>Tehachapi Loop · 2003 tarihli fotoğraf · Greg Hewgill · CC BY 2.0 · https://www.flickr.com/photos/28923985@N00/132226219/</x:v>
      </x:c>
      <x:c r="K22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0" s="31" t="d">
        <x:v>2026-10-24T00:00:00.000Z</x:v>
      </x:c>
      <x:c r="M220" s="29" t="str">
        <x:v>Doğrulandı</x:v>
      </x:c>
      <x:c r="N220" s="29" t="str">
        <x:v>Doğrulandı</x:v>
      </x:c>
      <x:c r="O220" s="29" t="str">
        <x:v>Fotoğraflar/bk-3537920457ed87af4495ed77.webp</x:v>
      </x:c>
      <x:c r="P220" s="29" t="str">
        <x:v>Tehachapi Loop · 2003 tarihli fotoğraf · İndirilen kare temas sayfasında görüldü; kaynak mekân kimliğiyle eşleştirildi. Seçim kaydı final-pixel-review.json.</x:v>
      </x:c>
      <x:c r="Q220" s="29" t="str">
        <x:v>Bu kare için uygun</x:v>
      </x:c>
      <x:c r="R22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0" s="29" t="str">
        <x:v>Lisans kanıtları/bk-3537920457ed87af4495ed77.source-evidence.json</x:v>
      </x:c>
      <x:c r="T220" s="29" t="str">
        <x:v>a4f80fda861c6ae462b0f71cd7f3d82d29342ab3bff121a099cbf26ce07f37be</x:v>
      </x:c>
      <x:c r="U220" s="29" t="str">
        <x:v>Lisans kanıtları/bk-3537920457ed87af4495ed77.license-record.json</x:v>
      </x:c>
      <x:c r="V220" s="29" t="str">
        <x:v>27712cb087f00a3e99f44063513f35986ce637ea32b7344cb812f8f00cf1bf88</x:v>
      </x:c>
      <x:c r="W220" s="29" t="str">
        <x:v>{"file":"bk-3537920457ed87af4495ed77.webp","width":1024,"author":"Greg Hewgill","height":768,"sha256":"3537920457ed87af4495ed774fb75e6b5b97554d56d8981c364198b1382e1702","status":"reviewed-selected","license":"CC BY 2.0","provider":"Flickr","review_id":"F480","source_id":"132226219","author_url":"https://www.flickr.com/photos/28923985@N00/","date_texts":["Uploaded on April 21, 2006 Taken on June 29, 2003","Taken on June 29, 2003","Uploaded on April 21, 2006 Taken on June 29, 2003","Taken on June 29, 2003"],"source_url":"https://www.flickr.com/photos/28923985@N00/132226219/","description":"Westbound train on Tehachapi Loop in California. The train can be seen looping under itself on the left hand side of the picture.","license_url":"https://creativecommons.org/licenses/by/2.0/","review_note":"Loop geometry with train; historic source image.","reviewed_on":"2026-10-24","source_text":"Tehachapi Loop | Westbound train on Tehachapi Loop in Califo…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Greg Hewgill ghewgill Tehachapi Loop Westbound train on Tehachapi Loop in California. The train can be seen looping under itself on the left hand side of the picture. Done 3,193 views 4 faves 1 comment Uploaded on April 21, 2006 Taken on June 29, 2003 Greg Hewgill By: Greg Hewgill Tehachapi Loop Westbound train on Tehachapi Loop in California. The train can be seen looping under itself on the left hand side of the picture. Done 3,193 views 4 faves 1 comment Uploaded on April 21, 2006 Taken on June 29, 2003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photography.","capture_date":"2003-06-29","download_url":"https://live.staticflickr.com/53/132226219_3e796212bb_b.jpg","original_url":"https://live.staticflickr.com/53/132226219_3ce77f27d9_h.jpg","pixel_review":{"method":"İndirilen kare temas sayfasında görüldü; kaynak mekân kimliğiyle eşleştirildi. Seçim kaydı final-pixel-review.json.","status":"verified","caption":"Tehachapi Loop · 2003 tarihli fotoğraf","reviewer":"Codex (AI)","review_id":"F480"},"source_title":"Tehachapi Loop","downloaded_at":"2026-10-23T19:50:28.700847+00:00","download_sha256":"5ffd26cfe84b7b883088102e7e691dd0d7a0e94045a1e9a7700445a5c02fee1e","downloaded_file":"downloads/5ffd26cfe84b7b883088102e7e691dd0d7a0e94045a1e9a7700445a5c02fee1e.jpg","public_metadata":{"photo-models":[{"data":{"id":"132226219","owner":{"data":{"id":"28923985@N00","isPro":false,"newFlow":true,"isAdFree":false,"location":"Christchurch, New Zealand","realname":"Greg Hewgill","segments":{"data":[],"exportMetaType":"array"},"username":"ghewgill","buddyicon":{"data":{"large":"//live.staticflickr.com/44/buddyicons/28923985@N00_l.jpg?1145256052#28923985@N00","small":"//live.staticflickr.com/44/buddyicons/28923985@N00_s.jpg?1145256052#28923985@N00","medium":"//live.staticflickr.com/44/buddyicons/28923985@N00_m.jpg?1145256052#28923985@N00","retina":"//live.staticflickr.com/44/buddyicons/28923985@N00_r.jpg?1145256052#28923985@N00","default":"//live.staticflickr.com/44/buddyicons/28923985@N00.jpg?1145256052#28923985@N00"},"exportMetaType":"pojo"},"pathAlias":"ghewgill","dateCreated":{"data":"1122977604","exportMetaType":"serializeFunction"},"subscription":{"data":{"isPro":false,"isClosed":false,"isPastDue":false},"exportMetaType":"pojo"},"eligibleGifts":{"data":["year","month","week"],"exportMetaType":"array"},"isEligibleForGifts":true,"_flickrModelRegistry":"person-models"},"exportMetaType":"model"},"sizes":{"data":{"c":{"data":{"url":"//live.staticflickr.com/53/132226219_3e796212bb_c.jpg","width":800,"height":600,"displayUrl":"//live.staticflickr.com/53/132226219_3e796212bb_c.jpg"},"exportMetaType":"pojo"},"h":{"data":{"url":"//live.staticflickr.com/53/132226219_3ce77f27d9_h.jpg","width":1600,"height":1200,"displayUrl":"//live.staticflickr.com/53/132226219_3ce77f27d9_h.jpg"},"exportMetaType":"pojo"},"l":{"data":{"url":"//live.staticflickr.com/53/132226219_3e796212bb_b.jpg","width":1024,"height":768,"displayUrl":"//live.staticflickr.com/53/132226219_3e796212bb_b.jpg"},"exportMetaType":"pojo"},"m":{"data":{"url":"//live.staticflickr.com/53/132226219_3e796212bb.jpg","width":500,"height":375,"displayUrl":"//live.staticflickr.com/53/132226219_3e796212bb.jpg"},"exportMetaType":"pojo"},"n":{"data":{"url":"//live.staticflickr.com/53/132226219_3e796212bb_n.jpg","width":320,"height":240,"displayUrl":"//live.staticflickr.com/53/132226219_3e796212bb_n.jpg"},"exportMetaType":"pojo"},"o":{"data":{"url":"//live.staticflickr.com/53/132226219_3e796212bb_o.jpg","width":1600,"height":1200,"displayUrl":"//live.staticflickr.com/53/132226219_3e796212bb_o.jpg"},"exportMetaType":"pojo"},"q":{"data":{"url":"//live.staticflickr.com/53/132226219_3e796212bb_q.jpg","width":150,"height":150,"displayUrl":"//live.staticflickr.com/53/132226219_3e796212bb_q.jpg"},"exportMetaType":"pojo"},"s":{"data":{"url":"//live.staticflickr.com/53/132226219_3e796212bb_m.jpg","width":240,"height":180,"displayUrl":"//live.staticflickr.com/53/132226219_3e796212bb_m.jpg"},"exportMetaType":"pojo"},"t":{"data":{"url":"//live.staticflickr.com/53/132226219_3e796212bb_t.jpg","width":100,"height":75,"displayUrl":"//live.staticflickr.com/53/132226219_3e796212bb_t.jpg"},"exportMetaType":"pojo"},"w":{"data":{"url":"//live.staticflickr.com/53/132226219_3e796212bb_w.jpg","width":400,"height":300,"displayUrl":"//live.staticflickr.com/53/132226219_3e796212bb_w.jpg"},"exportMetaType":"pojo"},"z":{"data":{"url":"//live.staticflickr.com/53/132226219_3e796212bb_z.jpg","width":640,"height":480,"displayUrl":"//live.staticflickr.com/53/132226219_3e796212bb_z.jpg"},"exportMetaType":"pojo"},"sq":{"data":{"url":"//live.staticflickr.com/53/132226219_3e796212bb_s.jpg","width":75,"height":75,"displayUrl":"//live.staticflickr.com/53/132226219_3e796212bb_s.jpg"},"exportMetaType":"pojo"}},"exportMetaType":"pojo"},"title":"Tehachapi Loop","oWidth":1600,"secret":"3e796212bb","license":4,"oHeight":1200,"rotation":0,"canAddMeta":false,"canComment":false,"engagement":{"data":{"id":"132226219","canShare":true,"faveCount":4,"ownerNsid":"28923985@N00","reactions":{"data":{"like":{"data":{"id":"like","count":5,"canReact":true,"didViewerReact":true},"exportMetaType":"pojo"},"someOtherReaction":{"data":{"id":"someOtherReaction","count":3,"canReact":true,"didViewerReact":false},"exportMetaType":"pojo"}},"exportMetaType":"pojo"},"viewCount":3193,"canDownload":true,"commentCount":1,"_flickrModelRegistry":"photo-engagement-models"},"exportMetaType":"model"},"description":"Westbound train on Tehachapi Loop in California. The train can be seen looping under itself on the left hand side of the picture.","safetyLevel":0,"upgradeSizes":{"data":[],"exportMetaType":"array"},"adEligibility":{"data":{"lane":1,"labels":{"data":[],"exportMetaType":"array"},"isAdEligible":true,"highScoreLabels":{"data":[],"exportMetaType":"array"}},"exportMetaType":"pojo"},"canPublicComment":true,"_flickrModelRegistry":"photo-models"},"exportMetaType":"model"}],"photo-geo-models":[{"data":{"id":"132226219","_flickrModelRegistry":"photo-geo-models"},"exportMetaType":"model"}],"photo-location-models":[{"data":{"id":"132226219","geo":{"data":"~2","exportMetaType":"model"},"text":"","levels":{"data":{},"exportMetaType":"pojo"},"staticMaps":{"data":{},"exportMetaType":"pojo"},"_flickrModelRegistry":"photo-location-models"},"exportMetaType":"model"}],"photo-head-meta-models":[{"data":{"id":"132226219","title":"Tehachapi Loop","og:url":"https://www.flickr.com/photos/ghewgill/132226219/","og:type":"article","keywords":"train, loop, tehachapi","og:image":"https://live.staticflickr.com/53/132226219_3e796212bb_b.jpg","og:title":"Tehachapi Loop","twitter:card":"summary_large_image","twitter:image":"https://live.staticflickr.com/53/132226219_3e796212bb_b.jpg","og:description":"Westbound train on Tehachapi Loop in California. The train can be seen looping under itself on the left hand side of the picture.","og:image:width":1024,"og:image:height":768,"twitter:description":"Westbound train on Tehachapi Loop in California. The train can be seen looping under itself on the left hand side of the picture.","_flickrModelRegistry":"photo-head-meta-models","twitter:app:url:ipad":"flickr://flickr.com/photos/ghewgill/132226219/","twitter:app:url:iphone":"flickr://flickr.com/photos/ghewgill/132226219/","twitter:app:url:googleplay":"https://www.flickr.com/photos/ghewgill/132226219/"},"exportMetaType":"model"}],"photo-license-history-models":[]},"acquisition_file":"fl-132226219.webp","source_html_file":"/Users/atincakcayoz/corteqs/output/bakersfield-production-20261023/flickr-source-pages/132226219.html","original_file_url":"https://live.staticflickr.com/53/132226219_3ce77f27d9_h.jpg","proposed_identity":"Tehachapi Loop","source_html_sha256":"47756a44729b8cc7b697a0dd61af75ad2651bdca90aa8413109579abd395f421","third_party_rights_review":{"basis":"Kaynakta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dönüştürüldü.","photo_attribution":{"author_url":"https://www.flickr.com/photos/28923985@N00/","modifications":"EXIF yönü uygulandı; boyut küçültülüp WebP biçimine dönüştürüldü.","original_file_url":"https://live.staticflickr.com/53/132226219_3ce77f27d9_h.jpg"},"metadata_reviewed_on":"2026-10-24","metadata_review_status":"verified"}}</x:v>
      </x:c>
    </x:row>
    <x:row r="221" ht="300" customHeight="1">
      <x:c r="A221" s="29" t="str">
        <x:v>bakersfield:evidence:venue-22186</x:v>
      </x:c>
      <x:c r="B221" s="29" t="str">
        <x:v>bakersfield</x:v>
      </x:c>
      <x:c r="C221" s="29" t="str">
        <x:v>bakersfield:photo:venue-22186</x:v>
      </x:c>
      <x:c r="D221" s="29" t="str">
        <x:v>https://www.flickr.com/photos/16069488@N00/53796857552/</x:v>
      </x:c>
      <x:c r="E221" s="29" t="str">
        <x:v>Tehachapi Loop · 2024 tarihli fotoğraf</x:v>
      </x:c>
      <x:c r="F221" s="29" t="str">
        <x:v>David Brossard</x:v>
      </x:c>
      <x:c r="G221" s="29" t="str">
        <x:v>CC BY-SA 2.0</x:v>
      </x:c>
      <x:c r="H221" s="29" t="str">
        <x:v>https://creativecommons.org/licenses/by-sa/2.0/</x:v>
      </x:c>
      <x:c r="I221" s="29" t="str">
        <x:v>CC BY-SA 2.0</x:v>
      </x:c>
      <x:c r="J221" s="29" t="str">
        <x:v>Tehachapi Loop · 2024 tarihli fotoğraf · David Brossard · CC BY-SA 2.0 · https://www.flickr.com/photos/16069488@N00/53796857552/</x:v>
      </x:c>
      <x:c r="K22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1" s="31" t="d">
        <x:v>2026-10-24T00:00:00.000Z</x:v>
      </x:c>
      <x:c r="M221" s="29" t="str">
        <x:v>Doğrulandı</x:v>
      </x:c>
      <x:c r="N221" s="29" t="str">
        <x:v>Doğrulandı</x:v>
      </x:c>
      <x:c r="O221" s="29" t="str">
        <x:v>Fotoğraflar/bk-e41d838477d99f9f329e1f22.webp</x:v>
      </x:c>
      <x:c r="P221" s="29" t="str">
        <x:v>Tehachapi Loop · 2024 tarihli fotoğraf · İndirilen kare temas sayfasında görüldü; kaynak mekân kimliğiyle eşleştirildi. Seçim kaydı final-pixel-review.json.</x:v>
      </x:c>
      <x:c r="Q221" s="29" t="str">
        <x:v>Bu kare için uygun</x:v>
      </x:c>
      <x:c r="R22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1" s="29" t="str">
        <x:v>Lisans kanıtları/bk-e41d838477d99f9f329e1f22.source-evidence.json</x:v>
      </x:c>
      <x:c r="T221" s="29" t="str">
        <x:v>9ef2dcdff34fbeed740ed80cd223c4091f77405df358902be263ac0b6842b369</x:v>
      </x:c>
      <x:c r="U221" s="29" t="str">
        <x:v>Lisans kanıtları/bk-e41d838477d99f9f329e1f22.license-record.json</x:v>
      </x:c>
      <x:c r="V221" s="29" t="str">
        <x:v>fc3e23d0cc2a6fa7056a66ce21c245835d72bad1e8aadf5e59aa85d973b8c98b</x:v>
      </x:c>
      <x:c r="W221" s="29" t="str">
        <x:v>{"file":"bk-e41d838477d99f9f329e1f22.webp","width":1023,"author":"David Brossard","height":520,"sha256":"e41d838477d99f9f329e1f228897234bb207a1d39b81fde53afc8d96980666b6","status":"reviewed-selected","license":"CC BY-SA 2.0","provider":"Flickr","review_id":"F484","source_id":"53796857552","author_url":"https://www.flickr.com/photos/16069488@N00/","date_texts":["Uploaded on June 17, 2024 Taken on April 2, 2024","Taken on April 2, 2024","Uploaded on June 17, 2024 Taken on April 2, 2024","Taken on April 2, 2024"],"source_url":"https://www.flickr.com/photos/16069488@N00/53796857552/","description":"Union Pacific train spiraling down Tehachapi Loop (1876) toward the San Juaquin Valley.  The locomotive is headed for the tunnel, to the left, that passes under the rest of the train.\n\nWe try to go through Tehachapi and watch a train or two on the Loop whenever we go to Death Valley.  Tomorrow home!  Hope you enjoyed the short slideshow.","license_url":"https://creativecommons.org/licenses/by-sa/2.0/","review_note":"Landscape wide, newer photo.","reviewed_on":"2026-10-24","source_text":"The Loop | Union Pacific train spiraling down Tehachapi Loop…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Brossard string_bass_dave The Loop Union Pacific train spiraling down Tehachapi Loop (1876) toward the San Juaquin Valley.  The locomotive is headed for the tunnel, to the left, that passes under the rest of the train. We try to go through Tehachapi and watch a train or two on the Loop whenever we go to Death Valley.  Tomorrow home!  Hope you enjoyed the short slideshow. Done 719 views 11 faves 0 comments Uploaded on June 17, 2024 Taken on April 2, 2024 David Brossard By: David Brossard The Loop Union Pacific train spiraling down Tehachapi Loop (1876) toward the San Juaquin Valley.  The locomotive is headed for the tunnel, to the left, that passes under the rest of the train. We try to go through Tehachapi and watch a train or two on the Loop whenever we go to Death Valley.  Tomorrow home!  Hope you enjoyed the short slideshow. Done 719 views 11 faves 0 comments Uploaded on June 17, 2024 Taken on April 2,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photography.","capture_date":"2024-04-02","download_url":"https://live.staticflickr.com/65535/53796857552_805c65d979_b.jpg","original_url":"https://live.staticflickr.com/65535/53796857552_d768bfb5cc_6k.jpg","pixel_review":{"method":"İndirilen kare temas sayfasında görüldü; kaynak mekân kimliğiyle eşleştirildi. Seçim kaydı final-pixel-review.json.","status":"verified","caption":"Tehachapi Loop · 2024 tarihli fotoğraf","reviewer":"Codex (AI)","review_id":"F484"},"source_title":"The Loop","downloaded_at":"2026-10-23T19:50:29.282031+00:00","download_sha256":"0467e2c019eb006c3e6941545616da7a300b150e23ffcd0a38cb8fa5c14a849c","downloaded_file":"downloads/0467e2c019eb006c3e6941545616da7a300b150e23ffcd0a38cb8fa5c14a849c.jpg","public_metadata":{"photo-models":[{"data":{"id":"53796857552","owner":{"data":{"id":"16069488@N00","isPro":true,"newFlow":true,"isAdFree":false,"proBadge":"standard","realname":"David Brossard","segments":{"data":[],"exportMetaType":"array"},"username":"string_bass_dave","buddyicon":{"data":{"large":"//live.staticflickr.com/3785/buddyicons/16069488@N00_l.jpg?1371495505#16069488@N00","small":"//live.staticflickr.com/3785/buddyicons/16069488@N00_s.jpg?1371495505#16069488@N00","medium":"//live.staticflickr.com/3785/buddyicons/16069488@N00_m.jpg?1371495505#16069488@N00","retina":"//live.staticflickr.com/3785/buddyicons/16069488@N00_r.jpg?1371495505#16069488@N00","default":"//live.staticflickr.com/3785/buddyicons/16069488@N00.jpg?1371495505#16069488@N00"},"exportMetaType":"pojo"},"pathAlias":"string_bass_dave","dateCreated":{"data":"1144493470","exportMetaType":"serializeFunction"},"subscription":{"data":{"isPro":false,"isClosed":false,"isPastDue":false},"exportMetaType":"pojo"},"eligibleGifts":{"data":["year","month","week"],"exportMetaType":"array"},"isEligibleForGifts":true,"_flickrModelRegistry":"person-models"},"exportMetaType":"model"},"sizes":{"data":{"c":{"data":{"url":"//live.staticflickr.com/65535/53796857552_805c65d979_c.jpg","width":800,"height":406,"displayUrl":"//live.staticflickr.com/65535/53796857552_805c65d979_c.jpg"},"exportMetaType":"pojo"},"h":{"data":{"url":"//live.staticflickr.com/65535/53796857552_8720b30604_h.jpg","width":1600,"height":813,"displayUrl":"//live.staticflickr.com/65535/53796857552_8720b30604_h.jpg"},"exportMetaType":"pojo"},"k":{"data":{"url":"//live.staticflickr.com/65535/53796857552_10aa3f1e22_k.jpg","width":2048,"height":1041,"displayUrl":"//live.staticflickr.com/65535/53796857552_10aa3f1e22_k.jpg"},"exportMetaType":"pojo"},"l":{"data":{"url":"//live.staticflickr.com/65535/53796857552_805c65d979_b.jpg","width":1024,"height":520,"displayUrl":"//live.staticflickr.com/65535/53796857552_805c65d979_b.jpg"},"exportMetaType":"pojo"},"m":{"data":{"url":"//live.staticflickr.com/65535/53796857552_805c65d979.jpg","width":500,"height":254,"displayUrl":"//live.staticflickr.com/65535/53796857552_805c65d979.jpg"},"exportMetaType":"pojo"},"n":{"data":{"url":"//live.staticflickr.com/65535/53796857552_805c65d979_n.jpg","width":320,"height":163,"displayUrl":"//live.staticflickr.com/65535/53796857552_805c65d979_n.jpg"},"exportMetaType":"pojo"},"o":{"data":{"url":"//live.staticflickr.com/65535/53796857552_d07ba5e015_o.jpg","width":5985,"height":3041,"displayUrl":"//live.staticflickr.com/65535/53796857552_d07ba5e015_o.jpg"},"exportMetaType":"pojo"},"q":{"data":{"url":"//live.staticflickr.com/65535/53796857552_805c65d979_q.jpg","width":150,"height":150,"displayUrl":"//live.staticflickr.com/65535/53796857552_805c65d979_q.jpg"},"exportMetaType":"pojo"},"s":{"data":{"url":"//live.staticflickr.com/65535/53796857552_805c65d979_m.jpg","width":240,"height":122,"displayUrl":"//live.staticflickr.com/65535/53796857552_805c65d979_m.jpg"},"exportMetaType":"pojo"},"t":{"data":{"url":"//live.staticflickr.com/65535/53796857552_805c65d979_t.jpg","width":100,"height":51,"displayUrl":"//live.staticflickr.com/65535/53796857552_805c65d979_t.jpg"},"exportMetaType":"pojo"},"w":{"data":{"url":"//live.staticflickr.com/65535/53796857552_805c65d979_w.jpg","width":400,"height":203,"displayUrl":"//live.staticflickr.com/65535/53796857552_805c65d979_w.jpg"},"exportMetaType":"pojo"},"z":{"data":{"url":"//live.staticflickr.com/65535/53796857552_805c65d979_z.jpg","width":640,"height":325,"displayUrl":"//live.staticflickr.com/65535/53796857552_805c65d979_z.jpg"},"exportMetaType":"pojo"},"3k":{"data":{"url":"//live.staticflickr.com/65535/53796857552_9d05829d28_3k.jpg","width":3072,"height":1561,"displayUrl":"//live.staticflickr.com/65535/53796857552_9d05829d28_3k.jpg"},"exportMetaType":"pojo"},"4k":{"data":{"url":"//live.staticflickr.com/65535/53796857552_4f9d04d88d_4k.jpg","width":4096,"height":2081,"displayUrl":"//live.staticflickr.com/65535/53796857552_4f9d04d88d_4k.jpg"},"exportMetaType":"pojo"},"5k":{"data":{"url":"//live.staticflickr.com/65535/53796857552_411a02708b_5k.jpg","width":5120,"height":2601,"displayUrl":"//live.staticflickr.com/65535/53796857552_411a02708b_5k.jpg"},"exportMetaType":"pojo"},"6k":{"data":{"url":"//live.staticflickr.com/65535/53796857552_d768bfb5cc_6k.jpg","width":5985,"height":3041,"displayUrl":"//live.staticflickr.com/65535/53796857552_d768bfb5cc_6k.jpg"},"exportMetaType":"pojo"},"sq":{"data":{"url":"//live.staticflickr.com/65535/53796857552_805c65d979_s.jpg","width":75,"height":75,"displayUrl":"//live.staticflickr.com/65535/53796857552_805c65d979_s.jpg"},"exportMetaType":"pojo"}},"exportMetaType":"pojo"},"title":"The Loop","oWidth":5985,"secret":"805c65d979","license":5,"oHeight":3041,"rotation":0,"canAddMeta":false,"canComment":false,"engagement":{"data":{"id":"53796857552","canShare":true,"faveCount":11,"ownerNsid":"16069488@N00","reactions":{"data":{"like":{"data":{"id":"like","count":5,"canReact":true,"didViewerReact":true},"exportMetaType":"pojo"},"someOtherReaction":{"data":{"id":"someOtherReaction","count":3,"canReact":true,"didViewerReact":false},"exportMetaType":"pojo"}},"exportMetaType":"pojo"},"viewCount":719,"canDownload":true,"_flickrModelRegistry":"photo-engagement-models"},"exportMetaType":"model"},"description":"Union Pacific train spiraling down Tehachapi Loop (1876) toward the San Juaquin Valley.  The locomotive is headed for the tunnel, to the left, that passes under the rest of the train.\n\nWe try to go through Tehachapi and watch a train or two on the Loop whenever we go to Death Valley.  Tomorrow home!  Hope you enjoyed the short slideshow.","safetyLevel":0,"upgradeSizes":{"data":[],"exportMetaType":"array"},"adEligibility":{"data":{"lane":1,"labels":{"data":["ProOwner"],"exportMetaType":"array"},"isAdEligible":false,"highScoreLabels":{"data":["ProOwner"],"exportMetaType":"array"}},"exportMetaType":"pojo"},"canPublicComment":true,"_flickrModelRegistry":"photo-models"},"exportMetaType":"model"}],"photo-geo-models":[{"data":{"id":"53796857552","hasGeo":true,"accuracy":16,"isPublic":true,"latitude":35.195122,"longitude":-118.534903,"_flickrModelRegistry":"photo-geo-models"},"exportMetaType":"model"}],"photo-location-models":[{"data":{"id":"53796857552","geo":{"data":"~2","exportMetaType":"model"},"text":"Walong, California, United States","levels":{"data":{"county":{"data":{"name":"Kern","woeId":null},"exportMetaType":"pojo"},"region":{"data":{"name":"California","woeId":null},"exportMetaType":"pojo"},"country":{"data":{"name":"United States","woeId":null},"exportMetaType":"pojo"},"locality":{"data":{"name":"Walong","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53796857552","title":"The Loop","og:url":"https://www.flickr.com/photos/string_bass_dave/53796857552/","og:type":"article","keywords":"unionpacific, rail, california, train, railway, freight, up, railroad, tehachapi, flickr, tehachapiloop, keene, unitedstates","og:image":"https://live.staticflickr.com/65535/53796857552_805c65d979_b.jpg","og:title":"The Loop","twitter:card":"summary_large_image","twitter:image":"https://live.staticflickr.com/65535/53796857552_805c65d979_b.jpg","og:description":"Union Pacific train spiraling down Tehachapi Loop (1876) toward the San Juaquin Valley.  The locomotive is headed for the tunnel, to the left, that passes under the rest of the train.  We try to go through Tehachapi and watch a train or two on the Loop whenever we go to Death Valley.  Tomorrow home!  Hope you enjoyed the short slideshow.","og:image:width":1024,"og:image:height":520,"twitter:description":"Union Pacific train spiraling down Tehachapi Loop (1876) toward the San Juaquin Valley.  The locomotive is headed for the tunnel, to the left, that passes under the rest of the train.  We try to go through Tehachapi and watch a train or two on the Loop whenever we go to Death Valley.  Tomorrow home!  Hope you enjoyed the short slideshow.","_flickrModelRegistry":"photo-head-meta-models","twitter:app:url:ipad":"flickr://flickr.com/photos/string_bass_dave/53796857552/","twitter:app:url:iphone":"flickr://flickr.com/photos/string_bass_dave/53796857552/","twitter:app:url:googleplay":"https://www.flickr.com/photos/string_bass_dave/53796857552/"},"exportMetaType":"model"}],"photo-license-history-models":[]},"acquisition_file":"fl-53796857552.webp","source_html_file":"/Users/atincakcayoz/corteqs/output/bakersfield-production-20261023/flickr-source-pages/53796857552.html","original_file_url":"https://live.staticflickr.com/65535/53796857552_d768bfb5cc_6k.jpg","proposed_identity":"Tehachapi Loop","source_html_sha256":"1d98e24e3e550dd366341becf46cee75270313154ebbfcfe3e567231ca8f7d4d","third_party_rights_review":{"basis":"Kaynakta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dönüştürüldü.","photo_attribution":{"author_url":"https://www.flickr.com/photos/16069488@N00/","modifications":"EXIF yönü uygulandı; boyut küçültülüp WebP biçimine dönüştürüldü.","original_file_url":"https://live.staticflickr.com/65535/53796857552_d768bfb5cc_6k.jpg"},"metadata_reviewed_on":"2026-10-24","metadata_review_status":"verified"}}</x:v>
      </x:c>
    </x:row>
    <x:row r="222" ht="300" customHeight="1">
      <x:c r="A222" s="29" t="str">
        <x:v>bakersfield:evidence:venue-22187</x:v>
      </x:c>
      <x:c r="B222" s="29" t="str">
        <x:v>bakersfield</x:v>
      </x:c>
      <x:c r="C222" s="29" t="str">
        <x:v>bakersfield:photo:venue-22187</x:v>
      </x:c>
      <x:c r="D222" s="29" t="str">
        <x:v>https://www.flickr.com/photos/26781577@N07/53903714627/</x:v>
      </x:c>
      <x:c r="E222" s="29" t="str">
        <x:v>Tehachapi Loop · 2024 tarihli fotoğraf</x:v>
      </x:c>
      <x:c r="F222" s="29" t="str">
        <x:v>Clay Gilliland</x:v>
      </x:c>
      <x:c r="G222" s="29" t="str">
        <x:v>CC BY-SA 2.0</x:v>
      </x:c>
      <x:c r="H222" s="29" t="str">
        <x:v>https://creativecommons.org/licenses/by-sa/2.0/</x:v>
      </x:c>
      <x:c r="I222" s="29" t="str">
        <x:v>CC BY-SA 2.0</x:v>
      </x:c>
      <x:c r="J222" s="29" t="str">
        <x:v>Tehachapi Loop · 2024 tarihli fotoğraf · Clay Gilliland · CC BY-SA 2.0 · https://www.flickr.com/photos/26781577@N07/53903714627/</x:v>
      </x:c>
      <x:c r="K22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2" s="31" t="d">
        <x:v>2026-10-24T00:00:00.000Z</x:v>
      </x:c>
      <x:c r="M222" s="29" t="str">
        <x:v>Doğrulandı</x:v>
      </x:c>
      <x:c r="N222" s="29" t="str">
        <x:v>Doğrulandı</x:v>
      </x:c>
      <x:c r="O222" s="29" t="str">
        <x:v>Fotoğraflar/bk-04521a733c27bb9846718032.webp</x:v>
      </x:c>
      <x:c r="P222" s="29" t="str">
        <x:v>Tehachapi Loop · 2024 tarihli fotoğraf · İndirilen kare temas sayfasında görüldü; kaynak mekân kimliğiyle eşleştirildi. Seçim kaydı final-pixel-review.json.</x:v>
      </x:c>
      <x:c r="Q222" s="29" t="str">
        <x:v>Bu kare için uygun</x:v>
      </x:c>
      <x:c r="R22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2" s="29" t="str">
        <x:v>Lisans kanıtları/bk-04521a733c27bb9846718032.source-evidence.json</x:v>
      </x:c>
      <x:c r="T222" s="29" t="str">
        <x:v>5132ab4975d642ffcd8310c3d2d1c414167dca784f2b38ad428fd17500586dc7</x:v>
      </x:c>
      <x:c r="U222" s="29" t="str">
        <x:v>Lisans kanıtları/bk-04521a733c27bb9846718032.license-record.json</x:v>
      </x:c>
      <x:c r="V222" s="29" t="str">
        <x:v>260ef6ad4c8daeb8d4ed16f6d667e8689dfced72ce3ca6e5dce07eb211fd1f20</x:v>
      </x:c>
      <x:c r="W222" s="29" t="str">
        <x:v>{"file":"bk-04521a733c27bb9846718032.webp","width":1024,"author":"Clay Gilliland","height":576,"sha256":"04521a733c27bb9846718032862f6559057a5c14ca24a7df1c3213793e125797","status":"reviewed-selected","license":"CC BY-SA 2.0","provider":"Flickr","review_id":"F488","source_id":"53903714627","author_url":"https://www.flickr.com/photos/26781577@N07/","date_texts":["Uploaded on August 5, 2024 Taken on June 11, 2024","Taken on June 11, 2024","Uploaded on August 5, 2024 Taken on June 11, 2024","Taken on June 11, 2024"],"source_url":"https://www.flickr.com/photos/26781577@N07/53903714627/","description":"","license_url":"https://creativecommons.org/licenses/by-sa/2.0/","review_note":"Train at tunnel.","reviewed_on":"2026-10-24","source_text":"Tehachapi Loop California | Clay Gilliland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Clay Gilliland Clay Gilliland Tehachapi Loop California Done 234 views 3 faves 1 comment Uploaded on August 5, 2024 Taken on June 11, 2024 Clay Gilliland By: Clay Gilliland Tehachapi Loop California Done 234 views 3 faves 1 comment Uploaded on August 5, 2024 Taken on June 11,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photography.","capture_date":"2024-06-11","download_url":"https://live.staticflickr.com/65535/53903714627_ab23885d3e_b.jpg","original_url":"https://live.staticflickr.com/65535/53903714627_87c2f61d9c_5k.jpg","pixel_review":{"method":"İndirilen kare temas sayfasında görüldü; kaynak mekân kimliğiyle eşleştirildi. Seçim kaydı final-pixel-review.json.","status":"verified","caption":"Tehachapi Loop · 2024 tarihli fotoğraf","reviewer":"Codex (AI)","review_id":"F488"},"source_title":"Tehachapi Loop California","downloaded_at":"2026-10-23T19:50:29.994882+00:00","download_sha256":"ae5c87111ea458a47a29d139dbffa12c9544d71e38085efa65f1dd864691899c","downloaded_file":"downloads/ae5c87111ea458a47a29d139dbffa12c9544d71e38085efa65f1dd864691899c.jpg","public_metadata":{"photo-models":[{"data":{"id":"53903714627","owner":{"data":{"id":"26781577@N07","isPro":true,"newFlow":true,"isAdFree":false,"location":null,"proBadge":"standard","realname":"","segments":{"data":[],"exportMetaType":"array"},"username":"Clay Gilliland","buddyicon":{"data":{"large":"//live.staticflickr.com/8563/buddyicons/26781577@N07_l.jpg?1468871798#26781577@N07","small":"//live.staticflickr.com/8563/buddyicons/26781577@N07_s.jpg?1468871798#26781577@N07","medium":"//live.staticflickr.com/8563/buddyicons/26781577@N07_m.jpg?1468871798#26781577@N07","retina":"//live.staticflickr.com/8563/buddyicons/26781577@N07_r.jpg?1468871798#26781577@N07","default":"//live.staticflickr.com/8563/buddyicons/26781577@N07.jpg?1468871798#26781577@N07"},"exportMetaType":"pojo"},"dateCreated":{"data":"1211296428","exportMetaType":"serializeFunction"},"subscription":{"data":{"isPro":false,"isClosed":false,"isPastDue":false},"exportMetaType":"pojo"},"eligibleGifts":{"data":["year","month","week"],"exportMetaType":"array"},"isEligibleForGifts":true,"_flickrModelRegistry":"person-models"},"exportMetaType":"model"},"sizes":{"data":{"c":{"data":{"url":"//live.staticflickr.com/65535/53903714627_ab23885d3e_c.jpg","width":800,"height":450,"displayUrl":"//live.staticflickr.com/65535/53903714627_ab23885d3e_c.jpg"},"exportMetaType":"pojo"},"h":{"data":{"url":"//live.staticflickr.com/65535/53903714627_6da951910c_h.jpg","width":1600,"height":900,"displayUrl":"//live.staticflickr.com/65535/53903714627_6da951910c_h.jpg"},"exportMetaType":"pojo"},"k":{"data":{"url":"//live.staticflickr.com/65535/53903714627_8179a9054f_k.jpg","width":2048,"height":1152,"displayUrl":"//live.staticflickr.com/65535/53903714627_8179a9054f_k.jpg"},"exportMetaType":"pojo"},"l":{"data":{"url":"//live.staticflickr.com/65535/53903714627_ab23885d3e_b.jpg","width":1024,"height":576,"displayUrl":"//live.staticflickr.com/65535/53903714627_ab23885d3e_b.jpg"},"exportMetaType":"pojo"},"m":{"data":{"url":"//live.staticflickr.com/65535/53903714627_ab23885d3e.jpg","width":500,"height":281,"displayUrl":"//live.staticflickr.com/65535/53903714627_ab23885d3e.jpg"},"exportMetaType":"pojo"},"n":{"data":{"url":"//live.staticflickr.com/65535/53903714627_ab23885d3e_n.jpg","width":320,"height":180,"displayUrl":"//live.staticflickr.com/65535/53903714627_ab23885d3e_n.jpg"},"exportMetaType":"pojo"},"o":{"data":{"url":"//live.staticflickr.com/65535/53903714627_2fe541dd97_o.jpg","width":4608,"height":2592,"displayUrl":"//live.staticflickr.com/65535/53903714627_2fe541dd97_o.jpg"},"exportMetaType":"pojo"},"q":{"data":{"url":"//live.staticflickr.com/65535/53903714627_ab23885d3e_q.jpg","width":150,"height":150,"displayUrl":"//live.staticflickr.com/65535/53903714627_ab23885d3e_q.jpg"},"exportMetaType":"pojo"},"s":{"data":{"url":"//live.staticflickr.com/65535/53903714627_ab23885d3e_m.jpg","width":240,"height":135,"displayUrl":"//live.staticflickr.com/65535/53903714627_ab23885d3e_m.jpg"},"exportMetaType":"pojo"},"t":{"data":{"url":"//live.staticflickr.com/65535/53903714627_ab23885d3e_t.jpg","width":100,"height":56,"displayUrl":"//live.staticflickr.com/65535/53903714627_ab23885d3e_t.jpg"},"exportMetaType":"pojo"},"w":{"data":{"url":"//live.staticflickr.com/65535/53903714627_ab23885d3e_w.jpg","width":400,"height":225,"displayUrl":"//live.staticflickr.com/65535/53903714627_ab23885d3e_w.jpg"},"exportMetaType":"pojo"},"z":{"data":{"url":"//live.staticflickr.com/65535/53903714627_ab23885d3e_z.jpg","width":640,"height":360,"displayUrl":"//live.staticflickr.com/65535/53903714627_ab23885d3e_z.jpg"},"exportMetaType":"pojo"},"3k":{"data":{"url":"//live.staticflickr.com/65535/53903714627_146150d108_3k.jpg","width":3072,"height":1728,"displayUrl":"//live.staticflickr.com/65535/53903714627_146150d108_3k.jpg"},"exportMetaType":"pojo"},"4k":{"data":{"url":"//live.staticflickr.com/65535/53903714627_b5d9804827_4k.jpg","width":4096,"height":2304,"displayUrl":"//live.staticflickr.com/65535/53903714627_b5d9804827_4k.jpg"},"exportMetaType":"pojo"},"5k":{"data":{"url":"//live.staticflickr.com/65535/53903714627_87c2f61d9c_5k.jpg","width":4608,"height":2592,"displayUrl":"//live.staticflickr.com/65535/53903714627_87c2f61d9c_5k.jpg"},"exportMetaType":"pojo"},"sq":{"data":{"url":"//live.staticflickr.com/65535/53903714627_ab23885d3e_s.jpg","width":75,"height":75,"displayUrl":"//live.staticflickr.com/65535/53903714627_ab23885d3e_s.jpg"},"exportMetaType":"pojo"}},"exportMetaType":"pojo"},"title":"Tehachapi Loop California","oWidth":4608,"secret":"ab23885d3e","license":5,"oHeight":2592,"rotation":0,"canAddMeta":false,"canComment":false,"engagement":{"data":{"id":"53903714627","canShare":true,"faveCount":3,"ownerNsid":"26781577@N07","reactions":{"data":{"like":{"data":{"id":"like","count":5,"canReact":true,"didViewerReact":true},"exportMetaType":"pojo"},"someOtherReaction":{"data":{"id":"someOtherReaction","count":3,"canReact":true,"didViewerReact":false},"exportMetaType":"pojo"}},"exportMetaType":"pojo"},"viewCount":234,"canDownload":true,"commentCount":1,"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53903714627","hasGeo":true,"accuracy":14,"isPublic":true,"latitude":35.198675,"longitude":-118.534121,"_flickrModelRegistry":"photo-geo-models"},"exportMetaType":"model"}],"photo-location-models":[{"data":{"id":"53903714627","geo":{"data":"~2","exportMetaType":"model"},"text":"Walong, California, United States","levels":{"data":{"county":{"data":{"name":"Kern","woeId":null},"exportMetaType":"pojo"},"region":{"data":{"name":"California","woeId":null},"exportMetaType":"pojo"},"country":{"data":{"name":"United States","woeId":null},"exportMetaType":"pojo"},"locality":{"data":{"name":"Walong","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53903714627","title":"Tehachapi Loop California","og:url":"https://www.flickr.com/photos/26781577@N07/53903714627/","og:type":"article","keywords":"unionpacific, railroad, train, locomotive, railfan, southernpacific, tehachapiloop, diesel, generalelectric","og:image":"https://live.staticflickr.com/65535/53903714627_ab23885d3e_b.jpg","og:title":"Tehachapi Loop California","twitter:card":"summary_large_image","twitter:image":"https://live.staticflickr.com/65535/53903714627_ab23885d3e_b.jpg","og:description":"","og:image:width":1024,"og:image:height":576,"twitter:creator":"@ClayGilliland","twitter:description":"Explore Clay Gilliland's 4323 photos on Flickr!","_flickrModelRegistry":"photo-head-meta-models","twitter:app:url:ipad":"flickr://flickr.com/photos/26781577@N07/53903714627/","twitter:app:url:iphone":"flickr://flickr.com/photos/26781577@N07/53903714627/","twitter:app:url:googleplay":"https://www.flickr.com/photos/26781577@N07/53903714627/"},"exportMetaType":"model"}],"photo-license-history-models":[]},"acquisition_file":"fl-53903714627.webp","source_html_file":"/Users/atincakcayoz/corteqs/output/bakersfield-production-20261023/flickr-source-pages/53903714627.html","original_file_url":"https://live.staticflickr.com/65535/53903714627_87c2f61d9c_5k.jpg","proposed_identity":"Tehachapi Loop","source_html_sha256":"ebed5915ab3656371383327da89dcb3c706b0da4fc14108f99485a9b3fcb79dd","third_party_rights_review":{"basis":"Kaynakta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dönüştürüldü.","photo_attribution":{"author_url":"https://www.flickr.com/photos/26781577@N07/","modifications":"EXIF yönü uygulandı; boyut küçültülüp WebP biçimine dönüştürüldü.","original_file_url":"https://live.staticflickr.com/65535/53903714627_87c2f61d9c_5k.jpg"},"metadata_reviewed_on":"2026-10-24","metadata_review_status":"verified"}}</x:v>
      </x:c>
    </x:row>
    <x:row r="223" ht="300" customHeight="1">
      <x:c r="A223" s="29" t="str">
        <x:v>bakersfield:evidence:venue-22188</x:v>
      </x:c>
      <x:c r="B223" s="29" t="str">
        <x:v>bakersfield</x:v>
      </x:c>
      <x:c r="C223" s="29" t="str">
        <x:v>bakersfield:photo:venue-22188</x:v>
      </x:c>
      <x:c r="D223" s="29" t="str">
        <x:v>https://www.flickr.com/photos/26781577@N07/53904975859/</x:v>
      </x:c>
      <x:c r="E223" s="29" t="str">
        <x:v>Tehachapi Loop · 2024 tarihli fotoğraf</x:v>
      </x:c>
      <x:c r="F223" s="29" t="str">
        <x:v>Clay Gilliland</x:v>
      </x:c>
      <x:c r="G223" s="29" t="str">
        <x:v>CC BY-SA 2.0</x:v>
      </x:c>
      <x:c r="H223" s="29" t="str">
        <x:v>https://creativecommons.org/licenses/by-sa/2.0/</x:v>
      </x:c>
      <x:c r="I223" s="29" t="str">
        <x:v>CC BY-SA 2.0</x:v>
      </x:c>
      <x:c r="J223" s="29" t="str">
        <x:v>Tehachapi Loop · 2024 tarihli fotoğraf · Clay Gilliland · CC BY-SA 2.0 · https://www.flickr.com/photos/26781577@N07/53904975859/</x:v>
      </x:c>
      <x:c r="K22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3" s="31" t="d">
        <x:v>2026-10-24T00:00:00.000Z</x:v>
      </x:c>
      <x:c r="M223" s="29" t="str">
        <x:v>Doğrulandı</x:v>
      </x:c>
      <x:c r="N223" s="29" t="str">
        <x:v>Doğrulandı</x:v>
      </x:c>
      <x:c r="O223" s="29" t="str">
        <x:v>Fotoğraflar/bk-69aef49910a7efe96ccd92e0.webp</x:v>
      </x:c>
      <x:c r="P223" s="29" t="str">
        <x:v>Tehachapi Loop · 2024 tarihli fotoğraf · İndirilen kare temas sayfasında görüldü; kaynak mekân kimliğiyle eşleştirildi. Seçim kaydı final-pixel-review.json.</x:v>
      </x:c>
      <x:c r="Q223" s="29" t="str">
        <x:v>Bu kare için uygun</x:v>
      </x:c>
      <x:c r="R22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3" s="29" t="str">
        <x:v>Lisans kanıtları/bk-69aef49910a7efe96ccd92e0.source-evidence.json</x:v>
      </x:c>
      <x:c r="T223" s="29" t="str">
        <x:v>66058ae509d87b271fe8e17b50f15b0baa2dfbbac6238317e5840305014877aa</x:v>
      </x:c>
      <x:c r="U223" s="29" t="str">
        <x:v>Lisans kanıtları/bk-69aef49910a7efe96ccd92e0.license-record.json</x:v>
      </x:c>
      <x:c r="V223" s="29" t="str">
        <x:v>b32c136618ae391062355396ebfbfc82b1fa7e044d429f53292d7d2881df4895</x:v>
      </x:c>
      <x:c r="W223" s="29" t="str">
        <x:v>{"file":"bk-69aef49910a7efe96ccd92e0.webp","width":1024,"author":"Clay Gilliland","height":576,"sha256":"69aef49910a7efe96ccd92e0618f46d384a0df0a1b8883e1714feb5f9bc40862","status":"reviewed-selected","license":"CC BY-SA 2.0","provider":"Flickr","review_id":"F491","source_id":"53904975859","author_url":"https://www.flickr.com/photos/26781577@N07/","date_texts":["Uploaded on August 5, 2024 Taken on June 11, 2024","Taken on June 11, 2024","Uploaded on August 5, 2024 Taken on June 11, 2024","Taken on June 11, 2024"],"source_url":"https://www.flickr.com/photos/26781577@N07/53904975859/","description":"","license_url":"https://creativecommons.org/licenses/by-sa/2.0/","review_note":"Wide two-level geometry; prefer over similar 489.","reviewed_on":"2026-10-24","source_text":"Tehachapi Loop California | Clay Gilliland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Clay Gilliland Clay Gilliland Tehachapi Loop California Done 239 views 2 faves 0 comments Uploaded on August 5, 2024 Taken on June 11, 2024 Clay Gilliland By: Clay Gilliland Tehachapi Loop California Done 239 views 2 faves 0 comments Uploaded on August 5, 2024 Taken on June 11, 2024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photography.","capture_date":"2024-06-11","download_url":"https://live.staticflickr.com/65535/53904975859_be3610bd45_b.jpg","original_url":"https://live.staticflickr.com/65535/53904975859_94dccf298e_o.jpg","pixel_review":{"method":"İndirilen kare temas sayfasında görüldü; kaynak mekân kimliğiyle eşleştirildi. Seçim kaydı final-pixel-review.json.","status":"verified","caption":"Tehachapi Loop · 2024 tarihli fotoğraf","reviewer":"Codex (AI)","review_id":"F491"},"source_title":"Tehachapi Loop California","downloaded_at":"2026-10-23T19:50:30.678966+00:00","download_sha256":"3ce2bfc1d5482c3d5805edd75c8f030d6520133dd6c30b6d6bf82ba023da8ee9","downloaded_file":"downloads/3ce2bfc1d5482c3d5805edd75c8f030d6520133dd6c30b6d6bf82ba023da8ee9.jpg","public_metadata":{"photo-models":[{"data":{"id":"53904975859","owner":{"data":{"id":"26781577@N07","isPro":true,"newFlow":true,"isAdFree":false,"location":null,"proBadge":"standard","realname":"","segments":{"data":[],"exportMetaType":"array"},"username":"Clay Gilliland","buddyicon":{"data":{"large":"//live.staticflickr.com/8563/buddyicons/26781577@N07_l.jpg?1468871798#26781577@N07","small":"//live.staticflickr.com/8563/buddyicons/26781577@N07_s.jpg?1468871798#26781577@N07","medium":"//live.staticflickr.com/8563/buddyicons/26781577@N07_m.jpg?1468871798#26781577@N07","retina":"//live.staticflickr.com/8563/buddyicons/26781577@N07_r.jpg?1468871798#26781577@N07","default":"//live.staticflickr.com/8563/buddyicons/26781577@N07.jpg?1468871798#26781577@N07"},"exportMetaType":"pojo"},"dateCreated":{"data":"1211296428","exportMetaType":"serializeFunction"},"subscription":{"data":{"isPro":false,"isClosed":false,"isPastDue":false},"exportMetaType":"pojo"},"eligibleGifts":{"data":["year","month","week"],"exportMetaType":"array"},"isEligibleForGifts":true,"_flickrModelRegistry":"person-models"},"exportMetaType":"model"},"sizes":{"data":{"c":{"data":{"url":"//live.staticflickr.com/65535/53904975859_be3610bd45_c.jpg","width":800,"height":450,"displayUrl":"//live.staticflickr.com/65535/53904975859_be3610bd45_c.jpg"},"exportMetaType":"pojo"},"h":{"data":{"url":"//live.staticflickr.com/65535/53904975859_9304852c46_h.jpg","width":1600,"height":900,"displayUrl":"//live.staticflickr.com/65535/53904975859_9304852c46_h.jpg"},"exportMetaType":"pojo"},"k":{"data":{"url":"//live.staticflickr.com/65535/53904975859_3ee9377741_k.jpg","width":2048,"height":1152,"displayUrl":"//live.staticflickr.com/65535/53904975859_3ee9377741_k.jpg"},"exportMetaType":"pojo"},"l":{"data":{"url":"//live.staticflickr.com/65535/53904975859_be3610bd45_b.jpg","width":1024,"height":576,"displayUrl":"//live.staticflickr.com/65535/53904975859_be3610bd45_b.jpg"},"exportMetaType":"pojo"},"m":{"data":{"url":"//live.staticflickr.com/65535/53904975859_be3610bd45.jpg","width":500,"height":281,"displayUrl":"//live.staticflickr.com/65535/53904975859_be3610bd45.jpg"},"exportMetaType":"pojo"},"n":{"data":{"url":"//live.staticflickr.com/65535/53904975859_be3610bd45_n.jpg","width":320,"height":180,"displayUrl":"//live.staticflickr.com/65535/53904975859_be3610bd45_n.jpg"},"exportMetaType":"pojo"},"o":{"data":{"url":"//live.staticflickr.com/65535/53904975859_94dccf298e_o.jpg","width":4495,"height":2528,"displayUrl":"//live.staticflickr.com/65535/53904975859_94dccf298e_o.jpg"},"exportMetaType":"pojo"},"q":{"data":{"url":"//live.staticflickr.com/65535/53904975859_be3610bd45_q.jpg","width":150,"height":150,"displayUrl":"//live.staticflickr.com/65535/53904975859_be3610bd45_q.jpg"},"exportMetaType":"pojo"},"s":{"data":{"url":"//live.staticflickr.com/65535/53904975859_be3610bd45_m.jpg","width":240,"height":135,"displayUrl":"//live.staticflickr.com/65535/53904975859_be3610bd45_m.jpg"},"exportMetaType":"pojo"},"t":{"data":{"url":"//live.staticflickr.com/65535/53904975859_be3610bd45_t.jpg","width":100,"height":56,"displayUrl":"//live.staticflickr.com/65535/53904975859_be3610bd45_t.jpg"},"exportMetaType":"pojo"},"w":{"data":{"url":"//live.staticflickr.com/65535/53904975859_be3610bd45_w.jpg","width":400,"height":225,"displayUrl":"//live.staticflickr.com/65535/53904975859_be3610bd45_w.jpg"},"exportMetaType":"pojo"},"z":{"data":{"url":"//live.staticflickr.com/65535/53904975859_be3610bd45_z.jpg","width":640,"height":360,"displayUrl":"//live.staticflickr.com/65535/53904975859_be3610bd45_z.jpg"},"exportMetaType":"pojo"},"3k":{"data":{"url":"//live.staticflickr.com/65535/53904975859_1ae00e9e63_3k.jpg","width":3072,"height":1728,"displayUrl":"//live.staticflickr.com/65535/53904975859_1ae00e9e63_3k.jpg"},"exportMetaType":"pojo"},"4k":{"data":{"url":"//live.staticflickr.com/65535/53904975859_363f360f86_4k.jpg","width":4096,"height":2304,"displayUrl":"//live.staticflickr.com/65535/53904975859_363f360f86_4k.jpg"},"exportMetaType":"pojo"},"sq":{"data":{"url":"//live.staticflickr.com/65535/53904975859_be3610bd45_s.jpg","width":75,"height":75,"displayUrl":"//live.staticflickr.com/65535/53904975859_be3610bd45_s.jpg"},"exportMetaType":"pojo"}},"exportMetaType":"pojo"},"title":"Tehachapi Loop California","oWidth":4495,"secret":"be3610bd45","license":5,"oHeight":2528,"rotation":0,"canAddMeta":false,"canComment":false,"engagement":{"data":{"id":"53904975859","canShare":true,"faveCount":2,"ownerNsid":"26781577@N07","reactions":{"data":{"like":{"data":{"id":"like","count":5,"canReact":true,"didViewerReact":true},"exportMetaType":"pojo"},"someOtherReaction":{"data":{"id":"someOtherReaction","count":3,"canReact":true,"didViewerReact":false},"exportMetaType":"pojo"}},"exportMetaType":"pojo"},"viewCount":239,"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53904975859","hasGeo":true,"accuracy":15,"isPublic":true,"latitude":35.199149,"longitude":-118.53843,"_flickrModelRegistry":"photo-geo-models"},"exportMetaType":"model"}],"photo-location-models":[{"data":{"id":"53904975859","geo":{"data":"~2","exportMetaType":"model"},"text":"Walong, California, United States","levels":{"data":{"county":{"data":{"name":"Kern","woeId":null},"exportMetaType":"pojo"},"region":{"data":{"name":"California","woeId":null},"exportMetaType":"pojo"},"country":{"data":{"name":"United States","woeId":null},"exportMetaType":"pojo"},"locality":{"data":{"name":"Walong","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53904975859","title":"Tehachapi Loop California","og:url":"https://www.flickr.com/photos/26781577@N07/53904975859/","og:type":"article","keywords":"unionpacific, railroad, train, locomotive, railfan, southernpacific, tehachapiloop, diesel, generalelectric","og:image":"https://live.staticflickr.com/65535/53904975859_be3610bd45_b.jpg","og:title":"Tehachapi Loop California","twitter:card":"summary_large_image","twitter:image":"https://live.staticflickr.com/65535/53904975859_be3610bd45_b.jpg","og:description":"","og:image:width":1024,"og:image:height":576,"twitter:creator":"@ClayGilliland","twitter:description":"Explore Clay Gilliland's 4323 photos on Flickr!","_flickrModelRegistry":"photo-head-meta-models","twitter:app:url:ipad":"flickr://flickr.com/photos/26781577@N07/53904975859/","twitter:app:url:iphone":"flickr://flickr.com/photos/26781577@N07/53904975859/","twitter:app:url:googleplay":"https://www.flickr.com/photos/26781577@N07/53904975859/"},"exportMetaType":"model"}],"photo-license-history-models":[]},"acquisition_file":"fl-53904975859.webp","source_html_file":"/Users/atincakcayoz/corteqs/output/bakersfield-production-20261023/flickr-source-pages/53904975859.html","original_file_url":"https://live.staticflickr.com/65535/53904975859_94dccf298e_o.jpg","proposed_identity":"Tehachapi Loop","source_html_sha256":"41aadb424c18795e7366a148b32a282defcd19d7855183a81c303dd033fbd29c","third_party_rights_review":{"basis":"Kaynakta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dönüştürüldü.","photo_attribution":{"author_url":"https://www.flickr.com/photos/26781577@N07/","modifications":"EXIF yönü uygulandı; boyut küçültülüp WebP biçimine dönüştürüldü.","original_file_url":"https://live.staticflickr.com/65535/53904975859_94dccf298e_o.jpg"},"metadata_reviewed_on":"2026-10-24","metadata_review_status":"verified"}}</x:v>
      </x:c>
    </x:row>
    <x:row r="224" ht="300" customHeight="1">
      <x:c r="A224" s="29" t="str">
        <x:v>bakersfield:evidence:venue-22189</x:v>
      </x:c>
      <x:c r="B224" s="29" t="str">
        <x:v>bakersfield</x:v>
      </x:c>
      <x:c r="C224" s="29" t="str">
        <x:v>bakersfield:photo:venue-22189</x:v>
      </x:c>
      <x:c r="D224" s="29" t="str">
        <x:v>https://www.flickr.com/photos/65168863@N00/28098722463/</x:v>
      </x:c>
      <x:c r="E224" s="29" t="str">
        <x:v>Tehachapi Loop</x:v>
      </x:c>
      <x:c r="F224" s="29" t="str">
        <x:v>orionpozo</x:v>
      </x:c>
      <x:c r="G224" s="29" t="str">
        <x:v>CC BY 2.0</x:v>
      </x:c>
      <x:c r="H224" s="29" t="str">
        <x:v>https://creativecommons.org/licenses/by/2.0/</x:v>
      </x:c>
      <x:c r="I224" s="29" t="str">
        <x:v>CC BY 2.0</x:v>
      </x:c>
      <x:c r="J224" s="29" t="str">
        <x:v>Tehachapi Loop · orionpozo · CC BY 2.0 · https://www.flickr.com/photos/65168863@N00/28098722463/</x:v>
      </x:c>
      <x:c r="K22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4" s="31" t="d">
        <x:v>2026-10-24T00:00:00.000Z</x:v>
      </x:c>
      <x:c r="M224" s="29" t="str">
        <x:v>Doğrulandı</x:v>
      </x:c>
      <x:c r="N224" s="29" t="str">
        <x:v>Doğrulandı</x:v>
      </x:c>
      <x:c r="O224" s="29" t="str">
        <x:v>Fotoğraflar/bk-b76490898e2af59d605f93c7.webp</x:v>
      </x:c>
      <x:c r="P224" s="29" t="str">
        <x:v>Tehachapi Loop · İndirilen kare temas sayfasında görüldü; kaynak mekân kimliğiyle eşleştirildi. Seçim kaydı final-pixel-review.json.</x:v>
      </x:c>
      <x:c r="Q224" s="29" t="str">
        <x:v>Bu kare için uygun</x:v>
      </x:c>
      <x:c r="R22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4" s="29" t="str">
        <x:v>Lisans kanıtları/bk-b76490898e2af59d605f93c7.source-evidence.json</x:v>
      </x:c>
      <x:c r="T224" s="29" t="str">
        <x:v>7750b9c97cfefb1a5403860d240aab97a4761bf6a1ffbdc28e4f0de7066ef9a7</x:v>
      </x:c>
      <x:c r="U224" s="29" t="str">
        <x:v>Lisans kanıtları/bk-b76490898e2af59d605f93c7.license-record.json</x:v>
      </x:c>
      <x:c r="V224" s="29" t="str">
        <x:v>2b4bbb08969f4b7c657813ca49a2b0e4189210f375f230bdd2e8740b69602d06</x:v>
      </x:c>
      <x:c r="W224" s="29" t="str">
        <x:v>{"file":"bk-b76490898e2af59d605f93c7.webp","width":1024,"author":"orionpozo","height":576,"sha256":"b76490898e2af59d605f93c7288b49cd4a1b9a56581aa00f195a4293babd4040","status":"reviewed-selected","license":"CC BY 2.0","provider":"Flickr","review_id":"F502","source_id":"28098722463","author_url":"https://www.flickr.com/photos/65168863@N00/","date_texts":["Uploaded on August 2, 2016","Uploaded on August 2, 2016"],"source_url":"https://www.flickr.com/photos/65168863@N00/28098722463/","description":"","license_url":"https://creativecommons.org/licenses/by/2.0/","review_note":"Full-loop panorama.","reviewed_on":"2026-10-24","source_text":"Tehachapi Loop | orionpozo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orionpozo orionpozo Tehachapi Loop Done 85 views 0 faves 0 comments Uploaded on August 2, 2016 orionpozo By: orionpozo Tehachapi Loop Done 85 views 0 faves 0 comments Uploaded on August 2,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photography.","capture_date":"","download_url":"https://live.staticflickr.com/8605/28098722463_5b8941a054_b.jpg","original_url":"https://live.staticflickr.com/8605/28098722463_f5c440598a_k.jpg","pixel_review":{"method":"İndirilen kare temas sayfasında görüldü; kaynak mekân kimliğiyle eşleştirildi. Seçim kaydı final-pixel-review.json.","status":"verified","caption":"Tehachapi Loop","reviewer":"Codex (AI)","review_id":"F502"},"source_title":"Tehachapi Loop","downloaded_at":"2026-10-23T19:50:31.217582+00:00","download_sha256":"f95ff5b9def451b096f081cd847d4a9064fe391091cf1991d79396100677a76f","downloaded_file":"downloads/f95ff5b9def451b096f081cd847d4a9064fe391091cf1991d79396100677a76f.jpg","public_metadata":{"photo-models":[{"data":{"id":"28098722463","owner":{"data":{"id":"65168863@N00","isPro":true,"newFlow":true,"isAdFree":false,"proBadge":"standard","realname":"","segments":{"data":[],"exportMetaType":"array"},"username":"orionpozo","buddyicon":{"data":{"large":"//live.staticflickr.com/2851/buddyicons/65168863@N00_l.jpg?1370788041#65168863@N00","small":"//live.staticflickr.com/2851/buddyicons/65168863@N00_s.jpg?1370788041#65168863@N00","medium":"//live.staticflickr.com/2851/buddyicons/65168863@N00_m.jpg?1370788041#65168863@N00","retina":"//live.staticflickr.com/2851/buddyicons/65168863@N00_r.jpg?1370788041#65168863@N00","default":"//live.staticflickr.com/2851/buddyicons/65168863@N00.jpg?1370788041#65168863@N00"},"exportMetaType":"pojo"},"pathAlias":"orionpozo","dateCreated":{"data":"1137906667","exportMetaType":"serializeFunction"},"subscription":{"data":{"isPro":false,"isClosed":false,"isPastDue":false},"exportMetaType":"pojo"},"eligibleGifts":{"data":["year","month","week"],"exportMetaType":"array"},"isEligibleForGifts":true,"_flickrModelRegistry":"person-models"},"exportMetaType":"model"},"sizes":{"data":{"c":{"data":{"url":"//live.staticflickr.com/8605/28098722463_5b8941a054_c.jpg","width":800,"height":450,"displayUrl":"//live.staticflickr.com/8605/28098722463_5b8941a054_c.jpg"},"exportMetaType":"pojo"},"h":{"data":{"url":"//live.staticflickr.com/8605/28098722463_b531cdaff3_h.jpg","width":1600,"height":900,"displayUrl":"//live.staticflickr.com/8605/28098722463_b531cdaff3_h.jpg"},"exportMetaType":"pojo"},"k":{"data":{"url":"//live.staticflickr.com/8605/28098722463_f5c440598a_k.jpg","width":1920,"height":1080,"displayUrl":"//live.staticflickr.com/8605/28098722463_f5c440598a_k.jpg"},"exportMetaType":"pojo"},"l":{"data":{"url":"//live.staticflickr.com/8605/28098722463_5b8941a054_b.jpg","width":1024,"height":576,"displayUrl":"//live.staticflickr.com/8605/28098722463_5b8941a054_b.jpg"},"exportMetaType":"pojo"},"m":{"data":{"url":"//live.staticflickr.com/8605/28098722463_5b8941a054.jpg","width":500,"height":281,"displayUrl":"//live.staticflickr.com/8605/28098722463_5b8941a054.jpg"},"exportMetaType":"pojo"},"n":{"data":{"url":"//live.staticflickr.com/8605/28098722463_5b8941a054_n.jpg","width":320,"height":180,"displayUrl":"//live.staticflickr.com/8605/28098722463_5b8941a054_n.jpg"},"exportMetaType":"pojo"},"o":{"data":{"url":"//live.staticflickr.com/8605/28098722463_1c1ed507ef_o.jpg","width":1920,"height":1080,"displayUrl":"//live.staticflickr.com/8605/28098722463_1c1ed507ef_o.jpg"},"exportMetaType":"pojo"},"q":{"data":{"url":"//live.staticflickr.com/8605/28098722463_5b8941a054_q.jpg","width":150,"height":150,"displayUrl":"//live.staticflickr.com/8605/28098722463_5b8941a054_q.jpg"},"exportMetaType":"pojo"},"s":{"data":{"url":"//live.staticflickr.com/8605/28098722463_5b8941a054_m.jpg","width":240,"height":135,"displayUrl":"//live.staticflickr.com/8605/28098722463_5b8941a054_m.jpg"},"exportMetaType":"pojo"},"t":{"data":{"url":"//live.staticflickr.com/8605/28098722463_5b8941a054_t.jpg","width":100,"height":56,"displayUrl":"//live.staticflickr.com/8605/28098722463_5b8941a054_t.jpg"},"exportMetaType":"pojo"},"w":{"data":{"url":"//live.staticflickr.com/8605/28098722463_5b8941a054_w.jpg","width":400,"height":225,"displayUrl":"//live.staticflickr.com/8605/28098722463_5b8941a054_w.jpg"},"exportMetaType":"pojo"},"z":{"data":{"url":"//live.staticflickr.com/8605/28098722463_5b8941a054_z.jpg","width":640,"height":360,"displayUrl":"//live.staticflickr.com/8605/28098722463_5b8941a054_z.jpg"},"exportMetaType":"pojo"},"sq":{"data":{"url":"//live.staticflickr.com/8605/28098722463_5b8941a054_s.jpg","width":75,"height":75,"displayUrl":"//live.staticflickr.com/8605/28098722463_5b8941a054_s.jpg"},"exportMetaType":"pojo"}},"exportMetaType":"pojo"},"title":"Tehachapi Loop","oWidth":1920,"secret":"5b8941a054","license":4,"oHeight":1080,"rotation":0,"canAddMeta":false,"canComment":false,"engagement":{"data":{"id":"28098722463","canShare":true,"ownerNsid":"65168863@N00","reactions":{"data":{"like":{"data":{"id":"like","count":5,"canReact":true,"didViewerReact":true},"exportMetaType":"pojo"},"someOtherReaction":{"data":{"id":"someOtherReaction","count":3,"canReact":true,"didViewerReact":false},"exportMetaType":"pojo"}},"exportMetaType":"pojo"},"viewCount":85,"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28098722463","_flickrModelRegistry":"photo-geo-models"},"exportMetaType":"model"}],"photo-location-models":[{"data":{"id":"28098722463","geo":{"data":"~2","exportMetaType":"model"},"text":"","levels":{"data":{},"exportMetaType":"pojo"},"staticMaps":{"data":{},"exportMetaType":"pojo"},"_flickrModelRegistry":"photo-location-models"},"exportMetaType":"model"}],"photo-head-meta-models":[{"data":{"id":"28098722463","title":"Tehachapi Loop","og:url":"https://www.flickr.com/photos/orionpozo/28098722463/","og:type":"article","og:image":"https://live.staticflickr.com/8605/28098722463_5b8941a054_b.jpg","og:title":"Tehachapi Loop","twitter:card":"summary_large_image","twitter:image":"https://live.staticflickr.com/8605/28098722463_5b8941a054_b.jpg","og:description":"","og:image:width":1024,"og:image:height":576,"twitter:description":"Explore orionpozo's 3327 photos on Flickr!","_flickrModelRegistry":"photo-head-meta-models","twitter:app:url:ipad":"flickr://flickr.com/photos/orionpozo/28098722463/","twitter:app:url:iphone":"flickr://flickr.com/photos/orionpozo/28098722463/","twitter:app:url:googleplay":"https://www.flickr.com/photos/orionpozo/28098722463/"},"exportMetaType":"model"}],"photo-license-history-models":[]},"acquisition_file":"fl-28098722463.webp","source_html_file":"/Users/atincakcayoz/corteqs/output/bakersfield-production-20261023/flickr-source-pages/28098722463.html","original_file_url":"https://live.staticflickr.com/8605/28098722463_f5c440598a_k.jpg","proposed_identity":"Tehachapi Loop","source_html_sha256":"e5019d4be3bbdb752a963efb02a6f6b976cf63ebeb2ef7f9271adb96672b4af0","third_party_rights_review":{"basis":"Kaynakta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dönüştürüldü.","photo_attribution":{"author_url":"https://www.flickr.com/photos/65168863@N00/","modifications":"EXIF yönü uygulandı; boyut küçültülüp WebP biçimine dönüştürüldü.","original_file_url":"https://live.staticflickr.com/8605/28098722463_f5c440598a_k.jpg"},"metadata_reviewed_on":"2026-10-24","metadata_review_status":"verified"}}</x:v>
      </x:c>
    </x:row>
    <x:row r="225" ht="300" customHeight="1">
      <x:c r="A225" s="29" t="str">
        <x:v>bakersfield:evidence:venue-22190</x:v>
      </x:c>
      <x:c r="B225" s="29" t="str">
        <x:v>bakersfield</x:v>
      </x:c>
      <x:c r="C225" s="29" t="str">
        <x:v>bakersfield:photo:venue-22190</x:v>
      </x:c>
      <x:c r="D225" s="29" t="str">
        <x:v>https://commons.wikimedia.org/wiki/File:01-2007-LakeIsabella-SE-fork.jpg</x:v>
      </x:c>
      <x:c r="E225" s="29" t="str">
        <x:v>01-2007-LakeIsabella-SE-fork.jpg</x:v>
      </x:c>
      <x:c r="F225" s="29" t="str">
        <x:v>Bobak Ha'Eri (talk · contribs)</x:v>
      </x:c>
      <x:c r="G225" s="29" t="str">
        <x:v>CC BY-SA 2.5</x:v>
      </x:c>
      <x:c r="H225" s="29" t="str">
        <x:v>https://creativecommons.org/licenses/by-sa/2.5</x:v>
      </x:c>
      <x:c r="I225" s="29" t="str">
        <x:v>Creative Commons Attribution-Share Alike 2.5</x:v>
      </x:c>
      <x:c r="J225" s="29" t="str">
        <x:v>01-2007-LakeIsabella-SE-fork.jpg · Bobak Ha'Eri (talk · contribs) · CC BY-SA 2.5 · https://commons.wikimedia.org/wiki/File:01-2007-LakeIsabella-SE-fork.jpg</x:v>
      </x:c>
      <x:c r="K22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5" s="31" t="d">
        <x:v>2026-10-24T00:00:00.000Z</x:v>
      </x:c>
      <x:c r="M225" s="29" t="str">
        <x:v>Doğrulandı</x:v>
      </x:c>
      <x:c r="N225" s="29" t="str">
        <x:v>Doğrulandı</x:v>
      </x:c>
      <x:c r="O225" s="29" t="str">
        <x:v>Fotoğraflar/bk-d35d7de91296d82ac53f3593.webp</x:v>
      </x:c>
      <x:c r="P225" s="29" t="str">
        <x:v>Lake Isabella · Take tarihli fotoğraf · İndirilen kare temas sayfasında görüldü; kaynak mekân kimliğiyle eşleştirildi. Seçim kaydı final-pixel-review.json.</x:v>
      </x:c>
      <x:c r="Q225" s="29" t="str">
        <x:v>Bu kare için uygun</x:v>
      </x:c>
      <x:c r="R22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5" s="29" t="str">
        <x:v>Lisans kanıtları/bk-d35d7de91296d82ac53f3593.source-evidence.json</x:v>
      </x:c>
      <x:c r="T225" s="29" t="str">
        <x:v>9b2ae011bba0ceab45c3def258ac89762448c5338c62bbd94ee628a5c279f768</x:v>
      </x:c>
      <x:c r="U225" s="29" t="str">
        <x:v>Lisans kanıtları/bk-d35d7de91296d82ac53f3593.license-record.json</x:v>
      </x:c>
      <x:c r="V225" s="29" t="str">
        <x:v>2c58a487f2a9a8a250f734c7c5dbd0ea560c2bd9985c013897d15a94f8147452</x:v>
      </x:c>
      <x:c r="W225" s="29" t="str">
        <x:v>{"file":"bk-d35d7de91296d82ac53f3593.webp","width":1280,"author":"Bobak Ha'Eri (talk · contribs)","height":646,"sha256":"d35d7de91296d82ac53f3593c0facb50b76f29265f54bba857b9fc77f555994d","license":"CC BY-SA 2.5","imageinfo":{"url":"https://upload.wikimedia.org/wikipedia/commons/2/27/01-2007-LakeIsabella-SE-fork.jpg?utm_source=commons.wikimedia.org&amp;utm_campaign=imageinfo&amp;utm_content=original","mime":"image/jpeg","sha1":"00a304d3c9413b48ef5f750392da4f109d2fa09a","size":271162,"width":2592,"height":1308,"pageid":1544978,"thumburl":"https://thumb.wikimedia.org/wikipedia/commons/thumb/2/27/01-2007-LakeIsabella-SE-fork.jpg/1280px-01-2007-LakeIsabella-SE-fork.jpg?utm_source=commons.wikimedia.org&amp;utm_campaign=imageinfo&amp;utm_content=thumbnail","timestamp":"2007-01-08T23:22:45Z","thumbwidth":1280,"extmetadata":{"Artist":{"value":"&lt;a href=\"//commons.wikimedia.org/wiki/User:Bobak\" title=\"User:Bobak\"&gt;Bobak Ha'Eri&lt;/a&gt; (&lt;a href=\"//commons.wikimedia.org/wiki/User_talk:Bobak\" title=\"User talk:Bobak\"&gt;talk&lt;/a&gt;&lt;span style=\"white-space:nowrap\"&gt; &lt;span style=\"font-weight:bold;\"&gt;·&lt;/span&gt;&lt;/span&gt; &lt;a href=\"//commons.wikimedia.org/wiki/Special:Contributions/Bobak\" title=\"Special:Contributions/Bobak\"&gt;contribs&lt;/a&gt;)","source":"commons-desc-page"},"Credit":{"value":"&lt;span class=\"int-own-work\" lang=\"en\"&gt;Own work&lt;/span&gt;","source":"commons-desc-page"},"License":{"value":"cc-by-sa-2.5","hidden":"","source":"commons-templates"},"DateTime":{"value":"2007-01-08 23:22:45","hidden":"","source":"mediawiki-metadata"},"Categories":{"value":"Taken with Sony DSC-T10|Lake Isabella|January 2007 in California|Weldon, California|Photographs taken on 2007-01-06|Flora of Kern County, California|Mountains of the Sierra Nevada (California)|Mountain ranges of Kern County, California|Files by User:Bobak|Desert landscapes of Kern County, California","hidden":"","source":"commons-categories"},"LicenseUrl":{"value":"https://creativecommons.org/licenses/by-sa/2.5","source":"commons-desc-page"},"ObjectName":{"value":"01-2007-LakeIsabella-SE-fork","source":"mediawiki-metadata"},"Permission":{"value":"Please observe license and properly cite in use outside Wikipedia.","hidden":"","source":"commons-desc-page"},"UsageTerms":{"value":"Creative Commons Attribution-Share Alike 2.5","source":"commons-desc-page"},"Assessments":{"value":"","hidden":"","source":"commons-categories"},"Copyrighted":{"value":"True","hidden":"","source":"commons-desc-page"},"Restrictions":{"value":"","hidden":"","source":"commons-desc-page"},"DateTimeOriginal":{"value":"Taken on 6 January 2007","source":"commons-desc-page"},"ImageDescription":{"value":"The southeast fork of &lt;a href=\"https://en.wikipedia.org/wiki/Lake_Isabella\" class=\"extiw\" title=\"w:Lake Isabella\"&gt;Lake Isabella&lt;/a&gt;, in the Southern &lt;a href=\"//commons.wikimedia.org/wiki/Sierra_Nevada,_USA\" title=\"Sierra Nevada, USA\"&gt;Sierra Nevada&lt;/a&gt;, Kern County,  &lt;a href=\"//commons.wikimedia.org/wiki/California\" title=\"California\"&gt;California&lt;/a&gt;. Photo taken from the northern shore facing south.","source":"commons-desc-page"},"LicenseShortName":{"value":"CC BY-SA 2.5","hidden":"","source":"commons-desc-page"},"AttributionRequired":{"value":"true","hidden":"","source":"commons-desc-page"},"CommonsMetadataExtension":{"value":1.2,"hidden":"","source":"extension"}},"thumbheight":646,"thumbattribs":{"src":"https://thumb.wikimedia.org/wikipedia/commons/thumb/2/27/01-2007-LakeIsabella-SE-fork.jpg/1280px-01-2007-LakeIsabella-SE-fork.jpg?utm_source=commons.wikimedia.org&amp;utm_campaign=imageinfo&amp;utm_content=thumbnail","width":1280,"height":646,"srcset":"https://upload.wikimedia.org/wikipedia/commons/2/27/01-2007-LakeIsabella-SE-fork.jpg?utm_source=commons.wikimedia.org&amp;utm_campaign=imageinfo&amp;utm_content=thumbnail_unscaled 2x","loading":"lazy","decoding":"async"},"descriptionurl":"https://commons.wikimedia.org/wiki/File:01-2007-LakeIsabella-SE-fork.jpg","responsiveUrls":{"2":"https://upload.wikimedia.org/wikipedia/commons/2/27/01-2007-LakeIsabella-SE-fork.jpg?utm_source=commons.wikimedia.org&amp;utm_campaign=imageinfo&amp;utm_content=thumbnail_unscaled"},"descriptionshorturl":"https://commons.wikimedia.org/w/index.php?curid=1544978"},"selection":{"qid":"pending","kind":"candidate","title":"Lake Isabella"},"author_url":"https://commons.wikimedia.org/wiki/User:Bobak","derivative":"Wikimedia thumbnail decoded; EXIF orientation applied; converted to WebP quality 86; no generated pixels, no cropping.","source_url":"https://commons.wikimedia.org/wiki/File:01-2007-LakeIsabella-SE-fork.jpg","author_urls":["https://commons.wikimedia.org/wiki/User:Bobak","https://commons.wikimedia.org/wiki/User_talk:Bobak","https://commons.wikimedia.org/wiki/Special:Contributions/Bobak"],"description":"The southeast fork of Lake Isabella, in the Southern Sierra Nevada, Kern County,  California. Photo taken from the northern shore facing south.","license_url":"https://creativecommons.org/licenses/by-sa/2.5","reviewed_on":"2026-10-24","capture_date":"Taken on 6 January 2007","download_url":"https://thumb.wikimedia.org/wikipedia/commons/thumb/2/27/01-2007-LakeIsabella-SE-fork.jpg/1280px-01-2007-LakeIsabella-SE-fork.jpg?utm_source=commons.wikimedia.org&amp;utm_campaign=imageinfo&amp;utm_content=thumbnail","original_url":"https://upload.wikimedia.org/wikipedia/commons/2/27/01-2007-LakeIsabella-SE-fork.jpg?utm_source=commons.wikimedia.org&amp;utm_campaign=imageinfo&amp;utm_content=original","pixel_review":{"method":"İndirilen kare temas sayfasında görüldü; kaynak mekân kimliğiyle eşleştirildi. Seçim kaydı final-pixel-review.json.","status":"verified","caption":"Lake Isabella · Take tarihli fotoğraf","reviewer":"Codex (AI)","review_id":"C2"},"downloaded_at":"2026-10-23T19:09:17.523198+00:00","download_sha256":"912602455977396f9f53cc343ef0ccd428603fe2a33e0244934c40f7475813c0","downloaded_file":"downloads/912602455977396f9f53cc343ef0ccd428603fe2a33e0244934c40f7475813c0.jpg","acquisition_file":"2e30aff5f5ec5a36b4821ffa.webp","commons_filename":"01-2007-LakeIsabella-SE-fork.jpg","original_file_url":"https://upload.wikimedia.org/wikipedia/commons/2/27/01-2007-LakeIsabella-SE-fork.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dönüştürüldü.","photo_attribution":{"author_url":"https://commons.wikimedia.org/wiki/User:Bobak","modifications":"EXIF yönü uygulandı; boyut küçültülüp WebP biçimine dönüştürüldü.","original_file_url":"https://upload.wikimedia.org/wikipedia/commons/2/27/01-2007-LakeIsabella-SE-fork.jpg?utm_source=commons.wikimedia.org&amp;utm_campaign=imageinfo&amp;utm_content=original"},"metadata_reviewed_on":"2026-10-24","metadata_review_status":"verified"}}</x:v>
      </x:c>
    </x:row>
    <x:row r="226" ht="300" customHeight="1">
      <x:c r="A226" s="29" t="str">
        <x:v>bakersfield:evidence:venue-22191</x:v>
      </x:c>
      <x:c r="B226" s="29" t="str">
        <x:v>bakersfield</x:v>
      </x:c>
      <x:c r="C226" s="29" t="str">
        <x:v>bakersfield:photo:venue-22191</x:v>
      </x:c>
      <x:c r="D226" s="29" t="str">
        <x:v>https://commons.wikimedia.org/wiki/File:01-2007-LakeIsabella-South.jpg</x:v>
      </x:c>
      <x:c r="E226" s="29" t="str">
        <x:v>01-2007-LakeIsabella-South.jpg</x:v>
      </x:c>
      <x:c r="F226" s="29" t="str">
        <x:v>Bobak Ha'Eri</x:v>
      </x:c>
      <x:c r="G226" s="29" t="str">
        <x:v>CC BY-SA 2.5</x:v>
      </x:c>
      <x:c r="H226" s="29" t="str">
        <x:v>https://creativecommons.org/licenses/by-sa/2.5</x:v>
      </x:c>
      <x:c r="I226" s="29" t="str">
        <x:v>Creative Commons Attribution-Share Alike 2.5</x:v>
      </x:c>
      <x:c r="J226" s="29" t="str">
        <x:v>01-2007-LakeIsabella-South.jpg · Bobak Ha'Eri · CC BY-SA 2.5 · https://commons.wikimedia.org/wiki/File:01-2007-LakeIsabella-South.jpg</x:v>
      </x:c>
      <x:c r="K22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6" s="31" t="d">
        <x:v>2026-10-24T00:00:00.000Z</x:v>
      </x:c>
      <x:c r="M226" s="29" t="str">
        <x:v>Doğrulandı</x:v>
      </x:c>
      <x:c r="N226" s="29" t="str">
        <x:v>Doğrulandı</x:v>
      </x:c>
      <x:c r="O226" s="29" t="str">
        <x:v>Fotoğraflar/bk-944349b3f09f05aa191f44ab.webp</x:v>
      </x:c>
      <x:c r="P226" s="29" t="str">
        <x:v>Lake Isabella · 2007 tarihli fotoğraf · İndirilen kare temas sayfasında görüldü; kaynak mekân kimliğiyle eşleştirildi. Seçim kaydı final-pixel-review.json.</x:v>
      </x:c>
      <x:c r="Q226" s="29" t="str">
        <x:v>Bu kare için uygun</x:v>
      </x:c>
      <x:c r="R22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6" s="29" t="str">
        <x:v>Lisans kanıtları/bk-944349b3f09f05aa191f44ab.source-evidence.json</x:v>
      </x:c>
      <x:c r="T226" s="29" t="str">
        <x:v>3ffdd5407bcae1e911997fb473798027088b707b9f7baf8ff3f4d57b1e883b79</x:v>
      </x:c>
      <x:c r="U226" s="29" t="str">
        <x:v>Lisans kanıtları/bk-944349b3f09f05aa191f44ab.license-record.json</x:v>
      </x:c>
      <x:c r="V226" s="29" t="str">
        <x:v>d5296431b127c4592b41165a4693fa26cfd6ff19fbc76a68892b6a699f437552</x:v>
      </x:c>
      <x:c r="W226" s="29" t="str">
        <x:v>{"file":"bk-944349b3f09f05aa191f44ab.webp","width":1280,"author":"Bobak Ha'Eri","height":853,"sha256":"944349b3f09f05aa191f44abce9cb345655d20572ae25a0e490af3fb47a51fa8","license":"CC BY-SA 2.5","imageinfo":{"url":"https://upload.wikimedia.org/wikipedia/commons/b/bd/01-2007-LakeIsabella-South.jpg?utm_source=commons.wikimedia.org&amp;utm_campaign=imageinfo&amp;utm_content=original","mime":"image/jpeg","sha1":"97d030c1eccc147df96ce53f4bc461416029aa4a","size":523231,"width":3072,"height":2048,"pageid":1545050,"thumburl":"https://thumb.wikimedia.org/wikipedia/commons/thumb/b/bd/01-2007-LakeIsabella-South.jpg/1280px-01-2007-LakeIsabella-South.jpg?utm_source=commons.wikimedia.org&amp;utm_campaign=imageinfo&amp;utm_content=thumbnail","timestamp":"2007-01-08T23:48:34Z","thumbwidth":1280,"extmetadata":{"Artist":{"value":"&lt;a href=\"//commons.wikimedia.org/wiki/User:Bobak\" title=\"User:Bobak\"&gt;Bobak Ha'Eri&lt;/a&gt;","source":"commons-desc-page"},"Credit":{"value":"&lt;span class=\"int-own-work\" lang=\"en\"&gt;Own work&lt;/span&gt;","source":"commons-desc-page"},"License":{"value":"cc-by-sa-2.5","hidden":"","source":"commons-templates"},"DateTime":{"value":"2007-01-08 23:48:34","hidden":"","source":"mediawiki-metadata"},"Categories":{"value":"Taken with Sony DSC-T10|Lake Isabella|January 2007 in California|Files with coordinates missing SDC location of creation|Files by User:Bobak","hidden":"","source":"commons-categories"},"LicenseUrl":{"value":"https://creativecommons.org/licenses/by-sa/2.5","source":"commons-desc-page"},"ObjectName":{"value":"01-2007-LakeIsabella-South","source":"mediawiki-metadata"},"Permission":{"value":"Photo taken by &lt;a href=\"//commons.wikimedia.org/wiki/User:Bobak\" title=\"User:Bobak\"&gt;Bobak Ha'Eri&lt;/a&gt;, on January 5, 2007. Please observe license and properly cite in use outside Wikipedia. CC-By-SA-3.0","hidden":"","source":"commons-desc-page"},"UsageTerms":{"value":"Creative Commons Attribution-Share Alike 2.5","source":"commons-desc-page"},"Assessments":{"value":"","hidden":"","source":"commons-categories"},"Copyrighted":{"value":"True","hidden":"","source":"commons-desc-page"},"GPSLatitude":{"value":"35.688800","source":"commons-desc-page"},"GPSMapDatum":{"value":"WGS-84","hidden":"","source":"commons-desc-page"},"GPSLongitude":{"value":"-118.425500","source":"commons-desc-page"},"Restrictions":{"value":"","hidden":"","source":"commons-desc-page"},"DateTimeOriginal":{"value":"2007-01-05","source":"commons-desc-page"},"ImageDescription":{"value":"Southern shore of &lt;a href=\"//commons.wikimedia.org/wiki/Category:Lake_Isabella,_California\" title=\"Category:Lake Isabella, California\"&gt;Lake Isabella&lt;/a&gt; near the town of Lake Isabella, and the Southern &lt;a href=\"//commons.wikimedia.org/w/index.php?title=Category:Sierra_Nevada_(USA)&amp;amp;action=edit&amp;amp;redlink=1\" class=\"new\" title=\"Category:Sierra Nevada (USA) (page does not exist)\"&gt;Sierra Nevada&lt;/a&gt;","source":"commons-desc-page"},"LicenseShortName":{"value":"CC BY-SA 2.5","hidden":"","source":"commons-desc-page"},"AttributionRequired":{"value":"true","hidden":"","source":"commons-desc-page"},"CommonsMetadataExtension":{"value":1.2,"hidden":"","source":"extension"}},"thumbheight":853,"thumbattribs":{"src":"https://thumb.wikimedia.org/wikipedia/commons/thumb/b/bd/01-2007-LakeIsabella-South.jpg/1280px-01-2007-LakeIsabella-South.jpg?utm_source=commons.wikimedia.org&amp;utm_campaign=imageinfo&amp;utm_content=thumbnail","width":1280,"height":853,"srcset":"https://upload.wikimedia.org/wikipedia/commons/b/bd/01-2007-LakeIsabella-South.jpg?utm_source=commons.wikimedia.org&amp;utm_campaign=imageinfo&amp;utm_content=thumbnail_unscaled 2x","loading":"lazy","decoding":"async"},"descriptionurl":"https://commons.wikimedia.org/wiki/File:01-2007-LakeIsabella-South.jpg","responsiveUrls":{"2":"https://upload.wikimedia.org/wikipedia/commons/b/bd/01-2007-LakeIsabella-South.jpg?utm_source=commons.wikimedia.org&amp;utm_campaign=imageinfo&amp;utm_content=thumbnail_unscaled"},"descriptionshorturl":"https://commons.wikimedia.org/w/index.php?curid=1545050"},"selection":{"qid":"pending","kind":"candidate","title":"Lake Isabella"},"author_url":"https://commons.wikimedia.org/wiki/User:Bobak","derivative":"Wikimedia thumbnail decoded; EXIF orientation applied; converted to WebP quality 86; no generated pixels, no cropping.","source_url":"https://commons.wikimedia.org/wiki/File:01-2007-LakeIsabella-South.jpg","author_urls":["https://commons.wikimedia.org/wiki/User:Bobak"],"description":"Southern shore of Lake Isabella near the town of Lake Isabella, and the Southern Sierra Nevada","license_url":"https://creativecommons.org/licenses/by-sa/2.5","reviewed_on":"2026-10-24","capture_date":"2007-01-05","download_url":"https://thumb.wikimedia.org/wikipedia/commons/thumb/b/bd/01-2007-LakeIsabella-South.jpg/1280px-01-2007-LakeIsabella-South.jpg?utm_source=commons.wikimedia.org&amp;utm_campaign=imageinfo&amp;utm_content=thumbnail","original_url":"https://upload.wikimedia.org/wikipedia/commons/b/bd/01-2007-LakeIsabella-South.jpg?utm_source=commons.wikimedia.org&amp;utm_campaign=imageinfo&amp;utm_content=original","pixel_review":{"method":"İndirilen kare temas sayfasında görüldü; kaynak mekân kimliğiyle eşleştirildi. Seçim kaydı final-pixel-review.json.","status":"verified","caption":"Lake Isabella · 2007 tarihli fotoğraf","reviewer":"Codex (AI)","review_id":"C3"},"downloaded_at":"2026-10-23T19:09:18.053330+00:00","download_sha256":"06fc3c3006a6f44b81570dfd4019e3657499184d83285f337b9c8c733c66dfb4","downloaded_file":"downloads/06fc3c3006a6f44b81570dfd4019e3657499184d83285f337b9c8c733c66dfb4.jpg","acquisition_file":"e77b1ecd76587f19e6b31569.webp","commons_filename":"01-2007-LakeIsabella-South.jpg","original_file_url":"https://upload.wikimedia.org/wikipedia/commons/b/bd/01-2007-LakeIsabella-South.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dönüştürüldü.","photo_attribution":{"author_url":"https://commons.wikimedia.org/wiki/User:Bobak","modifications":"EXIF yönü uygulandı; boyut küçültülüp WebP biçimine dönüştürüldü.","original_file_url":"https://upload.wikimedia.org/wikipedia/commons/b/bd/01-2007-LakeIsabella-South.jpg?utm_source=commons.wikimedia.org&amp;utm_campaign=imageinfo&amp;utm_content=original"},"metadata_reviewed_on":"2026-10-24","metadata_review_status":"verified"}}</x:v>
      </x:c>
    </x:row>
    <x:row r="227" ht="300" customHeight="1">
      <x:c r="A227" s="29" t="str">
        <x:v>bakersfield:evidence:venue-22192</x:v>
      </x:c>
      <x:c r="B227" s="29" t="str">
        <x:v>bakersfield</x:v>
      </x:c>
      <x:c r="C227" s="29" t="str">
        <x:v>bakersfield:photo:venue-22192</x:v>
      </x:c>
      <x:c r="D227" s="29" t="str">
        <x:v>https://commons.wikimedia.org/wiki/File:Aerial_View_Isabella_Dam.jpg</x:v>
      </x:c>
      <x:c r="E227" s="29" t="str">
        <x:v>Aerial View Isabella Dam.jpg</x:v>
      </x:c>
      <x:c r="F227" s="29" t="str">
        <x:v>Joshuahudnall</x:v>
      </x:c>
      <x:c r="G227" s="29" t="str">
        <x:v>CC BY-SA 4.0</x:v>
      </x:c>
      <x:c r="H227" s="29" t="str">
        <x:v>https://creativecommons.org/licenses/by-sa/4.0</x:v>
      </x:c>
      <x:c r="I227" s="29" t="str">
        <x:v>Creative Commons Attribution-Share Alike 4.0</x:v>
      </x:c>
      <x:c r="J227" s="29" t="str">
        <x:v>Aerial View Isabella Dam.jpg · Joshuahudnall · CC BY-SA 4.0 · https://commons.wikimedia.org/wiki/File:Aerial_View_Isabella_Dam.jpg</x:v>
      </x:c>
      <x:c r="K22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7" s="31" t="d">
        <x:v>2026-10-24T00:00:00.000Z</x:v>
      </x:c>
      <x:c r="M227" s="29" t="str">
        <x:v>Doğrulandı</x:v>
      </x:c>
      <x:c r="N227" s="29" t="str">
        <x:v>Doğrulandı</x:v>
      </x:c>
      <x:c r="O227" s="29" t="str">
        <x:v>Fotoğraflar/bk-e11e01016ae75e5a7f6ae4e2.webp</x:v>
      </x:c>
      <x:c r="P227" s="29" t="str">
        <x:v>Lake Isabella · 2016 tarihli fotoğraf · İndirilen kare temas sayfasında görüldü; kaynak mekân kimliğiyle eşleştirildi. Seçim kaydı final-pixel-review.json.</x:v>
      </x:c>
      <x:c r="Q227" s="29" t="str">
        <x:v>Bu kare için uygun</x:v>
      </x:c>
      <x:c r="R22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7" s="29" t="str">
        <x:v>Lisans kanıtları/bk-e11e01016ae75e5a7f6ae4e2.source-evidence.json</x:v>
      </x:c>
      <x:c r="T227" s="29" t="str">
        <x:v>c6fbc87704ebe96f721c8ee3ceda00f6f1830c06f3a3b4e2cd28c34deb8eab8b</x:v>
      </x:c>
      <x:c r="U227" s="29" t="str">
        <x:v>Lisans kanıtları/bk-e11e01016ae75e5a7f6ae4e2.license-record.json</x:v>
      </x:c>
      <x:c r="V227" s="29" t="str">
        <x:v>1981da09b1978df55185fbe248fccb85304d99b2e3d361d30e00c7db9df0daaf</x:v>
      </x:c>
      <x:c r="W227" s="29" t="str">
        <x:v>{"file":"bk-e11e01016ae75e5a7f6ae4e2.webp","width":941,"author":"Joshuahudnall","height":529,"sha256":"e11e01016ae75e5a7f6ae4e219a55c683306caf2406341c80c14e23e79ccf43e","license":"CC BY-SA 4.0","imageinfo":{"url":"https://upload.wikimedia.org/wikipedia/commons/a/a8/Aerial_View_Isabella_Dam.jpg?utm_source=commons.wikimedia.org&amp;utm_campaign=imageinfo&amp;utm_content=original","mime":"image/jpeg","sha1":"ad4054c4f873bd6c4222dda3ec8764995e6f1372","size":373460,"width":941,"height":529,"pageid":48471129,"thumburl":"https://upload.wikimedia.org/wikipedia/commons/a/a8/Aerial_View_Isabella_Dam.jpg?utm_source=commons.wikimedia.org&amp;utm_campaign=imageinfo&amp;utm_content=thumbnail_unscaled","timestamp":"2016-04-30T20:24:12Z","thumbwidth":1280,"extmetadata":{"Artist":{"value":"&lt;a href=\"//commons.wikimedia.org/w/index.php?title=User:Joshuahudnall&amp;amp;action=edit&amp;amp;redlink=1\" class=\"new\" title=\"User:Joshuahudnall (page does not exist)\"&gt;Joshuahudnall&lt;/a&gt;","source":"commons-desc-page"},"Credit":{"value":"&lt;span class=\"int-own-work\" lang=\"en\"&gt;Own work&lt;/span&gt;","source":"commons-desc-page"},"License":{"value":"cc-by-sa-4.0","hidden":"","source":"commons-templates"},"DateTime":{"value":"2016-04-30 20:24:12","hidden":"","source":"mediawiki-metadata"},"Categories":{"value":"Lake Isabella|Isabella Dam|Aerial photographs of California|Self-published work","hidden":"","source":"commons-categories"},"LicenseUrl":{"value":"https://creativecommons.org/licenses/by-sa/4.0","source":"commons-desc-page"},"ObjectName":{"value":"Aerial View Isabella Dam","source":"mediawiki-metadata"},"UsageTerms":{"value":"Creative Commons Attribution-Share Alike 4.0","source":"commons-desc-page"},"Assessments":{"value":"","hidden":"","source":"commons-categories"},"Copyrighted":{"value":"True","hidden":"","source":"commons-desc-page"},"Restrictions":{"value":"","hidden":"","source":"commons-desc-page"},"DateTimeOriginal":{"value":"2016-04-01","source":"commons-desc-page"},"ImageDescription":{"value":"Aerial View Isabella Dam","source":"commons-desc-page"},"LicenseShortName":{"value":"CC BY-SA 4.0","hidden":"","source":"commons-desc-page"},"AttributionRequired":{"value":"true","hidden":"","source":"commons-desc-page"},"CommonsMetadataExtension":{"value":1.2,"hidden":"","source":"extension"}},"thumbheight":720,"thumbattribs":{"src":"https://upload.wikimedia.org/wikipedia/commons/a/a8/Aerial_View_Isabella_Dam.jpg?utm_source=commons.wikimedia.org&amp;utm_campaign=imageinfo&amp;utm_content=thumbnail_unscaled","width":1280,"height":720,"loading":"lazy","decoding":"async"},"descriptionurl":"https://commons.wikimedia.org/wiki/File:Aerial_View_Isabella_Dam.jpg","descriptionshorturl":"https://commons.wikimedia.org/w/index.php?curid=48471129"},"selection":{"qid":"pending","kind":"candidate","title":"Lake Isabella"},"author_url":"","derivative":"Wikimedia thumbnail decoded; EXIF orientation applied; converted to WebP quality 86; no generated pixels, no cropping.","source_url":"https://commons.wikimedia.org/wiki/File:Aerial_View_Isabella_Dam.jpg","author_urls":[],"description":"Aerial View Isabella Dam","license_url":"https://creativecommons.org/licenses/by-sa/4.0","reviewed_on":"2026-10-24","capture_date":"2016-04-01","download_url":"https://upload.wikimedia.org/wikipedia/commons/a/a8/Aerial_View_Isabella_Dam.jpg?utm_source=commons.wikimedia.org&amp;utm_campaign=imageinfo&amp;utm_content=thumbnail_unscaled","original_url":"https://upload.wikimedia.org/wikipedia/commons/a/a8/Aerial_View_Isabella_Dam.jpg?utm_source=commons.wikimedia.org&amp;utm_campaign=imageinfo&amp;utm_content=original","pixel_review":{"method":"İndirilen kare temas sayfasında görüldü; kaynak mekân kimliğiyle eşleştirildi. Seçim kaydı final-pixel-review.json.","status":"verified","caption":"Lake Isabella · 2016 tarihli fotoğraf","reviewer":"Codex (AI)","review_id":"C44"},"downloaded_at":"2026-10-23T19:09:19.584371+00:00","download_sha256":"596c7996b799a999dfd4a5e8c72a423fbf076c70a14c022c919765d0e8262d3c","downloaded_file":"downloads/596c7996b799a999dfd4a5e8c72a423fbf076c70a14c022c919765d0e8262d3c.jpg","acquisition_file":"0ed75532e66be1dc4a1160ac.webp","commons_filename":"Aerial View Isabella Dam.jpg","original_file_url":"https://upload.wikimedia.org/wikipedia/commons/a/a8/Aerial_View_Isabella_Dam.jpg?utm_source=commons.wikimedia.org&amp;utm_campaign=imageinfo&amp;utm_content=original","pixel_review_status":"pending","third_party_rights_review":{"basis":"Kaynakta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a/a8/Aerial_View_Isabella_Dam.jpg?utm_source=commons.wikimedia.org&amp;utm_campaign=imageinfo&amp;utm_content=original"},"metadata_reviewed_on":"2026-10-24","metadata_review_status":"verified"}}</x:v>
      </x:c>
    </x:row>
    <x:row r="228" ht="300" customHeight="1">
      <x:c r="A228" s="29" t="str">
        <x:v>bakersfield:evidence:venue-22193</x:v>
      </x:c>
      <x:c r="B228" s="29" t="str">
        <x:v>bakersfield</x:v>
      </x:c>
      <x:c r="C228" s="29" t="str">
        <x:v>bakersfield:photo:venue-22193</x:v>
      </x:c>
      <x:c r="D228" s="29" t="str">
        <x:v>https://commons.wikimedia.org/wiki/File:Lake_Isabella_5965.jpg</x:v>
      </x:c>
      <x:c r="E228" s="29" t="str">
        <x:v>Lake Isabella 5965.jpg</x:v>
      </x:c>
      <x:c r="F228" s="29" t="str">
        <x:v>Gillfoto</x:v>
      </x:c>
      <x:c r="G228" s="29" t="str">
        <x:v>CC BY-SA 4.0</x:v>
      </x:c>
      <x:c r="H228" s="29" t="str">
        <x:v>https://creativecommons.org/licenses/by-sa/4.0</x:v>
      </x:c>
      <x:c r="I228" s="29" t="str">
        <x:v>Creative Commons Attribution-Share Alike 4.0</x:v>
      </x:c>
      <x:c r="J228" s="29" t="str">
        <x:v>Lake Isabella 5965.jpg · Gillfoto · CC BY-SA 4.0 · https://commons.wikimedia.org/wiki/File:Lake_Isabella_5965.jpg</x:v>
      </x:c>
      <x:c r="K22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8" s="31" t="d">
        <x:v>2026-10-24T00:00:00.000Z</x:v>
      </x:c>
      <x:c r="M228" s="29" t="str">
        <x:v>Doğrulandı</x:v>
      </x:c>
      <x:c r="N228" s="29" t="str">
        <x:v>Doğrulandı</x:v>
      </x:c>
      <x:c r="O228" s="29" t="str">
        <x:v>Fotoğraflar/bk-e179289924248171ab2a4f02.webp</x:v>
      </x:c>
      <x:c r="P228" s="29" t="str">
        <x:v>Lake Isabella · 2018 tarihli fotoğraf · İndirilen kare temas sayfasında görüldü; kaynak mekân kimliğiyle eşleştirildi. Seçim kaydı final-pixel-review.json.</x:v>
      </x:c>
      <x:c r="Q228" s="29" t="str">
        <x:v>Bu kare için uygun</x:v>
      </x:c>
      <x:c r="R22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8" s="29" t="str">
        <x:v>Lisans kanıtları/bk-e179289924248171ab2a4f02.source-evidence.json</x:v>
      </x:c>
      <x:c r="T228" s="29" t="str">
        <x:v>c3932c144f215c7d55c822343cb3321c6ddeffddbc8fa49027dc7a18189d0d9e</x:v>
      </x:c>
      <x:c r="U228" s="29" t="str">
        <x:v>Lisans kanıtları/bk-e179289924248171ab2a4f02.license-record.json</x:v>
      </x:c>
      <x:c r="V228" s="29" t="str">
        <x:v>2ee101c7c5b7a3ffb3e9d1b8d3427e34697c675c134e271d7c5ab4c693c7cb80</x:v>
      </x:c>
      <x:c r="W228" s="29" t="str">
        <x:v>{"file":"bk-e179289924248171ab2a4f02.webp","width":1280,"author":"Gillfoto","height":960,"sha256":"e179289924248171ab2a4f02f98635da6c1bd697b0c11ee09cbf7534ac9bfd34","license":"CC BY-SA 4.0","imageinfo":{"url":"https://upload.wikimedia.org/wikipedia/commons/f/f6/Lake_Isabella_5965.jpg?utm_source=commons.wikimedia.org&amp;utm_campaign=imageinfo&amp;utm_content=original","mime":"image/jpeg","sha1":"434f226b5fde3d2245c3c64915e4fd6cdd329f61","size":3536867,"width":4032,"height":3024,"pageid":72668422,"thumburl":"https://thumb.wikimedia.org/wikipedia/commons/thumb/f/f6/Lake_Isabella_5965.jpg/1280px-Lake_Isabella_5965.jpg?utm_source=commons.wikimedia.org&amp;utm_campaign=imageinfo&amp;utm_content=thumbnail","timestamp":"2018-09-12T03:25:22Z","thumbwidth":1280,"extmetadata":{"Artist":{"value":"&lt;a href=\"//commons.wikimedia.org/wiki/User:Gillfoto\" title=\"User:Gillfoto\"&gt;Gillfoto&lt;/a&gt;","source":"commons-desc-page"},"Credit":{"value":"&lt;span class=\"int-own-work\" lang=\"en\"&gt;Own work&lt;/span&gt;","source":"commons-desc-page"},"License":{"value":"cc-by-sa-4.0","hidden":"","source":"commons-templates"},"DateTime":{"value":"2018-09-12 03:25:22","hidden":"","source":"mediawiki-metadata"},"Categories":{"value":"Kern River|Lake Isabella|Isabella Dam|Self-published work|Files by User:Gillfoto","hidden":"","source":"commons-categories"},"LicenseUrl":{"value":"https://creativecommons.org/licenses/by-sa/4.0","source":"commons-desc-page"},"ObjectName":{"value":"Lake Isabella 5965","source":"mediawiki-metadata"},"UsageTerms":{"value":"Creative Commons Attribution-Share Alike 4.0","source":"commons-desc-page"},"Assessments":{"value":"","hidden":"","source":"commons-categories"},"Copyrighted":{"value":"True","hidden":"","source":"commons-desc-page"},"Restrictions":{"value":"","hidden":"","source":"commons-desc-page"},"DateTimeOriginal":{"value":"2018-02-03 11:13:21","source":"commons-desc-page"},"ImageDescription":{"value":"Dam at Lake Isabella, California.","source":"commons-desc-page"},"LicenseShortName":{"value":"CC BY-SA 4.0","hidden":"","source":"commons-desc-page"},"AttributionRequired":{"value":"true","hidden":"","source":"commons-desc-page"},"CommonsMetadataExtension":{"value":1.2,"hidden":"","source":"extension"}},"thumbheight":960,"thumbattribs":{"src":"https://thumb.wikimedia.org/wikipedia/commons/thumb/f/f6/Lake_Isabella_5965.jpg/1280px-Lake_Isabella_5965.jpg?utm_source=commons.wikimedia.org&amp;utm_campaign=imageinfo&amp;utm_content=thumbnail","width":1280,"height":960,"srcset":"https://thumb.wikimedia.org/wikipedia/commons/thumb/f/f6/Lake_Isabella_5965.jpg/3840px-Lake_Isabella_5965.jpg?utm_source=commons.wikimedia.org&amp;utm_campaign=imageinfo&amp;utm_content=thumbnail 2x","loading":"lazy","decoding":"async"},"descriptionurl":"https://commons.wikimedia.org/wiki/File:Lake_Isabella_5965.jpg","responsiveUrls":{"2":"https://thumb.wikimedia.org/wikipedia/commons/thumb/f/f6/Lake_Isabella_5965.jpg/3840px-Lake_Isabella_5965.jpg?utm_source=commons.wikimedia.org&amp;utm_campaign=imageinfo&amp;utm_content=thumbnail"},"descriptionshorturl":"https://commons.wikimedia.org/w/index.php?curid=72668422"},"selection":{"qid":"pending","kind":"candidate","title":"Isabella Dam"},"author_url":"https://commons.wikimedia.org/wiki/User:Gillfoto","derivative":"Wikimedia thumbnail decoded; EXIF orientation applied; converted to WebP quality 86; no generated pixels, no cropping.","source_url":"https://commons.wikimedia.org/wiki/File:Lake_Isabella_5965.jpg","author_urls":["https://commons.wikimedia.org/wiki/User:Gillfoto"],"description":"Dam at Lake Isabella, California.","license_url":"https://creativecommons.org/licenses/by-sa/4.0","reviewed_on":"2026-10-24","capture_date":"2018-02-03 11:13:21","download_url":"https://thumb.wikimedia.org/wikipedia/commons/thumb/f/f6/Lake_Isabella_5965.jpg/1280px-Lake_Isabella_5965.jpg?utm_source=commons.wikimedia.org&amp;utm_campaign=imageinfo&amp;utm_content=thumbnail","original_url":"https://upload.wikimedia.org/wikipedia/commons/f/f6/Lake_Isabella_5965.jpg?utm_source=commons.wikimedia.org&amp;utm_campaign=imageinfo&amp;utm_content=original","pixel_review":{"method":"İndirilen kare temas sayfasında görüldü; kaynak mekân kimliğiyle eşleştirildi. Seçim kaydı final-pixel-review.json.","status":"verified","caption":"Lake Isabella · 2018 tarihli fotoğraf","reviewer":"Codex (AI)","review_id":"C191"},"downloaded_at":"2026-10-23T19:09:34.823227+00:00","download_sha256":"ea6a0be5cc3a81ae70fd5ae6e3c1682e3b33d970c244e71dc36cda17b9906cb9","downloaded_file":"downloads/ea6a0be5cc3a81ae70fd5ae6e3c1682e3b33d970c244e71dc36cda17b9906cb9.jpg","acquisition_file":"55cf31a8c462a44bc67c4c8e.webp","commons_filename":"Lake Isabella 5965.jpg","original_file_url":"https://upload.wikimedia.org/wikipedia/commons/f/f6/Lake_Isabella_5965.jpg?utm_source=commons.wikimedia.org&amp;utm_campaign=imageinfo&amp;utm_content=original","pixel_review_status":"pending","third_party_rights_review":{"basis":"Kaynakta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dönüştürüldü.","photo_attribution":{"author_url":"https://commons.wikimedia.org/wiki/User:Gillfoto","modifications":"EXIF yönü uygulandı; boyut küçültülüp WebP biçimine dönüştürüldü.","original_file_url":"https://upload.wikimedia.org/wikipedia/commons/f/f6/Lake_Isabella_5965.jpg?utm_source=commons.wikimedia.org&amp;utm_campaign=imageinfo&amp;utm_content=original"},"metadata_reviewed_on":"2026-10-24","metadata_review_status":"verified"}}</x:v>
      </x:c>
    </x:row>
    <x:row r="229" ht="300" customHeight="1">
      <x:c r="A229" s="29" t="str">
        <x:v>bakersfield:evidence:venue-22194</x:v>
      </x:c>
      <x:c r="B229" s="29" t="str">
        <x:v>bakersfield</x:v>
      </x:c>
      <x:c r="C229" s="29" t="str">
        <x:v>bakersfield:photo:venue-22194</x:v>
      </x:c>
      <x:c r="D229" s="29" t="str">
        <x:v>https://commons.wikimedia.org/wiki/File:Kernville_Park_Panoramic_-_panoramio.jpg</x:v>
      </x:c>
      <x:c r="E229" s="29" t="str">
        <x:v>Kernville Park Panoramic - panoramio.jpg</x:v>
      </x:c>
      <x:c r="F229" s="29" t="str">
        <x:v>bahniuk</x:v>
      </x:c>
      <x:c r="G229" s="29" t="str">
        <x:v>CC BY 3.0</x:v>
      </x:c>
      <x:c r="H229" s="29" t="str">
        <x:v>https://creativecommons.org/licenses/by/3.0</x:v>
      </x:c>
      <x:c r="I229" s="29" t="str">
        <x:v>Creative Commons Attribution 3.0</x:v>
      </x:c>
      <x:c r="J229" s="29" t="str">
        <x:v>Kernville Park Panoramic - panoramio.jpg · bahniuk · CC BY 3.0 · https://commons.wikimedia.org/wiki/File:Kernville_Park_Panoramic_-_panoramio.jpg</x:v>
      </x:c>
      <x:c r="K22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29" s="31" t="d">
        <x:v>2026-10-24T00:00:00.000Z</x:v>
      </x:c>
      <x:c r="M229" s="29" t="str">
        <x:v>Doğrulandı</x:v>
      </x:c>
      <x:c r="N229" s="29" t="str">
        <x:v>Doğrulandı</x:v>
      </x:c>
      <x:c r="O229" s="29" t="str">
        <x:v>Fotoğraflar/bk-986c1cda0f92c6f55a17d5c6.webp</x:v>
      </x:c>
      <x:c r="P229" s="29" t="str">
        <x:v>Riverside Park, Kernville · nehir kıyısı panoraması · Take · İndirilen kare temas sayfasında görüldü; kaynak mekân kimliğiyle eşleştirildi. Seçim kaydı final-pixel-review.json.</x:v>
      </x:c>
      <x:c r="Q229" s="29" t="str">
        <x:v>Bu kare için uygun</x:v>
      </x:c>
      <x:c r="R22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29" s="29" t="str">
        <x:v>Lisans kanıtları/bk-986c1cda0f92c6f55a17d5c6.source-evidence.json</x:v>
      </x:c>
      <x:c r="T229" s="29" t="str">
        <x:v>3ad18a06fa12c3f8c539fab739a99174285c0ec777cd7dcfc45dda8a85077987</x:v>
      </x:c>
      <x:c r="U229" s="29" t="str">
        <x:v>Lisans kanıtları/bk-986c1cda0f92c6f55a17d5c6.license-record.json</x:v>
      </x:c>
      <x:c r="V229" s="29" t="str">
        <x:v>77c80dee11e9f84669f51445981c52e18335b8310352262bc7b1982f1ece1d78</x:v>
      </x:c>
      <x:c r="W229" s="29" t="str">
        <x:v>{"file":"bk-986c1cda0f92c6f55a17d5c6.webp","width":3000,"author":"bahniuk","height":497,"sha256":"986c1cda0f92c6f55a17d5c67827ef11e60fcab1fc459bd14b69f5968421441e","license":"CC BY 3.0","imageinfo":{"url":"https://upload.wikimedia.org/wikipedia/commons/7/74/Kernville_Park_Panoramic_-_panoramio.jpg?utm_source=commons.wikimedia.org&amp;utm_campaign=imageinfo&amp;utm_content=original","mime":"image/jpeg","sha1":"3e37ec68e16b16647a7470f0252760bd2336a0ac","size":1011778,"width":4096,"height":678,"pageid":56569943,"thumburl":"https://thumb.wikimedia.org/wikipedia/commons/thumb/7/74/Kernville_Park_Panoramic_-_panoramio.jpg/1280px-Kernville_Park_Panoramic_-_panoramio.jpg?utm_source=commons.wikimedia.org&amp;utm_campaign=imageinfo&amp;utm_content=thumbnail","timestamp":"2017-02-24T11:53:51Z","thumbwidth":1280,"extmetadata":{"Artist":{"value":"&lt;a rel=\"nofollow\" class=\"external text\" href=\"https://web.archive.org/web/20161028211259/http://www.panoramio.com/user/7764891?with_photo_id=92442770\"&gt;bahniuk&lt;/a&gt;","source":"commons-desc-page"},"Credit":{"value":"&lt;a rel=\"nofollow\" class=\"external free\" href=\"https://web.archive.org/web/20161028211157/http://www.panoramio.com/photo/92442770\"&gt;https://web.archive.org/web/20161028211157/http://www.panoramio.com/photo/92442770&lt;/a&gt;","source":"commons-desc-page"},"License":{"value":"cc-by-3.0","hidden":"","source":"commons-templates"},"DateTime":{"value":"2017-02-24 11:53:51","hidden":"","source":"mediawiki-metadata"},"Categories":{"value":"Kern River|Lens flares|Panoramics in California|Panoramio files uploaded by Panoramio upload bot|Panoramio images reviewed by trusted users|Photos from Panoramio|Files with coordinates missing SDC location of creation|United States photographs taken on 2012-11-25","hidden":"","source":"commons-categories"},"LicenseUrl":{"value":"https://creativecommons.org/licenses/by/3.0","source":"commons-desc-page"},"ObjectName":{"value":"Kernville Park Panoramic - panoramio","source":"mediawiki-metadata"},"Permission":{"value":"&lt;div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class=\"licensetpl_attr\"&gt;bahniuk&lt;/div&gt;&lt;/div&gt;&lt;div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24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data-file-height=\"75\"&gt;&lt;/a&gt;&lt;/span&gt;\n&lt;/td&gt;&lt;/tr&gt;&lt;/tbody&gt;&lt;/table&gt;","hidden":"","source":"commons-desc-page"},"UsageTerms":{"value":"Creative Commons Attribution 3.0","source":"commons-desc-page"},"Assessments":{"value":"","hidden":"","source":"commons-categories"},"Attribution":{"value":"bahniuk","hidden":"","source":"commons-desc-page"},"Copyrighted":{"value":"True","hidden":"","source":"commons-desc-page"},"GPSLatitude":{"value":"35.752333","source":"commons-desc-page"},"GPSMapDatum":{"value":"WGS-84","hidden":"","source":"commons-desc-page"},"GPSLongitude":{"value":"-118.424167","source":"commons-desc-page"},"Restrictions":{"value":"","hidden":"","source":"commons-desc-page"},"DateTimeOriginal":{"value":"Taken on 25 November 2012","source":"commons-desc-page"},"ImageDescription":{"value":"Kernville Park Panoramic","source":"commons-desc-page"},"LicenseShortName":{"value":"CC BY 3.0","hidden":"","source":"commons-desc-page"},"AttributionRequired":{"value":"true","hidden":"","source":"commons-desc-page"},"CommonsMetadataExtension":{"value":1.2,"hidden":"","source":"extension"}},"thumbheight":212,"thumbattribs":{"src":"https://thumb.wikimedia.org/wikipedia/commons/thumb/7/74/Kernville_Park_Panoramic_-_panoramio.jpg/1280px-Kernville_Park_Panoramic_-_panoramio.jpg?utm_source=commons.wikimedia.org&amp;utm_campaign=imageinfo&amp;utm_content=thumbnail","width":1280,"height":212,"srcset":"https://thumb.wikimedia.org/wikipedia/commons/thumb/7/74/Kernville_Park_Panoramic_-_panoramio.jpg/3840px-Kernville_Park_Panoramic_-_panoramio.jpg?utm_source=commons.wikimedia.org&amp;utm_campaign=imageinfo&amp;utm_content=thumbnail 2x","loading":"lazy","decoding":"async"},"descriptionurl":"https://commons.wikimedia.org/wiki/File:Kernville_Park_Panoramic_-_panoramio.jpg","responsiveUrls":{"2":"https://thumb.wikimedia.org/wikipedia/commons/thumb/7/74/Kernville_Park_Panoramic_-_panoramio.jpg/3840px-Kernville_Park_Panoramic_-_panoramio.jpg?utm_source=commons.wikimedia.org&amp;utm_campaign=imageinfo&amp;utm_content=thumbnail"},"descriptionshorturl":"https://commons.wikimedia.org/w/index.php?curid=56569943"},"review_id":"L1","selection":{"qid":"pending","kind":"candidate","title":"Bakersfield alternatives"},"author_url":"https://web.archive.org/web/20161028211259/http://www.panoramio.com/user/7764891?with_photo_id=92442770","derivative":"Wikimedia thumbnail decoded; EXIF orientation applied; converted to WebP quality 86; no generated pixels, no cropping.","source_url":"https://commons.wikimedia.org/wiki/File:Kernville_Park_Panoramic_-_panoramio.jpg","author_urls":["https://web.archive.org/web/20161028211259/http://www.panoramio.com/user/7764891?with_photo_id=92442770"],"description":"Kernville Park Panoramic","license_url":"https://creativecommons.org/licenses/by/3.0","reviewed_on":"2026-10-24","capture_date":"Taken on 25 November 2012","download_url":"https://thumb.wikimedia.org/wikipedia/commons/thumb/7/74/Kernville_Park_Panoramic_-_panoramio.jpg/1280px-Kernville_Park_Panoramic_-_panoramio.jpg?utm_source=commons.wikimedia.org&amp;utm_campaign=imageinfo&amp;utm_content=thumbnail","original_url":"https://upload.wikimedia.org/wikipedia/commons/7/74/Kernville_Park_Panoramic_-_panoramio.jpg?utm_source=commons.wikimedia.org&amp;utm_campaign=imageinfo&amp;utm_content=original","pixel_review":{"method":"İndirilen kare temas sayfasında görüldü; kaynak mekân kimliğiyle eşleştirildi. Seçim kaydı final-pixel-review.json.","status":"verified","caption":"Riverside Park, Kernville · nehir kıyısı panoraması · Take","reviewer":"Codex (AI)","review_id":"L1"},"downloaded_at":"2026-10-23T21:35:16.458388+00:00","download_sha256":"7bf37cfa2586081c11e968f7e9e3a74155512b49ae0816db475c1e5c502a746f","downloaded_file":"downloads/7bf37cfa2586081c11e968f7e9e3a74155512b49ae0816db475c1e5c502a746f.jpg","acquisition_file":"upgrade-7bf37cfa2586081c11e968f7.webp","commons_filename":"Kernville Park Panoramic - panoramio.jpg","original_file_url":"https://upload.wikimedia.org/wikipedia/commons/7/74/Kernville_Park_Panoramic_-_panorami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dönüştürüldü.","photo_attribution":{"author_url":"https://web.archive.org/web/20161028211259/http://www.panoramio.com/user/7764891?with_photo_id=92442770","modifications":"EXIF yönü uygulandı; boyut küçültülüp WebP biçimine dönüştürüldü.","original_file_url":"https://upload.wikimedia.org/wikipedia/commons/7/74/Kernville_Park_Panoramic_-_panoramio.jpg?utm_source=commons.wikimedia.org&amp;utm_campaign=imageinfo&amp;utm_content=original"},"metadata_reviewed_on":"2026-10-24","metadata_review_status":"verified"}}</x:v>
      </x:c>
    </x:row>
    <x:row r="230" ht="300" customHeight="1">
      <x:c r="A230" s="29" t="str">
        <x:v>bakersfield:evidence:venue-22195</x:v>
      </x:c>
      <x:c r="B230" s="29" t="str">
        <x:v>bakersfield</x:v>
      </x:c>
      <x:c r="C230" s="29" t="str">
        <x:v>bakersfield:photo:venue-22195</x:v>
      </x:c>
      <x:c r="D230" s="29" t="str">
        <x:v>https://commons.wikimedia.org/wiki/File:Silver_City_Ghost_Town_5984.jpg</x:v>
      </x:c>
      <x:c r="E230" s="29" t="str">
        <x:v>Silver City Ghost Town 5984.jpg</x:v>
      </x:c>
      <x:c r="F230" s="29" t="str">
        <x:v>Gillfoto</x:v>
      </x:c>
      <x:c r="G230" s="29" t="str">
        <x:v>CC BY-SA 4.0</x:v>
      </x:c>
      <x:c r="H230" s="29" t="str">
        <x:v>https://creativecommons.org/licenses/by-sa/4.0</x:v>
      </x:c>
      <x:c r="I230" s="29" t="str">
        <x:v>Creative Commons Attribution-Share Alike 4.0</x:v>
      </x:c>
      <x:c r="J230" s="29" t="str">
        <x:v>Silver City Ghost Town 5984.jpg · Gillfoto · CC BY-SA 4.0 · https://commons.wikimedia.org/wiki/File:Silver_City_Ghost_Town_5984.jpg</x:v>
      </x:c>
      <x:c r="K23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0" s="31" t="d">
        <x:v>2026-10-24T00:00:00.000Z</x:v>
      </x:c>
      <x:c r="M230" s="29" t="str">
        <x:v>Doğrulandı</x:v>
      </x:c>
      <x:c r="N230" s="29" t="str">
        <x:v>Doğrulandı</x:v>
      </x:c>
      <x:c r="O230" s="29" t="str">
        <x:v>Fotoğraflar/bk-7bd882b6c78c706e799147ea.webp</x:v>
      </x:c>
      <x:c r="P230" s="29" t="str">
        <x:v>Silver City Ghost Town · 2018 tarihli fotoğraf · İndirilen kare temas sayfasında görüldü; kaynak mekân kimliğiyle eşleştirildi. Seçim kaydı final-pixel-review.json.</x:v>
      </x:c>
      <x:c r="Q230" s="29" t="str">
        <x:v>Bu kare için uygun</x:v>
      </x:c>
      <x:c r="R23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0" s="29" t="str">
        <x:v>Lisans kanıtları/bk-7bd882b6c78c706e799147ea.source-evidence.json</x:v>
      </x:c>
      <x:c r="T230" s="29" t="str">
        <x:v>fa015808036ae5da6efaa21d879d631bc5899f92779e46badbb5ca5dea14acfd</x:v>
      </x:c>
      <x:c r="U230" s="29" t="str">
        <x:v>Lisans kanıtları/bk-7bd882b6c78c706e799147ea.license-record.json</x:v>
      </x:c>
      <x:c r="V230" s="29" t="str">
        <x:v>43dd0cc330da780e1ba1be1384d968a7278a35b9163b8d2539087c7228eaa845</x:v>
      </x:c>
      <x:c r="W230" s="29" t="str">
        <x:v>{"file":"bk-7bd882b6c78c706e799147ea.webp","width":1280,"author":"Gillfoto","height":960,"sha256":"7bd882b6c78c706e799147eab0d6e83347c05182a13da773faccb9c817788b88","license":"CC BY-SA 4.0","imageinfo":{"url":"https://upload.wikimedia.org/wikipedia/commons/6/69/Silver_City_Ghost_Town_5984.jpg?utm_source=commons.wikimedia.org&amp;utm_campaign=imageinfo&amp;utm_content=original","mime":"image/jpeg","sha1":"1989fae825011077a5d58fbe89fedd564ff87efc","size":4369655,"width":4032,"height":3024,"pageid":72668786,"thumburl":"https://thumb.wikimedia.org/wikipedia/commons/thumb/6/69/Silver_City_Ghost_Town_5984.jpg/1280px-Silver_City_Ghost_Town_5984.jpg?utm_source=commons.wikimedia.org&amp;utm_campaign=imageinfo&amp;utm_content=thumbnail","timestamp":"2018-09-12T04:02:43Z","thumbwidth":1280,"extmetadata":{"Artist":{"value":"&lt;a href=\"//commons.wikimedia.org/wiki/User:Gillfoto\" title=\"User:Gillfoto\"&gt;Gillfoto&lt;/a&gt;","source":"commons-desc-page"},"Credit":{"value":"&lt;span class=\"int-own-work\" lang=\"en\"&gt;Own work&lt;/span&gt;","source":"commons-desc-page"},"License":{"value":"cc-by-sa-4.0","hidden":"","source":"commons-templates"},"DateTime":{"value":"2018-09-12 04:02:43","hidden":"","source":"mediawiki-metadata"},"Categories":{"value":"Self-published work|Files by User:Gillfoto|Photographs of California by Gillfoto|Silver City Ghost Town","hidden":"","source":"commons-categories"},"LicenseUrl":{"value":"https://creativecommons.org/licenses/by-sa/4.0","source":"commons-desc-page"},"ObjectName":{"value":"Silver City Ghost Town 5984","source":"mediawiki-metadata"},"UsageTerms":{"value":"Creative Commons Attribution-Share Alike 4.0","source":"commons-desc-page"},"Assessments":{"value":"","hidden":"","source":"commons-categories"},"Copyrighted":{"value":"True","hidden":"","source":"commons-desc-page"},"Restrictions":{"value":"","hidden":"","source":"commons-desc-page"},"DateTimeOriginal":{"value":"2018-02-03 14:52:48","source":"commons-desc-page"},"ImageDescription":{"value":"Silver City Ghost Town","source":"commons-desc-page"},"LicenseShortName":{"value":"CC BY-SA 4.0","hidden":"","source":"commons-desc-page"},"AttributionRequired":{"value":"true","hidden":"","source":"commons-desc-page"},"CommonsMetadataExtension":{"value":1.2,"hidden":"","source":"extension"}},"thumbheight":960,"thumbattribs":{"src":"https://thumb.wikimedia.org/wikipedia/commons/thumb/6/69/Silver_City_Ghost_Town_5984.jpg/1280px-Silver_City_Ghost_Town_5984.jpg?utm_source=commons.wikimedia.org&amp;utm_campaign=imageinfo&amp;utm_content=thumbnail","width":1280,"height":960,"srcset":"https://thumb.wikimedia.org/wikipedia/commons/thumb/6/69/Silver_City_Ghost_Town_5984.jpg/3840px-Silver_City_Ghost_Town_5984.jpg?utm_source=commons.wikimedia.org&amp;utm_campaign=imageinfo&amp;utm_content=thumbnail 2x","loading":"lazy","decoding":"async"},"descriptionurl":"https://commons.wikimedia.org/wiki/File:Silver_City_Ghost_Town_5984.jpg","responsiveUrls":{"2":"https://thumb.wikimedia.org/wikipedia/commons/thumb/6/69/Silver_City_Ghost_Town_5984.jpg/3840px-Silver_City_Ghost_Town_5984.jpg?utm_source=commons.wikimedia.org&amp;utm_campaign=imageinfo&amp;utm_content=thumbnail"},"descriptionshorturl":"https://commons.wikimedia.org/w/index.php?curid=72668786"},"selection":{"qid":"pending","kind":"candidate","title":"Bakersfield regional research"},"author_url":"https://commons.wikimedia.org/wiki/User:Gillfoto","derivative":"Wikimedia thumbnail decoded; EXIF orientation applied; converted to WebP quality 86; no generated pixels, no cropping.","source_url":"https://commons.wikimedia.org/wiki/File:Silver_City_Ghost_Town_5984.jpg","author_urls":["https://commons.wikimedia.org/wiki/User:Gillfoto"],"description":"Silver City Ghost Town","license_url":"https://creativecommons.org/licenses/by-sa/4.0","reviewed_on":"2026-10-24","capture_date":"2018-02-03 14:52:48","download_url":"https://thumb.wikimedia.org/wikipedia/commons/thumb/6/69/Silver_City_Ghost_Town_5984.jpg/1280px-Silver_City_Ghost_Town_5984.jpg?utm_source=commons.wikimedia.org&amp;utm_campaign=imageinfo&amp;utm_content=thumbnail","original_url":"https://upload.wikimedia.org/wikipedia/commons/6/69/Silver_City_Ghost_Town_5984.jpg?utm_source=commons.wikimedia.org&amp;utm_campaign=imageinfo&amp;utm_content=original","pixel_review":{"method":"İndirilen kare temas sayfasında görüldü; kaynak mekân kimliğiyle eşleştirildi. Seçim kaydı final-pixel-review.json.","status":"verified","caption":"Silver City Ghost Town · 2018 tarihli fotoğraf","reviewer":"Codex (AI)","review_id":"R31"},"downloaded_at":"2026-10-23T20:01:07.088878+00:00","download_sha256":"0de52ffc4a7ff91fffa5b88fb9a2294a315f8140e8645120aae447440caef5a7","downloaded_file":"downloads/0de52ffc4a7ff91fffa5b88fb9a2294a315f8140e8645120aae447440caef5a7.jpg","acquisition_file":"3ea507cec491b566c3c0818b.webp","commons_filename":"Silver City Ghost Town 5984.jpg","original_file_url":"https://upload.wikimedia.org/wikipedia/commons/6/69/Silver_City_Ghost_Town_5984.jpg?utm_source=commons.wikimedia.org&amp;utm_campaign=imageinfo&amp;utm_content=original","pixel_review_status":"pending","third_party_rights_review":{"basis":"Kaynakta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dönüştürüldü.","photo_attribution":{"author_url":"https://commons.wikimedia.org/wiki/User:Gillfoto","modifications":"EXIF yönü uygulandı; boyut küçültülüp WebP biçimine dönüştürüldü.","original_file_url":"https://upload.wikimedia.org/wikipedia/commons/6/69/Silver_City_Ghost_Town_5984.jpg?utm_source=commons.wikimedia.org&amp;utm_campaign=imageinfo&amp;utm_content=original"},"metadata_reviewed_on":"2026-10-24","metadata_review_status":"verified"}}</x:v>
      </x:c>
    </x:row>
    <x:row r="231" ht="300" customHeight="1">
      <x:c r="A231" s="29" t="str">
        <x:v>bakersfield:evidence:venue-22196</x:v>
      </x:c>
      <x:c r="B231" s="29" t="str">
        <x:v>bakersfield</x:v>
      </x:c>
      <x:c r="C231" s="29" t="str">
        <x:v>bakersfield:photo:venue-22196</x:v>
      </x:c>
      <x:c r="D231" s="29" t="str">
        <x:v>https://commons.wikimedia.org/wiki/File:Silver_City_Ghost_Town_(39358919714).jpg</x:v>
      </x:c>
      <x:c r="E231" s="29" t="str">
        <x:v>Silver City Ghost Town (39358919714).jpg</x:v>
      </x:c>
      <x:c r="F231" s="29" t="str">
        <x:v>Gillfoto from Juneau, Alaska, United States</x:v>
      </x:c>
      <x:c r="G231" s="29" t="str">
        <x:v>CC BY-SA 2.0</x:v>
      </x:c>
      <x:c r="H231" s="29" t="str">
        <x:v>https://creativecommons.org/licenses/by-sa/2.0</x:v>
      </x:c>
      <x:c r="I231" s="29" t="str">
        <x:v>Creative Commons Attribution-Share Alike 2.0</x:v>
      </x:c>
      <x:c r="J231" s="29" t="str">
        <x:v>Silver City Ghost Town (39358919714).jpg · Gillfoto from Juneau, Alaska, United States · CC BY-SA 2.0 · https://commons.wikimedia.org/wiki/File:Silver_City_Ghost_Town_(39358919714).jpg</x:v>
      </x:c>
      <x:c r="K23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1" s="31" t="d">
        <x:v>2026-10-24T00:00:00.000Z</x:v>
      </x:c>
      <x:c r="M231" s="29" t="str">
        <x:v>Doğrulandı</x:v>
      </x:c>
      <x:c r="N231" s="29" t="str">
        <x:v>Doğrulandı</x:v>
      </x:c>
      <x:c r="O231" s="29" t="str">
        <x:v>Fotoğraflar/bk-f8c03a7898185cd4d9640821.webp</x:v>
      </x:c>
      <x:c r="P231" s="29" t="str">
        <x:v>Silver City Ghost Town · 2018 tarihli fotoğraf · İndirilen kare temas sayfasında görüldü; kaynak mekân kimliğiyle eşleştirildi. Seçim kaydı final-pixel-review.json.</x:v>
      </x:c>
      <x:c r="Q231" s="29" t="str">
        <x:v>Bu kare için uygun</x:v>
      </x:c>
      <x:c r="R23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1" s="29" t="str">
        <x:v>Lisans kanıtları/bk-f8c03a7898185cd4d9640821.source-evidence.json</x:v>
      </x:c>
      <x:c r="T231" s="29" t="str">
        <x:v>8ad7761e41f56b82ba3a677da879c2a1e46462843ce5247a2d27755331561a39</x:v>
      </x:c>
      <x:c r="U231" s="29" t="str">
        <x:v>Lisans kanıtları/bk-f8c03a7898185cd4d9640821.license-record.json</x:v>
      </x:c>
      <x:c r="V231" s="29" t="str">
        <x:v>4cd7a8eeb64aae269bb569b65110bd14c352843818c9ba5a18517814899ec3c4</x:v>
      </x:c>
      <x:c r="W231" s="29" t="str">
        <x:v>{"file":"bk-f8c03a7898185cd4d9640821.webp","width":1080,"author":"Gillfoto from Juneau, Alaska, United States","height":1440,"sha256":"f8c03a7898185cd4d9640821296782aae11d415b3860b38d939cb1182f4785fd","license":"CC BY-SA 2.0","imageinfo":{"url":"https://upload.wikimedia.org/wikipedia/commons/5/54/Silver_City_Ghost_Town_%2839358919714%29.jpg?utm_source=commons.wikimedia.org&amp;utm_campaign=imageinfo&amp;utm_content=original","mime":"image/jpeg","sha1":"c69b800e4d2f38c4f787da973d6fa877cd6150ae","size":4158558,"width":3024,"height":4032,"pageid":74272535,"thumburl":"https://thumb.wikimedia.org/wikipedia/commons/thumb/5/54/Silver_City_Ghost_Town_%2839358919714%29.jpg/1280px-Silver_City_Ghost_Town_%2839358919714%29.jpg?utm_source=commons.wikimedia.org&amp;utm_campaign=imageinfo&amp;utm_content=thumbnail","timestamp":"2018-11-09T20:23:37Z","thumbwidth":1280,"extmetadata":{"Artist":{"value":"&lt;a rel=\"nofollow\" class=\"external text\" href=\"https://www.flickr.com/people/12914838@N00\"&gt;Gillfoto&lt;/a&gt; from Juneau, Alaska, United States","source":"commons-desc-page"},"Credit":{"value":"&lt;a rel=\"nofollow\" class=\"external text\" href=\"https://www.flickr.com/photos/gillfoto/39358919714/\"&gt;Silver City Ghost Town&lt;/a&gt;","source":"commons-desc-page"},"License":{"value":"cc-by-sa-2.0","hidden":"","source":"commons-templates"},"DateTime":{"value":"2018-11-09 20:23:37","hidden":"","source":"mediawiki-metadata"},"Categories":{"value":"Files with coordinates missing SDC location of creation|Flickr images reviewed by FlickreviewR 2|Photographs of California by Gillfoto|Silver City Ghost Town","hidden":"","source":"commons-categories"},"LicenseUrl":{"value":"https://creativecommons.org/licenses/by-sa/2.0","source":"commons-desc-page"},"ObjectName":{"value":"Silver City Ghost Town (39358919714)","source":"mediawiki-metadata"},"UsageTerms":{"value":"Creative Commons Attribution-Share Alike 2.0","source":"commons-desc-page"},"Assessments":{"value":"","hidden":"","source":"commons-categories"},"Copyrighted":{"value":"True","hidden":"","source":"commons-desc-page"},"GPSLatitude":{"value":"35.597908","source":"commons-desc-page"},"GPSMapDatum":{"value":"WGS-84","hidden":"","source":"commons-desc-page"},"GPSLongitude":{"value":"-118.491570","source":"commons-desc-page"},"Restrictions":{"value":"","hidden":"","source":"commons-desc-page"},"DateTimeOriginal":{"value":"2018-02-03 15:06","source":"commons-desc-page"},"ImageDescription":{"value":"Silver City Ghost Town, Bodfish, CA.","source":"commons-desc-page"},"LicenseShortName":{"value":"CC BY-SA 2.0","hidden":"","source":"commons-desc-page"},"AttributionRequired":{"value":"true","hidden":"","source":"commons-desc-page"},"CommonsMetadataExtension":{"value":1.2,"hidden":"","source":"extension"}},"thumbheight":1707,"thumbattribs":{"src":"https://thumb.wikimedia.org/wikipedia/commons/thumb/5/54/Silver_City_Ghost_Town_%2839358919714%29.jpg/1280px-Silver_City_Ghost_Town_%2839358919714%29.jpg?utm_source=commons.wikimedia.org&amp;utm_campaign=imageinfo&amp;utm_content=thumbnail","width":1280,"height":1707,"srcset":"https://thumb.wikimedia.org/wikipedia/commons/thumb/5/54/Silver_City_Ghost_Town_%2839358919714%29.jpg/1920px-Silver_City_Ghost_Town_%2839358919714%29.jpg?utm_source=commons.wikimedia.org&amp;utm_campaign=imageinfo&amp;utm_content=thumbnail 2x","loading":"lazy","decoding":"async"},"descriptionurl":"https://commons.wikimedia.org/wiki/File:Silver_City_Ghost_Town_(39358919714).jpg","responsiveUrls":{"2":"https://thumb.wikimedia.org/wikipedia/commons/thumb/5/54/Silver_City_Ghost_Town_%2839358919714%29.jpg/1920px-Silver_City_Ghost_Town_%2839358919714%29.jpg?utm_source=commons.wikimedia.org&amp;utm_campaign=imageinfo&amp;utm_content=thumbnail"},"descriptionshorturl":"https://commons.wikimedia.org/w/index.php?curid=74272535"},"selection":{"qid":"pending","kind":"candidate","title":"Bakersfield regional research"},"author_url":"https://www.flickr.com/people/12914838@N00","derivative":"Wikimedia thumbnail decoded; EXIF orientation applied; converted to WebP quality 86; no generated pixels, no cropping.","source_url":"https://commons.wikimedia.org/wiki/File:Silver_City_Ghost_Town_(39358919714).jpg","author_urls":["https://www.flickr.com/people/12914838@N00"],"description":"Silver City Ghost Town, Bodfish, CA.","license_url":"https://creativecommons.org/licenses/by-sa/2.0","reviewed_on":"2026-10-24","capture_date":"2018-02-03 15:06","download_url":"https://thumb.wikimedia.org/wikipedia/commons/thumb/5/54/Silver_City_Ghost_Town_%2839358919714%29.jpg/1280px-Silver_City_Ghost_Town_%2839358919714%29.jpg?utm_source=commons.wikimedia.org&amp;utm_campaign=imageinfo&amp;utm_content=thumbnail","original_url":"https://upload.wikimedia.org/wikipedia/commons/5/54/Silver_City_Ghost_Town_%2839358919714%29.jpg?utm_source=commons.wikimedia.org&amp;utm_campaign=imageinfo&amp;utm_content=original","pixel_review":{"method":"İndirilen kare temas sayfasında görüldü; kaynak mekân kimliğiyle eşleştirildi. Seçim kaydı final-pixel-review.json.","status":"verified","caption":"Silver City Ghost Town · 2018 tarihli fotoğraf","reviewer":"Codex (AI)","review_id":"R29"},"downloaded_at":"2026-10-23T20:01:04.563381+00:00","download_sha256":"e15b36ca402c65fcc42a847cbe422093aa0e6f4052cf87bc09ed6c1c9bf8b0b7","downloaded_file":"downloads/e15b36ca402c65fcc42a847cbe422093aa0e6f4052cf87bc09ed6c1c9bf8b0b7.jpg","acquisition_file":"1ced090ef47c3567a291a3c5.webp","commons_filename":"Silver City Ghost Town (39358919714).jpg","original_file_url":"https://upload.wikimedia.org/wikipedia/commons/5/54/Silver_City_Ghost_Town_%2839358919714%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dönüştürüldü.","photo_attribution":{"author_url":"https://www.flickr.com/people/12914838@N00","modifications":"EXIF yönü uygulandı; boyut küçültülüp WebP biçimine dönüştürüldü.","original_file_url":"https://upload.wikimedia.org/wikipedia/commons/5/54/Silver_City_Ghost_Town_%2839358919714%29.jpg?utm_source=commons.wikimedia.org&amp;utm_campaign=imageinfo&amp;utm_content=original"},"metadata_reviewed_on":"2026-10-24","metadata_review_status":"verified"}}</x:v>
      </x:c>
    </x:row>
    <x:row r="232" ht="300" customHeight="1">
      <x:c r="A232" s="29" t="str">
        <x:v>bakersfield:evidence:venue-22197</x:v>
      </x:c>
      <x:c r="B232" s="29" t="str">
        <x:v>bakersfield</x:v>
      </x:c>
      <x:c r="C232" s="29" t="str">
        <x:v>bakersfield:photo:venue-22197</x:v>
      </x:c>
      <x:c r="D232" s="29" t="str">
        <x:v>https://commons.wikimedia.org/wiki/File:Silver_City_Ghost_Town_5990.jpg</x:v>
      </x:c>
      <x:c r="E232" s="29" t="str">
        <x:v>Silver City Ghost Town 5990.jpg</x:v>
      </x:c>
      <x:c r="F232" s="29" t="str">
        <x:v>Gillfoto</x:v>
      </x:c>
      <x:c r="G232" s="29" t="str">
        <x:v>CC BY-SA 4.0</x:v>
      </x:c>
      <x:c r="H232" s="29" t="str">
        <x:v>https://creativecommons.org/licenses/by-sa/4.0</x:v>
      </x:c>
      <x:c r="I232" s="29" t="str">
        <x:v>Creative Commons Attribution-Share Alike 4.0</x:v>
      </x:c>
      <x:c r="J232" s="29" t="str">
        <x:v>Silver City Ghost Town 5990.jpg · Gillfoto · CC BY-SA 4.0 · https://commons.wikimedia.org/wiki/File:Silver_City_Ghost_Town_5990.jpg</x:v>
      </x:c>
      <x:c r="K23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2" s="31" t="d">
        <x:v>2026-10-24T00:00:00.000Z</x:v>
      </x:c>
      <x:c r="M232" s="29" t="str">
        <x:v>Doğrulandı</x:v>
      </x:c>
      <x:c r="N232" s="29" t="str">
        <x:v>Doğrulandı</x:v>
      </x:c>
      <x:c r="O232" s="29" t="str">
        <x:v>Fotoğraflar/bk-5038399b5116a5b1bb5691d6.webp</x:v>
      </x:c>
      <x:c r="P232" s="29" t="str">
        <x:v>Silver City Ghost Town · 2018 tarihli fotoğraf · İndirilen kare temas sayfasında görüldü; kaynak mekân kimliğiyle eşleştirildi. Seçim kaydı final-pixel-review.json.</x:v>
      </x:c>
      <x:c r="Q232" s="29" t="str">
        <x:v>Bu kare için uygun</x:v>
      </x:c>
      <x:c r="R23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2" s="29" t="str">
        <x:v>Lisans kanıtları/bk-5038399b5116a5b1bb5691d6.source-evidence.json</x:v>
      </x:c>
      <x:c r="T232" s="29" t="str">
        <x:v>512d4a125311f9ba1ac93dd63f120b0d09e9a1b72dd400e93731238d6933219c</x:v>
      </x:c>
      <x:c r="U232" s="29" t="str">
        <x:v>Lisans kanıtları/bk-5038399b5116a5b1bb5691d6.license-record.json</x:v>
      </x:c>
      <x:c r="V232" s="29" t="str">
        <x:v>bb341bfc60b95c840b8302f46b421ba7b9bf8f85f67faeefc8fd96704d09094a</x:v>
      </x:c>
      <x:c r="W232" s="29" t="str">
        <x:v>{"file":"bk-5038399b5116a5b1bb5691d6.webp","width":1280,"author":"Gillfoto","height":960,"sha256":"5038399b5116a5b1bb5691d63fe2fad161ca6f3c6fd0aa16899a5d6db8072ac6","license":"CC BY-SA 4.0","imageinfo":{"url":"https://upload.wikimedia.org/wikipedia/commons/b/bb/Silver_City_Ghost_Town_5990.jpg?utm_source=commons.wikimedia.org&amp;utm_campaign=imageinfo&amp;utm_content=original","mime":"image/jpeg","sha1":"c191eac69f73ff21fa73a26813cbb8db2e878011","size":4850736,"width":4032,"height":3024,"pageid":72668788,"thumburl":"https://thumb.wikimedia.org/wikipedia/commons/thumb/b/bb/Silver_City_Ghost_Town_5990.jpg/1280px-Silver_City_Ghost_Town_5990.jpg?utm_source=commons.wikimedia.org&amp;utm_campaign=imageinfo&amp;utm_content=thumbnail","timestamp":"2018-09-12T04:02:46Z","thumbwidth":1280,"extmetadata":{"Artist":{"value":"&lt;a href=\"//commons.wikimedia.org/wiki/User:Gillfoto\" title=\"User:Gillfoto\"&gt;Gillfoto&lt;/a&gt;","source":"commons-desc-page"},"Credit":{"value":"&lt;span class=\"int-own-work\" lang=\"en\"&gt;Own work&lt;/span&gt;","source":"commons-desc-page"},"License":{"value":"cc-by-sa-4.0","hidden":"","source":"commons-templates"},"DateTime":{"value":"2018-09-12 04:02:46","hidden":"","source":"mediawiki-metadata"},"Categories":{"value":"Self-published work|Files by User:Gillfoto|Photographs of California by Gillfoto|Silver City Ghost Town","hidden":"","source":"commons-categories"},"LicenseUrl":{"value":"https://creativecommons.org/licenses/by-sa/4.0","source":"commons-desc-page"},"ObjectName":{"value":"Silver City Ghost Town 5990","source":"mediawiki-metadata"},"UsageTerms":{"value":"Creative Commons Attribution-Share Alike 4.0","source":"commons-desc-page"},"Assessments":{"value":"","hidden":"","source":"commons-categories"},"Copyrighted":{"value":"True","hidden":"","source":"commons-desc-page"},"Restrictions":{"value":"","hidden":"","source":"commons-desc-page"},"DateTimeOriginal":{"value":"2018-02-03 15:04:04","source":"commons-desc-page"},"ImageDescription":{"value":"Silver City Ghost Town","source":"commons-desc-page"},"LicenseShortName":{"value":"CC BY-SA 4.0","hidden":"","source":"commons-desc-page"},"AttributionRequired":{"value":"true","hidden":"","source":"commons-desc-page"},"CommonsMetadataExtension":{"value":1.2,"hidden":"","source":"extension"}},"thumbheight":960,"thumbattribs":{"src":"https://thumb.wikimedia.org/wikipedia/commons/thumb/b/bb/Silver_City_Ghost_Town_5990.jpg/1280px-Silver_City_Ghost_Town_5990.jpg?utm_source=commons.wikimedia.org&amp;utm_campaign=imageinfo&amp;utm_content=thumbnail","width":1280,"height":960,"srcset":"https://thumb.wikimedia.org/wikipedia/commons/thumb/b/bb/Silver_City_Ghost_Town_5990.jpg/3840px-Silver_City_Ghost_Town_5990.jpg?utm_source=commons.wikimedia.org&amp;utm_campaign=imageinfo&amp;utm_content=thumbnail 2x","loading":"lazy","decoding":"async"},"descriptionurl":"https://commons.wikimedia.org/wiki/File:Silver_City_Ghost_Town_5990.jpg","responsiveUrls":{"2":"https://thumb.wikimedia.org/wikipedia/commons/thumb/b/bb/Silver_City_Ghost_Town_5990.jpg/3840px-Silver_City_Ghost_Town_5990.jpg?utm_source=commons.wikimedia.org&amp;utm_campaign=imageinfo&amp;utm_content=thumbnail"},"descriptionshorturl":"https://commons.wikimedia.org/w/index.php?curid=72668788"},"selection":{"qid":"pending","kind":"candidate","title":"Bakersfield regional research"},"author_url":"https://commons.wikimedia.org/wiki/User:Gillfoto","derivative":"Wikimedia thumbnail decoded; EXIF orientation applied; converted to WebP quality 86; no generated pixels, no cropping.","source_url":"https://commons.wikimedia.org/wiki/File:Silver_City_Ghost_Town_5990.jpg","author_urls":["https://commons.wikimedia.org/wiki/User:Gillfoto"],"description":"Silver City Ghost Town","license_url":"https://creativecommons.org/licenses/by-sa/4.0","reviewed_on":"2026-10-24","capture_date":"2018-02-03 15:04:04","download_url":"https://thumb.wikimedia.org/wikipedia/commons/thumb/b/bb/Silver_City_Ghost_Town_5990.jpg/1280px-Silver_City_Ghost_Town_5990.jpg?utm_source=commons.wikimedia.org&amp;utm_campaign=imageinfo&amp;utm_content=thumbnail","original_url":"https://upload.wikimedia.org/wikipedia/commons/b/bb/Silver_City_Ghost_Town_5990.jpg?utm_source=commons.wikimedia.org&amp;utm_campaign=imageinfo&amp;utm_content=original","pixel_review":{"method":"İndirilen kare temas sayfasında görüldü; kaynak mekân kimliğiyle eşleştirildi. Seçim kaydı final-pixel-review.json.","status":"verified","caption":"Silver City Ghost Town · 2018 tarihli fotoğraf","reviewer":"Codex (AI)","review_id":"R33"},"downloaded_at":"2026-10-23T20:01:09.276875+00:00","download_sha256":"fed83a8036c4057ea689feef6e59fa20f20adc197bd6e13c4e9e67c9772bd475","downloaded_file":"downloads/fed83a8036c4057ea689feef6e59fa20f20adc197bd6e13c4e9e67c9772bd475.jpg","acquisition_file":"832a71ba6233df90b787525c.webp","commons_filename":"Silver City Ghost Town 5990.jpg","original_file_url":"https://upload.wikimedia.org/wikipedia/commons/b/bb/Silver_City_Ghost_Town_5990.jpg?utm_source=commons.wikimedia.org&amp;utm_campaign=imageinfo&amp;utm_content=original","pixel_review_status":"pending","third_party_rights_review":{"basis":"Kaynakta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dönüştürüldü.","photo_attribution":{"author_url":"https://commons.wikimedia.org/wiki/User:Gillfoto","modifications":"EXIF yönü uygulandı; boyut küçültülüp WebP biçimine dönüştürüldü.","original_file_url":"https://upload.wikimedia.org/wikipedia/commons/b/bb/Silver_City_Ghost_Town_5990.jpg?utm_source=commons.wikimedia.org&amp;utm_campaign=imageinfo&amp;utm_content=original"},"metadata_reviewed_on":"2026-10-24","metadata_review_status":"verified"}}</x:v>
      </x:c>
    </x:row>
    <x:row r="233" ht="300" customHeight="1">
      <x:c r="A233" s="29" t="str">
        <x:v>bakersfield:evidence:venue-22198</x:v>
      </x:c>
      <x:c r="B233" s="29" t="str">
        <x:v>bakersfield</x:v>
      </x:c>
      <x:c r="C233" s="29" t="str">
        <x:v>bakersfield:photo:venue-22198</x:v>
      </x:c>
      <x:c r="D233" s="29" t="str">
        <x:v>https://commons.wikimedia.org/wiki/File:Silver_City_Ghost_Town_5992.jpg</x:v>
      </x:c>
      <x:c r="E233" s="29" t="str">
        <x:v>Silver City Ghost Town 5992.jpg</x:v>
      </x:c>
      <x:c r="F233" s="29" t="str">
        <x:v>Gillfoto</x:v>
      </x:c>
      <x:c r="G233" s="29" t="str">
        <x:v>CC BY-SA 4.0</x:v>
      </x:c>
      <x:c r="H233" s="29" t="str">
        <x:v>https://creativecommons.org/licenses/by-sa/4.0</x:v>
      </x:c>
      <x:c r="I233" s="29" t="str">
        <x:v>Creative Commons Attribution-Share Alike 4.0</x:v>
      </x:c>
      <x:c r="J233" s="29" t="str">
        <x:v>Silver City Ghost Town 5992.jpg · Gillfoto · CC BY-SA 4.0 · https://commons.wikimedia.org/wiki/File:Silver_City_Ghost_Town_5992.jpg</x:v>
      </x:c>
      <x:c r="K23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3" s="31" t="d">
        <x:v>2026-10-24T00:00:00.000Z</x:v>
      </x:c>
      <x:c r="M233" s="29" t="str">
        <x:v>Doğrulandı</x:v>
      </x:c>
      <x:c r="N233" s="29" t="str">
        <x:v>Doğrulandı</x:v>
      </x:c>
      <x:c r="O233" s="29" t="str">
        <x:v>Fotoğraflar/bk-1010cd7666d0735158c9fa77.webp</x:v>
      </x:c>
      <x:c r="P233" s="29" t="str">
        <x:v>Silver City Ghost Town · 2018 tarihli fotoğraf · İndirilen kare temas sayfasında görüldü; kaynak mekân kimliğiyle eşleştirildi. Seçim kaydı final-pixel-review.json.</x:v>
      </x:c>
      <x:c r="Q233" s="29" t="str">
        <x:v>Bu kare için uygun</x:v>
      </x:c>
      <x:c r="R23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3" s="29" t="str">
        <x:v>Lisans kanıtları/bk-1010cd7666d0735158c9fa77.source-evidence.json</x:v>
      </x:c>
      <x:c r="T233" s="29" t="str">
        <x:v>bc3f750c8323a1b379f6fdec324a656bd744673b537c9a8a35446826b7affe58</x:v>
      </x:c>
      <x:c r="U233" s="29" t="str">
        <x:v>Lisans kanıtları/bk-1010cd7666d0735158c9fa77.license-record.json</x:v>
      </x:c>
      <x:c r="V233" s="29" t="str">
        <x:v>5f5959c4b7736b68964118ecaabba7f8dc5de2f1023ec26f88373cbfa6c6ea27</x:v>
      </x:c>
      <x:c r="W233" s="29" t="str">
        <x:v>{"file":"bk-1010cd7666d0735158c9fa77.webp","width":1280,"author":"Gillfoto","height":960,"sha256":"1010cd7666d0735158c9fa7739a0293032ecde2201a7531267bff47d7bdeea2d","license":"CC BY-SA 4.0","imageinfo":{"url":"https://upload.wikimedia.org/wikipedia/commons/7/72/Silver_City_Ghost_Town_5992.jpg?utm_source=commons.wikimedia.org&amp;utm_campaign=imageinfo&amp;utm_content=original","mime":"image/jpeg","sha1":"41e70ac5124d2bbf4bc883a8d9196b608daaf5c4","size":3064489,"width":4032,"height":3024,"pageid":72668787,"thumburl":"https://thumb.wikimedia.org/wikipedia/commons/thumb/7/72/Silver_City_Ghost_Town_5992.jpg/1280px-Silver_City_Ghost_Town_5992.jpg?utm_source=commons.wikimedia.org&amp;utm_campaign=imageinfo&amp;utm_content=thumbnail","timestamp":"2018-09-12T04:02:46Z","thumbwidth":1280,"extmetadata":{"Artist":{"value":"&lt;a href=\"//commons.wikimedia.org/wiki/User:Gillfoto\" title=\"User:Gillfoto\"&gt;Gillfoto&lt;/a&gt;","source":"commons-desc-page"},"Credit":{"value":"&lt;span class=\"int-own-work\" lang=\"en\"&gt;Own work&lt;/span&gt;","source":"commons-desc-page"},"License":{"value":"cc-by-sa-4.0","hidden":"","source":"commons-templates"},"DateTime":{"value":"2018-09-12 04:02:46","hidden":"","source":"mediawiki-metadata"},"Categories":{"value":"Self-published work|Files by User:Gillfoto|Photographs of California by Gillfoto|Silver City Ghost Town","hidden":"","source":"commons-categories"},"LicenseUrl":{"value":"https://creativecommons.org/licenses/by-sa/4.0","source":"commons-desc-page"},"ObjectName":{"value":"Silver City Ghost Town 5992","source":"mediawiki-metadata"},"UsageTerms":{"value":"Creative Commons Attribution-Share Alike 4.0","source":"commons-desc-page"},"Assessments":{"value":"","hidden":"","source":"commons-categories"},"Copyrighted":{"value":"True","hidden":"","source":"commons-desc-page"},"Restrictions":{"value":"","hidden":"","source":"commons-desc-page"},"DateTimeOriginal":{"value":"2018-02-03 15:04:22","source":"commons-desc-page"},"ImageDescription":{"value":"Silver City Ghost Town","source":"commons-desc-page"},"LicenseShortName":{"value":"CC BY-SA 4.0","hidden":"","source":"commons-desc-page"},"AttributionRequired":{"value":"true","hidden":"","source":"commons-desc-page"},"CommonsMetadataExtension":{"value":1.2,"hidden":"","source":"extension"}},"thumbheight":960,"thumbattribs":{"src":"https://thumb.wikimedia.org/wikipedia/commons/thumb/7/72/Silver_City_Ghost_Town_5992.jpg/1280px-Silver_City_Ghost_Town_5992.jpg?utm_source=commons.wikimedia.org&amp;utm_campaign=imageinfo&amp;utm_content=thumbnail","width":1280,"height":960,"srcset":"https://thumb.wikimedia.org/wikipedia/commons/thumb/7/72/Silver_City_Ghost_Town_5992.jpg/3840px-Silver_City_Ghost_Town_5992.jpg?utm_source=commons.wikimedia.org&amp;utm_campaign=imageinfo&amp;utm_content=thumbnail 2x","loading":"lazy","decoding":"async"},"descriptionurl":"https://commons.wikimedia.org/wiki/File:Silver_City_Ghost_Town_5992.jpg","responsiveUrls":{"2":"https://thumb.wikimedia.org/wikipedia/commons/thumb/7/72/Silver_City_Ghost_Town_5992.jpg/3840px-Silver_City_Ghost_Town_5992.jpg?utm_source=commons.wikimedia.org&amp;utm_campaign=imageinfo&amp;utm_content=thumbnail"},"descriptionshorturl":"https://commons.wikimedia.org/w/index.php?curid=72668787"},"selection":{"qid":"pending","kind":"candidate","title":"Bakersfield regional research"},"author_url":"https://commons.wikimedia.org/wiki/User:Gillfoto","derivative":"Wikimedia thumbnail decoded; EXIF orientation applied; converted to WebP quality 86; no generated pixels, no cropping.","source_url":"https://commons.wikimedia.org/wiki/File:Silver_City_Ghost_Town_5992.jpg","author_urls":["https://commons.wikimedia.org/wiki/User:Gillfoto"],"description":"Silver City Ghost Town","license_url":"https://creativecommons.org/licenses/by-sa/4.0","reviewed_on":"2026-10-24","capture_date":"2018-02-03 15:04:22","download_url":"https://thumb.wikimedia.org/wikipedia/commons/thumb/7/72/Silver_City_Ghost_Town_5992.jpg/1280px-Silver_City_Ghost_Town_5992.jpg?utm_source=commons.wikimedia.org&amp;utm_campaign=imageinfo&amp;utm_content=thumbnail","original_url":"https://upload.wikimedia.org/wikipedia/commons/7/72/Silver_City_Ghost_Town_5992.jpg?utm_source=commons.wikimedia.org&amp;utm_campaign=imageinfo&amp;utm_content=original","pixel_review":{"method":"İndirilen kare temas sayfasında görüldü; kaynak mekân kimliğiyle eşleştirildi. Seçim kaydı final-pixel-review.json.","status":"verified","caption":"Silver City Ghost Town · 2018 tarihli fotoğraf","reviewer":"Codex (AI)","review_id":"R34"},"downloaded_at":"2026-10-23T20:01:10.398503+00:00","download_sha256":"0084b380a70083cd92819ccfd3f03654b9e927963c6be2176cd00d26655aad10","downloaded_file":"downloads/0084b380a70083cd92819ccfd3f03654b9e927963c6be2176cd00d26655aad10.jpg","acquisition_file":"2442790caabcdb0c1eedbf00.webp","commons_filename":"Silver City Ghost Town 5992.jpg","original_file_url":"https://upload.wikimedia.org/wikipedia/commons/7/72/Silver_City_Ghost_Town_5992.jpg?utm_source=commons.wikimedia.org&amp;utm_campaign=imageinfo&amp;utm_content=original","pixel_review_status":"pending","third_party_rights_review":{"basis":"Kaynakta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dönüştürüldü.","photo_attribution":{"author_url":"https://commons.wikimedia.org/wiki/User:Gillfoto","modifications":"EXIF yönü uygulandı; boyut küçültülüp WebP biçimine dönüştürüldü.","original_file_url":"https://upload.wikimedia.org/wikipedia/commons/7/72/Silver_City_Ghost_Town_5992.jpg?utm_source=commons.wikimedia.org&amp;utm_campaign=imageinfo&amp;utm_content=original"},"metadata_reviewed_on":"2026-10-24","metadata_review_status":"verified"}}</x:v>
      </x:c>
    </x:row>
    <x:row r="234" ht="300" customHeight="1">
      <x:c r="A234" s="29" t="str">
        <x:v>bakersfield:evidence:venue-22199</x:v>
      </x:c>
      <x:c r="B234" s="29" t="str">
        <x:v>bakersfield</x:v>
      </x:c>
      <x:c r="C234" s="29" t="str">
        <x:v>bakersfield:photo:venue-22199</x:v>
      </x:c>
      <x:c r="D234" s="29" t="str">
        <x:v>https://commons.wikimedia.org/wiki/File:Silver_City_Ghost_Town_5993.jpg</x:v>
      </x:c>
      <x:c r="E234" s="29" t="str">
        <x:v>Silver City Ghost Town 5993.jpg</x:v>
      </x:c>
      <x:c r="F234" s="29" t="str">
        <x:v>Gillfoto</x:v>
      </x:c>
      <x:c r="G234" s="29" t="str">
        <x:v>CC BY-SA 4.0</x:v>
      </x:c>
      <x:c r="H234" s="29" t="str">
        <x:v>https://creativecommons.org/licenses/by-sa/4.0</x:v>
      </x:c>
      <x:c r="I234" s="29" t="str">
        <x:v>Creative Commons Attribution-Share Alike 4.0</x:v>
      </x:c>
      <x:c r="J234" s="29" t="str">
        <x:v>Silver City Ghost Town 5993.jpg · Gillfoto · CC BY-SA 4.0 · https://commons.wikimedia.org/wiki/File:Silver_City_Ghost_Town_5993.jpg</x:v>
      </x:c>
      <x:c r="K23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4" s="31" t="d">
        <x:v>2026-10-24T00:00:00.000Z</x:v>
      </x:c>
      <x:c r="M234" s="29" t="str">
        <x:v>Doğrulandı</x:v>
      </x:c>
      <x:c r="N234" s="29" t="str">
        <x:v>Doğrulandı</x:v>
      </x:c>
      <x:c r="O234" s="29" t="str">
        <x:v>Fotoğraflar/bk-550908c690c6ec3f036a7a8c.webp</x:v>
      </x:c>
      <x:c r="P234" s="29" t="str">
        <x:v>Silver City Ghost Town · 2018 tarihli fotoğraf · İndirilen kare temas sayfasında görüldü; kaynak mekân kimliğiyle eşleştirildi. Seçim kaydı final-pixel-review.json.</x:v>
      </x:c>
      <x:c r="Q234" s="29" t="str">
        <x:v>Bu kare için uygun</x:v>
      </x:c>
      <x:c r="R23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4" s="29" t="str">
        <x:v>Lisans kanıtları/bk-550908c690c6ec3f036a7a8c.source-evidence.json</x:v>
      </x:c>
      <x:c r="T234" s="29" t="str">
        <x:v>58f9a7fabcd3fbc9ae0800117a22f154f57e99b61da9a5a16a98844b58b5b1ed</x:v>
      </x:c>
      <x:c r="U234" s="29" t="str">
        <x:v>Lisans kanıtları/bk-550908c690c6ec3f036a7a8c.license-record.json</x:v>
      </x:c>
      <x:c r="V234" s="29" t="str">
        <x:v>ccc4129dfef5409403bb508b6385a74f07f5244ec0f7d037e9db39f466fd98f6</x:v>
      </x:c>
      <x:c r="W234" s="29" t="str">
        <x:v>{"file":"bk-550908c690c6ec3f036a7a8c.webp","width":1280,"author":"Gillfoto","height":960,"sha256":"550908c690c6ec3f036a7a8cac2faa476e4c55e6f4f4dd1468d9a0eb9b033006","license":"CC BY-SA 4.0","imageinfo":{"url":"https://upload.wikimedia.org/wikipedia/commons/e/e7/Silver_City_Ghost_Town_5993.jpg?utm_source=commons.wikimedia.org&amp;utm_campaign=imageinfo&amp;utm_content=original","mime":"image/jpeg","sha1":"6c49ac297531defe46d411b777c7d87899b25029","size":3446137,"width":4032,"height":3024,"pageid":72668790,"thumburl":"https://thumb.wikimedia.org/wikipedia/commons/thumb/e/e7/Silver_City_Ghost_Town_5993.jpg/1280px-Silver_City_Ghost_Town_5993.jpg?utm_source=commons.wikimedia.org&amp;utm_campaign=imageinfo&amp;utm_content=thumbnail","timestamp":"2018-09-12T04:02:49Z","thumbwidth":1280,"extmetadata":{"Artist":{"value":"&lt;a href=\"//commons.wikimedia.org/wiki/User:Gillfoto\" title=\"User:Gillfoto\"&gt;Gillfoto&lt;/a&gt;","source":"commons-desc-page"},"Credit":{"value":"&lt;span class=\"int-own-work\" lang=\"en\"&gt;Own work&lt;/span&gt;","source":"commons-desc-page"},"License":{"value":"cc-by-sa-4.0","hidden":"","source":"commons-templates"},"DateTime":{"value":"2018-09-12 04:02:49","hidden":"","source":"mediawiki-metadata"},"Categories":{"value":"Self-published work|Files by User:Gillfoto|Photographs of California by Gillfoto|Silver City Ghost Town","hidden":"","source":"commons-categories"},"LicenseUrl":{"value":"https://creativecommons.org/licenses/by-sa/4.0","source":"commons-desc-page"},"ObjectName":{"value":"Silver City Ghost Town 5993","source":"mediawiki-metadata"},"UsageTerms":{"value":"Creative Commons Attribution-Share Alike 4.0","source":"commons-desc-page"},"Assessments":{"value":"","hidden":"","source":"commons-categories"},"Copyrighted":{"value":"True","hidden":"","source":"commons-desc-page"},"Restrictions":{"value":"","hidden":"","source":"commons-desc-page"},"DateTimeOriginal":{"value":"2018-02-03 15:04:55","source":"commons-desc-page"},"ImageDescription":{"value":"Silver City Ghost Town","source":"commons-desc-page"},"LicenseShortName":{"value":"CC BY-SA 4.0","hidden":"","source":"commons-desc-page"},"AttributionRequired":{"value":"true","hidden":"","source":"commons-desc-page"},"CommonsMetadataExtension":{"value":1.2,"hidden":"","source":"extension"}},"thumbheight":960,"thumbattribs":{"src":"https://thumb.wikimedia.org/wikipedia/commons/thumb/e/e7/Silver_City_Ghost_Town_5993.jpg/1280px-Silver_City_Ghost_Town_5993.jpg?utm_source=commons.wikimedia.org&amp;utm_campaign=imageinfo&amp;utm_content=thumbnail","width":1280,"height":960,"srcset":"https://thumb.wikimedia.org/wikipedia/commons/thumb/e/e7/Silver_City_Ghost_Town_5993.jpg/3840px-Silver_City_Ghost_Town_5993.jpg?utm_source=commons.wikimedia.org&amp;utm_campaign=imageinfo&amp;utm_content=thumbnail 2x","loading":"lazy","decoding":"async"},"descriptionurl":"https://commons.wikimedia.org/wiki/File:Silver_City_Ghost_Town_5993.jpg","responsiveUrls":{"2":"https://thumb.wikimedia.org/wikipedia/commons/thumb/e/e7/Silver_City_Ghost_Town_5993.jpg/3840px-Silver_City_Ghost_Town_5993.jpg?utm_source=commons.wikimedia.org&amp;utm_campaign=imageinfo&amp;utm_content=thumbnail"},"descriptionshorturl":"https://commons.wikimedia.org/w/index.php?curid=72668790"},"selection":{"qid":"pending","kind":"candidate","title":"Bakersfield regional research"},"author_url":"https://commons.wikimedia.org/wiki/User:Gillfoto","derivative":"Wikimedia thumbnail decoded; EXIF orientation applied; converted to WebP quality 86; no generated pixels, no cropping.","source_url":"https://commons.wikimedia.org/wiki/File:Silver_City_Ghost_Town_5993.jpg","author_urls":["https://commons.wikimedia.org/wiki/User:Gillfoto"],"description":"Silver City Ghost Town","license_url":"https://creativecommons.org/licenses/by-sa/4.0","reviewed_on":"2026-10-24","capture_date":"2018-02-03 15:04:55","download_url":"https://thumb.wikimedia.org/wikipedia/commons/thumb/e/e7/Silver_City_Ghost_Town_5993.jpg/1280px-Silver_City_Ghost_Town_5993.jpg?utm_source=commons.wikimedia.org&amp;utm_campaign=imageinfo&amp;utm_content=thumbnail","original_url":"https://upload.wikimedia.org/wikipedia/commons/e/e7/Silver_City_Ghost_Town_5993.jpg?utm_source=commons.wikimedia.org&amp;utm_campaign=imageinfo&amp;utm_content=original","pixel_review":{"method":"İndirilen kare temas sayfasında görüldü; kaynak mekân kimliğiyle eşleştirildi. Seçim kaydı final-pixel-review.json.","status":"verified","caption":"Silver City Ghost Town · 2018 tarihli fotoğraf","reviewer":"Codex (AI)","review_id":"R35"},"downloaded_at":"2026-10-23T20:01:11.867592+00:00","download_sha256":"5d732429470f12b323653b213972a9d56fb3362b3132dbcff830607ca1b7bcca","downloaded_file":"downloads/5d732429470f12b323653b213972a9d56fb3362b3132dbcff830607ca1b7bcca.jpg","acquisition_file":"22da59245c52dc223bbbe8c8.webp","commons_filename":"Silver City Ghost Town 5993.jpg","original_file_url":"https://upload.wikimedia.org/wikipedia/commons/e/e7/Silver_City_Ghost_Town_5993.jpg?utm_source=commons.wikimedia.org&amp;utm_campaign=imageinfo&amp;utm_content=original","pixel_review_status":"pending","third_party_rights_review":{"basis":"Kaynakta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dönüştürüldü.","photo_attribution":{"author_url":"https://commons.wikimedia.org/wiki/User:Gillfoto","modifications":"EXIF yönü uygulandı; boyut küçültülüp WebP biçimine dönüştürüldü.","original_file_url":"https://upload.wikimedia.org/wikipedia/commons/e/e7/Silver_City_Ghost_Town_5993.jpg?utm_source=commons.wikimedia.org&amp;utm_campaign=imageinfo&amp;utm_content=original"},"metadata_reviewed_on":"2026-10-24","metadata_review_status":"verified"}}</x:v>
      </x:c>
    </x:row>
    <x:row r="235" ht="300" customHeight="1">
      <x:c r="A235" s="29" t="str">
        <x:v>bakersfield:evidence:venue-22200</x:v>
      </x:c>
      <x:c r="B235" s="29" t="str">
        <x:v>bakersfield</x:v>
      </x:c>
      <x:c r="C235" s="29" t="str">
        <x:v>bakersfield:photo:venue-22200</x:v>
      </x:c>
      <x:c r="D235" s="29" t="str">
        <x:v>https://commons.wikimedia.org/wiki/File:Silver_City_Ghost_Town_6002.jpg</x:v>
      </x:c>
      <x:c r="E235" s="29" t="str">
        <x:v>Silver City Ghost Town 6002.jpg</x:v>
      </x:c>
      <x:c r="F235" s="29" t="str">
        <x:v>Gillfoto</x:v>
      </x:c>
      <x:c r="G235" s="29" t="str">
        <x:v>CC BY-SA 4.0</x:v>
      </x:c>
      <x:c r="H235" s="29" t="str">
        <x:v>https://creativecommons.org/licenses/by-sa/4.0</x:v>
      </x:c>
      <x:c r="I235" s="29" t="str">
        <x:v>Creative Commons Attribution-Share Alike 4.0</x:v>
      </x:c>
      <x:c r="J235" s="29" t="str">
        <x:v>Silver City Ghost Town 6002.jpg · Gillfoto · CC BY-SA 4.0 · https://commons.wikimedia.org/wiki/File:Silver_City_Ghost_Town_6002.jpg</x:v>
      </x:c>
      <x:c r="K23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5" s="31" t="d">
        <x:v>2026-10-24T00:00:00.000Z</x:v>
      </x:c>
      <x:c r="M235" s="29" t="str">
        <x:v>Doğrulandı</x:v>
      </x:c>
      <x:c r="N235" s="29" t="str">
        <x:v>Doğrulandı</x:v>
      </x:c>
      <x:c r="O235" s="29" t="str">
        <x:v>Fotoğraflar/bk-9afb9138c3a1037b797a8861.webp</x:v>
      </x:c>
      <x:c r="P235" s="29" t="str">
        <x:v>Silver City Ghost Town · 2018 tarihli fotoğraf · İndirilen kare temas sayfasında görüldü; kaynak mekân kimliğiyle eşleştirildi. Seçim kaydı final-pixel-review.json.</x:v>
      </x:c>
      <x:c r="Q235" s="29" t="str">
        <x:v>Bu kare için uygun</x:v>
      </x:c>
      <x:c r="R23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5" s="29" t="str">
        <x:v>Lisans kanıtları/bk-9afb9138c3a1037b797a8861.source-evidence.json</x:v>
      </x:c>
      <x:c r="T235" s="29" t="str">
        <x:v>5b70a3960b6b0d7beb7455769b139d52935b2cd7d66bd80aa06e59147230381a</x:v>
      </x:c>
      <x:c r="U235" s="29" t="str">
        <x:v>Lisans kanıtları/bk-9afb9138c3a1037b797a8861.license-record.json</x:v>
      </x:c>
      <x:c r="V235" s="29" t="str">
        <x:v>a4fd4247785bd303f262e58d6a70de26b86d2780d491ef00a3cfa9224c048356</x:v>
      </x:c>
      <x:c r="W235" s="29" t="str">
        <x:v>{"file":"bk-9afb9138c3a1037b797a8861.webp","width":1080,"author":"Gillfoto","height":1440,"sha256":"9afb9138c3a1037b797a8861a150934b5fe84041d00614c3d34ad375056fa43a","license":"CC BY-SA 4.0","imageinfo":{"url":"https://upload.wikimedia.org/wikipedia/commons/4/4d/Silver_City_Ghost_Town_6002.jpg?utm_source=commons.wikimedia.org&amp;utm_campaign=imageinfo&amp;utm_content=original","mime":"image/jpeg","sha1":"15a29541dadbc7216521d6be30177421806a31d9","size":4422027,"width":3024,"height":4032,"pageid":72668794,"thumburl":"https://thumb.wikimedia.org/wikipedia/commons/thumb/4/4d/Silver_City_Ghost_Town_6002.jpg/1280px-Silver_City_Ghost_Town_6002.jpg?utm_source=commons.wikimedia.org&amp;utm_campaign=imageinfo&amp;utm_content=thumbnail","timestamp":"2018-09-12T04:02:53Z","thumbwidth":1280,"extmetadata":{"Artist":{"value":"&lt;a href=\"//commons.wikimedia.org/wiki/User:Gillfoto\" title=\"User:Gillfoto\"&gt;Gillfoto&lt;/a&gt;","source":"commons-desc-page"},"Credit":{"value":"&lt;span class=\"int-own-work\" lang=\"en\"&gt;Own work&lt;/span&gt;","source":"commons-desc-page"},"License":{"value":"cc-by-sa-4.0","hidden":"","source":"commons-templates"},"DateTime":{"value":"2018-09-12 04:02:53","hidden":"","source":"mediawiki-metadata"},"Categories":{"value":"Self-published work|Files by User:Gillfoto|Photographs of California by Gillfoto|Silver City Ghost Town","hidden":"","source":"commons-categories"},"LicenseUrl":{"value":"https://creativecommons.org/licenses/by-sa/4.0","source":"commons-desc-page"},"ObjectName":{"value":"Silver City Ghost Town 6002","source":"mediawiki-metadata"},"UsageTerms":{"value":"Creative Commons Attribution-Share Alike 4.0","source":"commons-desc-page"},"Assessments":{"value":"","hidden":"","source":"commons-categories"},"Copyrighted":{"value":"True","hidden":"","source":"commons-desc-page"},"Restrictions":{"value":"","hidden":"","source":"commons-desc-page"},"DateTimeOriginal":{"value":"2018-02-03 15:09:08","source":"commons-desc-page"},"ImageDescription":{"value":"Silver City Ghost Town","source":"commons-desc-page"},"LicenseShortName":{"value":"CC BY-SA 4.0","hidden":"","source":"commons-desc-page"},"AttributionRequired":{"value":"true","hidden":"","source":"commons-desc-page"},"CommonsMetadataExtension":{"value":1.2,"hidden":"","source":"extension"}},"thumbheight":1707,"thumbattribs":{"src":"https://thumb.wikimedia.org/wikipedia/commons/thumb/4/4d/Silver_City_Ghost_Town_6002.jpg/1280px-Silver_City_Ghost_Town_6002.jpg?utm_source=commons.wikimedia.org&amp;utm_campaign=imageinfo&amp;utm_content=thumbnail","width":1280,"height":1707,"srcset":"https://upload.wikimedia.org/wikipedia/commons/4/4d/Silver_City_Ghost_Town_6002.jpg?utm_source=commons.wikimedia.org&amp;utm_campaign=imageinfo&amp;utm_content=thumbnail_unscaled 2x","loading":"lazy","decoding":"async"},"descriptionurl":"https://commons.wikimedia.org/wiki/File:Silver_City_Ghost_Town_6002.jpg","responsiveUrls":{"2":"https://upload.wikimedia.org/wikipedia/commons/4/4d/Silver_City_Ghost_Town_6002.jpg?utm_source=commons.wikimedia.org&amp;utm_campaign=imageinfo&amp;utm_content=thumbnail_unscaled"},"descriptionshorturl":"https://commons.wikimedia.org/w/index.php?curid=72668794"},"selection":{"qid":"pending","kind":"candidate","title":"Bakersfield regional research"},"author_url":"https://commons.wikimedia.org/wiki/User:Gillfoto","derivative":"Wikimedia thumbnail decoded; EXIF orientation applied; converted to WebP quality 86; no generated pixels, no cropping.","source_url":"https://commons.wikimedia.org/wiki/File:Silver_City_Ghost_Town_6002.jpg","author_urls":["https://commons.wikimedia.org/wiki/User:Gillfoto"],"description":"Silver City Ghost Town","license_url":"https://creativecommons.org/licenses/by-sa/4.0","reviewed_on":"2026-10-24","capture_date":"2018-02-03 15:09:08","download_url":"https://thumb.wikimedia.org/wikipedia/commons/thumb/4/4d/Silver_City_Ghost_Town_6002.jpg/1280px-Silver_City_Ghost_Town_6002.jpg?utm_source=commons.wikimedia.org&amp;utm_campaign=imageinfo&amp;utm_content=thumbnail","original_url":"https://upload.wikimedia.org/wikipedia/commons/4/4d/Silver_City_Ghost_Town_6002.jpg?utm_source=commons.wikimedia.org&amp;utm_campaign=imageinfo&amp;utm_content=original","pixel_review":{"method":"İndirilen kare temas sayfasında görüldü; kaynak mekân kimliğiyle eşleştirildi. Seçim kaydı final-pixel-review.json.","status":"verified","caption":"Silver City Ghost Town · 2018 tarihli fotoğraf","reviewer":"Codex (AI)","review_id":"R38"},"downloaded_at":"2026-10-23T20:01:16.908047+00:00","download_sha256":"48bfd26678708f25c784d7f01ff04014d07e6ec0cd89bdf2a3683f29cc8f5623","downloaded_file":"downloads/48bfd26678708f25c784d7f01ff04014d07e6ec0cd89bdf2a3683f29cc8f5623.jpg","acquisition_file":"c9c21988a1103044f677130e.webp","commons_filename":"Silver City Ghost Town 6002.jpg","original_file_url":"https://upload.wikimedia.org/wikipedia/commons/4/4d/Silver_City_Ghost_Town_6002.jpg?utm_source=commons.wikimedia.org&amp;utm_campaign=imageinfo&amp;utm_content=original","pixel_review_status":"pending","third_party_rights_review":{"basis":"Kaynakta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dönüştürüldü.","photo_attribution":{"author_url":"https://commons.wikimedia.org/wiki/User:Gillfoto","modifications":"EXIF yönü uygulandı; boyut küçültülüp WebP biçimine dönüştürüldü.","original_file_url":"https://upload.wikimedia.org/wikipedia/commons/4/4d/Silver_City_Ghost_Town_6002.jpg?utm_source=commons.wikimedia.org&amp;utm_campaign=imageinfo&amp;utm_content=original"},"metadata_reviewed_on":"2026-10-24","metadata_review_status":"verified"}}</x:v>
      </x:c>
    </x:row>
    <x:row r="236" ht="300" customHeight="1">
      <x:c r="A236" s="29" t="str">
        <x:v>bakersfield:evidence:venue-22201</x:v>
      </x:c>
      <x:c r="B236" s="29" t="str">
        <x:v>bakersfield</x:v>
      </x:c>
      <x:c r="C236" s="29" t="str">
        <x:v>bakersfield:photo:venue-22201</x:v>
      </x:c>
      <x:c r="D236" s="29" t="str">
        <x:v>https://commons.wikimedia.org/wiki/File:Nuui_Cunni_exterior_closed_2023.jpg</x:v>
      </x:c>
      <x:c r="E236" s="29" t="str">
        <x:v>Nuui Cunni exterior closed 2023.jpg</x:v>
      </x:c>
      <x:c r="F236" s="29" t="str">
        <x:v>DarkNight0917</x:v>
      </x:c>
      <x:c r="G236" s="29" t="str">
        <x:v>CC BY-SA 4.0</x:v>
      </x:c>
      <x:c r="H236" s="29" t="str">
        <x:v>https://creativecommons.org/licenses/by-sa/4.0</x:v>
      </x:c>
      <x:c r="I236" s="29" t="str">
        <x:v>Creative Commons Attribution-Share Alike 4.0</x:v>
      </x:c>
      <x:c r="J236" s="29" t="str">
        <x:v>Nuui Cunni exterior closed 2023.jpg · DarkNight0917 · CC BY-SA 4.0 · https://commons.wikimedia.org/wiki/File:Nuui_Cunni_exterior_closed_2023.jpg</x:v>
      </x:c>
      <x:c r="K23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6" s="31" t="d">
        <x:v>2026-10-24T00:00:00.000Z</x:v>
      </x:c>
      <x:c r="M236" s="29" t="str">
        <x:v>Doğrulandı</x:v>
      </x:c>
      <x:c r="N236" s="29" t="str">
        <x:v>Doğrulandı</x:v>
      </x:c>
      <x:c r="O236" s="29" t="str">
        <x:v>Fotoğraflar/bk-940c426dcf4b3588b01438c7.webp</x:v>
      </x:c>
      <x:c r="P236" s="29" t="str">
        <x:v>Nuui Cunni Native American Intertribal Cultural Center · 2023 tarihli fotoğraf · İndirilen kare temas sayfasında görüldü; kaynak mekân kimliğiyle eşleştirildi. Seçim kaydı final-pixel-review.json.</x:v>
      </x:c>
      <x:c r="Q236" s="29" t="str">
        <x:v>Bu kare için uygun</x:v>
      </x:c>
      <x:c r="R23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6" s="29" t="str">
        <x:v>Lisans kanıtları/bk-940c426dcf4b3588b01438c7.source-evidence.json</x:v>
      </x:c>
      <x:c r="T236" s="29" t="str">
        <x:v>7c1aae4d62460ae31f520dc1e9f87a19eeb83495b7848670ea0adb3603d6645b</x:v>
      </x:c>
      <x:c r="U236" s="29" t="str">
        <x:v>Lisans kanıtları/bk-940c426dcf4b3588b01438c7.license-record.json</x:v>
      </x:c>
      <x:c r="V236" s="29" t="str">
        <x:v>29b70fe2670f762eb04d2335f69ae9ddd9c7c7fe642d11415fd186d3d1b81537</x:v>
      </x:c>
      <x:c r="W236" s="29" t="str">
        <x:v>{"file":"bk-940c426dcf4b3588b01438c7.webp","width":1280,"author":"DarkNight0917","height":960,"sha256":"940c426dcf4b3588b01438c747e87e051ddfd87d261e6153c2f4db1cec426680","license":"CC BY-SA 4.0","imageinfo":{"url":"https://upload.wikimedia.org/wikipedia/commons/1/1f/Nuui_Cunni_exterior_closed_2023.jpg?utm_source=commons.wikimedia.org&amp;utm_campaign=imageinfo&amp;utm_content=original","mime":"image/jpeg","sha1":"5563ccca2501d859586c6e44b128f68770c49bec","size":4357987,"width":4032,"height":3024,"pageid":135354090,"thumburl":"https://thumb.wikimedia.org/wikipedia/commons/thumb/1/1f/Nuui_Cunni_exterior_closed_2023.jpg/1280px-Nuui_Cunni_exterior_closed_2023.jpg?utm_source=commons.wikimedia.org&amp;utm_campaign=imageinfo&amp;utm_content=thumbnail","timestamp":"2023-07-31T18:12:00Z","thumbwidth":1280,"extmetadata":{"Artist":{"value":"&lt;a href=\"//commons.wikimedia.org/wiki/User:DarkNight0917\" class=\"mw-redirect\" title=\"User:DarkNight0917\"&gt;DarkNight0917&lt;/a&gt;","source":"commons-desc-page"},"Credit":{"value":"&lt;span class=\"int-own-work\" lang=\"en\"&gt;Own work&lt;/span&gt;","source":"commons-desc-page"},"License":{"value":"cc-by-sa-4.0","hidden":"","source":"commons-templates"},"DateTime":{"value":"2023-07-31 18:12:00","hidden":"","source":"mediawiki-metadata"},"Categories":{"value":"Lake Isabella, California|Museums in Kern County, California|Self-published work","hidden":"","source":"commons-categories"},"LicenseUrl":{"value":"https://creativecommons.org/licenses/by-sa/4.0","source":"commons-desc-page"},"ObjectName":{"value":"Nuui Cunni exterior closed 2023","source":"mediawiki-metadata"},"UsageTerms":{"value":"Creative Commons Attribution-Share Alike 4.0","source":"commons-desc-page"},"Assessments":{"value":"","hidden":"","source":"commons-categories"},"Copyrighted":{"value":"True","hidden":"","source":"commons-desc-page"},"Restrictions":{"value":"","hidden":"","source":"commons-desc-page"},"DateTimeOriginal":{"value":"2023-07-22 13:47:56","source":"commons-desc-page"},"ImageDescription":{"value":"Exterior of the Nuui Cunni Native American Intertribal Cultural Center in 2023 (museum is closed)","source":"commons-desc-page"},"LicenseShortName":{"value":"CC BY-SA 4.0","hidden":"","source":"commons-desc-page"},"AttributionRequired":{"value":"true","hidden":"","source":"commons-desc-page"},"CommonsMetadataExtension":{"value":1.2,"hidden":"","source":"extension"}},"thumbheight":960,"thumbattribs":{"src":"https://thumb.wikimedia.org/wikipedia/commons/thumb/1/1f/Nuui_Cunni_exterior_closed_2023.jpg/1280px-Nuui_Cunni_exterior_closed_2023.jpg?utm_source=commons.wikimedia.org&amp;utm_campaign=imageinfo&amp;utm_content=thumbnail","width":1280,"height":960,"srcset":"https://thumb.wikimedia.org/wikipedia/commons/thumb/1/1f/Nuui_Cunni_exterior_closed_2023.jpg/3840px-Nuui_Cunni_exterior_closed_2023.jpg?utm_source=commons.wikimedia.org&amp;utm_campaign=imageinfo&amp;utm_content=thumbnail 2x","loading":"lazy","decoding":"async"},"descriptionurl":"https://commons.wikimedia.org/wiki/File:Nuui_Cunni_exterior_closed_2023.jpg","responsiveUrls":{"2":"https://thumb.wikimedia.org/wikipedia/commons/thumb/1/1f/Nuui_Cunni_exterior_closed_2023.jpg/3840px-Nuui_Cunni_exterior_closed_2023.jpg?utm_source=commons.wikimedia.org&amp;utm_campaign=imageinfo&amp;utm_content=thumbnail"},"descriptionshorturl":"https://commons.wikimedia.org/w/index.php?curid=135354090"},"selection":{"qid":"pending","kind":"candidate","title":"Museums in Kern County, California"},"author_url":"https://commons.wikimedia.org/wiki/User:DarkNight0917","derivative":"Wikimedia thumbnail decoded; EXIF orientation applied; converted to WebP quality 86; no generated pixels, no cropping.","source_url":"https://commons.wikimedia.org/wiki/File:Nuui_Cunni_exterior_closed_2023.jpg","author_urls":["https://commons.wikimedia.org/wiki/User:DarkNight0917"],"description":"Exterior of the Nuui Cunni Native American Intertribal Cultural Center in 2023 (museum is closed)","license_url":"https://creativecommons.org/licenses/by-sa/4.0","reviewed_on":"2026-10-24","capture_date":"2023-07-22 13:47:56","download_url":"https://thumb.wikimedia.org/wikipedia/commons/thumb/1/1f/Nuui_Cunni_exterior_closed_2023.jpg/1280px-Nuui_Cunni_exterior_closed_2023.jpg?utm_source=commons.wikimedia.org&amp;utm_campaign=imageinfo&amp;utm_content=thumbnail","original_url":"https://upload.wikimedia.org/wikipedia/commons/1/1f/Nuui_Cunni_exterior_closed_2023.jpg?utm_source=commons.wikimedia.org&amp;utm_campaign=imageinfo&amp;utm_content=original","pixel_review":{"method":"İndirilen kare temas sayfasında görüldü; kaynak mekân kimliğiyle eşleştirildi. Seçim kaydı final-pixel-review.json.","status":"verified","caption":"Nuui Cunni Native American Intertribal Cultural Center · 2023 tarihli fotoğraf","reviewer":"Codex (AI)","review_id":"C222"},"downloaded_at":"2026-10-23T19:10:09.589324+00:00","download_sha256":"4e2960fcb912e3a67fc514a318fa34463641d395097692e864535976ff8e9cc8","downloaded_file":"downloads/4e2960fcb912e3a67fc514a318fa34463641d395097692e864535976ff8e9cc8.jpg","acquisition_file":"9a08adf8c393af14730a710a.webp","commons_filename":"Nuui Cunni exterior closed 2023.jpg","original_file_url":"https://upload.wikimedia.org/wikipedia/commons/1/1f/Nuui_Cunni_exterior_closed_2023.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dönüştürüldü.","photo_attribution":{"author_url":"https://commons.wikimedia.org/wiki/User:DarkNight0917","modifications":"EXIF yönü uygulandı; boyut küçültülüp WebP biçimine dönüştürüldü.","original_file_url":"https://upload.wikimedia.org/wikipedia/commons/1/1f/Nuui_Cunni_exterior_closed_2023.jpg?utm_source=commons.wikimedia.org&amp;utm_campaign=imageinfo&amp;utm_content=original"},"metadata_reviewed_on":"2026-10-24","metadata_review_status":"verified"}}</x:v>
      </x:c>
    </x:row>
    <x:row r="237" ht="300" customHeight="1">
      <x:c r="A237" s="29" t="str">
        <x:v>bakersfield:evidence:venue-22202</x:v>
      </x:c>
      <x:c r="B237" s="29" t="str">
        <x:v>bakersfield</x:v>
      </x:c>
      <x:c r="C237" s="29" t="str">
        <x:v>bakersfield:photo:venue-22202</x:v>
      </x:c>
      <x:c r="D237" s="29" t="str">
        <x:v>https://commons.wikimedia.org/wiki/File:Nuui_Cunni_interior_2023_01.jpg</x:v>
      </x:c>
      <x:c r="E237" s="29" t="str">
        <x:v>Nuui Cunni interior 2023 01.jpg</x:v>
      </x:c>
      <x:c r="F237" s="29" t="str">
        <x:v>DarkNight0917</x:v>
      </x:c>
      <x:c r="G237" s="29" t="str">
        <x:v>CC BY-SA 4.0</x:v>
      </x:c>
      <x:c r="H237" s="29" t="str">
        <x:v>https://creativecommons.org/licenses/by-sa/4.0</x:v>
      </x:c>
      <x:c r="I237" s="29" t="str">
        <x:v>Creative Commons Attribution-Share Alike 4.0</x:v>
      </x:c>
      <x:c r="J237" s="29" t="str">
        <x:v>Nuui Cunni interior 2023 01.jpg · DarkNight0917 · CC BY-SA 4.0 · https://commons.wikimedia.org/wiki/File:Nuui_Cunni_interior_2023_01.jpg</x:v>
      </x:c>
      <x:c r="K23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7" s="31" t="d">
        <x:v>2026-10-24T00:00:00.000Z</x:v>
      </x:c>
      <x:c r="M237" s="29" t="str">
        <x:v>Doğrulandı</x:v>
      </x:c>
      <x:c r="N237" s="29" t="str">
        <x:v>Doğrulandı</x:v>
      </x:c>
      <x:c r="O237" s="29" t="str">
        <x:v>Fotoğraflar/bk-31bfa7cc438cc686da2e5cf5.webp</x:v>
      </x:c>
      <x:c r="P237" s="29" t="str">
        <x:v>Nuui Cunni Native American Intertribal Cultural Center · 2023 tarihli fotoğraf · İndirilen kare temas sayfasında görüldü; kaynak mekân kimliğiyle eşleştirildi. Seçim kaydı final-pixel-review.json.</x:v>
      </x:c>
      <x:c r="Q237" s="29" t="str">
        <x:v>Bu kare için uygun</x:v>
      </x:c>
      <x:c r="R23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7" s="29" t="str">
        <x:v>Lisans kanıtları/bk-31bfa7cc438cc686da2e5cf5.source-evidence.json</x:v>
      </x:c>
      <x:c r="T237" s="29" t="str">
        <x:v>c4c6c08db4320092f65395142383ceecbeda4183570d16e88fdc99683184bc77</x:v>
      </x:c>
      <x:c r="U237" s="29" t="str">
        <x:v>Lisans kanıtları/bk-31bfa7cc438cc686da2e5cf5.license-record.json</x:v>
      </x:c>
      <x:c r="V237" s="29" t="str">
        <x:v>07fc657576846ea9d6fd86a400a184869b126fd24d0a95d96de339771a5d5d4c</x:v>
      </x:c>
      <x:c r="W237" s="29" t="str">
        <x:v>{"file":"bk-31bfa7cc438cc686da2e5cf5.webp","width":1280,"author":"DarkNight0917","height":960,"sha256":"31bfa7cc438cc686da2e5cf57495b00f4f0abf0525149dfd77be560c000d996b","license":"CC BY-SA 4.0","imageinfo":{"url":"https://upload.wikimedia.org/wikipedia/commons/d/dd/Nuui_Cunni_interior_2023_01.jpg?utm_source=commons.wikimedia.org&amp;utm_campaign=imageinfo&amp;utm_content=original","mime":"image/jpeg","sha1":"2c36a785cdf6c14160ee8b1ba75e918ebcecbda5","size":2745902,"width":4032,"height":3024,"pageid":135354089,"thumburl":"https://thumb.wikimedia.org/wikipedia/commons/thumb/d/dd/Nuui_Cunni_interior_2023_01.jpg/1280px-Nuui_Cunni_interior_2023_01.jpg?utm_source=commons.wikimedia.org&amp;utm_campaign=imageinfo&amp;utm_content=thumbnail","timestamp":"2023-07-31T18:11:59Z","thumbwidth":1280,"extmetadata":{"Artist":{"value":"&lt;a href=\"//commons.wikimedia.org/wiki/User:DarkNight0917\" class=\"mw-redirect\" title=\"User:DarkNight0917\"&gt;DarkNight0917&lt;/a&gt;","source":"commons-desc-page"},"Credit":{"value":"&lt;span class=\"int-own-work\" lang=\"en\"&gt;Own work&lt;/span&gt;","source":"commons-desc-page"},"License":{"value":"cc-by-sa-4.0","hidden":"","source":"commons-templates"},"DateTime":{"value":"2023-07-31 18:11:59","hidden":"","source":"mediawiki-metadata"},"Categories":{"value":"Lake Isabella, California|Museums in Kern County, California|Self-published work","hidden":"","source":"commons-categories"},"LicenseUrl":{"value":"https://creativecommons.org/licenses/by-sa/4.0","source":"commons-desc-page"},"ObjectName":{"value":"Nuui Cunni interior 2023 01","source":"mediawiki-metadata"},"UsageTerms":{"value":"Creative Commons Attribution-Share Alike 4.0","source":"commons-desc-page"},"Assessments":{"value":"","hidden":"","source":"commons-categories"},"Copyrighted":{"value":"True","hidden":"","source":"commons-desc-page"},"Restrictions":{"value":"","hidden":"","source":"commons-desc-page"},"DateTimeOriginal":{"value":"2023-07-22 13:43:43","source":"commons-desc-page"},"ImageDescription":{"value":"Interior of the Nuui Cunni Native American Intertribal Cultural Center in 2023","source":"commons-desc-page"},"LicenseShortName":{"value":"CC BY-SA 4.0","hidden":"","source":"commons-desc-page"},"AttributionRequired":{"value":"true","hidden":"","source":"commons-desc-page"},"CommonsMetadataExtension":{"value":1.2,"hidden":"","source":"extension"}},"thumbheight":960,"thumbattribs":{"src":"https://thumb.wikimedia.org/wikipedia/commons/thumb/d/dd/Nuui_Cunni_interior_2023_01.jpg/1280px-Nuui_Cunni_interior_2023_01.jpg?utm_source=commons.wikimedia.org&amp;utm_campaign=imageinfo&amp;utm_content=thumbnail","width":1280,"height":960,"srcset":"https://thumb.wikimedia.org/wikipedia/commons/thumb/d/dd/Nuui_Cunni_interior_2023_01.jpg/3840px-Nuui_Cunni_interior_2023_01.jpg?utm_source=commons.wikimedia.org&amp;utm_campaign=imageinfo&amp;utm_content=thumbnail 2x","loading":"lazy","decoding":"async"},"descriptionurl":"https://commons.wikimedia.org/wiki/File:Nuui_Cunni_interior_2023_01.jpg","responsiveUrls":{"2":"https://thumb.wikimedia.org/wikipedia/commons/thumb/d/dd/Nuui_Cunni_interior_2023_01.jpg/3840px-Nuui_Cunni_interior_2023_01.jpg?utm_source=commons.wikimedia.org&amp;utm_campaign=imageinfo&amp;utm_content=thumbnail"},"descriptionshorturl":"https://commons.wikimedia.org/w/index.php?curid=135354089"},"selection":{"qid":"pending","kind":"candidate","title":"Museums in Kern County, California"},"author_url":"https://commons.wikimedia.org/wiki/User:DarkNight0917","derivative":"Wikimedia thumbnail decoded; EXIF orientation applied; converted to WebP quality 86; no generated pixels, no cropping.","source_url":"https://commons.wikimedia.org/wiki/File:Nuui_Cunni_interior_2023_01.jpg","author_urls":["https://commons.wikimedia.org/wiki/User:DarkNight0917"],"description":"Interior of the Nuui Cunni Native American Intertribal Cultural Center in 2023","license_url":"https://creativecommons.org/licenses/by-sa/4.0","reviewed_on":"2026-10-24","capture_date":"2023-07-22 13:43:43","download_url":"https://thumb.wikimedia.org/wikipedia/commons/thumb/d/dd/Nuui_Cunni_interior_2023_01.jpg/1280px-Nuui_Cunni_interior_2023_01.jpg?utm_source=commons.wikimedia.org&amp;utm_campaign=imageinfo&amp;utm_content=thumbnail","original_url":"https://upload.wikimedia.org/wikipedia/commons/d/dd/Nuui_Cunni_interior_2023_01.jpg?utm_source=commons.wikimedia.org&amp;utm_campaign=imageinfo&amp;utm_content=original","pixel_review":{"method":"İndirilen kare temas sayfasında görüldü; kaynak mekân kimliğiyle eşleştirildi. Seçim kaydı final-pixel-review.json.","status":"verified","caption":"Nuui Cunni Native American Intertribal Cultural Center · 2023 tarihli fotoğraf","reviewer":"Codex (AI)","review_id":"C223"},"downloaded_at":"2026-10-23T19:10:11.195434+00:00","download_sha256":"3dce434a3624897affca6a816c758165ce52e87bb10a909f4cb6726a89a20057","downloaded_file":"downloads/3dce434a3624897affca6a816c758165ce52e87bb10a909f4cb6726a89a20057.jpg","acquisition_file":"3071d44c33a8b4d060334c08.webp","commons_filename":"Nuui Cunni interior 2023 01.jpg","original_file_url":"https://upload.wikimedia.org/wikipedia/commons/d/dd/Nuui_Cunni_interior_2023_01.jpg?utm_source=commons.wikimedia.org&amp;utm_campaign=imageinfo&amp;utm_content=original","pixel_review_status":"pending","third_party_rights_review":{"basis":"Kaynakta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dönüştürüldü.","photo_attribution":{"author_url":"https://commons.wikimedia.org/wiki/User:DarkNight0917","modifications":"EXIF yönü uygulandı; boyut küçültülüp WebP biçimine dönüştürüldü.","original_file_url":"https://upload.wikimedia.org/wikipedia/commons/d/dd/Nuui_Cunni_interior_2023_01.jpg?utm_source=commons.wikimedia.org&amp;utm_campaign=imageinfo&amp;utm_content=original"},"metadata_reviewed_on":"2026-10-24","metadata_review_status":"verified"}}</x:v>
      </x:c>
    </x:row>
    <x:row r="238" ht="300" customHeight="1">
      <x:c r="A238" s="29" t="str">
        <x:v>bakersfield:evidence:venue-22203</x:v>
      </x:c>
      <x:c r="B238" s="29" t="str">
        <x:v>bakersfield</x:v>
      </x:c>
      <x:c r="C238" s="29" t="str">
        <x:v>bakersfield:photo:venue-22203</x:v>
      </x:c>
      <x:c r="D238" s="29" t="str">
        <x:v>https://commons.wikimedia.org/wiki/File:Desert_Horned_Lizard,_Desert_Tortoise_Natural_Area,_Kern,_California,_United_States_imported_from_iNaturalist_photo_199005924.jpg</x:v>
      </x:c>
      <x:c r="E238" s="29" t="str">
        <x:v>Desert Horned Lizard, Desert Tortoise Natural Area, Kern, California, United States imported from iNaturalist photo 199005924.jpg</x:v>
      </x:c>
      <x:c r="F238" s="29" t="str">
        <x:v>(c) Wendy St. John, some rights reserved (CC BY-SA)</x:v>
      </x:c>
      <x:c r="G238" s="29" t="str">
        <x:v>CC BY-SA 4.0</x:v>
      </x:c>
      <x:c r="H238" s="29" t="str">
        <x:v>https://creativecommons.org/licenses/by-sa/4.0</x:v>
      </x:c>
      <x:c r="I238" s="29" t="str">
        <x:v>Creative Commons Attribution-Share Alike 4.0</x:v>
      </x:c>
      <x:c r="J238" s="29" t="str">
        <x:v>Desert Horned Lizard, Desert Tortoise Natural Area, Kern, California, United States imported from iNaturalist photo 199005924.jpg · (c) Wendy St. John, some rights reserved (CC BY-SA) · CC BY-SA 4.0 · https://commons.wikimedia.org/wiki/File:Desert_Horned_Lizard,_Desert_Tortoise_Natural_Area,_Kern,_California,_United_States_imported_from_iNaturalist_photo_199005924.jpg</x:v>
      </x:c>
      <x:c r="K23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8" s="31" t="d">
        <x:v>2026-10-24T00:00:00.000Z</x:v>
      </x:c>
      <x:c r="M238" s="29" t="str">
        <x:v>Doğrulandı</x:v>
      </x:c>
      <x:c r="N238" s="29" t="str">
        <x:v>Doğrulandı</x:v>
      </x:c>
      <x:c r="O238" s="29" t="str">
        <x:v>Fotoğraflar/bk-da8742db99f86428ddda22d9.webp</x:v>
      </x:c>
      <x:c r="P238" s="29" t="str">
        <x:v>Desert Tortoise Natural Area · çöl boynuzlu kertenkelesi · 2022 · İndirilen kare temas sayfasında görüldü; kaynak mekân kimliğiyle eşleştirildi. Seçim kaydı final-pixel-review.json.</x:v>
      </x:c>
      <x:c r="Q238" s="29" t="str">
        <x:v>Bu kare için uygun</x:v>
      </x:c>
      <x:c r="R23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8" s="29" t="str">
        <x:v>Lisans kanıtları/bk-da8742db99f86428ddda22d9.source-evidence.json</x:v>
      </x:c>
      <x:c r="T238" s="29" t="str">
        <x:v>d155eccd04e1ba00f737c1ecd2fbee65b3d38ce515c4ce69d30da63c4a6afc1e</x:v>
      </x:c>
      <x:c r="U238" s="29" t="str">
        <x:v>Lisans kanıtları/bk-da8742db99f86428ddda22d9.license-record.json</x:v>
      </x:c>
      <x:c r="V238" s="29" t="str">
        <x:v>e483385a020100cdf0dca288eebb4c377d1a2e73361f5c224ed882b28f8be859</x:v>
      </x:c>
      <x:c r="W238" s="29" t="str">
        <x:v>{"file":"bk-da8742db99f86428ddda22d9.webp","width":1280,"author":"(c) Wendy St. John, some rights reserved (CC BY-SA)","height":896,"sha256":"da8742db99f86428ddda22d9d0815d585384970859c0c94ffd1d4945e7e569b0","license":"CC BY-SA 4.0","imageinfo":{"url":"https://upload.wikimedia.org/wikipedia/commons/3/3d/Desert_Horned_Lizard%2C_Desert_Tortoise_Natural_Area%2C_Kern%2C_California%2C_United_States_imported_from_iNaturalist_photo_199005924.jpg?utm_source=commons.wikimedia.org&amp;utm_campaign=imageinfo&amp;utm_content=original","mime":"image/jpeg","sha1":"d668d53de17238027558a1a6ab0746aca1e8883e","size":2390151,"width":2048,"height":1434,"pageid":179696713,"thumburl":"https://thumb.wikimedia.org/wikipedia/commons/thumb/3/3d/Desert_Horned_Lizard%2C_Desert_Tortoise_Natural_Area%2C_Kern%2C_California%2C_United_States_imported_from_iNaturalist_photo_199005924.jpg/1280px-Desert_Horned_Lizard%2C_Desert_Tortoise_Natural_Area%2C_Kern%2C_California%2C_United_States_imported_from_iNaturalist_photo_199005924.jpg?utm_source=commons.wikimedia.org&amp;utm_campaign=imageinfo&amp;utm_content=thumbnail","timestamp":"2025-12-11T00:37:54Z","thumbwidth":1280,"extmetadata":{"Artist":{"value":"(c) Wendy St. John, some rights reserved (CC BY-SA)","source":"commons-desc-page"},"Credit":{"value":"&lt;a rel=\"nofollow\" class=\"external free\" href=\"https://www.inaturalist.org/photos/199005924\"&gt;https://www.inaturalist.org/photos/199005924&lt;/a&gt;","source":"commons-desc-page"},"License":{"value":"cc-by-sa-4.0","hidden":"","source":"commons-templates"},"DateTime":{"value":"2025-12-11 00:37:54","hidden":"","source":"mediawiki-metadata"},"Categories":{"value":"Phrynosoma platyrhinos|Media from iNaturalist|INaturalist images reviewed by iNaturalistReviewBot|Files with coordinates missing SDC location of creation|INaturalist images missing SDC depicts|Media uploaded with WikiLovesINat","hidden":"","source":"commons-categories"},"LicenseUrl":{"value":"https://creativecommons.org/licenses/by-sa/4.0","source":"commons-desc-page"},"ObjectName":{"value":"Desert Horned Lizard, Desert Tortoise Natural Area, Kern, California, United States imported from iNaturalist photo 199005924","source":"mediawiki-metadata"},"UsageTerms":{"value":"Creative Commons Attribution-Share Alike 4.0","source":"commons-desc-page"},"Assessments":{"value":"","hidden":"","source":"commons-categories"},"Copyrighted":{"value":"True","hidden":"","source":"commons-desc-page"},"GPSLatitude":{"value":"35.191264","source":"commons-desc-page"},"GPSMapDatum":{"value":"WGS-84","hidden":"","source":"commons-desc-page"},"GPSLongitude":{"value":"-117.880722","source":"commons-desc-page"},"Restrictions":{"value":"","hidden":"","source":"commons-desc-page"},"DateTimeOriginal":{"value":"2022-04-15","source":"commons-desc-page"},"ImageDescription":{"value":"Photo of Desert Horned Lizard (undefined) uploaded from &lt;a rel=\"nofollow\" class=\"external text\" href=\"https://inaturalist.org\"&gt;iNaturalist&lt;/a&gt;.","source":"commons-desc-page"},"LicenseShortName":{"value":"CC BY-SA 4.0","hidden":"","source":"commons-desc-page"},"AttributionRequired":{"value":"true","hidden":"","source":"commons-desc-page"},"CommonsMetadataExtension":{"value":1.2,"hidden":"","source":"extension"}},"thumbheight":896,"thumbattribs":{"src":"https://thumb.wikimedia.org/wikipedia/commons/thumb/3/3d/Desert_Horned_Lizard%2C_Desert_Tortoise_Natural_Area%2C_Kern%2C_California%2C_United_States_imported_from_iNaturalist_photo_199005924.jpg/1280px-Desert_Horned_Lizard%2C_Desert_Tortoise_Natural_Area%2C_Kern%2C_California%2C_United_States_imported_from_iNaturalist_photo_199005924.jpg?utm_source=commons.wikimedia.org&amp;utm_campaign=imageinfo&amp;utm_content=thumbnail","width":1280,"height":896,"srcset":"https://upload.wikimedia.org/wikipedia/commons/3/3d/Desert_Horned_Lizard%2C_Desert_Tortoise_Natural_Area%2C_Kern%2C_California%2C_United_States_imported_from_iNaturalist_photo_199005924.jpg?utm_source=commons.wikimedia.org&amp;utm_campaign=imageinfo&amp;utm_content=thumbnail_unscaled 2x","loading":"lazy","decoding":"async"},"descriptionurl":"https://commons.wikimedia.org/wiki/File:Desert_Horned_Lizard,_Desert_Tortoise_Natural_Area,_Kern,_California,_United_States_imported_from_iNaturalist_photo_199005924.jpg","responsiveUrls":{"2":"https://upload.wikimedia.org/wikipedia/commons/3/3d/Desert_Horned_Lizard%2C_Desert_Tortoise_Natural_Area%2C_Kern%2C_California%2C_United_States_imported_from_iNaturalist_photo_199005924.jpg?utm_source=commons.wikimedia.org&amp;utm_campaign=imageinfo&amp;utm_content=thumbnail_unscaled"},"descriptionshorturl":"https://commons.wikimedia.org/w/index.php?curid=179696713"},"selection":{"qid":"pending","kind":"candidate","title":"Bakersfield alternatives"},"author_url":"","derivative":"Wikimedia thumbnail decoded; EXIF orientation applied; converted to WebP quality 86; no generated pixels, no cropping.","source_url":"https://commons.wikimedia.org/wiki/File:Desert_Horned_Lizard,_Desert_Tortoise_Natural_Area,_Kern,_California,_United_States_imported_from_iNaturalist_photo_199005924.jpg","author_urls":[],"description":"Photo of Desert Horned Lizard (undefined) uploaded from iNaturalist.","license_url":"https://creativecommons.org/licenses/by-sa/4.0","reviewed_on":"2026-10-24","capture_date":"2022-04-15","download_url":"https://thumb.wikimedia.org/wikipedia/commons/thumb/3/3d/Desert_Horned_Lizard%2C_Desert_Tortoise_Natural_Area%2C_Kern%2C_California%2C_United_States_imported_from_iNaturalist_photo_199005924.jpg/1280px-Desert_Horned_Lizard%2C_Desert_Tortoise_Natural_Area%2C_Kern%2C_California%2C_United_States_imported_from_iNaturalist_photo_199005924.jpg?utm_source=commons.wikimedia.org&amp;utm_campaign=imageinfo&amp;utm_content=thumbnail","original_url":"https://upload.wikimedia.org/wikipedia/commons/3/3d/Desert_Horned_Lizard%2C_Desert_Tortoise_Natural_Area%2C_Kern%2C_California%2C_United_States_imported_from_iNaturalist_photo_199005924.jpg?utm_source=commons.wikimedia.org&amp;utm_campaign=imageinfo&amp;utm_content=original","pixel_review":{"method":"İndirilen kare temas sayfasında görüldü; kaynak mekân kimliğiyle eşleştirildi. Seçim kaydı final-pixel-review.json.","status":"verified","caption":"Desert Tortoise Natural Area · çöl boynuzlu kertenkelesi · 2022","reviewer":"Codex (AI)","review_id":"S0"},"downloaded_at":"2026-10-23T21:40:04.381011+00:00","download_sha256":"272f85a5ab602d17311625551e47763b30ac88293246e91c62503915b4c61d17","downloaded_file":"downloads/272f85a5ab602d17311625551e47763b30ac88293246e91c62503915b4c61d17.jpg","acquisition_file":"b0f0e352d8571d3191168e82.webp","commons_filename":"Desert Horned Lizard, Desert Tortoise Natural Area, Kern, California, United States imported from iNaturalist photo 199005924.jpg","original_file_url":"https://upload.wikimedia.org/wikipedia/commons/3/3d/Desert_Horned_Lizard%2C_Desert_Tortoise_Natural_Area%2C_Kern%2C_California%2C_United_States_imported_from_iNaturalist_photo_199005924.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3/3d/Desert_Horned_Lizard%2C_Desert_Tortoise_Natural_Area%2C_Kern%2C_California%2C_United_States_imported_from_iNaturalist_photo_199005924.jpg?utm_source=commons.wikimedia.org&amp;utm_campaign=imageinfo&amp;utm_content=original"},"metadata_reviewed_on":"2026-10-24","metadata_review_status":"verified"}}</x:v>
      </x:c>
    </x:row>
    <x:row r="239" ht="300" customHeight="1">
      <x:c r="A239" s="29" t="str">
        <x:v>bakersfield:evidence:venue-22204</x:v>
      </x:c>
      <x:c r="B239" s="29" t="str">
        <x:v>bakersfield</x:v>
      </x:c>
      <x:c r="C239" s="29" t="str">
        <x:v>bakersfield:photo:venue-22204</x:v>
      </x:c>
      <x:c r="D239" s="29" t="str">
        <x:v>https://commons.wikimedia.org/wiki/File:Canebrake_Ecological_Reserve_access_gate_2017-01-29.jpg</x:v>
      </x:c>
      <x:c r="E239" s="29" t="str">
        <x:v>Canebrake Ecological Reserve access gate 2017-01-29.jpg</x:v>
      </x:c>
      <x:c r="F239" s="29" t="str">
        <x:v>Junkyardsparkle</x:v>
      </x:c>
      <x:c r="G239" s="29" t="str">
        <x:v>CC0 1.0</x:v>
      </x:c>
      <x:c r="H239" s="29" t="str">
        <x:v>https://creativecommons.org/publicdomain/zero/1.0/</x:v>
      </x:c>
      <x:c r="I239" s="29" t="str">
        <x:v>Creative Commons Zero, Public Domain Dedication</x:v>
      </x:c>
      <x:c r="J239" s="29" t="str">
        <x:v>Canebrake Ecological Reserve access gate 2017-01-29.jpg · Junkyardsparkle · CC0 1.0 · https://commons.wikimedia.org/wiki/File:Canebrake_Ecological_Reserve_access_gate_2017-01-29.jpg</x:v>
      </x:c>
      <x:c r="K23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39" s="31" t="d">
        <x:v>2026-10-24T00:00:00.000Z</x:v>
      </x:c>
      <x:c r="M239" s="29" t="str">
        <x:v>Doğrulandı</x:v>
      </x:c>
      <x:c r="N239" s="29" t="str">
        <x:v>Doğrulandı</x:v>
      </x:c>
      <x:c r="O239" s="29" t="str">
        <x:v>Fotoğraflar/bk-e2ba0584648d43efee675e53.webp</x:v>
      </x:c>
      <x:c r="P239" s="29" t="str">
        <x:v>Canebrake Ecological Reserve · 2017 tarihli fotoğraf · İndirilen kare temas sayfasında görüldü; kaynak mekân kimliğiyle eşleştirildi. Seçim kaydı final-pixel-review.json.</x:v>
      </x:c>
      <x:c r="Q239" s="29" t="str">
        <x:v>Bu kare için uygun</x:v>
      </x:c>
      <x:c r="R23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39" s="29" t="str">
        <x:v>Lisans kanıtları/bk-e2ba0584648d43efee675e53.source-evidence.json</x:v>
      </x:c>
      <x:c r="T239" s="29" t="str">
        <x:v>efef5211cbd547a38825e94974e978aacab2db9bfc6386826d6776ab7d9f2a3a</x:v>
      </x:c>
      <x:c r="U239" s="29" t="str">
        <x:v>Lisans kanıtları/bk-e2ba0584648d43efee675e53.license-record.json</x:v>
      </x:c>
      <x:c r="V239" s="29" t="str">
        <x:v>aff7052500d179fe03501d1770d55c5ae242eaab786c968790de221debb16916</x:v>
      </x:c>
      <x:c r="W239" s="29" t="str">
        <x:v>{"file":"bk-e2ba0584648d43efee675e53.webp","width":1280,"author":"Junkyardsparkle","height":960,"sha256":"e2ba0584648d43efee675e539e0e01069d0afa90bd011cde2be156a720ed7df4","license":"CC0 1.0","imageinfo":{"url":"https://upload.wikimedia.org/wikipedia/commons/7/7f/Canebrake_Ecological_Reserve_access_gate_2017-01-29.jpg?utm_source=commons.wikimedia.org&amp;utm_campaign=imageinfo&amp;utm_content=original","mime":"image/jpeg","sha1":"9be5c5df7b2c84d554d1d0412c7e170a938c85c2","size":3679036,"width":4440,"height":3330,"pageid":55691460,"thumburl":"https://thumb.wikimedia.org/wikipedia/commons/thumb/7/7f/Canebrake_Ecological_Reserve_access_gate_2017-01-29.jpg/1280px-Canebrake_Ecological_Reserve_access_gate_2017-01-29.jpg?utm_source=commons.wikimedia.org&amp;utm_campaign=imageinfo&amp;utm_content=thumbnail","timestamp":"2017-02-01T04:26:41Z","thumbwidth":1280,"extmetadata":{"Artist":{"value":"&lt;a href=\"//commons.wikimedia.org/wiki/User:Junkyardsparkle\" title=\"User:Junkyardsparkle\"&gt;Junkyardsparkle&lt;/a&gt;","source":"commons-desc-page"},"Credit":{"value":"&lt;span class=\"int-own-work\" lang=\"en\"&gt;Own work&lt;/span&gt;","source":"commons-desc-page"},"License":{"value":"cc0","hidden":"","source":"commons-templates"},"DateTime":{"value":"2017-02-01 04:26:41","hidden":"","source":"mediawiki-metadata"},"Categories":{"value":"CC-Zero|California State Route 178|Canebrake Ecological Reserve|Signs in California|Gates in California|Self-published work|Protected area signs in the United States|Files by User:Junkyardsparkle|Files with coordinates missing SDC location of creation|Nature reserve entrance gates","hidden":"","source":"commons-categories"},"LicenseUrl":{"value":"http://creativecommons.org/publicdomain/zero/1.0/deed.en","source":"commons-desc-page"},"ObjectName":{"value":"Canebrake Ecological Reserve access gate 2017-01-29","source":"mediawiki-metadata"},"UsageTerms":{"value":"Creative Commons Zero, Public Domain Dedication","source":"commons-desc-page"},"Assessments":{"value":"","hidden":"","source":"commons-categories"},"Copyrighted":{"value":"True","hidden":"","source":"commons-desc-page"},"GPSLatitude":{"value":"35.726194","source":"commons-desc-page"},"GPSMapDatum":{"value":"WGS-84","hidden":"","source":"commons-desc-page"},"GPSLongitude":{"value":"-118.169250","source":"commons-desc-page"},"Restrictions":{"value":"","hidden":"","source":"commons-desc-page"},"DateTimeOriginal":{"value":"2017-01-29 13:04:45","source":"commons-desc-page"},"ImageDescription":{"value":"Entrance to the \"Public Access Trail\" of the &lt;a href=\"https://en.wikipedia.org/wiki/Canebrake_Ecological_Preserve\" class=\"extiw\" title=\"w:Canebrake Ecological Preserve\"&gt;Canebrake Ecological Preserve&lt;/a&gt;, which is not in fact open to the public (note the \"No Tresspassing\" sign).","source":"commons-desc-page"},"LicenseShortName":{"value":"CC0","hidden":"","source":"commons-desc-page"},"AttributionRequired":{"value":"false","hidden":"","source":"commons-desc-page"},"CommonsMetadataExtension":{"value":1.2,"hidden":"","source":"extension"}},"thumbheight":960,"thumbattribs":{"src":"https://thumb.wikimedia.org/wikipedia/commons/thumb/7/7f/Canebrake_Ecological_Reserve_access_gate_2017-01-29.jpg/1280px-Canebrake_Ecological_Reserve_access_gate_2017-01-29.jpg?utm_source=commons.wikimedia.org&amp;utm_campaign=imageinfo&amp;utm_content=thumbnail","width":1280,"height":960,"srcset":"https://thumb.wikimedia.org/wikipedia/commons/thumb/7/7f/Canebrake_Ecological_Reserve_access_gate_2017-01-29.jpg/3840px-Canebrake_Ecological_Reserve_access_gate_2017-01-29.jpg?utm_source=commons.wikimedia.org&amp;utm_campaign=imageinfo&amp;utm_content=thumbnail 2x","loading":"lazy","decoding":"async"},"descriptionurl":"https://commons.wikimedia.org/wiki/File:Canebrake_Ecological_Reserve_access_gate_2017-01-29.jpg","responsiveUrls":{"2":"https://thumb.wikimedia.org/wikipedia/commons/thumb/7/7f/Canebrake_Ecological_Reserve_access_gate_2017-01-29.jpg/3840px-Canebrake_Ecological_Reserve_access_gate_2017-01-29.jpg?utm_source=commons.wikimedia.org&amp;utm_campaign=imageinfo&amp;utm_content=thumbnail"},"descriptionshorturl":"https://commons.wikimedia.org/w/index.php?curid=55691460"},"selection":{"qid":"pending","kind":"candidate","title":"Canebrake Ecological Reserve"},"author_url":"https://commons.wikimedia.org/wiki/User:Junkyardsparkle","derivative":"Wikimedia thumbnail decoded; EXIF orientation applied; converted to WebP quality 86; no generated pixels, no cropping.","source_url":"https://commons.wikimedia.org/wiki/File:Canebrake_Ecological_Reserve_access_gate_2017-01-29.jpg","author_urls":["https://commons.wikimedia.org/wiki/User:Junkyardsparkle"],"description":"Entrance to the \"Public Access Trail\" of the Canebrake Ecological Preserve, which is not in fact open to the public (note the \"No Tresspassing\" sign).","license_url":"https://creativecommons.org/publicdomain/zero/1.0/","reviewed_on":"2026-10-24","capture_date":"2017-01-29 13:04:45","download_url":"https://thumb.wikimedia.org/wikipedia/commons/thumb/7/7f/Canebrake_Ecological_Reserve_access_gate_2017-01-29.jpg/1280px-Canebrake_Ecological_Reserve_access_gate_2017-01-29.jpg?utm_source=commons.wikimedia.org&amp;utm_campaign=imageinfo&amp;utm_content=thumbnail","original_url":"https://upload.wikimedia.org/wikipedia/commons/7/7f/Canebrake_Ecological_Reserve_access_gate_2017-01-29.jpg?utm_source=commons.wikimedia.org&amp;utm_campaign=imageinfo&amp;utm_content=original","pixel_review":{"method":"İndirilen kare temas sayfasında görüldü; kaynak mekân kimliğiyle eşleştirildi. Seçim kaydı final-pixel-review.json.","status":"verified","caption":"Canebrake Ecological Reserve · 2017 tarihli fotoğraf","reviewer":"Codex (AI)","review_id":"C94"},"downloaded_at":"2026-10-23T19:09:35.465986+00:00","download_sha256":"c98a700a365282b60c43177b6b12b7704753639b4257ea9e2012ae6caa4fa34e","downloaded_file":"downloads/c98a700a365282b60c43177b6b12b7704753639b4257ea9e2012ae6caa4fa34e.jpg","acquisition_file":"75c87a7dbedc6d55a30879e1.webp","commons_filename":"Canebrake Ecological Reserve access gate 2017-01-29.jpg","original_file_url":"https://upload.wikimedia.org/wikipedia/commons/7/7f/Canebrake_Ecological_Reserve_access_gate_2017-01-29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dönüştürüldü.","photo_attribution":{"author_url":"https://commons.wikimedia.org/wiki/User:Junkyardsparkle","modifications":"EXIF yönü uygulandı; boyut küçültülüp WebP biçimine dönüştürüldü.","original_file_url":"https://upload.wikimedia.org/wikipedia/commons/7/7f/Canebrake_Ecological_Reserve_access_gate_2017-01-29.jpg?utm_source=commons.wikimedia.org&amp;utm_campaign=imageinfo&amp;utm_content=original"},"metadata_reviewed_on":"2026-10-24","metadata_review_status":"verified"}}</x:v>
      </x:c>
    </x:row>
    <x:row r="240" ht="300" customHeight="1">
      <x:c r="A240" s="29" t="str">
        <x:v>bakersfield:evidence:venue-22205</x:v>
      </x:c>
      <x:c r="B240" s="29" t="str">
        <x:v>bakersfield</x:v>
      </x:c>
      <x:c r="C240" s="29" t="str">
        <x:v>bakersfield:photo:venue-22205</x:v>
      </x:c>
      <x:c r="D240" s="29" t="str">
        <x:v>https://commons.wikimedia.org/wiki/File:Canebrake_ER0062_(1)_(26705164932).jpg</x:v>
      </x:c>
      <x:c r="E240" s="29" t="str">
        <x:v>Canebrake ER0062 (1) (26705164932).jpg</x:v>
      </x:c>
      <x:c r="F240" s="29" t="str">
        <x:v>California Department of Fish and Wildlife from Sacramento, CA, USA</x:v>
      </x:c>
      <x:c r="G240" s="29" t="str">
        <x:v>CC BY 2.0</x:v>
      </x:c>
      <x:c r="H240" s="29" t="str">
        <x:v>https://creativecommons.org/licenses/by/2.0</x:v>
      </x:c>
      <x:c r="I240" s="29" t="str">
        <x:v>Creative Commons Attribution 2.0</x:v>
      </x:c>
      <x:c r="J240" s="29" t="str">
        <x:v>Canebrake ER0062 (1) (26705164932).jpg · California Department of Fish and Wildlife from Sacramento, CA, USA · CC BY 2.0 · https://commons.wikimedia.org/wiki/File:Canebrake_ER0062_(1)_(26705164932).jpg</x:v>
      </x:c>
      <x:c r="K24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0" s="31" t="d">
        <x:v>2026-10-24T00:00:00.000Z</x:v>
      </x:c>
      <x:c r="M240" s="29" t="str">
        <x:v>Doğrulandı</x:v>
      </x:c>
      <x:c r="N240" s="29" t="str">
        <x:v>Doğrulandı</x:v>
      </x:c>
      <x:c r="O240" s="29" t="str">
        <x:v>Fotoğraflar/bk-c4fddcec71f34dc64a12715d.webp</x:v>
      </x:c>
      <x:c r="P240" s="29" t="str">
        <x:v>Canebrake Ecological Reserve · 2016 tarihli fotoğraf · İndirilen kare temas sayfasında görüldü; kaynak mekân kimliğiyle eşleştirildi. Seçim kaydı final-pixel-review.json.</x:v>
      </x:c>
      <x:c r="Q240" s="29" t="str">
        <x:v>Bu kare için uygun</x:v>
      </x:c>
      <x:c r="R24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0" s="29" t="str">
        <x:v>Lisans kanıtları/bk-c4fddcec71f34dc64a12715d.source-evidence.json</x:v>
      </x:c>
      <x:c r="T240" s="29" t="str">
        <x:v>ff2fcde052d4b661160e12807e377e4cfd0d3037f1124ed7ef04e58f324dd8df</x:v>
      </x:c>
      <x:c r="U240" s="29" t="str">
        <x:v>Lisans kanıtları/bk-c4fddcec71f34dc64a12715d.license-record.json</x:v>
      </x:c>
      <x:c r="V240" s="29" t="str">
        <x:v>49cb10d7e4c9ca3c35ac8fb06e62aa7541fdf81b38797c0596bd12fdd9fb4042</x:v>
      </x:c>
      <x:c r="W240" s="29" t="str">
        <x:v>{"file":"bk-c4fddcec71f34dc64a12715d.webp","width":901,"author":"California Department of Fish and Wildlife from Sacramento, CA, USA","height":1440,"sha256":"c4fddcec71f34dc64a12715db2b2ef2c9b490ee70425ae78b13099df5c6f3921","license":"CC BY 2.0","imageinfo":{"url":"https://upload.wikimedia.org/wikipedia/commons/a/a4/Canebrake_ER0062_%281%29_%2826705164932%29.jpg?utm_source=commons.wikimedia.org&amp;utm_campaign=imageinfo&amp;utm_content=original","mime":"image/jpeg","sha1":"16e8c1750f666be442a20b951a3dd94f435680e9","size":1374336,"width":994,"height":1588,"pageid":69196411,"thumburl":"https://upload.wikimedia.org/wikipedia/commons/a/a4/Canebrake_ER0062_%281%29_%2826705164932%29.jpg?utm_source=commons.wikimedia.org&amp;utm_campaign=imageinfo&amp;utm_content=thumbnail_unscaled","timestamp":"2018-05-17T14:08:46Z","thumbwidth":1280,"extmetadata":{"Artist":{"value":"&lt;a rel=\"nofollow\" class=\"external text\" href=\"https://www.flickr.com/people/41723647@N08\"&gt;California Department of Fish and Wildlife&lt;/a&gt; from Sacramento, CA, USA","source":"commons-desc-page"},"Credit":{"value":"&lt;a rel=\"nofollow\" class=\"external text\" href=\"https://www.flickr.com/photos/californiadfg/26705164932/\"&gt;Canebrake ER0062 (1)&lt;/a&gt;","source":"commons-desc-page"},"License":{"value":"cc-by-2.0","hidden":"","source":"commons-templates"},"DateTime":{"value":"2018-05-17 14:08:46","hidden":"","source":"mediawiki-metadata"},"Categories":{"value":"Canebrake Ecological Reserve|Flickr images reviewed by FlickreviewR 2|USGov files uploaded by OceanAtoll|Files from the California Department of Fish and Wildlife Flickr stream","hidden":"","source":"commons-categories"},"LicenseUrl":{"value":"https://creativecommons.org/licenses/by/2.0","source":"commons-desc-page"},"ObjectName":{"value":"Canebrake ER0062 (1) (26705164932)","source":"mediawiki-metadata"},"UsageTerms":{"value":"Creative Commons Attribution 2.0","source":"commons-desc-page"},"Assessments":{"value":"","hidden":"","source":"commons-categories"},"Copyrighted":{"value":"True","hidden":"","source":"commons-desc-page"},"Restrictions":{"value":"","hidden":"","source":"commons-desc-page"},"DateTimeOriginal":{"value":"2016-03-15 16:47","source":"commons-desc-page"},"ImageDescription":{"value":"Canebrake Ecological Reserve, Kern County. CDFW photo by Robert Waldron.","source":"commons-desc-page"},"LicenseShortName":{"value":"CC BY 2.0","hidden":"","source":"commons-desc-page"},"AttributionRequired":{"value":"true","hidden":"","source":"commons-desc-page"},"CommonsMetadataExtension":{"value":1.2,"hidden":"","source":"extension"}},"thumbheight":2045,"thumbattribs":{"src":"https://upload.wikimedia.org/wikipedia/commons/a/a4/Canebrake_ER0062_%281%29_%2826705164932%29.jpg?utm_source=commons.wikimedia.org&amp;utm_campaign=imageinfo&amp;utm_content=thumbnail_unscaled","width":1280,"height":2045,"loading":"lazy","decoding":"async"},"descriptionurl":"https://commons.wikimedia.org/wiki/File:Canebrake_ER0062_(1)_(26705164932).jpg","descriptionshorturl":"https://commons.wikimedia.org/w/index.php?curid=69196411"},"selection":{"qid":"pending","kind":"candidate","title":"Canebrake Ecological Reserve"},"author_url":"https://www.flickr.com/people/41723647@N08","derivative":"Wikimedia thumbnail decoded; EXIF orientation applied; converted to WebP quality 86; no generated pixels, no cropping.","source_url":"https://commons.wikimedia.org/wiki/File:Canebrake_ER0062_(1)_(26705164932).jpg","author_urls":["https://www.flickr.com/people/41723647@N08"],"description":"Canebrake Ecological Reserve, Kern County. CDFW photo by Robert Waldron.","license_url":"https://creativecommons.org/licenses/by/2.0","reviewed_on":"2026-10-24","capture_date":"2016-03-15 16:47","download_url":"https://upload.wikimedia.org/wikipedia/commons/a/a4/Canebrake_ER0062_%281%29_%2826705164932%29.jpg?utm_source=commons.wikimedia.org&amp;utm_campaign=imageinfo&amp;utm_content=thumbnail_unscaled","original_url":"https://upload.wikimedia.org/wikipedia/commons/a/a4/Canebrake_ER0062_%281%29_%2826705164932%29.jpg?utm_source=commons.wikimedia.org&amp;utm_campaign=imageinfo&amp;utm_content=original","pixel_review":{"method":"İndirilen kare temas sayfasında görüldü; kaynak mekân kimliğiyle eşleştirildi. Seçim kaydı final-pixel-review.json.","status":"verified","caption":"Canebrake Ecological Reserve · 2016 tarihli fotoğraf","reviewer":"Codex (AI)","review_id":"C95"},"downloaded_at":"2026-10-23T19:09:38.729497+00:00","download_sha256":"80ebeb41de4529dfe51081fa9f0595fa181cecbbc81827b762229f76cf3d7bc0","downloaded_file":"downloads/80ebeb41de4529dfe51081fa9f0595fa181cecbbc81827b762229f76cf3d7bc0.jpg","acquisition_file":"4f0be86775fbc5ec5b951111.webp","commons_filename":"Canebrake ER0062 (1) (26705164932).jpg","original_file_url":"https://upload.wikimedia.org/wikipedia/commons/a/a4/Canebrake_ER0062_%281%29_%2826705164932%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dönüştürüldü.","photo_attribution":{"author_url":"https://www.flickr.com/people/41723647@N08","modifications":"EXIF yönü uygulandı; boyut küçültülüp WebP biçimine dönüştürüldü.","original_file_url":"https://upload.wikimedia.org/wikipedia/commons/a/a4/Canebrake_ER0062_%281%29_%2826705164932%29.jpg?utm_source=commons.wikimedia.org&amp;utm_campaign=imageinfo&amp;utm_content=original"},"metadata_reviewed_on":"2026-10-24","metadata_review_status":"verified"}}</x:v>
      </x:c>
    </x:row>
    <x:row r="241" ht="300" customHeight="1">
      <x:c r="A241" s="29" t="str">
        <x:v>bakersfield:evidence:venue-22206</x:v>
      </x:c>
      <x:c r="B241" s="29" t="str">
        <x:v>bakersfield</x:v>
      </x:c>
      <x:c r="C241" s="29" t="str">
        <x:v>bakersfield:photo:venue-22206</x:v>
      </x:c>
      <x:c r="D241" s="29" t="str">
        <x:v>https://commons.wikimedia.org/wiki/File:Canebrake_ER0062_(15)_(26798152315).jpg</x:v>
      </x:c>
      <x:c r="E241" s="29" t="str">
        <x:v>Canebrake ER0062 (15) (26798152315).jpg</x:v>
      </x:c>
      <x:c r="F241" s="29" t="str">
        <x:v>California Department of Fish and Wildlife from Sacramento, CA, USA</x:v>
      </x:c>
      <x:c r="G241" s="29" t="str">
        <x:v>CC BY 2.0</x:v>
      </x:c>
      <x:c r="H241" s="29" t="str">
        <x:v>https://creativecommons.org/licenses/by/2.0</x:v>
      </x:c>
      <x:c r="I241" s="29" t="str">
        <x:v>Creative Commons Attribution 2.0</x:v>
      </x:c>
      <x:c r="J241" s="29" t="str">
        <x:v>Canebrake ER0062 (15) (26798152315).jpg · California Department of Fish and Wildlife from Sacramento, CA, USA · CC BY 2.0 · https://commons.wikimedia.org/wiki/File:Canebrake_ER0062_(15)_(26798152315).jpg</x:v>
      </x:c>
      <x:c r="K24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1" s="31" t="d">
        <x:v>2026-10-24T00:00:00.000Z</x:v>
      </x:c>
      <x:c r="M241" s="29" t="str">
        <x:v>Doğrulandı</x:v>
      </x:c>
      <x:c r="N241" s="29" t="str">
        <x:v>Doğrulandı</x:v>
      </x:c>
      <x:c r="O241" s="29" t="str">
        <x:v>Fotoğraflar/bk-6f1504e80a78a195754adaee.webp</x:v>
      </x:c>
      <x:c r="P241" s="29" t="str">
        <x:v>Canebrake Ecological Reserve · 2016 tarihli fotoğraf · İndirilen kare temas sayfasında görüldü; kaynak mekân kimliğiyle eşleştirildi. Seçim kaydı final-pixel-review.json.</x:v>
      </x:c>
      <x:c r="Q241" s="29" t="str">
        <x:v>Bu kare için uygun</x:v>
      </x:c>
      <x:c r="R24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1" s="29" t="str">
        <x:v>Lisans kanıtları/bk-6f1504e80a78a195754adaee.source-evidence.json</x:v>
      </x:c>
      <x:c r="T241" s="29" t="str">
        <x:v>158f3f5e4866d4f95a51162d94717e03124846582abb024b6dd390b4b09f13df</x:v>
      </x:c>
      <x:c r="U241" s="29" t="str">
        <x:v>Lisans kanıtları/bk-6f1504e80a78a195754adaee.license-record.json</x:v>
      </x:c>
      <x:c r="V241" s="29" t="str">
        <x:v>183f2d2daa2a14a86d893a8cdd62d22d6483b910289f1b8f68a3c707c2c644fd</x:v>
      </x:c>
      <x:c r="W241" s="29" t="str">
        <x:v>{"file":"bk-6f1504e80a78a195754adaee.webp","width":1280,"author":"California Department of Fish and Wildlife from Sacramento, CA, USA","height":861,"sha256":"6f1504e80a78a195754adaee8b207cee37bab758931882e45d4db09efc86851e","license":"CC BY 2.0","imageinfo":{"url":"https://upload.wikimedia.org/wikipedia/commons/d/d5/Canebrake_ER0062_%2815%29_%2826798152315%29.jpg?utm_source=commons.wikimedia.org&amp;utm_campaign=imageinfo&amp;utm_content=original","mime":"image/jpeg","sha1":"b1d73720da7305b4ae0f23ced6b9548ce1f176f7","size":1069409,"width":1611,"height":1084,"pageid":69196435,"thumburl":"https://thumb.wikimedia.org/wikipedia/commons/thumb/d/d5/Canebrake_ER0062_%2815%29_%2826798152315%29.jpg/1280px-Canebrake_ER0062_%2815%29_%2826798152315%29.jpg?utm_source=commons.wikimedia.org&amp;utm_campaign=imageinfo&amp;utm_content=thumbnail","timestamp":"2018-05-17T14:09:18Z","thumbwidth":1280,"extmetadata":{"Artist":{"value":"&lt;a rel=\"nofollow\" class=\"external text\" href=\"https://www.flickr.com/people/41723647@N08\"&gt;California Department of Fish and Wildlife&lt;/a&gt; from Sacramento, CA, USA","source":"commons-desc-page"},"Credit":{"value":"&lt;a rel=\"nofollow\" class=\"external text\" href=\"https://www.flickr.com/photos/californiadfg/26798152315/\"&gt;Canebrake ER0062 (15)&lt;/a&gt;","source":"commons-desc-page"},"License":{"value":"cc-by-2.0","hidden":"","source":"commons-templates"},"DateTime":{"value":"2018-05-17 14:09:18","hidden":"","source":"mediawiki-metadata"},"Categories":{"value":"Canebrake Ecological Reserve|Flickr images reviewed by FlickreviewR 2|USGov files uploaded by OceanAtoll|Files from the California Department of Fish and Wildlife Flickr stream","hidden":"","source":"commons-categories"},"LicenseUrl":{"value":"https://creativecommons.org/licenses/by/2.0","source":"commons-desc-page"},"ObjectName":{"value":"Canebrake ER0062 (15) (26798152315)","source":"mediawiki-metadata"},"UsageTerms":{"value":"Creative Commons Attribution 2.0","source":"commons-desc-page"},"Assessments":{"value":"","hidden":"","source":"commons-categories"},"Copyrighted":{"value":"True","hidden":"","source":"commons-desc-page"},"Restrictions":{"value":"","hidden":"","source":"commons-desc-page"},"DateTimeOriginal":{"value":"2016-03-15 16:03","source":"commons-desc-page"},"ImageDescription":{"value":"Canebrake Ecological Reserve, Kern County. CDFW photo by Robert Waldron.","source":"commons-desc-page"},"LicenseShortName":{"value":"CC BY 2.0","hidden":"","source":"commons-desc-page"},"AttributionRequired":{"value":"true","hidden":"","source":"commons-desc-page"},"CommonsMetadataExtension":{"value":1.2,"hidden":"","source":"extension"}},"thumbheight":861,"thumbattribs":{"src":"https://thumb.wikimedia.org/wikipedia/commons/thumb/d/d5/Canebrake_ER0062_%2815%29_%2826798152315%29.jpg/1280px-Canebrake_ER0062_%2815%29_%2826798152315%29.jpg?utm_source=commons.wikimedia.org&amp;utm_campaign=imageinfo&amp;utm_content=thumbnail","width":1280,"height":861,"srcset":"https://upload.wikimedia.org/wikipedia/commons/d/d5/Canebrake_ER0062_%2815%29_%2826798152315%29.jpg?utm_source=commons.wikimedia.org&amp;utm_campaign=imageinfo&amp;utm_content=thumbnail_unscaled 2x","loading":"lazy","decoding":"async"},"descriptionurl":"https://commons.wikimedia.org/wiki/File:Canebrake_ER0062_(15)_(26798152315).jpg","responsiveUrls":{"2":"https://upload.wikimedia.org/wikipedia/commons/d/d5/Canebrake_ER0062_%2815%29_%2826798152315%29.jpg?utm_source=commons.wikimedia.org&amp;utm_campaign=imageinfo&amp;utm_content=thumbnail_unscaled"},"descriptionshorturl":"https://commons.wikimedia.org/w/index.php?curid=69196435"},"selection":{"qid":"pending","kind":"candidate","title":"Canebrake Ecological Reserve"},"author_url":"https://www.flickr.com/people/41723647@N08","derivative":"Wikimedia thumbnail decoded; EXIF orientation applied; converted to WebP quality 86; no generated pixels, no cropping.","source_url":"https://commons.wikimedia.org/wiki/File:Canebrake_ER0062_(15)_(26798152315).jpg","author_urls":["https://www.flickr.com/people/41723647@N08"],"description":"Canebrake Ecological Reserve, Kern County. CDFW photo by Robert Waldron.","license_url":"https://creativecommons.org/licenses/by/2.0","reviewed_on":"2026-10-24","capture_date":"2016-03-15 16:03","download_url":"https://thumb.wikimedia.org/wikipedia/commons/thumb/d/d5/Canebrake_ER0062_%2815%29_%2826798152315%29.jpg/1280px-Canebrake_ER0062_%2815%29_%2826798152315%29.jpg?utm_source=commons.wikimedia.org&amp;utm_campaign=imageinfo&amp;utm_content=thumbnail","original_url":"https://upload.wikimedia.org/wikipedia/commons/d/d5/Canebrake_ER0062_%2815%29_%2826798152315%29.jpg?utm_source=commons.wikimedia.org&amp;utm_campaign=imageinfo&amp;utm_content=original","pixel_review":{"method":"İndirilen kare temas sayfasında görüldü; kaynak mekân kimliğiyle eşleştirildi. Seçim kaydı final-pixel-review.json.","status":"verified","caption":"Canebrake Ecological Reserve · 2016 tarihli fotoğraf","reviewer":"Codex (AI)","review_id":"C97"},"downloaded_at":"2026-10-23T19:09:38.606181+00:00","download_sha256":"2e5383825f20873a2712e4040f9fe60fb4c9139341dd9fc062c6cf21a30e9f41","downloaded_file":"downloads/2e5383825f20873a2712e4040f9fe60fb4c9139341dd9fc062c6cf21a30e9f41.jpg","acquisition_file":"6fbb58faadaecf585328d42a.webp","commons_filename":"Canebrake ER0062 (15) (26798152315).jpg","original_file_url":"https://upload.wikimedia.org/wikipedia/commons/d/d5/Canebrake_ER0062_%2815%29_%2826798152315%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dönüştürüldü.","photo_attribution":{"author_url":"https://www.flickr.com/people/41723647@N08","modifications":"EXIF yönü uygulandı; boyut küçültülüp WebP biçimine dönüştürüldü.","original_file_url":"https://upload.wikimedia.org/wikipedia/commons/d/d5/Canebrake_ER0062_%2815%29_%2826798152315%29.jpg?utm_source=commons.wikimedia.org&amp;utm_campaign=imageinfo&amp;utm_content=original"},"metadata_reviewed_on":"2026-10-24","metadata_review_status":"verified"}}</x:v>
      </x:c>
    </x:row>
    <x:row r="242" ht="300" customHeight="1">
      <x:c r="A242" s="29" t="str">
        <x:v>bakersfield:evidence:venue-22207</x:v>
      </x:c>
      <x:c r="B242" s="29" t="str">
        <x:v>bakersfield</x:v>
      </x:c>
      <x:c r="C242" s="29" t="str">
        <x:v>bakersfield:photo:venue-22207</x:v>
      </x:c>
      <x:c r="D242" s="29" t="str">
        <x:v>https://commons.wikimedia.org/wiki/File:Kern_Bird_Refuge_-_panoramio.jpg</x:v>
      </x:c>
      <x:c r="E242" s="29" t="str">
        <x:v>Kern Bird Refuge - panoramio.jpg</x:v>
      </x:c>
      <x:c r="F242" s="29" t="str">
        <x:v>Annette Teng</x:v>
      </x:c>
      <x:c r="G242" s="29" t="str">
        <x:v>CC BY 3.0</x:v>
      </x:c>
      <x:c r="H242" s="29" t="str">
        <x:v>https://creativecommons.org/licenses/by/3.0</x:v>
      </x:c>
      <x:c r="I242" s="29" t="str">
        <x:v>Creative Commons Attribution 3.0</x:v>
      </x:c>
      <x:c r="J242" s="29" t="str">
        <x:v>Kern Bird Refuge - panoramio.jpg · Annette Teng · CC BY 3.0 · https://commons.wikimedia.org/wiki/File:Kern_Bird_Refuge_-_panoramio.jpg</x:v>
      </x:c>
      <x:c r="K24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2" s="31" t="d">
        <x:v>2026-10-24T00:00:00.000Z</x:v>
      </x:c>
      <x:c r="M242" s="29" t="str">
        <x:v>Doğrulandı</x:v>
      </x:c>
      <x:c r="N242" s="29" t="str">
        <x:v>Doğrulandı</x:v>
      </x:c>
      <x:c r="O242" s="29" t="str">
        <x:v>Fotoğraflar/bk-05a1f4abf7bc1974515a88e5.webp</x:v>
      </x:c>
      <x:c r="P242" s="29" t="str">
        <x:v>Kern National Wildlife Refuge · Take tarihli fotoğraf · İndirilen kare temas sayfasında görüldü; kaynak mekân kimliğiyle eşleştirildi. Seçim kaydı final-pixel-review.json.</x:v>
      </x:c>
      <x:c r="Q242" s="29" t="str">
        <x:v>Bu kare için uygun</x:v>
      </x:c>
      <x:c r="R24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2" s="29" t="str">
        <x:v>Lisans kanıtları/bk-05a1f4abf7bc1974515a88e5.source-evidence.json</x:v>
      </x:c>
      <x:c r="T242" s="29" t="str">
        <x:v>ec8e2c8c8b132540d90372f8b7d2c2e3703deeb727f0ac3989cfb634d25a2f3c</x:v>
      </x:c>
      <x:c r="U242" s="29" t="str">
        <x:v>Lisans kanıtları/bk-05a1f4abf7bc1974515a88e5.license-record.json</x:v>
      </x:c>
      <x:c r="V242" s="29" t="str">
        <x:v>e2943be07f9dafd4fcaf25c2c37e6fb8afaf63dc09c1928a5bc9c0e0a39297e9</x:v>
      </x:c>
      <x:c r="W242" s="29" t="str">
        <x:v>{"file":"bk-05a1f4abf7bc1974515a88e5.webp","width":1280,"author":"Annette Teng","height":853,"sha256":"05a1f4abf7bc1974515a88e57767974117f7a172144f58b23d2730fd41f60774","license":"CC BY 3.0","imageinfo":{"url":"https://upload.wikimedia.org/wikipedia/commons/9/9a/Kern_Bird_Refuge_-_panoramio.jpg?utm_source=commons.wikimedia.org&amp;utm_campaign=imageinfo&amp;utm_content=original","mime":"image/jpeg","sha1":"0eb3095391fd2cf21f7d67d760637e1292509f07","size":5027067,"width":5184,"height":3456,"pageid":56455652,"thumburl":"https://thumb.wikimedia.org/wikipedia/commons/thumb/9/9a/Kern_Bird_Refuge_-_panoramio.jpg/1280px-Kern_Bird_Refuge_-_panoramio.jpg?utm_source=commons.wikimedia.org&amp;utm_campaign=imageinfo&amp;utm_content=thumbnail","timestamp":"2017-02-20T19:59:16Z","thumbwidth":1280,"extmetadata":{"Artist":{"value":"&lt;a rel=\"nofollow\" class=\"external text\" href=\"https://web.archive.org/web/20161025035219/http://www.panoramio.com/user/7351347?with_photo_id=89277154\"&gt;Annette Teng&lt;/a&gt;","source":"commons-desc-page"},"Credit":{"value":"&lt;a rel=\"nofollow\" class=\"external free\" href=\"https://web.archive.org/web/20161025035216/http://www.panoramio.com/photo/89277154\"&gt;https://web.archive.org/web/20161025035216/http://www.panoramio.com/photo/89277154&lt;/a&gt;","source":"commons-desc-page"},"License":{"value":"cc-by-3.0","hidden":"","source":"commons-templates"},"DateTime":{"value":"2017-02-20 19:59:16","hidden":"","source":"mediawiki-metadata"},"Categories":{"value":"Kern National Wildlife Refuge|Panoramio files uploaded by Panoramio upload bot|Panoramio images reviewed by trusted users|Photos from Panoramio|Files with coordinates missing SDC location of creation|United States photographs taken on 2013-04-23|Photos from Panoramio ID 7351347","hidden":"","source":"commons-categories"},"LicenseUrl":{"value":"https://creativecommons.org/licenses/by/3.0","source":"commons-desc-page"},"ObjectName":{"value":"Kern Bird Refuge - panoramio","source":"mediawiki-metadata"},"Permission":{"value":"&lt;div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class=\"licensetpl_attr\"&gt;Annette Teng&lt;/div&gt;&lt;/div&gt;&lt;div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20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data-file-height=\"75\"&gt;&lt;/a&gt;&lt;/span&gt;\n&lt;/td&gt;&lt;/tr&gt;&lt;/tbody&gt;&lt;/table&gt;","hidden":"","source":"commons-desc-page"},"UsageTerms":{"value":"Creative Commons Attribution 3.0","source":"commons-desc-page"},"Assessments":{"value":"","hidden":"","source":"commons-categories"},"Attribution":{"value":"Annette Teng","hidden":"","source":"commons-desc-page"},"Copyrighted":{"value":"True","hidden":"","source":"commons-desc-page"},"GPSLatitude":{"value":"35.733694","source":"commons-desc-page"},"GPSMapDatum":{"value":"WGS-84","hidden":"","source":"commons-desc-page"},"GPSLongitude":{"value":"-119.595795","source":"commons-desc-page"},"Restrictions":{"value":"","hidden":"","source":"commons-desc-page"},"DateTimeOriginal":{"value":"Taken on 23 April 2013","source":"commons-desc-page"},"ImageDescription":{"value":"Kern Bird Refuge","source":"commons-desc-page"},"LicenseShortName":{"value":"CC BY 3.0","hidden":"","source":"commons-desc-page"},"AttributionRequired":{"value":"true","hidden":"","source":"commons-desc-page"},"CommonsMetadataExtension":{"value":1.2,"hidden":"","source":"extension"}},"thumbheight":853,"thumbattribs":{"src":"https://thumb.wikimedia.org/wikipedia/commons/thumb/9/9a/Kern_Bird_Refuge_-_panoramio.jpg/1280px-Kern_Bird_Refuge_-_panoramio.jpg?utm_source=commons.wikimedia.org&amp;utm_campaign=imageinfo&amp;utm_content=thumbnail","width":1280,"height":853,"srcset":"https://thumb.wikimedia.org/wikipedia/commons/thumb/9/9a/Kern_Bird_Refuge_-_panoramio.jpg/3840px-Kern_Bird_Refuge_-_panoramio.jpg?utm_source=commons.wikimedia.org&amp;utm_campaign=imageinfo&amp;utm_content=thumbnail 2x","loading":"lazy","decoding":"async"},"descriptionurl":"https://commons.wikimedia.org/wiki/File:Kern_Bird_Refuge_-_panoramio.jpg","responsiveUrls":{"2":"https://thumb.wikimedia.org/wikipedia/commons/thumb/9/9a/Kern_Bird_Refuge_-_panoramio.jpg/3840px-Kern_Bird_Refuge_-_panoramio.jpg?utm_source=commons.wikimedia.org&amp;utm_campaign=imageinfo&amp;utm_content=thumbnail"},"descriptionshorturl":"https://commons.wikimedia.org/w/index.php?curid=56455652"},"selection":{"qid":"pending","kind":"candidate","title":"Kern National Wildlife Refuge"},"author_url":"https://web.archive.org/web/20161025035219/http://www.panoramio.com/user/7351347?with_photo_id=89277154","derivative":"Wikimedia thumbnail decoded; EXIF orientation applied; converted to WebP quality 86; no generated pixels, no cropping.","source_url":"https://commons.wikimedia.org/wiki/File:Kern_Bird_Refuge_-_panoramio.jpg","author_urls":["https://web.archive.org/web/20161025035219/http://www.panoramio.com/user/7351347?with_photo_id=89277154"],"description":"Kern Bird Refuge","license_url":"https://creativecommons.org/licenses/by/3.0","reviewed_on":"2026-10-24","capture_date":"Taken on 23 April 2013","download_url":"https://thumb.wikimedia.org/wikipedia/commons/thumb/9/9a/Kern_Bird_Refuge_-_panoramio.jpg/1280px-Kern_Bird_Refuge_-_panoramio.jpg?utm_source=commons.wikimedia.org&amp;utm_campaign=imageinfo&amp;utm_content=thumbnail","original_url":"https://upload.wikimedia.org/wikipedia/commons/9/9a/Kern_Bird_Refuge_-_panoramio.jpg?utm_source=commons.wikimedia.org&amp;utm_campaign=imageinfo&amp;utm_content=original","pixel_review":{"method":"İndirilen kare temas sayfasında görüldü; kaynak mekân kimliğiyle eşleştirildi. Seçim kaydı final-pixel-review.json.","status":"verified","caption":"Kern National Wildlife Refuge · Take tarihli fotoğraf","reviewer":"Codex (AI)","review_id":"C160"},"downloaded_at":"2026-10-23T19:09:28.477654+00:00","download_sha256":"5718a82da58c1ab121e02d5f6a6ad82260ab8718c8b1b72d84c1ba9bcecfce46","downloaded_file":"downloads/5718a82da58c1ab121e02d5f6a6ad82260ab8718c8b1b72d84c1ba9bcecfce46.jpg","acquisition_file":"0506d0a29dae63ac16e71f63.webp","commons_filename":"Kern Bird Refuge - panoramio.jpg","original_file_url":"https://upload.wikimedia.org/wikipedia/commons/9/9a/Kern_Bird_Refuge_-_panorami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dönüştürüldü.","photo_attribution":{"author_url":"https://web.archive.org/web/20161025035219/http://www.panoramio.com/user/7351347?with_photo_id=89277154","modifications":"EXIF yönü uygulandı; boyut küçültülüp WebP biçimine dönüştürüldü.","original_file_url":"https://upload.wikimedia.org/wikipedia/commons/9/9a/Kern_Bird_Refuge_-_panoramio.jpg?utm_source=commons.wikimedia.org&amp;utm_campaign=imageinfo&amp;utm_content=original"},"metadata_reviewed_on":"2026-10-24","metadata_review_status":"verified"}}</x:v>
      </x:c>
    </x:row>
    <x:row r="243" ht="300" customHeight="1">
      <x:c r="A243" s="29" t="str">
        <x:v>bakersfield:evidence:venue-22208</x:v>
      </x:c>
      <x:c r="B243" s="29" t="str">
        <x:v>bakersfield</x:v>
      </x:c>
      <x:c r="C243" s="29" t="str">
        <x:v>bakersfield:photo:venue-22208</x:v>
      </x:c>
      <x:c r="D243" s="29" t="str">
        <x:v>https://www.flickr.com/photos/78317199@N00/2684325136/</x:v>
      </x:c>
      <x:c r="E243" s="29" t="str">
        <x:v>Buttonwillow Raceway Park · 2003 tarihli fotoğraf</x:v>
      </x:c>
      <x:c r="F243" s="29" t="str">
        <x:v>Craig Howell</x:v>
      </x:c>
      <x:c r="G243" s="29" t="str">
        <x:v>CC BY 2.0</x:v>
      </x:c>
      <x:c r="H243" s="29" t="str">
        <x:v>https://creativecommons.org/licenses/by/2.0/</x:v>
      </x:c>
      <x:c r="I243" s="29" t="str">
        <x:v>CC BY 2.0</x:v>
      </x:c>
      <x:c r="J243" s="29" t="str">
        <x:v>Buttonwillow Raceway Park · 2003 tarihli fotoğraf · Craig Howell · CC BY 2.0 · https://www.flickr.com/photos/78317199@N00/2684325136/</x:v>
      </x:c>
      <x:c r="K24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3" s="31" t="d">
        <x:v>2026-10-24T00:00:00.000Z</x:v>
      </x:c>
      <x:c r="M243" s="29" t="str">
        <x:v>Doğrulandı</x:v>
      </x:c>
      <x:c r="N243" s="29" t="str">
        <x:v>Doğrulandı</x:v>
      </x:c>
      <x:c r="O243" s="29" t="str">
        <x:v>Fotoğraflar/bk-c80879eb04db6ace2f0d8fe1.webp</x:v>
      </x:c>
      <x:c r="P243" s="29" t="str">
        <x:v>Buttonwillow Raceway Park · 2003 tarihli fotoğraf · İndirilen kare temas sayfasında görüldü; kaynak mekân kimliğiyle eşleştirildi. Seçim kaydı final-pixel-review.json.</x:v>
      </x:c>
      <x:c r="Q243" s="29" t="str">
        <x:v>Bu kare için uygun</x:v>
      </x:c>
      <x:c r="R24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3" s="29" t="str">
        <x:v>Lisans kanıtları/bk-c80879eb04db6ace2f0d8fe1.source-evidence.json</x:v>
      </x:c>
      <x:c r="T243" s="29" t="str">
        <x:v>4c5cfffaeec64afe3a434d7fce89aa344a6f3abfbd082921f3cd38e148109ebc</x:v>
      </x:c>
      <x:c r="U243" s="29" t="str">
        <x:v>Lisans kanıtları/bk-c80879eb04db6ace2f0d8fe1.license-record.json</x:v>
      </x:c>
      <x:c r="V243" s="29" t="str">
        <x:v>8c4f92a76f0eb5eb103056d0c317b93cc9d8888a46e7afa14521292f9919d5ee</x:v>
      </x:c>
      <x:c r="W243" s="29" t="str">
        <x:v>{"file":"bk-c80879eb04db6ace2f0d8fe1.webp","width":1024,"author":"Craig Howell","height":768,"sha256":"c80879eb04db6ace2f0d8fe1eb2d4c70415da2c7426a8d5368f7a4e484103330","status":"reviewed-selected","license":"CC BY 2.0","provider":"Flickr","review_id":"F431","source_id":"2684325136","author_url":"https://www.flickr.com/photos/78317199@N00/","date_texts":["Uploaded on July 20, 2008 Taken on May 4, 2003","Taken on May 4, 2003","Uploaded on July 20, 2008 Taken on May 4, 2003","Taken on May 4, 2003"],"source_url":"https://www.flickr.com/photos/78317199@N00/2684325136/","description":"","license_url":"https://creativecommons.org/licenses/by/2.0/","review_note":"Race car on track; metadata must establish track.","reviewed_on":"2026-10-24","source_text":"Getting off track at Buttonwillow raceway | Craig Howell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Craig Howell | El Caganer - Over 9 Million views! Getting off track at Buttonwillow raceway Done 760 views 0 faves 0 comments Uploaded on July 20, 2008 Taken on May 4, 2003 Craig Howell By: Craig Howell Getting off track at Buttonwillow raceway Done 760 views 0 faves 0 comments Uploaded on July 20, 2008 Taken on May 4, 2003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photography.","capture_date":"2003-05-04","download_url":"https://live.staticflickr.com/3046/2684325136_36f9bb5595_b.jpg","original_url":"https://live.staticflickr.com/3046/2684325136_9dfe25cd2e_o.jpg","pixel_review":{"method":"İndirilen kare temas sayfasında görüldü; kaynak mekân kimliğiyle eşleştirildi. Seçim kaydı final-pixel-review.json.","status":"verified","caption":"Buttonwillow Raceway Park · 2003 tarihli fotoğraf","reviewer":"Codex (AI)","review_id":"F431"},"source_title":"Getting off track at Buttonwillow raceway","downloaded_at":"2026-10-23T19:50:27.473608+00:00","download_sha256":"dac2260b49770863b45f67e558e914f9dcc2606bd3f1633e81a9de0ae97937f9","downloaded_file":"downloads/dac2260b49770863b45f67e558e914f9dcc2606bd3f1633e81a9de0ae97937f9.jpg","public_metadata":{"photo-models":[{"data":{"id":"2684325136","owner":{"data":{"id":"78317199@N00","isPro":true,"newFlow":true,"isAdFree":false,"location":null,"proBadge":"standard","realname":"Craig Howell","segments":{"data":[],"exportMetaType":"array"},"username":"| El Caganer - Over 9 Million views!","buddyicon":{"data":{"large":"//farm66.staticflickr.com/65535/buddyicons/78317199@N00_l.jpg?1695781674#78317199@N00","small":"//farm66.staticflickr.com/65535/buddyicons/78317199@N00_s.jpg?1695781674#78317199@N00","medium":"//farm66.staticflickr.com/65535/buddyicons/78317199@N00_m.jpg?1695781674#78317199@N00","retina":"//farm66.staticflickr.com/65535/buddyicons/78317199@N00_r.jpg?1695781674#78317199@N00","default":"//farm66.staticflickr.com/65535/buddyicons/78317199@N00.jpg?1695781674#78317199@N00"},"exportMetaType":"pojo"},"pathAlias":"seat850","dateCreated":{"data":"1113692825","exportMetaType":"serializeFunction"},"subscription":{"data":{"isPro":false,"isClosed":false,"isPastDue":false},"exportMetaType":"pojo"},"eligibleGifts":{"data":["year","month","week"],"exportMetaType":"array"},"isEligibleForGifts":true,"_flickrModelRegistry":"person-models"},"exportMetaType":"model"},"sizes":{"data":{"c":{"data":{"url":"//live.staticflickr.com/3046/2684325136_36f9bb5595_c.jpg","width":800,"height":600,"displayUrl":"//live.staticflickr.com/3046/2684325136_36f9bb5595_c.jpg"},"exportMetaType":"pojo"},"l":{"data":{"url":"//live.staticflickr.com/3046/2684325136_36f9bb5595_b.jpg","width":1024,"height":768,"displayUrl":"//live.staticflickr.com/3046/2684325136_36f9bb5595_b.jpg"},"exportMetaType":"pojo"},"m":{"data":{"url":"//live.staticflickr.com/3046/2684325136_36f9bb5595.jpg","width":500,"height":375,"displayUrl":"//live.staticflickr.com/3046/2684325136_36f9bb5595.jpg"},"exportMetaType":"pojo"},"n":{"data":{"url":"//live.staticflickr.com/3046/2684325136_36f9bb5595_n.jpg","width":320,"height":240,"displayUrl":"//live.staticflickr.com/3046/2684325136_36f9bb5595_n.jpg"},"exportMetaType":"pojo"},"o":{"data":{"url":"//live.staticflickr.com/3046/2684325136_9dfe25cd2e_o.jpg","width":1280,"height":960,"displayUrl":"//live.staticflickr.com/3046/2684325136_9dfe25cd2e_o.jpg"},"exportMetaType":"pojo"},"q":{"data":{"url":"//live.staticflickr.com/3046/2684325136_36f9bb5595_q.jpg","width":150,"height":150,"displayUrl":"//live.staticflickr.com/3046/2684325136_36f9bb5595_q.jpg"},"exportMetaType":"pojo"},"s":{"data":{"url":"//live.staticflickr.com/3046/2684325136_36f9bb5595_m.jpg","width":240,"height":180,"displayUrl":"//live.staticflickr.com/3046/2684325136_36f9bb5595_m.jpg"},"exportMetaType":"pojo"},"t":{"data":{"url":"//live.staticflickr.com/3046/2684325136_36f9bb5595_t.jpg","width":100,"height":75,"displayUrl":"//live.staticflickr.com/3046/2684325136_36f9bb5595_t.jpg"},"exportMetaType":"pojo"},"w":{"data":{"url":"//live.staticflickr.com/3046/2684325136_36f9bb5595_w.jpg","width":400,"height":300,"displayUrl":"//live.staticflickr.com/3046/2684325136_36f9bb5595_w.jpg"},"exportMetaType":"pojo"},"z":{"data":{"url":"//live.staticflickr.com/3046/2684325136_36f9bb5595_z.jpg","width":640,"height":480,"displayUrl":"//live.staticflickr.com/3046/2684325136_36f9bb5595_z.jpg"},"exportMetaType":"pojo"},"sq":{"data":{"url":"//live.staticflickr.com/3046/2684325136_36f9bb5595_s.jpg","width":75,"height":75,"displayUrl":"//live.staticflickr.com/3046/2684325136_36f9bb5595_s.jpg"},"exportMetaType":"pojo"}},"exportMetaType":"pojo"},"title":"Getting off track at Buttonwillow raceway","oWidth":1280,"secret":"36f9bb5595","license":4,"oHeight":960,"rotation":0,"canAddMeta":false,"canComment":false,"engagement":{"data":{"id":"2684325136","canShare":true,"ownerNsid":"78317199@N00","reactions":{"data":{"like":{"data":{"id":"like","count":5,"canReact":true,"didViewerReact":true},"exportMetaType":"pojo"},"someOtherReaction":{"data":{"id":"someOtherReaction","count":3,"canReact":true,"didViewerReact":false},"exportMetaType":"pojo"}},"exportMetaType":"pojo"},"viewCount":760,"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2684325136","hasGeo":true,"accuracy":13,"isPublic":true,"latitude":35.402028,"longitude":-119.466791,"_flickrModelRegistry":"photo-geo-models"},"exportMetaType":"model"}],"photo-location-models":[{"data":{"id":"2684325136","geo":{"data":"~2","exportMetaType":"model"},"text":"Buttonwillow, California, United States","levels":{"data":{"county":{"data":{"name":"Kern","woeId":12587684},"exportMetaType":"pojo"},"region":{"data":{"name":"California","woeId":2347563},"exportMetaType":"pojo"},"country":{"data":{"name":"United States","woeId":23424977},"exportMetaType":"pojo"},"locality":{"data":{"name":"Buttonwillow","woeId":2372692},"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2684325136","title":"Getting off track at Buttonwillow raceway","og:url":"https://www.flickr.com/photos/seat850/2684325136/","og:type":"article","keywords":"cortina, fiat, lotus, lola, f1, ferrari, mercer, porsche, alfa, morris, morgan, classiccars, maserati, opel, lancia, lagunaseca, allard, abarth, cisitalia, searspoint, brabham, carracing, chapparal, classicraces, csrg, vintageraces","og:image":"https://live.staticflickr.com/3046/2684325136_36f9bb5595_b.jpg","og:title":"Getting off track at Buttonwillow raceway","twitter:card":"summary_large_image","twitter:image":"https://live.staticflickr.com/3046/2684325136_36f9bb5595_b.jpg","og:description":"","og:image:width":1024,"og:image:height":768,"twitter:description":"Explore | El Caganer - Over 9 Million views!'s 28406 photos on Flickr!","_flickrModelRegistry":"photo-head-meta-models","twitter:app:url:ipad":"flickr://flickr.com/photos/seat850/2684325136/","twitter:app:url:iphone":"flickr://flickr.com/photos/seat850/2684325136/","twitter:app:url:googleplay":"https://www.flickr.com/photos/seat850/2684325136/"},"exportMetaType":"model"}],"photo-license-history-models":[]},"acquisition_file":"fl-2684325136.webp","source_html_file":"/Users/atincakcayoz/corteqs/output/bakersfield-production-20261023/flickr-source-pages/2684325136.html","original_file_url":"https://live.staticflickr.com/3046/2684325136_9dfe25cd2e_o.jpg","proposed_identity":"Buttonwillow Raceway","source_html_sha256":"043cca9dcc402ed6fee7b29f361561760e0211a9621ae377ef60aa5a4b9eb192","third_party_rights_review":{"basis":"Kaynakta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dönüştürüldü.","photo_attribution":{"author_url":"https://www.flickr.com/photos/78317199@N00/","modifications":"EXIF yönü uygulandı; boyut küçültülüp WebP biçimine dönüştürüldü.","original_file_url":"https://live.staticflickr.com/3046/2684325136_9dfe25cd2e_o.jpg"},"metadata_reviewed_on":"2026-10-24","metadata_review_status":"verified"}}</x:v>
      </x:c>
    </x:row>
    <x:row r="244" ht="300" customHeight="1">
      <x:c r="A244" s="29" t="str">
        <x:v>bakersfield:evidence:venue-22209</x:v>
      </x:c>
      <x:c r="B244" s="29" t="str">
        <x:v>bakersfield</x:v>
      </x:c>
      <x:c r="C244" s="29" t="str">
        <x:v>bakersfield:photo:venue-22209</x:v>
      </x:c>
      <x:c r="D244" s="29" t="str">
        <x:v>https://commons.wikimedia.org/wiki/File:Aerospace_Highway_-_panoramio.jpg</x:v>
      </x:c>
      <x:c r="E244" s="29" t="str">
        <x:v>Aerospace Highway - panoramio.jpg</x:v>
      </x:c>
      <x:c r="F244" s="29" t="str">
        <x:v>Annette Teng</x:v>
      </x:c>
      <x:c r="G244" s="29" t="str">
        <x:v>CC BY 3.0</x:v>
      </x:c>
      <x:c r="H244" s="29" t="str">
        <x:v>https://creativecommons.org/licenses/by/3.0</x:v>
      </x:c>
      <x:c r="I244" s="29" t="str">
        <x:v>Creative Commons Attribution 3.0</x:v>
      </x:c>
      <x:c r="J244" s="29" t="str">
        <x:v>Aerospace Highway - panoramio.jpg · Annette Teng · CC BY 3.0 · https://commons.wikimedia.org/wiki/File:Aerospace_Highway_-_panoramio.jpg</x:v>
      </x:c>
      <x:c r="K24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4" s="31" t="d">
        <x:v>2026-10-24T00:00:00.000Z</x:v>
      </x:c>
      <x:c r="M244" s="29" t="str">
        <x:v>Doğrulandı</x:v>
      </x:c>
      <x:c r="N244" s="29" t="str">
        <x:v>Doğrulandı</x:v>
      </x:c>
      <x:c r="O244" s="29" t="str">
        <x:v>Fotoğraflar/bk-f6984b0516e9dbbc515fc5c8.webp</x:v>
      </x:c>
      <x:c r="P244" s="29" t="str">
        <x:v>Red Rock Canyon State Park · Take tarihli fotoğraf · İndirilen kare temas sayfasında görüldü; kaynak mekân kimliğiyle eşleştirildi. Seçim kaydı final-pixel-review.json.</x:v>
      </x:c>
      <x:c r="Q244" s="29" t="str">
        <x:v>Bu kare için uygun</x:v>
      </x:c>
      <x:c r="R24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4" s="29" t="str">
        <x:v>Lisans kanıtları/bk-f6984b0516e9dbbc515fc5c8.source-evidence.json</x:v>
      </x:c>
      <x:c r="T244" s="29" t="str">
        <x:v>0ef9c81c41c01951d9f02ee9cee6904a2de01652d155b81c3969e8988f03b104</x:v>
      </x:c>
      <x:c r="U244" s="29" t="str">
        <x:v>Lisans kanıtları/bk-f6984b0516e9dbbc515fc5c8.license-record.json</x:v>
      </x:c>
      <x:c r="V244" s="29" t="str">
        <x:v>9561790c6dbdfdcddfc8af33d20edbf2cc680fe6cf1bbe8b87c886fbc60740f3</x:v>
      </x:c>
      <x:c r="W244" s="29" t="str">
        <x:v>{"file":"bk-f6984b0516e9dbbc515fc5c8.webp","width":1280,"author":"Annette Teng","height":850,"sha256":"f6984b0516e9dbbc515fc5c80c762a39c8c229e9ad91b50383059eae371a5dfa","license":"CC BY 3.0","imageinfo":{"url":"https://upload.wikimedia.org/wikipedia/commons/c/c5/Aerospace_Highway_-_panoramio.jpg?utm_source=commons.wikimedia.org&amp;utm_campaign=imageinfo&amp;utm_content=original","mime":"image/jpeg","sha1":"9ead05228129f285a0cab34c258aa24836c950cc","size":2573781,"width":4288,"height":2848,"pageid":56444288,"thumburl":"https://thumb.wikimedia.org/wikipedia/commons/thumb/c/c5/Aerospace_Highway_-_panoramio.jpg/1280px-Aerospace_Highway_-_panoramio.jpg?utm_source=commons.wikimedia.org&amp;utm_campaign=imageinfo&amp;utm_content=thumbnail","timestamp":"2017-02-20T13:11:18Z","thumbwidth":1280,"extmetadata":{"Artist":{"value":"&lt;a rel=\"nofollow\" class=\"external text\" href=\"https://web.archive.org/web/20161025014503/http://www.panoramio.com/user/7351347?with_photo_id=89215987\"&gt;Annette Teng&lt;/a&gt;","source":"commons-desc-page"},"Credit":{"value":"&lt;a rel=\"nofollow\" class=\"external free\" href=\"https://web.archive.org/web/20161025014458/http://www.panoramio.com/photo/89215987\"&gt;https://web.archive.org/web/20161025014458/http://www.panoramio.com/photo/89215987&lt;/a&gt;","source":"commons-desc-page"},"License":{"value":"cc-by-3.0","hidden":"","source":"commons-templates"},"DateTime":{"value":"2017-02-20 13:11:18","hidden":"","source":"mediawiki-metadata"},"Categories":{"value":"Red Rock Canyon State Park (California)|Panoramio files uploaded by Panoramio upload bot|Panoramio images reviewed by trusted users|Photos from Panoramio|Files with coordinates missing SDC location of creation|United States photographs taken on 2013-04-21|Photos from Panoramio ID 7351347","hidden":"","source":"commons-categories"},"LicenseUrl":{"value":"https://creativecommons.org/licenses/by/3.0","source":"commons-desc-page"},"ObjectName":{"value":"Aerospace Highway - panoramio","source":"mediawiki-metadata"},"Permission":{"value":"&lt;div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class=\"licensetpl_attr\"&gt;Annette Teng&lt;/div&gt;&lt;/div&gt;&lt;div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20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data-file-height=\"75\"&gt;&lt;/a&gt;&lt;/span&gt;\n&lt;/td&gt;&lt;/tr&gt;&lt;/tbody&gt;&lt;/table&gt;","hidden":"","source":"commons-desc-page"},"UsageTerms":{"value":"Creative Commons Attribution 3.0","source":"commons-desc-page"},"Assessments":{"value":"","hidden":"","source":"commons-categories"},"Attribution":{"value":"Annette Teng","hidden":"","source":"commons-desc-page"},"Copyrighted":{"value":"True","hidden":"","source":"commons-desc-page"},"GPSLatitude":{"value":"35.368615","source":"commons-desc-page"},"GPSMapDatum":{"value":"WGS-84","hidden":"","source":"commons-desc-page"},"GPSLongitude":{"value":"-117.984581","source":"commons-desc-page"},"Restrictions":{"value":"","hidden":"","source":"commons-desc-page"},"DateTimeOriginal":{"value":"Taken on 21 April 2013","source":"commons-desc-page"},"ImageDescription":{"value":"Aerospace Highway","source":"commons-desc-page"},"LicenseShortName":{"value":"CC BY 3.0","hidden":"","source":"commons-desc-page"},"AttributionRequired":{"value":"true","hidden":"","source":"commons-desc-page"},"CommonsMetadataExtension":{"value":1.2,"hidden":"","source":"extension"}},"thumbheight":850,"thumbattribs":{"src":"https://thumb.wikimedia.org/wikipedia/commons/thumb/c/c5/Aerospace_Highway_-_panoramio.jpg/1280px-Aerospace_Highway_-_panoramio.jpg?utm_source=commons.wikimedia.org&amp;utm_campaign=imageinfo&amp;utm_content=thumbnail","width":1280,"height":850,"srcset":"https://thumb.wikimedia.org/wikipedia/commons/thumb/c/c5/Aerospace_Highway_-_panoramio.jpg/3840px-Aerospace_Highway_-_panoramio.jpg?utm_source=commons.wikimedia.org&amp;utm_campaign=imageinfo&amp;utm_content=thumbnail 2x","loading":"lazy","decoding":"async"},"descriptionurl":"https://commons.wikimedia.org/wiki/File:Aerospace_Highway_-_panoramio.jpg","responsiveUrls":{"2":"https://thumb.wikimedia.org/wikipedia/commons/thumb/c/c5/Aerospace_Highway_-_panoramio.jpg/3840px-Aerospace_Highway_-_panoramio.jpg?utm_source=commons.wikimedia.org&amp;utm_campaign=imageinfo&amp;utm_content=thumbnail"},"descriptionshorturl":"https://commons.wikimedia.org/w/index.php?curid=56444288"},"selection":{"qid":"pending","kind":"candidate","title":"Red Rock Canyon State Park (California)"},"author_url":"https://web.archive.org/web/20161025014503/http://www.panoramio.com/user/7351347?with_photo_id=89215987","derivative":"Wikimedia thumbnail decoded; EXIF orientation applied; converted to WebP quality 86; no generated pixels, no cropping.","source_url":"https://commons.wikimedia.org/wiki/File:Aerospace_Highway_-_panoramio.jpg","author_urls":["https://web.archive.org/web/20161025014503/http://www.panoramio.com/user/7351347?with_photo_id=89215987"],"description":"Aerospace Highway","license_url":"https://creativecommons.org/licenses/by/3.0","reviewed_on":"2026-10-24","capture_date":"Taken on 21 April 2013","download_url":"https://thumb.wikimedia.org/wikipedia/commons/thumb/c/c5/Aerospace_Highway_-_panoramio.jpg/1280px-Aerospace_Highway_-_panoramio.jpg?utm_source=commons.wikimedia.org&amp;utm_campaign=imageinfo&amp;utm_content=thumbnail","original_url":"https://upload.wikimedia.org/wikipedia/commons/c/c5/Aerospace_Highway_-_panoramio.jpg?utm_source=commons.wikimedia.org&amp;utm_campaign=imageinfo&amp;utm_content=original","pixel_review":{"method":"İndirilen kare temas sayfasında görüldü; kaynak mekân kimliğiyle eşleştirildi. Seçim kaydı final-pixel-review.json.","status":"verified","caption":"Red Rock Canyon State Park · Take tarihli fotoğraf","reviewer":"Codex (AI)","review_id":"C46"},"downloaded_at":"2026-10-23T19:09:30.041522+00:00","download_sha256":"e27f1608e142b7ce969a1376bcd7af4aabed1e323e335635ff43f3459b1bfde9","downloaded_file":"downloads/e27f1608e142b7ce969a1376bcd7af4aabed1e323e335635ff43f3459b1bfde9.jpg","acquisition_file":"ddbe4b86ebb9a332db0881b5.webp","commons_filename":"Aerospace Highway - panoramio.jpg","original_file_url":"https://upload.wikimedia.org/wikipedia/commons/c/c5/Aerospace_Highway_-_panorami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dönüştürüldü.","photo_attribution":{"author_url":"https://web.archive.org/web/20161025014503/http://www.panoramio.com/user/7351347?with_photo_id=89215987","modifications":"EXIF yönü uygulandı; boyut küçültülüp WebP biçimine dönüştürüldü.","original_file_url":"https://upload.wikimedia.org/wikipedia/commons/c/c5/Aerospace_Highway_-_panoramio.jpg?utm_source=commons.wikimedia.org&amp;utm_campaign=imageinfo&amp;utm_content=original"},"metadata_reviewed_on":"2026-10-24","metadata_review_status":"verified"}}</x:v>
      </x:c>
    </x:row>
    <x:row r="245" ht="300" customHeight="1">
      <x:c r="A245" s="29" t="str">
        <x:v>bakersfield:evidence:venue-22210</x:v>
      </x:c>
      <x:c r="B245" s="29" t="str">
        <x:v>bakersfield</x:v>
      </x:c>
      <x:c r="C245" s="29" t="str">
        <x:v>bakersfield:photo:venue-22210</x:v>
      </x:c>
      <x:c r="D245" s="29" t="str">
        <x:v>https://commons.wikimedia.org/wiki/File:DSC_0063_(51105212879).jpg</x:v>
      </x:c>
      <x:c r="E245" s="29" t="str">
        <x:v>DSC 0063 (51105212879).jpg</x:v>
      </x:c>
      <x:c r="F245" s="29" t="str">
        <x:v>Tracie Hall from Orange County, us</x:v>
      </x:c>
      <x:c r="G245" s="29" t="str">
        <x:v>CC BY-SA 2.0</x:v>
      </x:c>
      <x:c r="H245" s="29" t="str">
        <x:v>https://creativecommons.org/licenses/by-sa/2.0</x:v>
      </x:c>
      <x:c r="I245" s="29" t="str">
        <x:v>Creative Commons Attribution-Share Alike 2.0</x:v>
      </x:c>
      <x:c r="J245" s="29" t="str">
        <x:v>DSC 0063 (51105212879).jpg · Tracie Hall from Orange County, us · CC BY-SA 2.0 · https://commons.wikimedia.org/wiki/File:DSC_0063_(51105212879).jpg</x:v>
      </x:c>
      <x:c r="K24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5" s="31" t="d">
        <x:v>2026-10-24T00:00:00.000Z</x:v>
      </x:c>
      <x:c r="M245" s="29" t="str">
        <x:v>Doğrulandı</x:v>
      </x:c>
      <x:c r="N245" s="29" t="str">
        <x:v>Doğrulandı</x:v>
      </x:c>
      <x:c r="O245" s="29" t="str">
        <x:v>Fotoğraflar/bk-8de616903537169a6b1b559a.webp</x:v>
      </x:c>
      <x:c r="P245" s="29" t="str">
        <x:v>Red Rock Canyon State Park · 3 Ap tarihli fotoğraf · İndirilen kare temas sayfasında görüldü; kaynak mekân kimliğiyle eşleştirildi. Seçim kaydı final-pixel-review.json.</x:v>
      </x:c>
      <x:c r="Q245" s="29" t="str">
        <x:v>Bu kare için uygun</x:v>
      </x:c>
      <x:c r="R24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5" s="29" t="str">
        <x:v>Lisans kanıtları/bk-8de616903537169a6b1b559a.source-evidence.json</x:v>
      </x:c>
      <x:c r="T245" s="29" t="str">
        <x:v>39f296889056593b9843e75ac321480c3d439dd4a227a2528863f2b058d83cbf</x:v>
      </x:c>
      <x:c r="U245" s="29" t="str">
        <x:v>Lisans kanıtları/bk-8de616903537169a6b1b559a.license-record.json</x:v>
      </x:c>
      <x:c r="V245" s="29" t="str">
        <x:v>5e1186013c5008c631562819823bf32e80739a13f4085d9358b327a8d4a1ae2c</x:v>
      </x:c>
      <x:c r="W245" s="29" t="str">
        <x:v>{"file":"bk-8de616903537169a6b1b559a.webp","width":1280,"author":"Tracie Hall from Orange County, us","height":657,"sha256":"8de616903537169a6b1b559a3e7a3d3759436e8843fd6178b729ada4f9004e5c","license":"CC BY-SA 2.0","imageinfo":{"url":"https://upload.wikimedia.org/wikipedia/commons/c/ce/DSC_0063_%2851105212879%29.jpg?utm_source=commons.wikimedia.org&amp;utm_campaign=imageinfo&amp;utm_content=original","mime":"image/jpeg","sha1":"7ee7b87eaf469525a952bd087d8e364c5d53f8e5","size":13042974,"width":6000,"height":3081,"pageid":104925982,"thumburl":"https://thumb.wikimedia.org/wikipedia/commons/thumb/c/ce/DSC_0063_%2851105212879%29.jpg/1280px-DSC_0063_%2851105212879%29.jpg?utm_source=commons.wikimedia.org&amp;utm_campaign=imageinfo&amp;utm_content=thumbnail","timestamp":"2021-05-05T05:39:08Z","thumbwidth":1280,"extmetadata":{"Artist":{"value":"&lt;a rel=\"nofollow\" class=\"external text\" href=\"https://www.flickr.com/people/54597574@N00\"&gt;Tracie Hall&lt;/a&gt; from Orange County, us","source":"commons-desc-page"},"Credit":{"value":"&lt;a rel=\"nofollow\" class=\"external text\" href=\"https://www.flickr.com/photos/twobears2/51105212879/\"&gt;DSC_0063&lt;/a&gt;","source":"commons-desc-page"},"License":{"value":"cc-by-sa-2.0","hidden":"","source":"commons-templates"},"DateTime":{"value":"2021-05-05 05:39:08","hidden":"","source":"mediawiki-metadata"},"Categories":{"value":"Red Rock Canyon State Park (California)|Files from Flickr with bad file names|Photographs by Tracie Hall|Flickr images reviewed by FlickreviewR 2|United States photographs taken on 2021-04-03","hidden":"","source":"commons-categories"},"LicenseUrl":{"value":"https://creativecommons.org/licenses/by-sa/2.0","source":"commons-desc-page"},"ObjectName":{"value":"DSC 0063 (51105212879)","source":"mediawiki-metadata"},"UsageTerms":{"value":"Creative Commons Attribution-Share Alike 2.0","source":"commons-desc-page"},"Assessments":{"value":"","hidden":"","source":"commons-categories"},"Copyrighted":{"value":"True","hidden":"","source":"commons-desc-page"},"Restrictions":{"value":"","hidden":"","source":"commons-desc-page"},"DateTimeOriginal":{"value":"3 April 2021, 10:01 (according to &lt;span lang=\"en\" dir=\"ltr\"&gt;&lt;a href=\"https://en.wikipedia.org/wiki/Exif\" class=\"extiw\" title=\"en:Exif\"&gt;Exif&lt;/a&gt;&lt;/span&gt; data)","source":"commons-desc-page"},"ImageDescription":{"value":"&lt;p&gt;Red Rock Canyon State Park Habitat Restoration Project\n&lt;/p&gt;\n37749 Abbott Dr., Weldon, CA (United States) off State Route 14 (SR14)","source":"commons-desc-page"},"LicenseShortName":{"value":"CC BY-SA 2.0","hidden":"","source":"commons-desc-page"},"AttributionRequired":{"value":"true","hidden":"","source":"commons-desc-page"},"CommonsMetadataExtension":{"value":1.2,"hidden":"","source":"extension"}},"thumbheight":657,"thumbattribs":{"src":"https://thumb.wikimedia.org/wikipedia/commons/thumb/c/ce/DSC_0063_%2851105212879%29.jpg/1280px-DSC_0063_%2851105212879%29.jpg?utm_source=commons.wikimedia.org&amp;utm_campaign=imageinfo&amp;utm_content=thumbnail","width":1280,"height":657,"srcset":"https://thumb.wikimedia.org/wikipedia/commons/thumb/c/ce/DSC_0063_%2851105212879%29.jpg/3840px-DSC_0063_%2851105212879%29.jpg?utm_source=commons.wikimedia.org&amp;utm_campaign=imageinfo&amp;utm_content=thumbnail 2x","loading":"lazy","decoding":"async"},"descriptionurl":"https://commons.wikimedia.org/wiki/File:DSC_0063_(51105212879).jpg","responsiveUrls":{"2":"https://thumb.wikimedia.org/wikipedia/commons/thumb/c/ce/DSC_0063_%2851105212879%29.jpg/3840px-DSC_0063_%2851105212879%29.jpg?utm_source=commons.wikimedia.org&amp;utm_campaign=imageinfo&amp;utm_content=thumbnail"},"descriptionshorturl":"https://commons.wikimedia.org/w/index.php?curid=104925982"},"selection":{"qid":"pending","kind":"candidate","title":"Red Rock Canyon State Park (California)"},"author_url":"https://www.flickr.com/people/54597574@N00","derivative":"Wikimedia thumbnail decoded; EXIF orientation applied; converted to WebP quality 86; no generated pixels, no cropping.","source_url":"https://commons.wikimedia.org/wiki/File:DSC_0063_(51105212879).jpg","author_urls":["https://www.flickr.com/people/54597574@N00"],"description":"Red Rock Canyon State Park Habitat Restoration Project\n\n37749 Abbott Dr., Weldon, CA (United States) off State Route 14 (SR14)","license_url":"https://creativecommons.org/licenses/by-sa/2.0","reviewed_on":"2026-10-24","capture_date":"3 April 2021, 10:01 (according to Exif data)","download_url":"https://thumb.wikimedia.org/wikipedia/commons/thumb/c/ce/DSC_0063_%2851105212879%29.jpg/1280px-DSC_0063_%2851105212879%29.jpg?utm_source=commons.wikimedia.org&amp;utm_campaign=imageinfo&amp;utm_content=thumbnail","original_url":"https://upload.wikimedia.org/wikipedia/commons/c/ce/DSC_0063_%2851105212879%29.jpg?utm_source=commons.wikimedia.org&amp;utm_campaign=imageinfo&amp;utm_content=original","pixel_review":{"method":"İndirilen kare temas sayfasında görüldü; kaynak mekân kimliğiyle eşleştirildi. Seçim kaydı final-pixel-review.json.","status":"verified","caption":"Red Rock Canyon State Park · 3 Ap tarihli fotoğraf","reviewer":"Codex (AI)","review_id":"C121"},"downloaded_at":"2026-10-23T19:09:33.759859+00:00","download_sha256":"fb67a039dc1e4731a98561ed3365ba226fc9879c8fb503ba8f07e32cf058b9b3","downloaded_file":"downloads/fb67a039dc1e4731a98561ed3365ba226fc9879c8fb503ba8f07e32cf058b9b3.jpg","acquisition_file":"4fb350f0667012a3362ab87f.webp","commons_filename":"DSC 0063 (51105212879).jpg","original_file_url":"https://upload.wikimedia.org/wikipedia/commons/c/ce/DSC_0063_%2851105212879%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dönüştürüldü.","photo_attribution":{"author_url":"https://www.flickr.com/people/54597574@N00","modifications":"EXIF yönü uygulandı; boyut küçültülüp WebP biçimine dönüştürüldü.","original_file_url":"https://upload.wikimedia.org/wikipedia/commons/c/ce/DSC_0063_%2851105212879%29.jpg?utm_source=commons.wikimedia.org&amp;utm_campaign=imageinfo&amp;utm_content=original"},"metadata_reviewed_on":"2026-10-24","metadata_review_status":"verified"}}</x:v>
      </x:c>
    </x:row>
    <x:row r="246" ht="300" customHeight="1">
      <x:c r="A246" s="29" t="str">
        <x:v>bakersfield:evidence:venue-22211</x:v>
      </x:c>
      <x:c r="B246" s="29" t="str">
        <x:v>bakersfield</x:v>
      </x:c>
      <x:c r="C246" s="29" t="str">
        <x:v>bakersfield:photo:venue-22211</x:v>
      </x:c>
      <x:c r="D246" s="29" t="str">
        <x:v>https://commons.wikimedia.org/wiki/File:5C3A3969.JPG</x:v>
      </x:c>
      <x:c r="E246" s="29" t="str">
        <x:v>5C3A3969.JPG</x:v>
      </x:c>
      <x:c r="F246" s="29" t="str">
        <x:v>Jimstoic</x:v>
      </x:c>
      <x:c r="G246" s="29" t="str">
        <x:v>CC BY-SA 4.0</x:v>
      </x:c>
      <x:c r="H246" s="29" t="str">
        <x:v>https://creativecommons.org/licenses/by-sa/4.0</x:v>
      </x:c>
      <x:c r="I246" s="29" t="str">
        <x:v>Creative Commons Attribution-Share Alike 4.0</x:v>
      </x:c>
      <x:c r="J246" s="29" t="str">
        <x:v>5C3A3969.JPG · Jimstoic · CC BY-SA 4.0 · https://commons.wikimedia.org/wiki/File:5C3A3969.JPG</x:v>
      </x:c>
      <x:c r="K24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6" s="31" t="d">
        <x:v>2026-10-24T00:00:00.000Z</x:v>
      </x:c>
      <x:c r="M246" s="29" t="str">
        <x:v>Doğrulandı</x:v>
      </x:c>
      <x:c r="N246" s="29" t="str">
        <x:v>Doğrulandı</x:v>
      </x:c>
      <x:c r="O246" s="29" t="str">
        <x:v>Fotoğraflar/bk-f523ba46ab64c14fa980835e.webp</x:v>
      </x:c>
      <x:c r="P246" s="29" t="str">
        <x:v>Carrizo Plain National Monument · 2015 tarihli fotoğraf · İndirilen kare temas sayfasında görüldü; kaynak mekân kimliğiyle eşleştirildi. Seçim kaydı final-pixel-review.json.</x:v>
      </x:c>
      <x:c r="Q246" s="29" t="str">
        <x:v>Bu kare için uygun</x:v>
      </x:c>
      <x:c r="R24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6" s="29" t="str">
        <x:v>Lisans kanıtları/bk-f523ba46ab64c14fa980835e.source-evidence.json</x:v>
      </x:c>
      <x:c r="T246" s="29" t="str">
        <x:v>992009dafacf9deb71d83d2c98614f687ff161c5c577398572b633d0ca1de5be</x:v>
      </x:c>
      <x:c r="U246" s="29" t="str">
        <x:v>Lisans kanıtları/bk-f523ba46ab64c14fa980835e.license-record.json</x:v>
      </x:c>
      <x:c r="V246" s="29" t="str">
        <x:v>ab5be841aac7c6edc9181f9ef2d1dc39c6bcf6c522a8d4341b3cfb29bd0c4d9e</x:v>
      </x:c>
      <x:c r="W246" s="29" t="str">
        <x:v>{"file":"bk-f523ba46ab64c14fa980835e.webp","width":1280,"author":"Jimstoic","height":853,"sha256":"f523ba46ab64c14fa980835ed483b0dc65fe4bf67fc411599a26748ca5df8b4b","license":"CC BY-SA 4.0","imageinfo":{"url":"https://upload.wikimedia.org/wikipedia/commons/4/43/5C3A3969.JPG?utm_source=commons.wikimedia.org&amp;utm_campaign=imageinfo&amp;utm_content=original","mime":"image/jpeg","sha1":"03347b964811d9111a3ceca857689dd095b6cf26","size":18192679,"width":8688,"height":5792,"pageid":44724372,"thumburl":"https://thumb.wikimedia.org/wikipedia/commons/thumb/4/43/5C3A3969.JPG/1280px-5C3A3969.JPG?utm_source=commons.wikimedia.org&amp;utm_campaign=imageinfo&amp;utm_content=thumbnail","timestamp":"2015-11-02T19:30:12Z","thumbwidth":1280,"extmetadata":{"Artist":{"value":"Jimstoic","source":"commons-desc-page"},"Credit":{"value":"&lt;span class=\"int-own-work\" lang=\"en\"&gt;Own work&lt;/span&gt;","source":"commons-desc-page"},"License":{"value":"cc-by-sa-4.0","hidden":"","source":"commons-templates"},"DateTime":{"value":"2015-11-02 19:30:12","hidden":"","source":"mediawiki-metadata"},"Categories":{"value":"Taken with Canon EOS 5DS|Carrizo Plain National Monument|Self-published work","hidden":"","source":"commons-categories"},"LicenseUrl":{"value":"https://creativecommons.org/licenses/by-sa/4.0","source":"commons-desc-page"},"ObjectName":{"value":"5C3A3969","source":"mediawiki-metadata"},"UsageTerms":{"value":"Creative Commons Attribution-Share Alike 4.0","source":"commons-desc-page"},"Assessments":{"value":"","hidden":"","source":"commons-categories"},"Copyrighted":{"value":"True","hidden":"","source":"commons-desc-page"},"Restrictions":{"value":"","hidden":"","source":"commons-desc-page"},"DateTimeOriginal":{"value":"2015-09-26","source":"commons-desc-page"},"ImageDescription":{"value":"Entrance to National Monument","source":"commons-desc-page"},"LicenseShortName":{"value":"CC BY-SA 4.0","hidden":"","source":"commons-desc-page"},"AttributionRequired":{"value":"true","hidden":"","source":"commons-desc-page"},"CommonsMetadataExtension":{"value":1.2,"hidden":"","source":"extension"}},"thumbheight":853,"thumbattribs":{"src":"https://thumb.wikimedia.org/wikipedia/commons/thumb/4/43/5C3A3969.JPG/1280px-5C3A3969.JPG?utm_source=commons.wikimedia.org&amp;utm_campaign=imageinfo&amp;utm_content=thumbnail","width":1280,"height":853,"srcset":"https://thumb.wikimedia.org/wikipedia/commons/thumb/4/43/5C3A3969.JPG/3840px-5C3A3969.JPG?utm_source=commons.wikimedia.org&amp;utm_campaign=imageinfo&amp;utm_content=thumbnail 2x","loading":"lazy","decoding":"async"},"descriptionurl":"https://commons.wikimedia.org/wiki/File:5C3A3969.JPG","responsiveUrls":{"2":"https://thumb.wikimedia.org/wikipedia/commons/thumb/4/43/5C3A3969.JPG/3840px-5C3A3969.JPG?utm_source=commons.wikimedia.org&amp;utm_campaign=imageinfo&amp;utm_content=thumbnail"},"descriptionshorturl":"https://commons.wikimedia.org/w/index.php?curid=44724372"},"selection":{"qid":"pending","kind":"candidate","title":"Carrizo Plain National Monument"},"author_url":"","derivative":"Wikimedia thumbnail decoded; EXIF orientation applied; converted to WebP quality 86; no generated pixels, no cropping.","source_url":"https://commons.wikimedia.org/wiki/File:5C3A3969.JPG","author_urls":[],"description":"Entrance to National Monument","license_url":"https://creativecommons.org/licenses/by-sa/4.0","reviewed_on":"2026-10-24","capture_date":"2015-09-26","download_url":"https://thumb.wikimedia.org/wikipedia/commons/thumb/4/43/5C3A3969.JPG/1280px-5C3A3969.JPG?utm_source=commons.wikimedia.org&amp;utm_campaign=imageinfo&amp;utm_content=thumbnail","original_url":"https://upload.wikimedia.org/wikipedia/commons/4/43/5C3A3969.JPG?utm_source=commons.wikimedia.org&amp;utm_campaign=imageinfo&amp;utm_content=original","pixel_review":{"method":"İndirilen kare temas sayfasında görüldü; kaynak mekân kimliğiyle eşleştirildi. Seçim kaydı final-pixel-review.json.","status":"verified","caption":"Carrizo Plain National Monument · 2015 tarihli fotoğraf","reviewer":"Codex (AI)","review_id":"C38"},"downloaded_at":"2026-10-23T19:09:40.013273+00:00","download_sha256":"9b7b97bd8603f419b69b7669482b6284897c840ae07bdc1e3730e58a54c94602","downloaded_file":"downloads/9b7b97bd8603f419b69b7669482b6284897c840ae07bdc1e3730e58a54c94602.jpg","acquisition_file":"1f4c1760f170cbfd53bf8e69.webp","commons_filename":"5C3A3969.JPG","original_file_url":"https://upload.wikimedia.org/wikipedia/commons/4/43/5C3A3969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dönüştürüldü.","original_file_url":"https://upload.wikimedia.org/wikipedia/commons/4/43/5C3A3969.JPG?utm_source=commons.wikimedia.org&amp;utm_campaign=imageinfo&amp;utm_content=original"},"metadata_reviewed_on":"2026-10-24","metadata_review_status":"verified"}}</x:v>
      </x:c>
    </x:row>
    <x:row r="247" ht="300" customHeight="1">
      <x:c r="A247" s="29" t="str">
        <x:v>bakersfield:evidence:venue-22212</x:v>
      </x:c>
      <x:c r="B247" s="29" t="str">
        <x:v>bakersfield</x:v>
      </x:c>
      <x:c r="C247" s="29" t="str">
        <x:v>bakersfield:photo:venue-22212</x:v>
      </x:c>
      <x:c r="D247" s="29" t="str">
        <x:v>https://commons.wikimedia.org/wiki/File:Abandoned_on_the_plain_(3291435995).jpg</x:v>
      </x:c>
      <x:c r="E247" s="29" t="str">
        <x:v>Abandoned on the plain (3291435995).jpg</x:v>
      </x:c>
      <x:c r="F247" s="29" t="str">
        <x:v>Damian Gadal</x:v>
      </x:c>
      <x:c r="G247" s="29" t="str">
        <x:v>CC BY 2.0</x:v>
      </x:c>
      <x:c r="H247" s="29" t="str">
        <x:v>https://creativecommons.org/licenses/by/2.0</x:v>
      </x:c>
      <x:c r="I247" s="29" t="str">
        <x:v>Creative Commons Attribution 2.0</x:v>
      </x:c>
      <x:c r="J247" s="29" t="str">
        <x:v>Abandoned on the plain (3291435995).jpg · Damian Gadal · CC BY 2.0 · https://commons.wikimedia.org/wiki/File:Abandoned_on_the_plain_(3291435995).jpg</x:v>
      </x:c>
      <x:c r="K24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7" s="31" t="d">
        <x:v>2026-10-24T00:00:00.000Z</x:v>
      </x:c>
      <x:c r="M247" s="29" t="str">
        <x:v>Doğrulandı</x:v>
      </x:c>
      <x:c r="N247" s="29" t="str">
        <x:v>Doğrulandı</x:v>
      </x:c>
      <x:c r="O247" s="29" t="str">
        <x:v>Fotoğraflar/bk-0e4b11bb4214f3a920e56094.webp</x:v>
      </x:c>
      <x:c r="P247" s="29" t="str">
        <x:v>Carrizo Plain National Monument · 2009 tarihli fotoğraf · İndirilen kare temas sayfasında görüldü; kaynak mekân kimliğiyle eşleştirildi. Seçim kaydı final-pixel-review.json.</x:v>
      </x:c>
      <x:c r="Q247" s="29" t="str">
        <x:v>Bu kare için uygun</x:v>
      </x:c>
      <x:c r="R24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7" s="29" t="str">
        <x:v>Lisans kanıtları/bk-0e4b11bb4214f3a920e56094.source-evidence.json</x:v>
      </x:c>
      <x:c r="T247" s="29" t="str">
        <x:v>cdbdc1fcabac0cc80568e1b7bd89be88c6331e5fa5e62149253182bb3ba7fddc</x:v>
      </x:c>
      <x:c r="U247" s="29" t="str">
        <x:v>Lisans kanıtları/bk-0e4b11bb4214f3a920e56094.license-record.json</x:v>
      </x:c>
      <x:c r="V247" s="29" t="str">
        <x:v>427ac956dada82913f340390d9d6bbaf45b2374eefba64c4e4a076019ca0f24b</x:v>
      </x:c>
      <x:c r="W247" s="29" t="str">
        <x:v>{"file":"bk-0e4b11bb4214f3a920e56094.webp","width":1280,"author":"Damian Gadal","height":851,"sha256":"0e4b11bb4214f3a920e560946c6d09a6d91a3a4cbfb3d188ef73a3881fc1461c","license":"CC BY 2.0","imageinfo":{"url":"https://upload.wikimedia.org/wikipedia/commons/2/2e/Abandoned_on_the_plain_%283291435995%29.jpg?utm_source=commons.wikimedia.org&amp;utm_campaign=imageinfo&amp;utm_content=original","mime":"image/jpeg","sha1":"85da7eb2092ea0a4e40e915e17195a757de793b5","size":1694731,"width":3008,"height":2000,"pageid":97402533,"thumburl":"https://thumb.wikimedia.org/wikipedia/commons/thumb/2/2e/Abandoned_on_the_plain_%283291435995%29.jpg/1280px-Abandoned_on_the_plain_%283291435995%29.jpg?utm_source=commons.wikimedia.org&amp;utm_campaign=imageinfo&amp;utm_content=thumbnail","timestamp":"2020-12-09T12:50:41Z","thumbwidth":1280,"extmetadata":{"Artist":{"value":"&lt;a rel=\"nofollow\" class=\"external text\" href=\"https://www.flickr.com/people/23024164@N06\"&gt;Damian Gadal&lt;/a&gt;","source":"commons-desc-page"},"Credit":{"value":"&lt;a rel=\"nofollow\" class=\"external text\" href=\"https://www.flickr.com/photos/23024164@N06/3291435995/\"&gt;Abandoned on the plain&lt;/a&gt;","source":"commons-desc-page"},"License":{"value":"cc-by-2.0","hidden":"","source":"commons-templates"},"DateTime":{"value":"2020-12-09 12:50:41","hidden":"","source":"mediawiki-metadata"},"Categories":{"value":"Carrizo Plain National Monument|Files with coordinates missing SDC location of creation|Flickr images reviewed by FlickreviewR 2","hidden":"","source":"commons-categories"},"LicenseUrl":{"value":"https://creativecommons.org/licenses/by/2.0","source":"commons-desc-page"},"ObjectName":{"value":"Abandoned on the plain (3291435995)","source":"mediawiki-metadata"},"UsageTerms":{"value":"Creative Commons Attribution 2.0","source":"commons-desc-page"},"Assessments":{"value":"","hidden":"","source":"commons-categories"},"Copyrighted":{"value":"True","hidden":"","source":"commons-desc-page"},"GPSLatitude":{"value":"35.315335","source":"commons-desc-page"},"GPSMapDatum":{"value":"WGS-84","hidden":"","source":"commons-desc-page"},"GPSLongitude":{"value":"-119.861226","source":"commons-desc-page"},"Restrictions":{"value":"","hidden":"","source":"commons-desc-page"},"DateTimeOriginal":{"value":"2009-02-18 20:37","source":"commons-desc-page"},"ImageDescription":{"value":"Carrizo Plain","source":"commons-desc-page"},"LicenseShortName":{"value":"CC BY 2.0","hidden":"","source":"commons-desc-page"},"AttributionRequired":{"value":"true","hidden":"","source":"commons-desc-page"},"CommonsMetadataExtension":{"value":1.2,"hidden":"","source":"extension"}},"thumbheight":851,"thumbattribs":{"src":"https://thumb.wikimedia.org/wikipedia/commons/thumb/2/2e/Abandoned_on_the_plain_%283291435995%29.jpg/1280px-Abandoned_on_the_plain_%283291435995%29.jpg?utm_source=commons.wikimedia.org&amp;utm_campaign=imageinfo&amp;utm_content=thumbnail","width":1280,"height":851,"srcset":"https://upload.wikimedia.org/wikipedia/commons/2/2e/Abandoned_on_the_plain_%283291435995%29.jpg?utm_source=commons.wikimedia.org&amp;utm_campaign=imageinfo&amp;utm_content=thumbnail_unscaled 2x","loading":"lazy","decoding":"async"},"descriptionurl":"https://commons.wikimedia.org/wiki/File:Abandoned_on_the_plain_(3291435995).jpg","responsiveUrls":{"2":"https://upload.wikimedia.org/wikipedia/commons/2/2e/Abandoned_on_the_plain_%283291435995%29.jpg?utm_source=commons.wikimedia.org&amp;utm_campaign=imageinfo&amp;utm_content=thumbnail_unscaled"},"descriptionshorturl":"https://commons.wikimedia.org/w/index.php?curid=97402533"},"selection":{"qid":"pending","kind":"candidate","title":"Carrizo Plain National Monument"},"author_url":"https://www.flickr.com/people/23024164@N06","derivative":"Wikimedia thumbnail decoded; EXIF orientation applied; converted to WebP quality 86; no generated pixels, no cropping.","source_url":"https://commons.wikimedia.org/wiki/File:Abandoned_on_the_plain_(3291435995).jpg","author_urls":["https://www.flickr.com/people/23024164@N06"],"description":"Carrizo Plain","license_url":"https://creativecommons.org/licenses/by/2.0","reviewed_on":"2026-10-24","capture_date":"2009-02-18 20:37","download_url":"https://thumb.wikimedia.org/wikipedia/commons/thumb/2/2e/Abandoned_on_the_plain_%283291435995%29.jpg/1280px-Abandoned_on_the_plain_%283291435995%29.jpg?utm_source=commons.wikimedia.org&amp;utm_campaign=imageinfo&amp;utm_content=thumbnail","original_url":"https://upload.wikimedia.org/wikipedia/commons/2/2e/Abandoned_on_the_plain_%283291435995%29.jpg?utm_source=commons.wikimedia.org&amp;utm_campaign=imageinfo&amp;utm_content=original","pixel_review":{"method":"İndirilen kare temas sayfasında görüldü; kaynak mekân kimliğiyle eşleştirildi. Seçim kaydı final-pixel-review.json.","status":"verified","caption":"Carrizo Plain National Monument · 2009 tarihli fotoğraf","reviewer":"Codex (AI)","review_id":"C39"},"downloaded_at":"2026-10-23T19:09:40.582207+00:00","download_sha256":"e4819dacccf713aad531bcc459f8abfdca7c55fe38a042f394ccc32ea1924a92","downloaded_file":"downloads/e4819dacccf713aad531bcc459f8abfdca7c55fe38a042f394ccc32ea1924a92.jpg","acquisition_file":"a9753c52ff01d0d8d764a626.webp","commons_filename":"Abandoned on the plain (3291435995).jpg","original_file_url":"https://upload.wikimedia.org/wikipedia/commons/2/2e/Abandoned_on_the_plain_%283291435995%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dönüştürüldü.","photo_attribution":{"author_url":"https://www.flickr.com/people/23024164@N06","modifications":"EXIF yönü uygulandı; boyut küçültülüp WebP biçimine dönüştürüldü.","original_file_url":"https://upload.wikimedia.org/wikipedia/commons/2/2e/Abandoned_on_the_plain_%283291435995%29.jpg?utm_source=commons.wikimedia.org&amp;utm_campaign=imageinfo&amp;utm_content=original"},"metadata_reviewed_on":"2026-10-24","metadata_review_status":"verified"}}</x:v>
      </x:c>
    </x:row>
    <x:row r="248" ht="300" customHeight="1">
      <x:c r="A248" s="29" t="str">
        <x:v>bakersfield:evidence:venue-22213</x:v>
      </x:c>
      <x:c r="B248" s="29" t="str">
        <x:v>bakersfield</x:v>
      </x:c>
      <x:c r="C248" s="29" t="str">
        <x:v>bakersfield:photo:venue-22213</x:v>
      </x:c>
      <x:c r="D248" s="29" t="str">
        <x:v>https://commons.wikimedia.org/wiki/File:Above_the_Road_(4691645001).jpg</x:v>
      </x:c>
      <x:c r="E248" s="29" t="str">
        <x:v>Above the Road (4691645001).jpg</x:v>
      </x:c>
      <x:c r="F248" s="29" t="str">
        <x:v>Damian Gadal</x:v>
      </x:c>
      <x:c r="G248" s="29" t="str">
        <x:v>CC BY 2.0</x:v>
      </x:c>
      <x:c r="H248" s="29" t="str">
        <x:v>https://creativecommons.org/licenses/by/2.0</x:v>
      </x:c>
      <x:c r="I248" s="29" t="str">
        <x:v>Creative Commons Attribution 2.0</x:v>
      </x:c>
      <x:c r="J248" s="29" t="str">
        <x:v>Above the Road (4691645001).jpg · Damian Gadal · CC BY 2.0 · https://commons.wikimedia.org/wiki/File:Above_the_Road_(4691645001).jpg</x:v>
      </x:c>
      <x:c r="K24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8" s="31" t="d">
        <x:v>2026-10-24T00:00:00.000Z</x:v>
      </x:c>
      <x:c r="M248" s="29" t="str">
        <x:v>Doğrulandı</x:v>
      </x:c>
      <x:c r="N248" s="29" t="str">
        <x:v>Doğrulandı</x:v>
      </x:c>
      <x:c r="O248" s="29" t="str">
        <x:v>Fotoğraflar/bk-8379f1cc434d68ab7d527b49.webp</x:v>
      </x:c>
      <x:c r="P248" s="29" t="str">
        <x:v>Carrizo Plain National Monument · 2008 tarihli fotoğraf · İndirilen kare temas sayfasında görüldü; kaynak mekân kimliğiyle eşleştirildi. Seçim kaydı final-pixel-review.json.</x:v>
      </x:c>
      <x:c r="Q248" s="29" t="str">
        <x:v>Bu kare için uygun</x:v>
      </x:c>
      <x:c r="R24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8" s="29" t="str">
        <x:v>Lisans kanıtları/bk-8379f1cc434d68ab7d527b49.source-evidence.json</x:v>
      </x:c>
      <x:c r="T248" s="29" t="str">
        <x:v>8ab1b3725d9590283d97c866fdf8da02aecd0f4851f04aaf7e320fbbcb89688a</x:v>
      </x:c>
      <x:c r="U248" s="29" t="str">
        <x:v>Lisans kanıtları/bk-8379f1cc434d68ab7d527b49.license-record.json</x:v>
      </x:c>
      <x:c r="V248" s="29" t="str">
        <x:v>569c69d9acbf77a50c7f64f70b6b405a85428352f4a10ae9bd6b7b7cb8f8baa3</x:v>
      </x:c>
      <x:c r="W248" s="29" t="str">
        <x:v>{"file":"bk-8379f1cc434d68ab7d527b49.webp","width":1200,"author":"Damian Gadal","height":803,"sha256":"8379f1cc434d68ab7d527b496007dbb9e72dd66dccdd9e13e09101d3a66376ed","license":"CC BY 2.0","imageinfo":{"url":"https://upload.wikimedia.org/wikipedia/commons/3/3c/Above_the_Road_%284691645001%29.jpg?utm_source=commons.wikimedia.org&amp;utm_campaign=imageinfo&amp;utm_content=original","mime":"image/jpeg","sha1":"ba2c7a79bb577c554b62c561141b0c978599fea6","size":734790,"width":1200,"height":803,"pageid":97402928,"thumburl":"https://upload.wikimedia.org/wikipedia/commons/3/3c/Above_the_Road_%284691645001%29.jpg?utm_source=commons.wikimedia.org&amp;utm_campaign=imageinfo&amp;utm_content=thumbnail_unscaled","timestamp":"2020-12-09T13:03:11Z","thumbwidth":1280,"extmetadata":{"Artist":{"value":"&lt;a rel=\"nofollow\" class=\"external text\" href=\"https://www.flickr.com/people/23024164@N06\"&gt;Damian Gadal&lt;/a&gt;","source":"commons-desc-page"},"Credit":{"value":"&lt;a rel=\"nofollow\" class=\"external text\" href=\"https://www.flickr.com/photos/23024164@N06/4691645001/\"&gt;Above the Road&lt;/a&gt;","source":"commons-desc-page"},"License":{"value":"cc-by-2.0","hidden":"","source":"commons-templates"},"DateTime":{"value":"2020-12-09 13:03:11","hidden":"","source":"mediawiki-metadata"},"Categories":{"value":"Carrizo Plain National Monument|Files with coordinates missing SDC location of creation|Flickr images reviewed by FlickreviewR 2|Dirt roads in San Luis Obispo County, California","hidden":"","source":"commons-categories"},"LicenseUrl":{"value":"https://creativecommons.org/licenses/by/2.0","source":"commons-desc-page"},"ObjectName":{"value":"Above the Road (4691645001)","source":"mediawiki-metadata"},"UsageTerms":{"value":"Creative Commons Attribution 2.0","source":"commons-desc-page"},"Assessments":{"value":"","hidden":"","source":"commons-categories"},"Copyrighted":{"value":"True","hidden":"","source":"commons-desc-page"},"GPSLatitude":{"value":"35.246670","source":"commons-desc-page"},"GPSMapDatum":{"value":"WGS-84","hidden":"","source":"commons-desc-page"},"GPSLongitude":{"value":"-119.917917","source":"commons-desc-page"},"Restrictions":{"value":"","hidden":"","source":"commons-desc-page"},"DateTimeOriginal":{"value":"2008-04-05 14:02","source":"commons-desc-page"},"ImageDescription":{"value":"Carrizo Plain","source":"commons-desc-page"},"LicenseShortName":{"value":"CC BY 2.0","hidden":"","source":"commons-desc-page"},"AttributionRequired":{"value":"true","hidden":"","source":"commons-desc-page"},"CommonsMetadataExtension":{"value":1.2,"hidden":"","source":"extension"}},"thumbheight":857,"thumbattribs":{"src":"https://upload.wikimedia.org/wikipedia/commons/3/3c/Above_the_Road_%284691645001%29.jpg?utm_source=commons.wikimedia.org&amp;utm_campaign=imageinfo&amp;utm_content=thumbnail_unscaled","width":1280,"height":857,"loading":"lazy","decoding":"async"},"descriptionurl":"https://commons.wikimedia.org/wiki/File:Above_the_Road_(4691645001).jpg","descriptionshorturl":"https://commons.wikimedia.org/w/index.php?curid=97402928"},"selection":{"qid":"pending","kind":"candidate","title":"Carrizo Plain National Monument"},"author_url":"https://www.flickr.com/people/23024164@N06","derivative":"Wikimedia thumbnail decoded; EXIF orientation applied; converted to WebP quality 86; no generated pixels, no cropping.","source_url":"https://commons.wikimedia.org/wiki/File:Above_the_Road_(4691645001).jpg","author_urls":["https://www.flickr.com/people/23024164@N06"],"description":"Carrizo Plain","license_url":"https://creativecommons.org/licenses/by/2.0","reviewed_on":"2026-10-24","capture_date":"2008-04-05 14:02","download_url":"https://upload.wikimedia.org/wikipedia/commons/3/3c/Above_the_Road_%284691645001%29.jpg?utm_source=commons.wikimedia.org&amp;utm_campaign=imageinfo&amp;utm_content=thumbnail_unscaled","original_url":"https://upload.wikimedia.org/wikipedia/commons/3/3c/Above_the_Road_%284691645001%29.jpg?utm_source=commons.wikimedia.org&amp;utm_campaign=imageinfo&amp;utm_content=original","pixel_review":{"method":"İndirilen kare temas sayfasında görüldü; kaynak mekân kimliğiyle eşleştirildi. Seçim kaydı final-pixel-review.json.","status":"verified","caption":"Carrizo Plain National Monument · 2008 tarihli fotoğraf","reviewer":"Codex (AI)","review_id":"C41"},"downloaded_at":"2026-10-23T19:09:42.137326+00:00","download_sha256":"bcf7455ce9a23f66eaeaddd1a9112c11314c22c4ab7bf1fa633f2550bc17dd57","downloaded_file":"downloads/bcf7455ce9a23f66eaeaddd1a9112c11314c22c4ab7bf1fa633f2550bc17dd57.jpg","acquisition_file":"fcc9e95c81ec92480a86c9b9.webp","commons_filename":"Above the Road (4691645001).jpg","original_file_url":"https://upload.wikimedia.org/wikipedia/commons/3/3c/Above_the_Road_%284691645001%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dönüştürüldü.","photo_attribution":{"author_url":"https://www.flickr.com/people/23024164@N06","modifications":"EXIF yönü uygulandı; boyut küçültülüp WebP biçimine dönüştürüldü.","original_file_url":"https://upload.wikimedia.org/wikipedia/commons/3/3c/Above_the_Road_%284691645001%29.jpg?utm_source=commons.wikimedia.org&amp;utm_campaign=imageinfo&amp;utm_content=original"},"metadata_reviewed_on":"2026-10-24","metadata_review_status":"verified"}}</x:v>
      </x:c>
    </x:row>
    <x:row r="249" ht="300" customHeight="1">
      <x:c r="A249" s="29" t="str">
        <x:v>bakersfield:evidence:venue-22214</x:v>
      </x:c>
      <x:c r="B249" s="29" t="str">
        <x:v>bakersfield</x:v>
      </x:c>
      <x:c r="C249" s="29" t="str">
        <x:v>bakersfield:photo:venue-22214</x:v>
      </x:c>
      <x:c r="D249" s="29" t="str">
        <x:v>https://commons.wikimedia.org/wiki/File:Blue_sky_and_yellow_flowers.jpg</x:v>
      </x:c>
      <x:c r="E249" s="29" t="str">
        <x:v>Blue sky and yellow flowers.jpg</x:v>
      </x:c>
      <x:c r="F249" s="29" t="str">
        <x:v>Collette14713</x:v>
      </x:c>
      <x:c r="G249" s="29" t="str">
        <x:v>CC BY-SA 4.0</x:v>
      </x:c>
      <x:c r="H249" s="29" t="str">
        <x:v>https://creativecommons.org/licenses/by-sa/4.0</x:v>
      </x:c>
      <x:c r="I249" s="29" t="str">
        <x:v>Creative Commons Attribution-Share Alike 4.0</x:v>
      </x:c>
      <x:c r="J249" s="29" t="str">
        <x:v>Blue sky and yellow flowers.jpg · Collette14713 · CC BY-SA 4.0 · https://commons.wikimedia.org/wiki/File:Blue_sky_and_yellow_flowers.jpg</x:v>
      </x:c>
      <x:c r="K24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49" s="31" t="d">
        <x:v>2026-10-24T00:00:00.000Z</x:v>
      </x:c>
      <x:c r="M249" s="29" t="str">
        <x:v>Doğrulandı</x:v>
      </x:c>
      <x:c r="N249" s="29" t="str">
        <x:v>Doğrulandı</x:v>
      </x:c>
      <x:c r="O249" s="29" t="str">
        <x:v>Fotoğraflar/bk-1897e6c113666f16fadb9a34.webp</x:v>
      </x:c>
      <x:c r="P249" s="29" t="str">
        <x:v>Carrizo Plain National Monument · 2017 tarihli fotoğraf · İndirilen kare temas sayfasında görüldü; kaynak mekân kimliğiyle eşleştirildi. Seçim kaydı final-pixel-review.json.</x:v>
      </x:c>
      <x:c r="Q249" s="29" t="str">
        <x:v>Bu kare için uygun</x:v>
      </x:c>
      <x:c r="R24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49" s="29" t="str">
        <x:v>Lisans kanıtları/bk-1897e6c113666f16fadb9a34.source-evidence.json</x:v>
      </x:c>
      <x:c r="T249" s="29" t="str">
        <x:v>defb4935b78f23241a0e7664139a4f3f3ea2abe7ca5303213e1946d46a8d5030</x:v>
      </x:c>
      <x:c r="U249" s="29" t="str">
        <x:v>Lisans kanıtları/bk-1897e6c113666f16fadb9a34.license-record.json</x:v>
      </x:c>
      <x:c r="V249" s="29" t="str">
        <x:v>f53999d6ea65d11c0158c0825a43c099ba0b8ef4e90966ea32e7245cb36bc496</x:v>
      </x:c>
      <x:c r="W249" s="29" t="str">
        <x:v>{"file":"bk-1897e6c113666f16fadb9a34.webp","width":1280,"author":"Collette14713","height":853,"sha256":"1897e6c113666f16fadb9a34f1dca30a99ae98d0a7dec840856a6cb3ca059308","license":"CC BY-SA 4.0","imageinfo":{"url":"https://upload.wikimedia.org/wikipedia/commons/1/1b/Blue_sky_and_yellow_flowers.jpg?utm_source=commons.wikimedia.org&amp;utm_campaign=imageinfo&amp;utm_content=original","mime":"image/jpeg","sha1":"4d6a9f990fa9e31891cc4b0b7c9089b15080ee73","size":3668806,"width":4764,"height":3174,"pageid":154686826,"thumburl":"https://thumb.wikimedia.org/wikipedia/commons/thumb/1/1b/Blue_sky_and_yellow_flowers.jpg/1280px-Blue_sky_and_yellow_flowers.jpg?utm_source=commons.wikimedia.org&amp;utm_campaign=imageinfo&amp;utm_content=thumbnail","timestamp":"2024-10-31T01:35:09Z","thumbwidth":1280,"extmetadata":{"Artist":{"value":"&lt;a href=\"//commons.wikimedia.org/w/index.php?title=User:Collette14713&amp;amp;action=edit&amp;amp;redlink=1\" class=\"new\" title=\"User:Collette14713 (page does not exist)\"&gt;Collette14713&lt;/a&gt;","source":"commons-desc-page"},"Credit":{"value":"&lt;span class=\"int-own-work\" lang=\"en\"&gt;Own work&lt;/span&gt;","source":"commons-desc-page"},"License":{"value":"cc-by-sa-4.0","hidden":"","source":"commons-templates"},"DateTime":{"value":"2024-10-31 01:35:09","hidden":"","source":"mediawiki-metadata"},"Categories":{"value":"Carrizo Plain National Monument|Self-published work","hidden":"","source":"commons-categories"},"LicenseUrl":{"value":"https://creativecommons.org/licenses/by-sa/4.0","source":"commons-desc-page"},"ObjectName":{"value":"Blue sky and yellow flowers","source":"mediawiki-metadata"},"UsageTerms":{"value":"Creative Commons Attribution-Share Alike 4.0","source":"commons-desc-page"},"Assessments":{"value":"","hidden":"","source":"commons-categories"},"Copyrighted":{"value":"True","hidden":"","source":"commons-desc-page"},"Restrictions":{"value":"","hidden":"","source":"commons-desc-page"},"DateTimeOriginal":{"value":"2017-04-08 04:51:10","source":"commons-desc-page"},"ImageDescription":{"value":"Carrizo Plain National Monument, Santa Margarita, California Spring 2017","source":"commons-desc-page"},"LicenseShortName":{"value":"CC BY-SA 4.0","hidden":"","source":"commons-desc-page"},"AttributionRequired":{"value":"true","hidden":"","source":"commons-desc-page"},"CommonsMetadataExtension":{"value":1.2,"hidden":"","source":"extension"}},"thumbheight":853,"thumbattribs":{"src":"https://thumb.wikimedia.org/wikipedia/commons/thumb/1/1b/Blue_sky_and_yellow_flowers.jpg/1280px-Blue_sky_and_yellow_flowers.jpg?utm_source=commons.wikimedia.org&amp;utm_campaign=imageinfo&amp;utm_content=thumbnail","width":1280,"height":853,"srcset":"https://thumb.wikimedia.org/wikipedia/commons/thumb/1/1b/Blue_sky_and_yellow_flowers.jpg/3840px-Blue_sky_and_yellow_flowers.jpg?utm_source=commons.wikimedia.org&amp;utm_campaign=imageinfo&amp;utm_content=thumbnail 2x","loading":"lazy","decoding":"async"},"descriptionurl":"https://commons.wikimedia.org/wiki/File:Blue_sky_and_yellow_flowers.jpg","responsiveUrls":{"2":"https://thumb.wikimedia.org/wikipedia/commons/thumb/1/1b/Blue_sky_and_yellow_flowers.jpg/3840px-Blue_sky_and_yellow_flowers.jpg?utm_source=commons.wikimedia.org&amp;utm_campaign=imageinfo&amp;utm_content=thumbnail"},"descriptionshorturl":"https://commons.wikimedia.org/w/index.php?curid=154686826"},"selection":{"qid":"pending","kind":"candidate","title":"Carrizo Plain National Monument"},"author_url":"","derivative":"Wikimedia thumbnail decoded; EXIF orientation applied; converted to WebP quality 86; no generated pixels, no cropping.","source_url":"https://commons.wikimedia.org/wiki/File:Blue_sky_and_yellow_flowers.jpg","author_urls":[],"description":"Carrizo Plain National Monument, Santa Margarita, California Spring 2017","license_url":"https://creativecommons.org/licenses/by-sa/4.0","reviewed_on":"2026-10-24","capture_date":"2017-04-08 04:51:10","download_url":"https://thumb.wikimedia.org/wikipedia/commons/thumb/1/1b/Blue_sky_and_yellow_flowers.jpg/1280px-Blue_sky_and_yellow_flowers.jpg?utm_source=commons.wikimedia.org&amp;utm_campaign=imageinfo&amp;utm_content=thumbnail","original_url":"https://upload.wikimedia.org/wikipedia/commons/1/1b/Blue_sky_and_yellow_flowers.jpg?utm_source=commons.wikimedia.org&amp;utm_campaign=imageinfo&amp;utm_content=original","pixel_review":{"method":"İndirilen kare temas sayfasında görüldü; kaynak mekân kimliğiyle eşleştirildi. Seçim kaydı final-pixel-review.json.","status":"verified","caption":"Carrizo Plain National Monument · 2017 tarihli fotoğraf","reviewer":"Codex (AI)","review_id":"C72"},"downloaded_at":"2026-10-23T19:09:43.052742+00:00","download_sha256":"91e3ab9a1aab17efe1a607cc2319cfa59608d61ad5155a8a1b131471b9ced5b1","downloaded_file":"downloads/91e3ab9a1aab17efe1a607cc2319cfa59608d61ad5155a8a1b131471b9ced5b1.jpg","acquisition_file":"715f38307242c579d2e59abc.webp","commons_filename":"Blue sky and yellow flowers.jpg","original_file_url":"https://upload.wikimedia.org/wikipedia/commons/1/1b/Blue_sky_and_yellow_flower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1/1b/Blue_sky_and_yellow_flowers.jpg?utm_source=commons.wikimedia.org&amp;utm_campaign=imageinfo&amp;utm_content=original"},"metadata_reviewed_on":"2026-10-24","metadata_review_status":"verified"}}</x:v>
      </x:c>
    </x:row>
    <x:row r="250" ht="300" customHeight="1">
      <x:c r="A250" s="29" t="str">
        <x:v>bakersfield:evidence:venue-22215</x:v>
      </x:c>
      <x:c r="B250" s="29" t="str">
        <x:v>bakersfield</x:v>
      </x:c>
      <x:c r="C250" s="29" t="str">
        <x:v>bakersfield:photo:venue-22215</x:v>
      </x:c>
      <x:c r="D250" s="29" t="str">
        <x:v>https://www.flickr.com/photos/91981596@N06/8779594981/</x:v>
      </x:c>
      <x:c r="E250" s="29" t="str">
        <x:v>Carrizo Plain National Monument · 2010 tarihli fotoğraf</x:v>
      </x:c>
      <x:c r="F250" s="29" t="str">
        <x:v>Bureau  of Land Management</x:v>
      </x:c>
      <x:c r="G250" s="29" t="str">
        <x:v>CC BY 2.0</x:v>
      </x:c>
      <x:c r="H250" s="29" t="str">
        <x:v>https://creativecommons.org/licenses/by/2.0/</x:v>
      </x:c>
      <x:c r="I250" s="29" t="str">
        <x:v>CC BY 2.0</x:v>
      </x:c>
      <x:c r="J250" s="29" t="str">
        <x:v>Carrizo Plain National Monument · 2010 tarihli fotoğraf · Bureau  of Land Management · CC BY 2.0 · https://www.flickr.com/photos/91981596@N06/8779594981/</x:v>
      </x:c>
      <x:c r="K25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0" s="31" t="d">
        <x:v>2026-10-24T00:00:00.000Z</x:v>
      </x:c>
      <x:c r="M250" s="29" t="str">
        <x:v>Doğrulandı</x:v>
      </x:c>
      <x:c r="N250" s="29" t="str">
        <x:v>Doğrulandı</x:v>
      </x:c>
      <x:c r="O250" s="29" t="str">
        <x:v>Fotoğraflar/bk-1dbedc0bd3929ae854533ef9.webp</x:v>
      </x:c>
      <x:c r="P250" s="29" t="str">
        <x:v>Carrizo Plain National Monument · 2010 tarihli fotoğraf · İndirilen kare temas sayfasında görüldü; kaynak mekân kimliğiyle eşleştirildi. Seçim kaydı final-pixel-review.json.</x:v>
      </x:c>
      <x:c r="Q250" s="29" t="str">
        <x:v>Bu kare için uygun</x:v>
      </x:c>
      <x:c r="R25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0" s="29" t="str">
        <x:v>Lisans kanıtları/bk-1dbedc0bd3929ae854533ef9.source-evidence.json</x:v>
      </x:c>
      <x:c r="T250" s="29" t="str">
        <x:v>5b26d2a0389c6f6050d0b4db7cf96549841b78befe65a2f5ff164d79b9437527</x:v>
      </x:c>
      <x:c r="U250" s="29" t="str">
        <x:v>Lisans kanıtları/bk-1dbedc0bd3929ae854533ef9.license-record.json</x:v>
      </x:c>
      <x:c r="V250" s="29" t="str">
        <x:v>5d89bb213aa6a8492e388918bb47b5a18a4365826da390d326570426df649628</x:v>
      </x:c>
      <x:c r="W250" s="29" t="str">
        <x:v>{"file":"bk-1dbedc0bd3929ae854533ef9.webp","width":1024,"author":"Bureau  of Land Management","height":683,"sha256":"1dbedc0bd3929ae854533ef9e332d35ed557b82731ddecbafb5efe545f595343","status":"reviewed-selected","license":"CC BY 2.0","provider":"Flickr","review_id":"N69","source_id":"8779594981","author_url":"https://www.flickr.com/photos/91981596@N06/","date_texts":["Uploaded on May 22, 2013 Taken on April 14, 2010","Taken on April 14, 2010","Uploaded on May 22, 2013 Taken on April 14, 2010","Taken on April 14, 2010"],"source_url":"https://www.flickr.com/photos/91981596@N06/8779594981/","description":"The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rel=\"nofollow\"&gt;www.blm.gov/ca/st/en/fo/bakersfield/Programs/carrizo.html&lt;/a&gt;\n\nPhoto: Bob Wick, BLM California","license_url":"https://creativecommons.org/licenses/by/2.0/","review_note":"Downloaded pixels visually inspected; source identity remains to confirm.","reviewed_on":"2026-10-24","source_text":"Carrizo Plain NM | The Carrizo Plain, 100 airline miles nort…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Bureau  of Land Management mypubliclands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3,590 views 4 faves 0 comments Uploaded on May 22, 2013 Taken on April 14, 2010 Bureau  of Land Management By: Bureau  of Land Management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3,590 views 4 faves 0 comments Uploaded on May 22, 2013 Taken on April 14,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photography.","capture_date":"2010-04-14","download_url":"https://live.staticflickr.com/8408/8779594981_3df791631d_b.jpg","original_url":"https://live.staticflickr.com/8408/8779594981_d7bc9c66f2_4k.jpg","pixel_review":{"method":"İndirilen kare temas sayfasında görüldü; kaynak mekân kimliğiyle eşleştirildi. Seçim kaydı final-pixel-review.json.","status":"verified","caption":"Carrizo Plain National Monument · 2010 tarihli fotoğraf","reviewer":"Codex (AI)","review_id":"N69"},"source_title":"Carrizo Plain NM","downloaded_at":"2026-10-23T20:11:29.579261+00:00","download_sha256":"044f7384de6562e216bfe2d9b50ad0aa4fc0909ca9b5b7ef080c422673cc220d","downloaded_file":"downloads/044f7384de6562e216bfe2d9b50ad0aa4fc0909ca9b5b7ef080c422673cc220d.jpg","public_metadata":{"photo-models":[{"data":{"id":"8779594981","owner":{"data":{"id":"91981596@N06","isPro":true,"newFlow":true,"isAdFree":false,"proBadge":"standard","realname":"Bureau  of Land Management","segments":{"data":[],"exportMetaType":"array"},"username":"mypubliclands","buddyicon":{"data":{"large":"//live.staticflickr.com/4650/buddyicons/91981596@N06_l.jpg?1516897828#91981596@N06","small":"//live.staticflickr.com/4650/buddyicons/91981596@N06_s.jpg?1516897828#91981596@N06","medium":"//live.staticflickr.com/4650/buddyicons/91981596@N06_m.jpg?1516897828#91981596@N06","retina":"//live.staticflickr.com/4650/buddyicons/91981596@N06_r.jpg?1516897828#91981596@N06","default":"//live.staticflickr.com/4650/buddyicons/91981596@N06.jpg?1516897828#91981596@N06"},"exportMetaType":"pojo"},"pathAlias":"mypubliclands","dateCreated":{"data":"1357505112","exportMetaType":"serializeFunction"},"subscription":{"data":{"isPro":false,"isClosed":false,"isPastDue":false},"exportMetaType":"pojo"},"eligibleGifts":{"data":[],"exportMetaType":"array"},"_flickrModelRegistry":"person-models"},"exportMetaType":"model"},"sizes":{"data":{"c":{"data":{"url":"//live.staticflickr.com/8408/8779594981_3df791631d_c.jpg","width":800,"height":533,"displayUrl":"//live.staticflickr.com/8408/8779594981_3df791631d_c.jpg"},"exportMetaType":"pojo"},"h":{"data":{"url":"//live.staticflickr.com/8408/8779594981_b03ecc9199_h.jpg","width":1600,"height":1067,"displayUrl":"//live.staticflickr.com/8408/8779594981_b03ecc9199_h.jpg"},"exportMetaType":"pojo"},"k":{"data":{"url":"//live.staticflickr.com/8408/8779594981_956f95e754_k.jpg","width":2048,"height":1365,"displayUrl":"//live.staticflickr.com/8408/8779594981_956f95e754_k.jpg"},"exportMetaType":"pojo"},"l":{"data":{"url":"//live.staticflickr.com/8408/8779594981_3df791631d_b.jpg","width":1024,"height":683,"displayUrl":"//live.staticflickr.com/8408/8779594981_3df791631d_b.jpg"},"exportMetaType":"pojo"},"m":{"data":{"url":"//live.staticflickr.com/8408/8779594981_3df791631d.jpg","width":500,"height":333,"displayUrl":"//live.staticflickr.com/8408/8779594981_3df791631d.jpg"},"exportMetaType":"pojo"},"n":{"data":{"url":"//live.staticflickr.com/8408/8779594981_3df791631d_n.jpg","width":320,"height":213,"displayUrl":"//live.staticflickr.com/8408/8779594981_3df791631d_n.jpg"},"exportMetaType":"pojo"},"o":{"data":{"url":"//live.staticflickr.com/8408/8779594981_723c3faae9_o.jpg","width":3888,"height":2592,"displayUrl":"//live.staticflickr.com/8408/8779594981_723c3faae9_o.jpg"},"exportMetaType":"pojo"},"q":{"data":{"url":"//live.staticflickr.com/8408/8779594981_3df791631d_q.jpg","width":150,"height":150,"displayUrl":"//live.staticflickr.com/8408/8779594981_3df791631d_q.jpg"},"exportMetaType":"pojo"},"s":{"data":{"url":"//live.staticflickr.com/8408/8779594981_3df791631d_m.jpg","width":240,"height":160,"displayUrl":"//live.staticflickr.com/8408/8779594981_3df791631d_m.jpg"},"exportMetaType":"pojo"},"t":{"data":{"url":"//live.staticflickr.com/8408/8779594981_3df791631d_t.jpg","width":100,"height":67,"displayUrl":"//live.staticflickr.com/8408/8779594981_3df791631d_t.jpg"},"exportMetaType":"pojo"},"w":{"data":{"url":"//live.staticflickr.com/8408/8779594981_3df791631d_w.jpg","width":400,"height":267,"displayUrl":"//live.staticflickr.com/8408/8779594981_3df791631d_w.jpg"},"exportMetaType":"pojo"},"z":{"data":{"url":"//live.staticflickr.com/8408/8779594981_3df791631d_z.jpg","width":640,"height":427,"displayUrl":"//live.staticflickr.com/8408/8779594981_3df791631d_z.jpg"},"exportMetaType":"pojo"},"3k":{"data":{"url":"//live.staticflickr.com/8408/8779594981_dddfa95e19_3k.jpg","width":3072,"height":2048,"displayUrl":"//live.staticflickr.com/8408/8779594981_dddfa95e19_3k.jpg"},"exportMetaType":"pojo"},"4k":{"data":{"url":"//live.staticflickr.com/8408/8779594981_d7bc9c66f2_4k.jpg","width":3888,"height":2592,"displayUrl":"//live.staticflickr.com/8408/8779594981_d7bc9c66f2_4k.jpg"},"exportMetaType":"pojo"},"sq":{"data":{"url":"//live.staticflickr.com/8408/8779594981_3df791631d_s.jpg","width":75,"height":75,"displayUrl":"//live.staticflickr.com/8408/8779594981_3df791631d_s.jpg"},"exportMetaType":"pojo"}},"exportMetaType":"pojo"},"title":"Carrizo Plain NM","oWidth":3888,"secret":"3df791631d","license":4,"oHeight":2592,"rotation":0,"canAddMeta":false,"canComment":false,"engagement":{"data":{"id":"8779594981","canShare":true,"faveCount":4,"ownerNsid":"91981596@N06","reactions":{"data":{"like":{"data":{"id":"like","count":5,"canReact":true,"didViewerReact":true},"exportMetaType":"pojo"},"someOtherReaction":{"data":{"id":"someOtherReaction","count":3,"canReact":true,"didViewerReact":false},"exportMetaType":"pojo"}},"exportMetaType":"pojo"},"viewCount":3590,"canDownload":true,"_flickrModelRegistry":"photo-engagement-models"},"exportMetaType":"model"},"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rel=\"noreferrer nofollow\"&gt;www.blm.gov/ca/st/en/fo/bakersfield/Programs/carrizo.html&lt;/a&gt;\n\nPhoto: Bob Wick, BLM California","safetyLevel":0,"upgradeSizes":{"data":[],"exportMetaType":"array"},"adEligibility":{"data":{"lane":1,"labels":{"data":["ProOwner"],"exportMetaType":"array"},"isAdEligible":false,"highScoreLabels":{"data":["ProOwner"],"exportMetaType":"array"}},"exportMetaType":"pojo"},"canPublicComment":true,"_flickrModelRegistry":"photo-models"},"exportMetaType":"model"}],"photo-geo-models":[{"data":{"id":"8779594981","_flickrModelRegistry":"photo-geo-models"},"exportMetaType":"model"}],"photo-location-models":[{"data":{"id":"8779594981","geo":{"data":"~2","exportMetaType":"model"},"text":"","levels":{"data":{},"exportMetaType":"pojo"},"staticMaps":{"data":{},"exportMetaType":"pojo"},"_flickrModelRegistry":"photo-location-models"},"exportMetaType":"model"}],"photo-head-meta-models":[{"data":{"id":"8779594981","title":"Carrizo Plain NM","og:url":"https://www.flickr.com/photos/mypubliclands/8779594981/","og:type":"article","keywords":"california, nationalmonument, blm, nlcs, bureauoflandmanagement, bwick, conservationlands, nationalconservationlands, carrizoplannm","og:image":"https://live.staticflickr.com/8408/8779594981_3df791631d_b.jpg","og:title":"Carrizo Plain NM","twitter:card":"summary_large_image","twitter:image":"https://live.staticflickr.com/8408/8779594981_3df791631d_b.jpg","og:description":"The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California","og:image:width":1024,"og:image:height":683,"twitter:description":"The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_flickrModelRegistry":"photo-head-meta-models","twitter:app:url:ipad":"flickr://flickr.com/photos/mypubliclands/8779594981/","twitter:app:url:iphone":"flickr://flickr.com/photos/mypubliclands/8779594981/","twitter:app:url:googleplay":"https://www.flickr.com/photos/mypubliclands/8779594981/"},"exportMetaType":"model"}],"photo-license-history-models":[]},"acquisition_file":"fl-8779594981.webp","source_html_file":"/Users/atincakcayoz/corteqs/output/bakersfield-production-20261023/flickr-source-pages/8779594981.html","original_file_url":"https://live.staticflickr.com/8408/8779594981_d7bc9c66f2_4k.jpg","proposed_identity":"Carrizo Plain","source_html_sha256":"39f41b301cbfe1f9992f49c92bd0c2d398b3d86a4167860cbfbcf5a20e6c865e","third_party_rights_review":{"basis":"Kaynakta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dönüştürüldü.","photo_attribution":{"author_url":"https://www.flickr.com/photos/91981596@N06/","modifications":"EXIF yönü uygulandı; boyut küçültülüp WebP biçimine dönüştürüldü.","original_file_url":"https://live.staticflickr.com/8408/8779594981_d7bc9c66f2_4k.jpg"},"metadata_reviewed_on":"2026-10-24","metadata_review_status":"verified"}}</x:v>
      </x:c>
    </x:row>
    <x:row r="251" ht="300" customHeight="1">
      <x:c r="A251" s="29" t="str">
        <x:v>bakersfield:evidence:venue-22216</x:v>
      </x:c>
      <x:c r="B251" s="29" t="str">
        <x:v>bakersfield</x:v>
      </x:c>
      <x:c r="C251" s="29" t="str">
        <x:v>bakersfield:photo:venue-22216</x:v>
      </x:c>
      <x:c r="D251" s="29" t="str">
        <x:v>https://www.flickr.com/photos/91981596@N06/8779601771/</x:v>
      </x:c>
      <x:c r="E251" s="29" t="str">
        <x:v>Carrizo Plain National Monument · 2005 tarihli fotoğraf</x:v>
      </x:c>
      <x:c r="F251" s="29" t="str">
        <x:v>Bureau  of Land Management</x:v>
      </x:c>
      <x:c r="G251" s="29" t="str">
        <x:v>CC BY 2.0</x:v>
      </x:c>
      <x:c r="H251" s="29" t="str">
        <x:v>https://creativecommons.org/licenses/by/2.0/</x:v>
      </x:c>
      <x:c r="I251" s="29" t="str">
        <x:v>CC BY 2.0</x:v>
      </x:c>
      <x:c r="J251" s="29" t="str">
        <x:v>Carrizo Plain National Monument · 2005 tarihli fotoğraf · Bureau  of Land Management · CC BY 2.0 · https://www.flickr.com/photos/91981596@N06/8779601771/</x:v>
      </x:c>
      <x:c r="K25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1" s="31" t="d">
        <x:v>2026-10-24T00:00:00.000Z</x:v>
      </x:c>
      <x:c r="M251" s="29" t="str">
        <x:v>Doğrulandı</x:v>
      </x:c>
      <x:c r="N251" s="29" t="str">
        <x:v>Doğrulandı</x:v>
      </x:c>
      <x:c r="O251" s="29" t="str">
        <x:v>Fotoğraflar/bk-ac2ab73a81351c09ccd7823b.webp</x:v>
      </x:c>
      <x:c r="P251" s="29" t="str">
        <x:v>Carrizo Plain National Monument · 2005 tarihli fotoğraf · İndirilen kare temas sayfasında görüldü; kaynak mekân kimliğiyle eşleştirildi. Seçim kaydı final-pixel-review.json.</x:v>
      </x:c>
      <x:c r="Q251" s="29" t="str">
        <x:v>Bu kare için uygun</x:v>
      </x:c>
      <x:c r="R25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1" s="29" t="str">
        <x:v>Lisans kanıtları/bk-ac2ab73a81351c09ccd7823b.source-evidence.json</x:v>
      </x:c>
      <x:c r="T251" s="29" t="str">
        <x:v>49a634fda4c7c903b203f02cd3857a77b693ba2b72b6e3bc206529fb952d17cd</x:v>
      </x:c>
      <x:c r="U251" s="29" t="str">
        <x:v>Lisans kanıtları/bk-ac2ab73a81351c09ccd7823b.license-record.json</x:v>
      </x:c>
      <x:c r="V251" s="29" t="str">
        <x:v>4c6b21ee0f0a292d49b9126736f304b30c79f9f8725b110d99891bcf3baee8cd</x:v>
      </x:c>
      <x:c r="W251" s="29" t="str">
        <x:v>{"file":"bk-ac2ab73a81351c09ccd7823b.webp","width":1024,"author":"Bureau  of Land Management","height":768,"sha256":"ac2ab73a81351c09ccd7823bc0bf83ef010a400a2f4ce70415b60a1eddcc5f4e","status":"reviewed-selected","license":"CC BY 2.0","provider":"Flickr","review_id":"N70","source_id":"8779601771","author_url":"https://www.flickr.com/photos/91981596@N06/","date_texts":["Uploaded on May 22, 2013 Taken on April 1, 2005","Taken on April 1, 2005","Uploaded on May 22, 2013 Taken on April 1, 2005","Taken on April 1, 2005"],"source_url":"https://www.flickr.com/photos/91981596@N06/8779601771/","description":"The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rel=\"nofollow\"&gt;www.blm.gov/ca/st/en/fo/bakersfield/Programs/carrizo.html&lt;/a&gt;\n\nPhoto: Bob Wick, BLM California          ","license_url":"https://creativecommons.org/licenses/by/2.0/","review_note":"Downloaded pixels visually inspected; source identity remains to confirm.","reviewed_on":"2026-10-24","source_text":"Carrizo Plain NM | The Carrizo Plain, 100 airline miles nort…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Bureau  of Land Management mypubliclands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4,130 views 2 faves 0 comments Uploaded on May 22, 2013 Taken on April 1, 2005 Bureau  of Land Management By: Bureau  of Land Management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4,130 views 2 faves 0 comments Uploaded on May 22, 2013 Taken on April 1, 2005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photography.","capture_date":"2005-04-01","download_url":"https://live.staticflickr.com/3667/8779601771_b947146585_b.jpg","original_url":"https://live.staticflickr.com/3667/8779601771_7f969d4798_o.jpg","pixel_review":{"method":"İndirilen kare temas sayfasında görüldü; kaynak mekân kimliğiyle eşleştirildi. Seçim kaydı final-pixel-review.json.","status":"verified","caption":"Carrizo Plain National Monument · 2005 tarihli fotoğraf","reviewer":"Codex (AI)","review_id":"N70"},"source_title":"Carrizo Plain NM","downloaded_at":"2026-10-23T20:11:29.942233+00:00","download_sha256":"af43ae964ead598d90a48f3b27f153d66617d46d5cfd083c54a1cbe00c262dd7","downloaded_file":"downloads/af43ae964ead598d90a48f3b27f153d66617d46d5cfd083c54a1cbe00c262dd7.jpg","public_metadata":{"photo-models":[{"data":{"id":"8779601771","owner":{"data":{"id":"91981596@N06","isPro":true,"newFlow":true,"isAdFree":false,"proBadge":"standard","realname":"Bureau  of Land Management","segments":{"data":[],"exportMetaType":"array"},"username":"mypubliclands","buddyicon":{"data":{"large":"//live.staticflickr.com/4650/buddyicons/91981596@N06_l.jpg?1516897828#91981596@N06","small":"//live.staticflickr.com/4650/buddyicons/91981596@N06_s.jpg?1516897828#91981596@N06","medium":"//live.staticflickr.com/4650/buddyicons/91981596@N06_m.jpg?1516897828#91981596@N06","retina":"//live.staticflickr.com/4650/buddyicons/91981596@N06_r.jpg?1516897828#91981596@N06","default":"//live.staticflickr.com/4650/buddyicons/91981596@N06.jpg?1516897828#91981596@N06"},"exportMetaType":"pojo"},"pathAlias":"mypubliclands","dateCreated":{"data":"1357505112","exportMetaType":"serializeFunction"},"subscription":{"data":{"isPro":false,"isClosed":false,"isPastDue":false},"exportMetaType":"pojo"},"eligibleGifts":{"data":[],"exportMetaType":"array"},"_flickrModelRegistry":"person-models"},"exportMetaType":"model"},"sizes":{"data":{"c":{"data":{"url":"//live.staticflickr.com/3667/8779601771_b947146585_c.jpg","width":800,"height":600,"displayUrl":"//live.staticflickr.com/3667/8779601771_b947146585_c.jpg"},"exportMetaType":"pojo"},"h":{"data":{"url":"//live.staticflickr.com/3667/8779601771_aaf65c9ddd_h.jpg","width":1600,"height":1200,"displayUrl":"//live.staticflickr.com/3667/8779601771_aaf65c9ddd_h.jpg"},"exportMetaType":"pojo"},"k":{"data":{"url":"//live.staticflickr.com/3667/8779601771_8475aecab9_k.jpg","width":2048,"height":1536,"displayUrl":"//live.staticflickr.com/3667/8779601771_8475aecab9_k.jpg"},"exportMetaType":"pojo"},"l":{"data":{"url":"//live.staticflickr.com/3667/8779601771_b947146585_b.jpg","width":1024,"height":768,"displayUrl":"//live.staticflickr.com/3667/8779601771_b947146585_b.jpg"},"exportMetaType":"pojo"},"m":{"data":{"url":"//live.staticflickr.com/3667/8779601771_b947146585.jpg","width":500,"height":375,"displayUrl":"//live.staticflickr.com/3667/8779601771_b947146585.jpg"},"exportMetaType":"pojo"},"n":{"data":{"url":"//live.staticflickr.com/3667/8779601771_b947146585_n.jpg","width":320,"height":240,"displayUrl":"//live.staticflickr.com/3667/8779601771_b947146585_n.jpg"},"exportMetaType":"pojo"},"o":{"data":{"url":"//live.staticflickr.com/3667/8779601771_7f969d4798_o.jpg","width":2272,"height":1704,"displayUrl":"//live.staticflickr.com/3667/8779601771_7f969d4798_o.jpg"},"exportMetaType":"pojo"},"q":{"data":{"url":"//live.staticflickr.com/3667/8779601771_b947146585_q.jpg","width":150,"height":150,"displayUrl":"//live.staticflickr.com/3667/8779601771_b947146585_q.jpg"},"exportMetaType":"pojo"},"s":{"data":{"url":"//live.staticflickr.com/3667/8779601771_b947146585_m.jpg","width":240,"height":180,"displayUrl":"//live.staticflickr.com/3667/8779601771_b947146585_m.jpg"},"exportMetaType":"pojo"},"t":{"data":{"url":"//live.staticflickr.com/3667/8779601771_b947146585_t.jpg","width":100,"height":75,"displayUrl":"//live.staticflickr.com/3667/8779601771_b947146585_t.jpg"},"exportMetaType":"pojo"},"w":{"data":{"url":"//live.staticflickr.com/3667/8779601771_b947146585_w.jpg","width":400,"height":300,"displayUrl":"//live.staticflickr.com/3667/8779601771_b947146585_w.jpg"},"exportMetaType":"pojo"},"z":{"data":{"url":"//live.staticflickr.com/3667/8779601771_b947146585_z.jpg","width":640,"height":480,"displayUrl":"//live.staticflickr.com/3667/8779601771_b947146585_z.jpg"},"exportMetaType":"pojo"},"sq":{"data":{"url":"//live.staticflickr.com/3667/8779601771_b947146585_s.jpg","width":75,"height":75,"displayUrl":"//live.staticflickr.com/3667/8779601771_b947146585_s.jpg"},"exportMetaType":"pojo"}},"exportMetaType":"pojo"},"title":"Carrizo Plain NM","oWidth":2272,"secret":"b947146585","license":4,"oHeight":1704,"rotation":0,"canAddMeta":false,"canComment":false,"engagement":{"data":{"id":"8779601771","canShare":true,"faveCount":2,"ownerNsid":"91981596@N06","reactions":{"data":{"like":{"data":{"id":"like","count":5,"canReact":true,"didViewerReact":true},"exportMetaType":"pojo"},"someOtherReaction":{"data":{"id":"someOtherReaction","count":3,"canReact":true,"didViewerReact":false},"exportMetaType":"pojo"}},"exportMetaType":"pojo"},"viewCount":4130,"canDownload":true,"_flickrModelRegistry":"photo-engagement-models"},"exportMetaType":"model"},"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rel=\"noreferrer nofollow\"&gt;www.blm.gov/ca/st/en/fo/bakersfield/Programs/carrizo.html&lt;/a&gt;\n\nPhoto: Bob Wick, BLM California          ","safetyLevel":0,"upgradeSizes":{"data":[],"exportMetaType":"array"},"adEligibility":{"data":{"lane":1,"labels":{"data":["ProOwner"],"exportMetaType":"array"},"isAdEligible":false,"highScoreLabels":{"data":["ProOwner"],"exportMetaType":"array"}},"exportMetaType":"pojo"},"canPublicComment":true,"_flickrModelRegistry":"photo-models"},"exportMetaType":"model"}],"photo-geo-models":[{"data":{"id":"8779601771","_flickrModelRegistry":"photo-geo-models"},"exportMetaType":"model"}],"photo-location-models":[{"data":{"id":"8779601771","geo":{"data":"~2","exportMetaType":"model"},"text":"","levels":{"data":{},"exportMetaType":"pojo"},"staticMaps":{"data":{},"exportMetaType":"pojo"},"_flickrModelRegistry":"photo-location-models"},"exportMetaType":"model"}],"photo-head-meta-models":[{"data":{"id":"8779601771","title":"Carrizo Plain NM","og:url":"https://www.flickr.com/photos/mypubliclands/8779601771/","og:type":"article","keywords":"california, nationalmonument, blm, nlcs, bureauoflandmanagement, bwick, conservationlands, nationalconservationlands, carrizoplannm","og:image":"https://live.staticflickr.com/3667/8779601771_b947146585_b.jpg","og:title":"Carrizo Plain NM","twitter:card":"summary_large_image","twitter:image":"https://live.staticflickr.com/3667/8779601771_b947146585_b.jpg","og:description":"The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","og:image:width":1024,"og:image:height":768,"twitter:description":"The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_flickrModelRegistry":"photo-head-meta-models","twitter:app:url:ipad":"flickr://flickr.com/photos/mypubliclands/8779601771/","twitter:app:url:iphone":"flickr://flickr.com/photos/mypubliclands/8779601771/","twitter:app:url:googleplay":"https://www.flickr.com/photos/mypubliclands/8779601771/"},"exportMetaType":"model"}],"photo-license-history-models":[]},"acquisition_file":"fl-8779601771.webp","source_html_file":"/Users/atincakcayoz/corteqs/output/bakersfield-production-20261023/flickr-source-pages/8779601771.html","original_file_url":"https://live.staticflickr.com/3667/8779601771_7f969d4798_o.jpg","proposed_identity":"Carrizo Plain","source_html_sha256":"c914b41d0c15d38d191f08e666e25e30725341e4c195311c4a809382adc72b58","third_party_rights_review":{"basis":"Kaynakta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dönüştürüldü.","photo_attribution":{"author_url":"https://www.flickr.com/photos/91981596@N06/","modifications":"EXIF yönü uygulandı; boyut küçültülüp WebP biçimine dönüştürüldü.","original_file_url":"https://live.staticflickr.com/3667/8779601771_7f969d4798_o.jpg"},"metadata_reviewed_on":"2026-10-24","metadata_review_status":"verified"}}</x:v>
      </x:c>
    </x:row>
    <x:row r="252" ht="300" customHeight="1">
      <x:c r="A252" s="29" t="str">
        <x:v>bakersfield:evidence:venue-22217</x:v>
      </x:c>
      <x:c r="B252" s="29" t="str">
        <x:v>bakersfield</x:v>
      </x:c>
      <x:c r="C252" s="29" t="str">
        <x:v>bakersfield:photo:venue-22217</x:v>
      </x:c>
      <x:c r="D252" s="29" t="str">
        <x:v>https://www.flickr.com/photos/91981596@N06/8779622945/</x:v>
      </x:c>
      <x:c r="E252" s="29" t="str">
        <x:v>Carrizo Plain National Monument · 2003 tarihli fotoğraf</x:v>
      </x:c>
      <x:c r="F252" s="29" t="str">
        <x:v>Bureau  of Land Management</x:v>
      </x:c>
      <x:c r="G252" s="29" t="str">
        <x:v>CC BY 2.0</x:v>
      </x:c>
      <x:c r="H252" s="29" t="str">
        <x:v>https://creativecommons.org/licenses/by/2.0/</x:v>
      </x:c>
      <x:c r="I252" s="29" t="str">
        <x:v>CC BY 2.0</x:v>
      </x:c>
      <x:c r="J252" s="29" t="str">
        <x:v>Carrizo Plain National Monument · 2003 tarihli fotoğraf · Bureau  of Land Management · CC BY 2.0 · https://www.flickr.com/photos/91981596@N06/8779622945/</x:v>
      </x:c>
      <x:c r="K25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2" s="31" t="d">
        <x:v>2026-10-24T00:00:00.000Z</x:v>
      </x:c>
      <x:c r="M252" s="29" t="str">
        <x:v>Doğrulandı</x:v>
      </x:c>
      <x:c r="N252" s="29" t="str">
        <x:v>Doğrulandı</x:v>
      </x:c>
      <x:c r="O252" s="29" t="str">
        <x:v>Fotoğraflar/bk-85b6576e648b0789ed3328e9.webp</x:v>
      </x:c>
      <x:c r="P252" s="29" t="str">
        <x:v>Carrizo Plain National Monument · 2003 tarihli fotoğraf · İndirilen kare temas sayfasında görüldü; kaynak mekân kimliğiyle eşleştirildi. Seçim kaydı final-pixel-review.json.</x:v>
      </x:c>
      <x:c r="Q252" s="29" t="str">
        <x:v>Bu kare için uygun</x:v>
      </x:c>
      <x:c r="R25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2" s="29" t="str">
        <x:v>Lisans kanıtları/bk-85b6576e648b0789ed3328e9.source-evidence.json</x:v>
      </x:c>
      <x:c r="T252" s="29" t="str">
        <x:v>8657c060aa4bc9e5c033cd0c845267cb723ff1792c48819c40a740707a03b1ed</x:v>
      </x:c>
      <x:c r="U252" s="29" t="str">
        <x:v>Lisans kanıtları/bk-85b6576e648b0789ed3328e9.license-record.json</x:v>
      </x:c>
      <x:c r="V252" s="29" t="str">
        <x:v>ebaa9bd50e54310a70a9b431a3793baa069fdee8e371d9832f4590ddc3e69da7</x:v>
      </x:c>
      <x:c r="W252" s="29" t="str">
        <x:v>{"file":"bk-85b6576e648b0789ed3328e9.webp","width":1024,"author":"Bureau  of Land Management","height":768,"sha256":"85b6576e648b0789ed3328e914d890e7fe8e95043e852ec109de8364da0ccbba","status":"reviewed-selected","license":"CC BY 2.0","provider":"Flickr","review_id":"N71","source_id":"8779622945","author_url":"https://www.flickr.com/photos/91981596@N06/","date_texts":["Uploaded on May 22, 2013 Taken on January 13, 2003","Taken on January 13, 2003","Uploaded on May 22, 2013 Taken on January 13, 2003","Taken on January 13, 2003"],"source_url":"https://www.flickr.com/photos/91981596@N06/8779622945/","description":"The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rel=\"nofollow\"&gt;www.blm.gov/ca/st/en/fo/bakersfield/Programs/carrizo.html&lt;/a&gt;\n\nPhoto: Bob Wick, BLM California","license_url":"https://creativecommons.org/licenses/by/2.0/","review_note":"Downloaded pixels visually inspected; source identity remains to confirm.","reviewed_on":"2026-10-24","source_text":"Carrizo Plain NM | The Carrizo Plain, 100 airline miles nort…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Bureau  of Land Management mypubliclands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2,368 views 0 faves 0 comments Uploaded on May 22, 2013 Taken on January 13, 2003 Bureau  of Land Management By: Bureau  of Land Management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2,368 views 0 faves 0 comments Uploaded on May 22, 2013 Taken on January 13, 2003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photography.","capture_date":"2003-01-13","download_url":"https://live.staticflickr.com/8278/8779622945_aef5e650b0_b.jpg","original_url":"https://live.staticflickr.com/8278/8779622945_06943ed36e_o.jpg","pixel_review":{"method":"İndirilen kare temas sayfasında görüldü; kaynak mekân kimliğiyle eşleştirildi. Seçim kaydı final-pixel-review.json.","status":"verified","caption":"Carrizo Plain National Monument · 2003 tarihli fotoğraf","reviewer":"Codex (AI)","review_id":"N71"},"source_title":"Carrizo Plain NM","downloaded_at":"2026-10-23T20:11:30.149066+00:00","download_sha256":"811d609f907584e58b6c7c92df63ee5b626bb1223496798615f05b32b8551431","downloaded_file":"downloads/811d609f907584e58b6c7c92df63ee5b626bb1223496798615f05b32b8551431.jpg","public_metadata":{"photo-models":[{"data":{"id":"8779622945","owner":{"data":{"id":"91981596@N06","isPro":true,"newFlow":true,"isAdFree":false,"proBadge":"standard","realname":"Bureau  of Land Management","segments":{"data":[],"exportMetaType":"array"},"username":"mypubliclands","buddyicon":{"data":{"large":"//live.staticflickr.com/4650/buddyicons/91981596@N06_l.jpg?1516897828#91981596@N06","small":"//live.staticflickr.com/4650/buddyicons/91981596@N06_s.jpg?1516897828#91981596@N06","medium":"//live.staticflickr.com/4650/buddyicons/91981596@N06_m.jpg?1516897828#91981596@N06","retina":"//live.staticflickr.com/4650/buddyicons/91981596@N06_r.jpg?1516897828#91981596@N06","default":"//live.staticflickr.com/4650/buddyicons/91981596@N06.jpg?1516897828#91981596@N06"},"exportMetaType":"pojo"},"pathAlias":"mypubliclands","dateCreated":{"data":"1357505112","exportMetaType":"serializeFunction"},"subscription":{"data":{"isPro":false,"isClosed":false,"isPastDue":false},"exportMetaType":"pojo"},"eligibleGifts":{"data":[],"exportMetaType":"array"},"_flickrModelRegistry":"person-models"},"exportMetaType":"model"},"sizes":{"data":{"c":{"data":{"url":"//live.staticflickr.com/8278/8779622945_aef5e650b0_c.jpg","width":800,"height":600,"displayUrl":"//live.staticflickr.com/8278/8779622945_aef5e650b0_c.jpg"},"exportMetaType":"pojo"},"h":{"data":{"url":"//live.staticflickr.com/8278/8779622945_cb89465018_h.jpg","width":1600,"height":1200,"displayUrl":"//live.staticflickr.com/8278/8779622945_cb89465018_h.jpg"},"exportMetaType":"pojo"},"k":{"data":{"url":"//live.staticflickr.com/8278/8779622945_e0d0bd08a8_k.jpg","width":2048,"height":1536,"displayUrl":"//live.staticflickr.com/8278/8779622945_e0d0bd08a8_k.jpg"},"exportMetaType":"pojo"},"l":{"data":{"url":"//live.staticflickr.com/8278/8779622945_aef5e650b0_b.jpg","width":1024,"height":768,"displayUrl":"//live.staticflickr.com/8278/8779622945_aef5e650b0_b.jpg"},"exportMetaType":"pojo"},"m":{"data":{"url":"//live.staticflickr.com/8278/8779622945_aef5e650b0.jpg","width":500,"height":375,"displayUrl":"//live.staticflickr.com/8278/8779622945_aef5e650b0.jpg"},"exportMetaType":"pojo"},"n":{"data":{"url":"//live.staticflickr.com/8278/8779622945_aef5e650b0_n.jpg","width":320,"height":240,"displayUrl":"//live.staticflickr.com/8278/8779622945_aef5e650b0_n.jpg"},"exportMetaType":"pojo"},"o":{"data":{"url":"//live.staticflickr.com/8278/8779622945_06943ed36e_o.jpg","width":2272,"height":1704,"displayUrl":"//live.staticflickr.com/8278/8779622945_06943ed36e_o.jpg"},"exportMetaType":"pojo"},"q":{"data":{"url":"//live.staticflickr.com/8278/8779622945_aef5e650b0_q.jpg","width":150,"height":150,"displayUrl":"//live.staticflickr.com/8278/8779622945_aef5e650b0_q.jpg"},"exportMetaType":"pojo"},"s":{"data":{"url":"//live.staticflickr.com/8278/8779622945_aef5e650b0_m.jpg","width":240,"height":180,"displayUrl":"//live.staticflickr.com/8278/8779622945_aef5e650b0_m.jpg"},"exportMetaType":"pojo"},"t":{"data":{"url":"//live.staticflickr.com/8278/8779622945_aef5e650b0_t.jpg","width":100,"height":75,"displayUrl":"//live.staticflickr.com/8278/8779622945_aef5e650b0_t.jpg"},"exportMetaType":"pojo"},"w":{"data":{"url":"//live.staticflickr.com/8278/8779622945_aef5e650b0_w.jpg","width":400,"height":300,"displayUrl":"//live.staticflickr.com/8278/8779622945_aef5e650b0_w.jpg"},"exportMetaType":"pojo"},"z":{"data":{"url":"//live.staticflickr.com/8278/8779622945_aef5e650b0_z.jpg","width":640,"height":480,"displayUrl":"//live.staticflickr.com/8278/8779622945_aef5e650b0_z.jpg"},"exportMetaType":"pojo"},"sq":{"data":{"url":"//live.staticflickr.com/8278/8779622945_aef5e650b0_s.jpg","width":75,"height":75,"displayUrl":"//live.staticflickr.com/8278/8779622945_aef5e650b0_s.jpg"},"exportMetaType":"pojo"}},"exportMetaType":"pojo"},"title":"Carrizo Plain NM","oWidth":2272,"secret":"aef5e650b0","license":4,"oHeight":1704,"rotation":0,"canAddMeta":false,"canComment":false,"engagement":{"data":{"id":"8779622945","canShare":true,"ownerNsid":"91981596@N06","reactions":{"data":{"like":{"data":{"id":"like","count":5,"canReact":true,"didViewerReact":true},"exportMetaType":"pojo"},"someOtherReaction":{"data":{"id":"someOtherReaction","count":3,"canReact":true,"didViewerReact":false},"exportMetaType":"pojo"}},"exportMetaType":"pojo"},"viewCount":2368,"canDownload":true,"_flickrModelRegistry":"photo-engagement-models"},"exportMetaType":"model"},"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rel=\"noreferrer nofollow\"&gt;www.blm.gov/ca/st/en/fo/bakersfield/Programs/carrizo.html&lt;/a&gt;\n\nPhoto: Bob Wick, BLM California","safetyLevel":0,"upgradeSizes":{"data":[],"exportMetaType":"array"},"adEligibility":{"data":{"lane":1,"labels":{"data":["ProOwner"],"exportMetaType":"array"},"isAdEligible":false,"highScoreLabels":{"data":["ProOwner"],"exportMetaType":"array"}},"exportMetaType":"pojo"},"canPublicComment":true,"_flickrModelRegistry":"photo-models"},"exportMetaType":"model"}],"photo-geo-models":[{"data":{"id":"8779622945","_flickrModelRegistry":"photo-geo-models"},"exportMetaType":"model"}],"photo-location-models":[{"data":{"id":"8779622945","geo":{"data":"~2","exportMetaType":"model"},"text":"","levels":{"data":{},"exportMetaType":"pojo"},"staticMaps":{"data":{},"exportMetaType":"pojo"},"_flickrModelRegistry":"photo-location-models"},"exportMetaType":"model"}],"photo-head-meta-models":[{"data":{"id":"8779622945","title":"Carrizo Plain NM","og:url":"https://www.flickr.com/photos/mypubliclands/8779622945/","og:type":"article","keywords":"california, nationalmonument, blm, nlcs, bureauoflandmanagement, bwick, conservationlands, nationalconservationlands, carrizoplannm","og:image":"https://live.staticflickr.com/8278/8779622945_aef5e650b0_b.jpg","og:title":"Carrizo Plain NM","twitter:card":"summary_large_image","twitter:image":"https://live.staticflickr.com/8278/8779622945_aef5e650b0_b.jpg","og:description":"The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California","og:image:width":1024,"og:image:height":768,"twitter:description":"The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_flickrModelRegistry":"photo-head-meta-models","twitter:app:url:ipad":"flickr://flickr.com/photos/mypubliclands/8779622945/","twitter:app:url:iphone":"flickr://flickr.com/photos/mypubliclands/8779622945/","twitter:app:url:googleplay":"https://www.flickr.com/photos/mypubliclands/8779622945/"},"exportMetaType":"model"}],"photo-license-history-models":[]},"acquisition_file":"fl-8779622945.webp","source_html_file":"/Users/atincakcayoz/corteqs/output/bakersfield-production-20261023/flickr-source-pages/8779622945.html","original_file_url":"https://live.staticflickr.com/8278/8779622945_06943ed36e_o.jpg","proposed_identity":"Carrizo Plain","source_html_sha256":"7e4e76f41240cd8a08b070787db6659f3e3c9b33f1bcacc3a87ecc09732da142","third_party_rights_review":{"basis":"Kaynakta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dönüştürüldü.","photo_attribution":{"author_url":"https://www.flickr.com/photos/91981596@N06/","modifications":"EXIF yönü uygulandı; boyut küçültülüp WebP biçimine dönüştürüldü.","original_file_url":"https://live.staticflickr.com/8278/8779622945_06943ed36e_o.jpg"},"metadata_reviewed_on":"2026-10-24","metadata_review_status":"verified"}}</x:v>
      </x:c>
    </x:row>
    <x:row r="253" ht="300" customHeight="1">
      <x:c r="A253" s="29" t="str">
        <x:v>bakersfield:evidence:venue-22218</x:v>
      </x:c>
      <x:c r="B253" s="29" t="str">
        <x:v>bakersfield</x:v>
      </x:c>
      <x:c r="C253" s="29" t="str">
        <x:v>bakersfield:photo:venue-22218</x:v>
      </x:c>
      <x:c r="D253" s="29" t="str">
        <x:v>https://www.flickr.com/photos/91981596@N06/8786189898/</x:v>
      </x:c>
      <x:c r="E253" s="29" t="str">
        <x:v>Carrizo Plain National Monument · 2003 tarihli fotoğraf</x:v>
      </x:c>
      <x:c r="F253" s="29" t="str">
        <x:v>Bureau  of Land Management</x:v>
      </x:c>
      <x:c r="G253" s="29" t="str">
        <x:v>CC BY 2.0</x:v>
      </x:c>
      <x:c r="H253" s="29" t="str">
        <x:v>https://creativecommons.org/licenses/by/2.0/</x:v>
      </x:c>
      <x:c r="I253" s="29" t="str">
        <x:v>CC BY 2.0</x:v>
      </x:c>
      <x:c r="J253" s="29" t="str">
        <x:v>Carrizo Plain National Monument · 2003 tarihli fotoğraf · Bureau  of Land Management · CC BY 2.0 · https://www.flickr.com/photos/91981596@N06/8786189898/</x:v>
      </x:c>
      <x:c r="K25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3" s="31" t="d">
        <x:v>2026-10-24T00:00:00.000Z</x:v>
      </x:c>
      <x:c r="M253" s="29" t="str">
        <x:v>Doğrulandı</x:v>
      </x:c>
      <x:c r="N253" s="29" t="str">
        <x:v>Doğrulandı</x:v>
      </x:c>
      <x:c r="O253" s="29" t="str">
        <x:v>Fotoğraflar/bk-34f1dba632eeefa08d8d533c.webp</x:v>
      </x:c>
      <x:c r="P253" s="29" t="str">
        <x:v>Carrizo Plain National Monument · 2003 tarihli fotoğraf · İndirilen kare temas sayfasında görüldü; kaynak mekân kimliğiyle eşleştirildi. Seçim kaydı final-pixel-review.json.</x:v>
      </x:c>
      <x:c r="Q253" s="29" t="str">
        <x:v>Bu kare için uygun</x:v>
      </x:c>
      <x:c r="R25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3" s="29" t="str">
        <x:v>Lisans kanıtları/bk-34f1dba632eeefa08d8d533c.source-evidence.json</x:v>
      </x:c>
      <x:c r="T253" s="29" t="str">
        <x:v>bb873ebbdafb8d8458503c5078c3ff9dd2d0d7f7363b20732e6d90d54355cbc1</x:v>
      </x:c>
      <x:c r="U253" s="29" t="str">
        <x:v>Lisans kanıtları/bk-34f1dba632eeefa08d8d533c.license-record.json</x:v>
      </x:c>
      <x:c r="V253" s="29" t="str">
        <x:v>626ce2c03f6a29d28619029ef52a93051b742a1e9f1ac0109b8e78f3ab2c7396</x:v>
      </x:c>
      <x:c r="W253" s="29" t="str">
        <x:v>{"file":"bk-34f1dba632eeefa08d8d533c.webp","width":1024,"author":"Bureau  of Land Management","height":768,"sha256":"34f1dba632eeefa08d8d533c059a2e9c2bef4eec67ee91c5b5f4e5f36ebc8288","status":"reviewed-selected","license":"CC BY 2.0","provider":"Flickr","review_id":"N77","source_id":"8786189898","author_url":"https://www.flickr.com/photos/91981596@N06/","date_texts":["Uploaded on May 22, 2013 Taken on January 14, 2003","Taken on January 14, 2003","Uploaded on May 22, 2013 Taken on January 14, 2003","Taken on January 14, 2003"],"source_url":"https://www.flickr.com/photos/91981596@N06/8786189898/","description":"The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rel=\"nofollow\"&gt;www.blm.gov/ca/st/en/fo/bakersfield/Programs/carrizo.html&lt;/a&gt;\n\nPhoto: Bob Wick, BLM California","license_url":"https://creativecommons.org/licenses/by/2.0/","review_note":"Downloaded pixels visually inspected; source identity remains to confirm.","reviewed_on":"2026-10-24","source_text":"Carrizo Plain NM | The Carrizo Plain, 100 airline miles nort…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Bureau  of Land Management mypubliclands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1,959 views 0 faves 0 comments Uploaded on May 22, 2013 Taken on January 14, 2003 Bureau  of Land Management By: Bureau  of Land Management Carrizo Plain NM 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 Done 1,959 views 0 faves 0 comments Uploaded on May 22, 2013 Taken on January 14, 2003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photography.","capture_date":"2003-01-14","download_url":"https://live.staticflickr.com/8399/8786189898_563d5f6a7d_b.jpg","original_url":"https://live.staticflickr.com/8399/8786189898_0d95de8f97_o.jpg","pixel_review":{"method":"İndirilen kare temas sayfasında görüldü; kaynak mekân kimliğiyle eşleştirildi. Seçim kaydı final-pixel-review.json.","status":"verified","caption":"Carrizo Plain National Monument · 2003 tarihli fotoğraf","reviewer":"Codex (AI)","review_id":"N77"},"source_title":"Carrizo Plain NM","downloaded_at":"2026-10-23T20:11:31.299281+00:00","download_sha256":"af840b21f8c9e6901efb0060c2c4c9921498a7f40ac41af29fef9ee6e3efeae1","downloaded_file":"downloads/af840b21f8c9e6901efb0060c2c4c9921498a7f40ac41af29fef9ee6e3efeae1.jpg","public_metadata":{"photo-models":[{"data":{"id":"8786189898","owner":{"data":{"id":"91981596@N06","isPro":true,"newFlow":true,"isAdFree":false,"proBadge":"standard","realname":"Bureau  of Land Management","segments":{"data":[],"exportMetaType":"array"},"username":"mypubliclands","buddyicon":{"data":{"large":"//live.staticflickr.com/4650/buddyicons/91981596@N06_l.jpg?1516897828#91981596@N06","small":"//live.staticflickr.com/4650/buddyicons/91981596@N06_s.jpg?1516897828#91981596@N06","medium":"//live.staticflickr.com/4650/buddyicons/91981596@N06_m.jpg?1516897828#91981596@N06","retina":"//live.staticflickr.com/4650/buddyicons/91981596@N06_r.jpg?1516897828#91981596@N06","default":"//live.staticflickr.com/4650/buddyicons/91981596@N06.jpg?1516897828#91981596@N06"},"exportMetaType":"pojo"},"pathAlias":"mypubliclands","dateCreated":{"data":"1357505112","exportMetaType":"serializeFunction"},"subscription":{"data":{"isPro":false,"isClosed":false,"isPastDue":false},"exportMetaType":"pojo"},"eligibleGifts":{"data":[],"exportMetaType":"array"},"_flickrModelRegistry":"person-models"},"exportMetaType":"model"},"sizes":{"data":{"c":{"data":{"url":"//live.staticflickr.com/8399/8786189898_563d5f6a7d_c.jpg","width":800,"height":600,"displayUrl":"//live.staticflickr.com/8399/8786189898_563d5f6a7d_c.jpg"},"exportMetaType":"pojo"},"h":{"data":{"url":"//live.staticflickr.com/8399/8786189898_1e817774ad_h.jpg","width":1600,"height":1200,"displayUrl":"//live.staticflickr.com/8399/8786189898_1e817774ad_h.jpg"},"exportMetaType":"pojo"},"k":{"data":{"url":"//live.staticflickr.com/8399/8786189898_3c7a255af9_k.jpg","width":2048,"height":1536,"displayUrl":"//live.staticflickr.com/8399/8786189898_3c7a255af9_k.jpg"},"exportMetaType":"pojo"},"l":{"data":{"url":"//live.staticflickr.com/8399/8786189898_563d5f6a7d_b.jpg","width":1024,"height":768,"displayUrl":"//live.staticflickr.com/8399/8786189898_563d5f6a7d_b.jpg"},"exportMetaType":"pojo"},"m":{"data":{"url":"//live.staticflickr.com/8399/8786189898_563d5f6a7d.jpg","width":500,"height":375,"displayUrl":"//live.staticflickr.com/8399/8786189898_563d5f6a7d.jpg"},"exportMetaType":"pojo"},"n":{"data":{"url":"//live.staticflickr.com/8399/8786189898_563d5f6a7d_n.jpg","width":320,"height":240,"displayUrl":"//live.staticflickr.com/8399/8786189898_563d5f6a7d_n.jpg"},"exportMetaType":"pojo"},"o":{"data":{"url":"//live.staticflickr.com/8399/8786189898_0d95de8f97_o.jpg","width":2272,"height":1704,"displayUrl":"//live.staticflickr.com/8399/8786189898_0d95de8f97_o.jpg"},"exportMetaType":"pojo"},"q":{"data":{"url":"//live.staticflickr.com/8399/8786189898_563d5f6a7d_q.jpg","width":150,"height":150,"displayUrl":"//live.staticflickr.com/8399/8786189898_563d5f6a7d_q.jpg"},"exportMetaType":"pojo"},"s":{"data":{"url":"//live.staticflickr.com/8399/8786189898_563d5f6a7d_m.jpg","width":240,"height":180,"displayUrl":"//live.staticflickr.com/8399/8786189898_563d5f6a7d_m.jpg"},"exportMetaType":"pojo"},"t":{"data":{"url":"//live.staticflickr.com/8399/8786189898_563d5f6a7d_t.jpg","width":100,"height":75,"displayUrl":"//live.staticflickr.com/8399/8786189898_563d5f6a7d_t.jpg"},"exportMetaType":"pojo"},"w":{"data":{"url":"//live.staticflickr.com/8399/8786189898_563d5f6a7d_w.jpg","width":400,"height":300,"displayUrl":"//live.staticflickr.com/8399/8786189898_563d5f6a7d_w.jpg"},"exportMetaType":"pojo"},"z":{"data":{"url":"//live.staticflickr.com/8399/8786189898_563d5f6a7d_z.jpg","width":640,"height":480,"displayUrl":"//live.staticflickr.com/8399/8786189898_563d5f6a7d_z.jpg"},"exportMetaType":"pojo"},"sq":{"data":{"url":"//live.staticflickr.com/8399/8786189898_563d5f6a7d_s.jpg","width":75,"height":75,"displayUrl":"//live.staticflickr.com/8399/8786189898_563d5f6a7d_s.jpg"},"exportMetaType":"pojo"}},"exportMetaType":"pojo"},"title":"Carrizo Plain NM","oWidth":2272,"secret":"563d5f6a7d","license":4,"oHeight":1704,"rotation":0,"canAddMeta":false,"canComment":false,"engagement":{"data":{"id":"8786189898","canShare":true,"ownerNsid":"91981596@N06","reactions":{"data":{"like":{"data":{"id":"like","count":5,"canReact":true,"didViewerReact":true},"exportMetaType":"pojo"},"someOtherReaction":{"data":{"id":"someOtherReaction","count":3,"canReact":true,"didViewerReact":false},"exportMetaType":"pojo"}},"exportMetaType":"pojo"},"viewCount":1959,"canDownload":true,"_flickrModelRegistry":"photo-engagement-models"},"exportMetaType":"model"},"description":"The Carrizo Plain, 100 airline miles north of Los Angeles, California is an area by-passed by time. Soda Lake, its centerpiece, is a glistening bed of white salt, set within a vast open grassland, rimmed by mountains.\n\nThe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ponds.\n\nThe Carrizo Plain National Monument contains over 200,000 acres offering a diverse number of recreational opportunities for the visitor. Management by three agencies allows for multiple uses while preserving the area's unique flora, fauna and its overall sense of peacefulness.\n\nFor more information visit: &lt;a href=\"http://www.blm.gov/ca/st/en/fo/bakersfield/Programs/carrizo.html\" rel=\"noreferrer nofollow\"&gt;www.blm.gov/ca/st/en/fo/bakersfield/Programs/carrizo.html&lt;/a&gt;\n\nPhoto: Bob Wick, BLM California","safetyLevel":0,"upgradeSizes":{"data":[],"exportMetaType":"array"},"adEligibility":{"data":{"lane":1,"labels":{"data":["ProOwner"],"exportMetaType":"array"},"isAdEligible":false,"highScoreLabels":{"data":["ProOwner"],"exportMetaType":"array"}},"exportMetaType":"pojo"},"canPublicComment":true,"_flickrModelRegistry":"photo-models"},"exportMetaType":"model"}],"photo-geo-models":[{"data":{"id":"8786189898","_flickrModelRegistry":"photo-geo-models"},"exportMetaType":"model"}],"photo-location-models":[{"data":{"id":"8786189898","geo":{"data":"~2","exportMetaType":"model"},"text":"","levels":{"data":{},"exportMetaType":"pojo"},"staticMaps":{"data":{},"exportMetaType":"pojo"},"_flickrModelRegistry":"photo-location-models"},"exportMetaType":"model"}],"photo-head-meta-models":[{"data":{"id":"8786189898","title":"Carrizo Plain NM","og:url":"https://www.flickr.com/photos/mypubliclands/8786189898/","og:type":"article","keywords":"california, nationalmonument, blm, nlcs, bureauoflandmanagement, bwick, conservationlands, nationalconservationlands, carrizoplannm","og:image":"https://live.staticflickr.com/8399/8786189898_563d5f6a7d_b.jpg","og:title":"Carrizo Plain NM","twitter:card":"summary_large_image","twitter:image":"https://live.staticflickr.com/8399/8786189898_563d5f6a7d_b.jpg","og:description":"The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California","og:image:width":1024,"og:image:height":768,"twitter:description":"The Carrizo Plain, 100 airline miles north of Los Angeles, California is an area by-passed by time. Soda Lake, its centerpiece, is a glistening bed of white salt, set within a vast open grassland, rimmed by mountains.  The plain is home to diverse communities of wildlife and plant species, and is an area culturally important to Native Americans.  It is traversed by the San Andreas fault, which has carved valleys, created and moved mountains, and yet close up, is seen in a subtle alignment of ridges, ravines and normally dry ponds.  The Carrizo Plain National Monument contains over 200,000 acres offering a diverse number of recreational opportunities for the visitor. Management by three agencies allows for multiple uses while preserving the area's unique flora, fauna and its overall sense of peacefulness.  For more information visit: www.blm.gov/ca/st/en/fo/bakersfield/Programs/carrizo.html  Photo: Bob Wick, BLM California","_flickrModelRegistry":"photo-head-meta-models","twitter:app:url:ipad":"flickr://flickr.com/photos/mypubliclands/8786189898/","twitter:app:url:iphone":"flickr://flickr.com/photos/mypubliclands/8786189898/","twitter:app:url:googleplay":"https://www.flickr.com/photos/mypubliclands/8786189898/"},"exportMetaType":"model"}],"photo-license-history-models":[]},"acquisition_file":"fl-8786189898.webp","source_html_file":"/Users/atincakcayoz/corteqs/output/bakersfield-production-20261023/flickr-source-pages/8786189898.html","original_file_url":"https://live.staticflickr.com/8399/8786189898_0d95de8f97_o.jpg","proposed_identity":"Carrizo Plain","source_html_sha256":"4348e0828e632655eaa8831a00ed9d881229d9f61a5f380ac38ecb74b7559ede","third_party_rights_review":{"basis":"Kaynakta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dönüştürüldü.","photo_attribution":{"author_url":"https://www.flickr.com/photos/91981596@N06/","modifications":"EXIF yönü uygulandı; boyut küçültülüp WebP biçimine dönüştürüldü.","original_file_url":"https://live.staticflickr.com/8399/8786189898_0d95de8f97_o.jpg"},"metadata_reviewed_on":"2026-10-24","metadata_review_status":"verified"}}</x:v>
      </x:c>
    </x:row>
    <x:row r="254" ht="300" customHeight="1">
      <x:c r="A254" s="29" t="str">
        <x:v>bakersfield:evidence:venue-22219</x:v>
      </x:c>
      <x:c r="B254" s="29" t="str">
        <x:v>bakersfield</x:v>
      </x:c>
      <x:c r="C254" s="29" t="str">
        <x:v>bakersfield:photo:venue-22219</x:v>
      </x:c>
      <x:c r="D254" s="29" t="str">
        <x:v>https://www.flickr.com/photos/21874566@N07/48156748017/</x:v>
      </x:c>
      <x:c r="E254" s="29" t="str">
        <x:v>Kern River Canyon · 2019 tarihli fotoğraf</x:v>
      </x:c>
      <x:c r="F254" s="29" t="str">
        <x:v>Matthew Dillon</x:v>
      </x:c>
      <x:c r="G254" s="29" t="str">
        <x:v>CC BY 2.0</x:v>
      </x:c>
      <x:c r="H254" s="29" t="str">
        <x:v>https://creativecommons.org/licenses/by/2.0/</x:v>
      </x:c>
      <x:c r="I254" s="29" t="str">
        <x:v>CC BY 2.0</x:v>
      </x:c>
      <x:c r="J254" s="29" t="str">
        <x:v>Kern River Canyon · 2019 tarihli fotoğraf · Matthew Dillon · CC BY 2.0 · https://www.flickr.com/photos/21874566@N07/48156748017/</x:v>
      </x:c>
      <x:c r="K25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4" s="31" t="d">
        <x:v>2026-10-24T00:00:00.000Z</x:v>
      </x:c>
      <x:c r="M254" s="29" t="str">
        <x:v>Doğrulandı</x:v>
      </x:c>
      <x:c r="N254" s="29" t="str">
        <x:v>Doğrulandı</x:v>
      </x:c>
      <x:c r="O254" s="29" t="str">
        <x:v>Fotoğraflar/bk-2030f994a92ee4180cd487ac.webp</x:v>
      </x:c>
      <x:c r="P254" s="29" t="str">
        <x:v>Kern River Canyon · 2019 tarihli fotoğraf · İndirilen kare temas sayfasında görüldü; kaynak mekân kimliğiyle eşleştirildi. Seçim kaydı final-pixel-review.json.</x:v>
      </x:c>
      <x:c r="Q254" s="29" t="str">
        <x:v>Bu kare için uygun</x:v>
      </x:c>
      <x:c r="R25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4" s="29" t="str">
        <x:v>Lisans kanıtları/bk-2030f994a92ee4180cd487ac.source-evidence.json</x:v>
      </x:c>
      <x:c r="T254" s="29" t="str">
        <x:v>d2a6eb3036dfdac533f1c3e4cc9a46b85c508522e70f09e2b2dbd3978b8624d8</x:v>
      </x:c>
      <x:c r="U254" s="29" t="str">
        <x:v>Lisans kanıtları/bk-2030f994a92ee4180cd487ac.license-record.json</x:v>
      </x:c>
      <x:c r="V254" s="29" t="str">
        <x:v>c9f9c24cc2dc0ab3c79cae24902d4318e44a6d763284d44088c6d11daa0f1f23</x:v>
      </x:c>
      <x:c r="W254" s="29" t="str">
        <x:v>{"file":"bk-2030f994a92ee4180cd487ac.webp","width":1024,"author":"Matthew Dillon","height":683,"sha256":"2030f994a92ee4180cd487ac58b2db6669173dd897bf73c23182201a96b0be83","status":"reviewed-selected","license":"CC BY 2.0","provider":"Flickr","review_id":"F347","source_id":"48156748017","author_url":"https://www.flickr.com/photos/21874566@N07/","date_texts":["Uploaded on June 30, 2019 Taken on June 23, 2019","Taken on June 23, 2019","Uploaded on June 30, 2019 Taken on June 23, 2019","Taken on June 23, 2019"],"source_url":"https://www.flickr.com/photos/21874566@N07/48156748017/","description":"A drive along the Kern River on route 178 just to get out of LA for a day.\n\nThe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direction.","license_url":"https://creativecommons.org/licenses/by/2.0/","review_note":"Wide rapids.","reviewed_on":"2026-10-24","source_text":"Kern River | A drive along the Kern River on route 178 just …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Matthew Dillon RuggyBearLA Kern River 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 Done 515 views 6 faves 0 comments Uploaded on June 30, 2019 Taken on June 23, 2019 Matthew Dillon By: Matthew Dillon Kern River 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 Done 515 views 6 faves 0 comments Uploaded on June 30, 2019 Taken on June 23, 2019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photography.","capture_date":"2019-06-23","download_url":"https://live.staticflickr.com/65535/48156748017_aa5035e7c0_b.jpg","original_url":"https://live.staticflickr.com/65535/48156748017_1015833904_3k.jpg","pixel_review":{"method":"İndirilen kare temas sayfasında görüldü; kaynak mekân kimliğiyle eşleştirildi. Seçim kaydı final-pixel-review.json.","status":"verified","caption":"Kern River Canyon · 2019 tarihli fotoğraf","reviewer":"Codex (AI)","review_id":"F347"},"source_title":"Kern River","downloaded_at":"2026-10-23T19:50:22.353273+00:00","download_sha256":"9128a201d3d928d02984412b2c725c189120b073e9643fa22dbc524fc1a4083a","downloaded_file":"downloads/9128a201d3d928d02984412b2c725c189120b073e9643fa22dbc524fc1a4083a.jpg","public_metadata":{"photo-models":[{"data":{"id":"48156748017","owner":{"data":{"id":"21874566@N07","isPro":true,"newFlow":true,"isAdFree":false,"location":"Hollywood, CA, USA","proBadge":"standard","realname":"Matthew Dillon","segments":{"data":[],"exportMetaType":"array"},"username":"RuggyBearLA","buddyicon":{"data":{"large":"//live.staticflickr.com/8130/buddyicons/21874566@N07_l.jpg?1369090903#21874566@N07","small":"//live.staticflickr.com/8130/buddyicons/21874566@N07_s.jpg?1369090903#21874566@N07","medium":"//live.staticflickr.com/8130/buddyicons/21874566@N07_m.jpg?1369090903#21874566@N07","retina":"//live.staticflickr.com/8130/buddyicons/21874566@N07_r.jpg?1369090903#21874566@N07","default":"//live.staticflickr.com/8130/buddyicons/21874566@N07.jpg?1369090903#21874566@N07"},"exportMetaType":"pojo"},"pathAlias":"ruggybear","dateCreated":{"data":"1197727946","exportMetaType":"serializeFunction"},"subscription":{"data":{"isPro":false,"isClosed":false,"isPastDue":false},"exportMetaType":"pojo"},"eligibleGifts":{"data":["year","month","week"],"exportMetaType":"array"},"isEligibleForGifts":true,"_flickrModelRegistry":"person-models"},"exportMetaType":"model"},"sizes":{"data":{"c":{"data":{"url":"//live.staticflickr.com/65535/48156748017_aa5035e7c0_c.jpg","width":800,"height":533,"displayUrl":"//live.staticflickr.com/65535/48156748017_aa5035e7c0_c.jpg"},"exportMetaType":"pojo"},"h":{"data":{"url":"//live.staticflickr.com/65535/48156748017_e49bfd59e3_h.jpg","width":1600,"height":1067,"displayUrl":"//live.staticflickr.com/65535/48156748017_e49bfd59e3_h.jpg"},"exportMetaType":"pojo"},"k":{"data":{"url":"//live.staticflickr.com/65535/48156748017_2d2d63fc97_k.jpg","width":2048,"height":1365,"displayUrl":"//live.staticflickr.com/65535/48156748017_2d2d63fc97_k.jpg"},"exportMetaType":"pojo"},"l":{"data":{"url":"//live.staticflickr.com/65535/48156748017_aa5035e7c0_b.jpg","width":1024,"height":683,"displayUrl":"//live.staticflickr.com/65535/48156748017_aa5035e7c0_b.jpg"},"exportMetaType":"pojo"},"m":{"data":{"url":"//live.staticflickr.com/65535/48156748017_aa5035e7c0.jpg","width":500,"height":333,"displayUrl":"//live.staticflickr.com/65535/48156748017_aa5035e7c0.jpg"},"exportMetaType":"pojo"},"n":{"data":{"url":"//live.staticflickr.com/65535/48156748017_aa5035e7c0_n.jpg","width":320,"height":213,"displayUrl":"//live.staticflickr.com/65535/48156748017_aa5035e7c0_n.jpg"},"exportMetaType":"pojo"},"o":{"data":{"url":"//live.staticflickr.com/65535/48156748017_50010ef65e_o.jpg","width":3000,"height":2000,"displayUrl":"//live.staticflickr.com/65535/48156748017_50010ef65e_o.jpg"},"exportMetaType":"pojo"},"q":{"data":{"url":"//live.staticflickr.com/65535/48156748017_aa5035e7c0_q.jpg","width":150,"height":150,"displayUrl":"//live.staticflickr.com/65535/48156748017_aa5035e7c0_q.jpg"},"exportMetaType":"pojo"},"s":{"data":{"url":"//live.staticflickr.com/65535/48156748017_aa5035e7c0_m.jpg","width":240,"height":160,"displayUrl":"//live.staticflickr.com/65535/48156748017_aa5035e7c0_m.jpg"},"exportMetaType":"pojo"},"t":{"data":{"url":"//live.staticflickr.com/65535/48156748017_aa5035e7c0_t.jpg","width":100,"height":67,"displayUrl":"//live.staticflickr.com/65535/48156748017_aa5035e7c0_t.jpg"},"exportMetaType":"pojo"},"w":{"data":{"url":"//live.staticflickr.com/65535/48156748017_aa5035e7c0_w.jpg","width":400,"height":267,"displayUrl":"//live.staticflickr.com/65535/48156748017_aa5035e7c0_w.jpg"},"exportMetaType":"pojo"},"z":{"data":{"url":"//live.staticflickr.com/65535/48156748017_aa5035e7c0_z.jpg","width":640,"height":427,"displayUrl":"//live.staticflickr.com/65535/48156748017_aa5035e7c0_z.jpg"},"exportMetaType":"pojo"},"3k":{"data":{"url":"//live.staticflickr.com/65535/48156748017_1015833904_3k.jpg","width":3000,"height":2000,"displayUrl":"//live.staticflickr.com/65535/48156748017_1015833904_3k.jpg"},"exportMetaType":"pojo"},"sq":{"data":{"url":"//live.staticflickr.com/65535/48156748017_aa5035e7c0_s.jpg","width":75,"height":75,"displayUrl":"//live.staticflickr.com/65535/48156748017_aa5035e7c0_s.jpg"},"exportMetaType":"pojo"}},"exportMetaType":"pojo"},"title":"Kern River","oWidth":3000,"secret":"aa5035e7c0","license":4,"oHeight":2000,"rotation":0,"canAddMeta":false,"canComment":false,"engagement":{"data":{"id":"48156748017","canShare":true,"faveCount":6,"ownerNsid":"21874566@N07","reactions":{"data":{"like":{"data":{"id":"like","count":5,"canReact":true,"didViewerReact":true},"exportMetaType":"pojo"},"someOtherReaction":{"data":{"id":"someOtherReaction","count":3,"canReact":true,"didViewerReact":false},"exportMetaType":"pojo"}},"exportMetaType":"pojo"},"viewCount":515,"canDownload":true,"_flickrModelRegistry":"photo-engagement-models"},"exportMetaType":"model"},"description":"A drive along the Kern River on route 178 just to get out of LA for a day.\n\nThe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safetyLevel":0,"upgradeSizes":{"data":[],"exportMetaType":"array"},"adEligibility":{"data":{"lane":1,"labels":{"data":["ProOwner"],"exportMetaType":"array"},"isAdEligible":false,"highScoreLabels":{"data":["ProOwner"],"exportMetaType":"array"}},"exportMetaType":"pojo"},"canPublicComment":true,"_flickrModelRegistry":"photo-models"},"exportMetaType":"model"}],"photo-geo-models":[{"data":{"id":"48156748017","hasGeo":true,"accuracy":16,"isPublic":true,"latitude":35.493375,"longitude":-118.700748,"_flickrModelRegistry":"photo-geo-models"},"exportMetaType":"model"}],"photo-location-models":[{"data":{"id":"48156748017","geo":{"data":"~2","exportMetaType":"model"},"text":"Democrat Hot Springs, California, United States","levels":{"data":{"county":{"data":{"name":"Kern","woeId":null},"exportMetaType":"pojo"},"region":{"data":{"name":"California","woeId":null},"exportMetaType":"pojo"},"country":{"data":{"name":"United States","woeId":null},"exportMetaType":"pojo"},"locality":{"data":{"name":"Democrat Hot Springs","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48156748017","title":"Kern River","og:url":"https://www.flickr.com/photos/ruggybear/48156748017/","og:type":"article","keywords":"bakersfield, california, unitedstatesofamerica","og:image":"https://live.staticflickr.com/65535/48156748017_aa5035e7c0_b.jpg","og:title":"Kern River","twitter:card":"summary_large_image","twitter:image":"https://live.staticflickr.com/65535/48156748017_aa5035e7c0_b.jpg","og:description":"A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direction.","og:image:width":1024,"og:image:height":683,"twitter:description":"A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_flickrModelRegistry":"photo-head-meta-models","twitter:app:url:ipad":"flickr://flickr.com/photos/ruggybear/48156748017/","twitter:app:url:iphone":"flickr://flickr.com/photos/ruggybear/48156748017/","twitter:app:url:googleplay":"https://www.flickr.com/photos/ruggybear/48156748017/"},"exportMetaType":"model"}],"photo-license-history-models":[]},"acquisition_file":"fl-48156748017.webp","source_html_file":"/Users/atincakcayoz/corteqs/output/bakersfield-production-20261023/flickr-source-pages/48156748017.html","original_file_url":"https://live.staticflickr.com/65535/48156748017_1015833904_3k.jpg","proposed_identity":"Kern River Canyon","source_html_sha256":"bde17e85f78af5e00ffddfe5873c0b533e5b72f11852d074ab0b4381f7895998","third_party_rights_review":{"basis":"Kaynakta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dönüştürüldü.","photo_attribution":{"author_url":"https://www.flickr.com/photos/21874566@N07/","modifications":"EXIF yönü uygulandı; boyut küçültülüp WebP biçimine dönüştürüldü.","original_file_url":"https://live.staticflickr.com/65535/48156748017_1015833904_3k.jpg"},"metadata_reviewed_on":"2026-10-24","metadata_review_status":"verified"}}</x:v>
      </x:c>
    </x:row>
    <x:row r="255" ht="300" customHeight="1">
      <x:c r="A255" s="29" t="str">
        <x:v>bakersfield:evidence:venue-22220</x:v>
      </x:c>
      <x:c r="B255" s="29" t="str">
        <x:v>bakersfield</x:v>
      </x:c>
      <x:c r="C255" s="29" t="str">
        <x:v>bakersfield:photo:venue-22220</x:v>
      </x:c>
      <x:c r="D255" s="29" t="str">
        <x:v>https://www.flickr.com/photos/193771854@N06/51822720858/</x:v>
      </x:c>
      <x:c r="E255" s="29" t="str">
        <x:v>Kern River Canyon · 2017 tarihli fotoğraf</x:v>
      </x:c>
      <x:c r="F255" s="29" t="str">
        <x:v>Anon Anon</x:v>
      </x:c>
      <x:c r="G255" s="29" t="str">
        <x:v>CC0 1.0</x:v>
      </x:c>
      <x:c r="H255" s="29" t="str">
        <x:v>https://creativecommons.org/publicdomain/zero/1.0/</x:v>
      </x:c>
      <x:c r="I255" s="29" t="str">
        <x:v>CC0 1.0</x:v>
      </x:c>
      <x:c r="J255" s="29" t="str">
        <x:v>Kern River Canyon · 2017 tarihli fotoğraf · Anon Anon · CC0 1.0 · https://www.flickr.com/photos/193771854@N06/51822720858/</x:v>
      </x:c>
      <x:c r="K25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5" s="31" t="d">
        <x:v>2026-10-24T00:00:00.000Z</x:v>
      </x:c>
      <x:c r="M255" s="29" t="str">
        <x:v>Doğrulandı</x:v>
      </x:c>
      <x:c r="N255" s="29" t="str">
        <x:v>Doğrulandı</x:v>
      </x:c>
      <x:c r="O255" s="29" t="str">
        <x:v>Fotoğraflar/bk-ff212623ba275ee37a4989ff.webp</x:v>
      </x:c>
      <x:c r="P255" s="29" t="str">
        <x:v>Kern River Canyon · 2017 tarihli fotoğraf · İndirilen kare temas sayfasında görüldü; kaynak mekân kimliğiyle eşleştirildi. Seçim kaydı final-pixel-review.json.</x:v>
      </x:c>
      <x:c r="Q255" s="29" t="str">
        <x:v>Bu kare için uygun</x:v>
      </x:c>
      <x:c r="R25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5" s="29" t="str">
        <x:v>Lisans kanıtları/bk-ff212623ba275ee37a4989ff.source-evidence.json</x:v>
      </x:c>
      <x:c r="T255" s="29" t="str">
        <x:v>bab2cc4697e3390473c15f4bb97eb493c9c534aa50087efbb93ca19a35a5bcc5</x:v>
      </x:c>
      <x:c r="U255" s="29" t="str">
        <x:v>Lisans kanıtları/bk-ff212623ba275ee37a4989ff.license-record.json</x:v>
      </x:c>
      <x:c r="V255" s="29" t="str">
        <x:v>6d5372cc393c4f19c17f9a3c2975bd4f5a7fffd7ed92456fb4d1038f3db396b7</x:v>
      </x:c>
      <x:c r="W255" s="29" t="str">
        <x:v>{"file":"bk-ff212623ba275ee37a4989ff.webp","width":768,"author":"Anon Anon","height":1024,"sha256":"ff212623ba275ee37a4989ff103043d5df728896133d975154b080c131297784","status":"reviewed-selected","license":"CC0 1.0","provider":"Flickr","review_id":"F349","source_id":"51822720858","author_url":"https://www.flickr.com/photos/193771854@N06/","date_texts":["Uploaded on January 15, 2022 Taken on September 28, 2017","Taken on September 28, 2017","Uploaded on January 15, 2022 Taken on September 28, 2017","Taken on September 28, 2017"],"source_url":"https://www.flickr.com/photos/193771854@N06/51822720858/","description":"Public Domain","license_url":"https://creativecommons.org/publicdomain/zero/1.0/","review_note":"Boulder foreground.","reviewed_on":"2026-10-24","source_text":"Kern River Canyon, Bakersfield, CA | Public Domain | Anon Anon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Anon Anon anon4809 Kern River Canyon, Bakersfield, CA Public Domain Done 27 views 0 faves 0 comments Uploaded on January 15, 2022 Taken on September 28, 2017 Anon Anon By: Anon Anon Kern River Canyon, Bakersfield, CA Public Domain Done 27 views 0 faves 0 comments Uploaded on January 15, 2022 Taken on September 28, 2017 Public domain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photography.","capture_date":"2017-09-28","download_url":"https://live.staticflickr.com/65535/51822720858_4d7843fd84_b.jpg","original_url":"https://live.staticflickr.com/65535/51822720858_20656f11cb_o.jpg","pixel_review":{"method":"İndirilen kare temas sayfasında görüldü; kaynak mekân kimliğiyle eşleştirildi. Seçim kaydı final-pixel-review.json.","status":"verified","caption":"Kern River Canyon · 2017 tarihli fotoğraf","reviewer":"Codex (AI)","review_id":"F349"},"source_title":"Kern River Canyon, Bakersfield, CA","downloaded_at":"2026-10-23T19:50:22.262433+00:00","download_sha256":"c4214db89a89478174353e4d04abe7a46d36e22737625e144f3dfa6089907676","downloaded_file":"downloads/c4214db89a89478174353e4d04abe7a46d36e22737625e144f3dfa6089907676.jpg","public_metadata":{"photo-models":[{"data":{"id":"51822720858","owner":{"data":{"id":"193771854@N06","isPro":false,"newFlow":true,"isAdFree":false,"location":null,"realname":"Anon Anon","segments":{"data":[],"exportMetaType":"array"},"username":"anon4809","buddyicon":{"data":{"large":"//combo.staticflickr.com/pw/images/bbuddyicon06_l.png#193771854@N06","small":"//combo.staticflickr.com/pw/images/bbuddyicon06_s.png#193771854@N06","medium":"//combo.staticflickr.com/pw/images/bbuddyicon06_m.png#193771854@N06","retina":"//combo.staticflickr.com/pw/images/bbuddyicon06_r.png#193771854@N06","default":"//combo.staticflickr.com/pw/images/bbuddyicon06.png#193771854@N06"},"exportMetaType":"pojo"},"dateCreated":{"data":"1629555095","exportMetaType":"serializeFunction"},"subscription":{"data":{"isPro":false,"isClosed":false,"isPastDue":false},"exportMetaType":"pojo"},"eligibleGifts":{"data":["year","month","week"],"exportMetaType":"array"},"isEligibleForGifts":true,"_flickrModelRegistry":"person-models"},"exportMetaType":"model"},"sizes":{"data":{"c":{"data":{"url":"//live.staticflickr.com/65535/51822720858_4d7843fd84_c.jpg","width":600,"height":800,"displayUrl":"//live.staticflickr.com/65535/51822720858_4d7843fd84_c.jpg"},"exportMetaType":"pojo"},"h":{"data":{"url":"//live.staticflickr.com/65535/51822720858_63048a9938_h.jpg","width":1200,"height":1600,"displayUrl":"//live.staticflickr.com/65535/51822720858_63048a9938_h.jpg"},"exportMetaType":"pojo"},"k":{"data":{"url":"//live.staticflickr.com/65535/51822720858_0aa33bfbf0_k.jpg","width":1536,"height":2048,"displayUrl":"//live.staticflickr.com/65535/51822720858_0aa33bfbf0_k.jpg"},"exportMetaType":"pojo"},"l":{"data":{"url":"//live.staticflickr.com/65535/51822720858_4d7843fd84_b.jpg","width":768,"height":1024,"displayUrl":"//live.staticflickr.com/65535/51822720858_4d7843fd84_b.jpg"},"exportMetaType":"pojo"},"m":{"data":{"url":"//live.staticflickr.com/65535/51822720858_4d7843fd84.jpg","width":375,"height":500,"displayUrl":"//live.staticflickr.com/65535/51822720858_4d7843fd84.jpg"},"exportMetaType":"pojo"},"n":{"data":{"url":"//live.staticflickr.com/65535/51822720858_4d7843fd84_n.jpg","width":240,"height":320,"displayUrl":"//live.staticflickr.com/65535/51822720858_4d7843fd84_n.jpg"},"exportMetaType":"pojo"},"o":{"data":{"url":"//live.staticflickr.com/65535/51822720858_20656f11cb_o.jpg","width":4032,"height":3024,"displayUrl":"//live.staticflickr.com/65535/51822720858_20656f11cb_o.jpg"},"exportMetaType":"pojo"},"q":{"data":{"url":"//live.staticflickr.com/65535/51822720858_4d7843fd84_q.jpg","width":150,"height":150,"displayUrl":"//live.staticflickr.com/65535/51822720858_4d7843fd84_q.jpg"},"exportMetaType":"pojo"},"s":{"data":{"url":"//live.staticflickr.com/65535/51822720858_4d7843fd84_m.jpg","width":180,"height":240,"displayUrl":"//live.staticflickr.com/65535/51822720858_4d7843fd84_m.jpg"},"exportMetaType":"pojo"},"t":{"data":{"url":"//live.staticflickr.com/65535/51822720858_4d7843fd84_t.jpg","width":75,"height":100,"displayUrl":"//live.staticflickr.com/65535/51822720858_4d7843fd84_t.jpg"},"exportMetaType":"pojo"},"w":{"data":{"url":"//live.staticflickr.com/65535/51822720858_4d7843fd84_w.jpg","width":300,"height":400,"displayUrl":"//live.staticflickr.com/65535/51822720858_4d7843fd84_w.jpg"},"exportMetaType":"pojo"},"z":{"data":{"url":"//live.staticflickr.com/65535/51822720858_4d7843fd84_z.jpg","width":480,"height":640,"displayUrl":"//live.staticflickr.com/65535/51822720858_4d7843fd84_z.jpg"},"exportMetaType":"pojo"},"sq":{"data":{"url":"//live.staticflickr.com/65535/51822720858_4d7843fd84_s.jpg","width":75,"height":75,"displayUrl":"//live.staticflickr.com/65535/51822720858_4d7843fd84_s.jpg"},"exportMetaType":"pojo"}},"exportMetaType":"pojo"},"title":"Kern River Canyon, Bakersfield, CA","oWidth":4032,"secret":"4d7843fd84","license":9,"oHeight":3024,"rotation":90,"canAddMeta":false,"canComment":false,"engagement":{"data":{"id":"51822720858","canShare":true,"ownerNsid":"193771854@N06","reactions":{"data":{"like":{"data":{"id":"like","count":5,"canReact":true,"didViewerReact":true},"exportMetaType":"pojo"},"someOtherReaction":{"data":{"id":"someOtherReaction","count":3,"canReact":true,"didViewerReact":false},"exportMetaType":"pojo"}},"exportMetaType":"pojo"},"viewCount":27,"canDownload":true,"_flickrModelRegistry":"photo-engagement-models"},"exportMetaType":"model"},"description":"Public Domain","safetyLevel":0,"upgradeSizes":{"data":[],"exportMetaType":"array"},"adEligibility":{"data":{"lane":1,"labels":{"data":["SafeRek"],"exportMetaType":"array"},"isAdEligible":true,"highScoreLabels":{"data":[],"exportMetaType":"array"}},"exportMetaType":"pojo"},"canPublicComment":true,"_flickrModelRegistry":"photo-models"},"exportMetaType":"model"}],"photo-geo-models":[{"data":{"id":"51822720858","hasGeo":true,"accuracy":12,"isPublic":true,"latitude":35.441372,"longitude":-118.802375,"_flickrModelRegistry":"photo-geo-models"},"exportMetaType":"model"}],"photo-location-models":[{"data":{"id":"51822720858","geo":{"data":"~2","exportMetaType":"model"},"text":"Rock Springs (historical), California, United States","levels":{"data":{"county":{"data":{"name":"Kern","woeId":null},"exportMetaType":"pojo"},"region":{"data":{"name":"California","woeId":null},"exportMetaType":"pojo"},"country":{"data":{"name":"United States","woeId":null},"exportMetaType":"pojo"},"locality":{"data":{"name":"Rock Springs (historical)","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51822720858","title":"Kern River Canyon, Bakersfield, CA","og:url":"https://www.flickr.com/photos/193771854@N06/51822720858/","og:type":"article","og:image":"https://live.staticflickr.com/65535/51822720858_4d7843fd84_b.jpg","og:title":"Kern River Canyon, Bakersfield, CA","twitter:card":"summary_large_image","twitter:image":"https://live.staticflickr.com/65535/51822720858_4d7843fd84_b.jpg","og:description":"Public Domain","og:image:width":768,"og:image:height":1024,"twitter:description":"Public Domain","_flickrModelRegistry":"photo-head-meta-models","twitter:app:url:ipad":"flickr://flickr.com/photos/193771854@N06/51822720858/","twitter:app:url:iphone":"flickr://flickr.com/photos/193771854@N06/51822720858/","twitter:app:url:googleplay":"https://www.flickr.com/photos/193771854@N06/51822720858/"},"exportMetaType":"model"}],"photo-license-history-models":[]},"acquisition_file":"fl-51822720858.webp","source_html_file":"/Users/atincakcayoz/corteqs/output/bakersfield-production-20261023/flickr-source-pages/51822720858.html","original_file_url":"https://live.staticflickr.com/65535/51822720858_20656f11cb_o.jpg","proposed_identity":"Kern River Canyon","source_html_sha256":"ea7863b9186adff7190e01d91a3ae2c73ec0f3af014ac2497d7f18f705a604ff","third_party_rights_review":{"basis":"Kaynakta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dönüştürüldü.","photo_attribution":{"author_url":"https://www.flickr.com/photos/193771854@N06/","modifications":"EXIF yönü uygulandı; boyut küçültülüp WebP biçimine dönüştürüldü.","original_file_url":"https://live.staticflickr.com/65535/51822720858_20656f11cb_o.jpg"},"metadata_reviewed_on":"2026-10-24","metadata_review_status":"verified"}}</x:v>
      </x:c>
    </x:row>
    <x:row r="256" ht="300" customHeight="1">
      <x:c r="A256" s="29" t="str">
        <x:v>bakersfield:evidence:venue-22221</x:v>
      </x:c>
      <x:c r="B256" s="29" t="str">
        <x:v>bakersfield</x:v>
      </x:c>
      <x:c r="C256" s="29" t="str">
        <x:v>bakersfield:photo:venue-22221</x:v>
      </x:c>
      <x:c r="D256" s="29" t="str">
        <x:v>https://www.flickr.com/photos/21874566@N07/48156671041/</x:v>
      </x:c>
      <x:c r="E256" s="29" t="str">
        <x:v>Kern River Canyon · 2019 tarihli fotoğraf</x:v>
      </x:c>
      <x:c r="F256" s="29" t="str">
        <x:v>Matthew Dillon</x:v>
      </x:c>
      <x:c r="G256" s="29" t="str">
        <x:v>CC BY 2.0</x:v>
      </x:c>
      <x:c r="H256" s="29" t="str">
        <x:v>https://creativecommons.org/licenses/by/2.0/</x:v>
      </x:c>
      <x:c r="I256" s="29" t="str">
        <x:v>CC BY 2.0</x:v>
      </x:c>
      <x:c r="J256" s="29" t="str">
        <x:v>Kern River Canyon · 2019 tarihli fotoğraf · Matthew Dillon · CC BY 2.0 · https://www.flickr.com/photos/21874566@N07/48156671041/</x:v>
      </x:c>
      <x:c r="K25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6" s="31" t="d">
        <x:v>2026-10-24T00:00:00.000Z</x:v>
      </x:c>
      <x:c r="M256" s="29" t="str">
        <x:v>Doğrulandı</x:v>
      </x:c>
      <x:c r="N256" s="29" t="str">
        <x:v>Doğrulandı</x:v>
      </x:c>
      <x:c r="O256" s="29" t="str">
        <x:v>Fotoğraflar/bk-122da4dbb6b711f5f9d4cfe0.webp</x:v>
      </x:c>
      <x:c r="P256" s="29" t="str">
        <x:v>Kern River Canyon · 2019 tarihli fotoğraf · İndirilen kare temas sayfasında görüldü; kaynak mekân kimliğiyle eşleştirildi. Seçim kaydı final-pixel-review.json.</x:v>
      </x:c>
      <x:c r="Q256" s="29" t="str">
        <x:v>Bu kare için uygun</x:v>
      </x:c>
      <x:c r="R25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6" s="29" t="str">
        <x:v>Lisans kanıtları/bk-122da4dbb6b711f5f9d4cfe0.source-evidence.json</x:v>
      </x:c>
      <x:c r="T256" s="29" t="str">
        <x:v>978b9f72dbc306da40bf3da9c9e66fd1e6246fb4063572bcc23d84f6f368f09e</x:v>
      </x:c>
      <x:c r="U256" s="29" t="str">
        <x:v>Lisans kanıtları/bk-122da4dbb6b711f5f9d4cfe0.license-record.json</x:v>
      </x:c>
      <x:c r="V256" s="29" t="str">
        <x:v>bc8956aa011a114b20c40e7e4169a6453d4db92757a93e92847ec45c966e6694</x:v>
      </x:c>
      <x:c r="W256" s="29" t="str">
        <x:v>{"file":"bk-122da4dbb6b711f5f9d4cfe0.webp","width":1024,"author":"Matthew Dillon","height":683,"sha256":"122da4dbb6b711f5f9d4cfe080ab5bb3621df3813e1279c3074466f1109b1d0a","status":"reviewed-selected","license":"CC BY 2.0","provider":"Flickr","review_id":"F353","source_id":"48156671041","author_url":"https://www.flickr.com/photos/21874566@N07/","date_texts":["Uploaded on June 30, 2019 Taken on June 23, 2019","Taken on June 23, 2019","Uploaded on June 30, 2019 Taken on June 23, 2019","Taken on June 23, 2019"],"source_url":"https://www.flickr.com/photos/21874566@N07/48156671041/","description":"A drive along the Kern River on route 178 just to get out of LA for a day.\n\nThe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direction.","license_url":"https://creativecommons.org/licenses/by/2.0/","review_note":"River wide view.","reviewed_on":"2026-10-24","source_text":"Kern River | A drive along the Kern River on route 178 just …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Matthew Dillon RuggyBearLA Kern River 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 Done 908 views 1 fave 0 comments Uploaded on June 30, 2019 Taken on June 23, 2019 Matthew Dillon By: Matthew Dillon Kern River 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 Done 908 views 1 fave 0 comments Uploaded on June 30, 2019 Taken on June 23, 2019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photography.","capture_date":"2019-06-23","download_url":"https://live.staticflickr.com/65535/48156671041_8925ba79bf_b.jpg","original_url":"https://live.staticflickr.com/65535/48156671041_62191e1b01_3k.jpg","pixel_review":{"method":"İndirilen kare temas sayfasında görüldü; kaynak mekân kimliğiyle eşleştirildi. Seçim kaydı final-pixel-review.json.","status":"verified","caption":"Kern River Canyon · 2019 tarihli fotoğraf","reviewer":"Codex (AI)","review_id":"F353"},"source_title":"Kern River","downloaded_at":"2026-10-23T19:50:22.898279+00:00","download_sha256":"1cb4190c7afe0e5b4eca379ddefde67c63d99f6c8fa8d2a9d2da2e0ad41dfa10","downloaded_file":"downloads/1cb4190c7afe0e5b4eca379ddefde67c63d99f6c8fa8d2a9d2da2e0ad41dfa10.jpg","public_metadata":{"photo-models":[{"data":{"id":"48156671041","owner":{"data":{"id":"21874566@N07","isPro":true,"newFlow":true,"isAdFree":false,"location":"Hollywood, CA, USA","proBadge":"standard","realname":"Matthew Dillon","segments":{"data":[],"exportMetaType":"array"},"username":"RuggyBearLA","buddyicon":{"data":{"large":"//live.staticflickr.com/8130/buddyicons/21874566@N07_l.jpg?1369090903#21874566@N07","small":"//live.staticflickr.com/8130/buddyicons/21874566@N07_s.jpg?1369090903#21874566@N07","medium":"//live.staticflickr.com/8130/buddyicons/21874566@N07_m.jpg?1369090903#21874566@N07","retina":"//live.staticflickr.com/8130/buddyicons/21874566@N07_r.jpg?1369090903#21874566@N07","default":"//live.staticflickr.com/8130/buddyicons/21874566@N07.jpg?1369090903#21874566@N07"},"exportMetaType":"pojo"},"pathAlias":"ruggybear","dateCreated":{"data":"1197727946","exportMetaType":"serializeFunction"},"subscription":{"data":{"isPro":false,"isClosed":false,"isPastDue":false},"exportMetaType":"pojo"},"eligibleGifts":{"data":["year","month","week"],"exportMetaType":"array"},"isEligibleForGifts":true,"_flickrModelRegistry":"person-models"},"exportMetaType":"model"},"sizes":{"data":{"c":{"data":{"url":"//live.staticflickr.com/65535/48156671041_8925ba79bf_c.jpg","width":800,"height":533,"displayUrl":"//live.staticflickr.com/65535/48156671041_8925ba79bf_c.jpg"},"exportMetaType":"pojo"},"h":{"data":{"url":"//live.staticflickr.com/65535/48156671041_752fa87afd_h.jpg","width":1600,"height":1067,"displayUrl":"//live.staticflickr.com/65535/48156671041_752fa87afd_h.jpg"},"exportMetaType":"pojo"},"k":{"data":{"url":"//live.staticflickr.com/65535/48156671041_7ddbf7d781_k.jpg","width":2048,"height":1365,"displayUrl":"//live.staticflickr.com/65535/48156671041_7ddbf7d781_k.jpg"},"exportMetaType":"pojo"},"l":{"data":{"url":"//live.staticflickr.com/65535/48156671041_8925ba79bf_b.jpg","width":1024,"height":683,"displayUrl":"//live.staticflickr.com/65535/48156671041_8925ba79bf_b.jpg"},"exportMetaType":"pojo"},"m":{"data":{"url":"//live.staticflickr.com/65535/48156671041_8925ba79bf.jpg","width":500,"height":333,"displayUrl":"//live.staticflickr.com/65535/48156671041_8925ba79bf.jpg"},"exportMetaType":"pojo"},"n":{"data":{"url":"//live.staticflickr.com/65535/48156671041_8925ba79bf_n.jpg","width":320,"height":213,"displayUrl":"//live.staticflickr.com/65535/48156671041_8925ba79bf_n.jpg"},"exportMetaType":"pojo"},"o":{"data":{"url":"//live.staticflickr.com/65535/48156671041_e723ceff0d_o.jpg","width":3000,"height":2000,"displayUrl":"//live.staticflickr.com/65535/48156671041_e723ceff0d_o.jpg"},"exportMetaType":"pojo"},"q":{"data":{"url":"//live.staticflickr.com/65535/48156671041_8925ba79bf_q.jpg","width":150,"height":150,"displayUrl":"//live.staticflickr.com/65535/48156671041_8925ba79bf_q.jpg"},"exportMetaType":"pojo"},"s":{"data":{"url":"//live.staticflickr.com/65535/48156671041_8925ba79bf_m.jpg","width":240,"height":160,"displayUrl":"//live.staticflickr.com/65535/48156671041_8925ba79bf_m.jpg"},"exportMetaType":"pojo"},"t":{"data":{"url":"//live.staticflickr.com/65535/48156671041_8925ba79bf_t.jpg","width":100,"height":67,"displayUrl":"//live.staticflickr.com/65535/48156671041_8925ba79bf_t.jpg"},"exportMetaType":"pojo"},"w":{"data":{"url":"//live.staticflickr.com/65535/48156671041_8925ba79bf_w.jpg","width":400,"height":267,"displayUrl":"//live.staticflickr.com/65535/48156671041_8925ba79bf_w.jpg"},"exportMetaType":"pojo"},"z":{"data":{"url":"//live.staticflickr.com/65535/48156671041_8925ba79bf_z.jpg","width":640,"height":427,"displayUrl":"//live.staticflickr.com/65535/48156671041_8925ba79bf_z.jpg"},"exportMetaType":"pojo"},"3k":{"data":{"url":"//live.staticflickr.com/65535/48156671041_62191e1b01_3k.jpg","width":3000,"height":2000,"displayUrl":"//live.staticflickr.com/65535/48156671041_62191e1b01_3k.jpg"},"exportMetaType":"pojo"},"sq":{"data":{"url":"//live.staticflickr.com/65535/48156671041_8925ba79bf_s.jpg","width":75,"height":75,"displayUrl":"//live.staticflickr.com/65535/48156671041_8925ba79bf_s.jpg"},"exportMetaType":"pojo"}},"exportMetaType":"pojo"},"title":"Kern River","oWidth":3000,"secret":"8925ba79bf","license":4,"oHeight":2000,"rotation":0,"canAddMeta":false,"canComment":false,"engagement":{"data":{"id":"48156671041","canShare":true,"faveCount":1,"ownerNsid":"21874566@N07","reactions":{"data":{"like":{"data":{"id":"like","count":5,"canReact":true,"didViewerReact":true},"exportMetaType":"pojo"},"someOtherReaction":{"data":{"id":"someOtherReaction","count":3,"canReact":true,"didViewerReact":false},"exportMetaType":"pojo"}},"exportMetaType":"pojo"},"viewCount":908,"canDownload":true,"_flickrModelRegistry":"photo-engagement-models"},"exportMetaType":"model"},"description":"A drive along the Kern River on route 178 just to get out of LA for a day.\n\nThe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safetyLevel":0,"upgradeSizes":{"data":[],"exportMetaType":"array"},"adEligibility":{"data":{"lane":1,"labels":{"data":["ProOwner"],"exportMetaType":"array"},"isAdEligible":false,"highScoreLabels":{"data":["ProOwner"],"exportMetaType":"array"}},"exportMetaType":"pojo"},"canPublicComment":true,"_flickrModelRegistry":"photo-models"},"exportMetaType":"model"}],"photo-geo-models":[{"data":{"id":"48156671041","hasGeo":true,"accuracy":16,"isPublic":true,"latitude":35.506138,"longitude":-118.691184,"_flickrModelRegistry":"photo-geo-models"},"exportMetaType":"model"}],"photo-location-models":[{"data":{"id":"48156671041","geo":{"data":"~2","exportMetaType":"model"},"text":"Democrat Hot Springs, California, United States","levels":{"data":{"county":{"data":{"name":"Kern","woeId":null},"exportMetaType":"pojo"},"region":{"data":{"name":"California","woeId":null},"exportMetaType":"pojo"},"country":{"data":{"name":"United States","woeId":null},"exportMetaType":"pojo"},"locality":{"data":{"name":"Democrat Hot Springs","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48156671041","title":"Kern River","og:url":"https://www.flickr.com/photos/ruggybear/48156671041/","og:type":"article","keywords":"woffordheights, california, unitedstatesofamerica","og:image":"https://live.staticflickr.com/65535/48156671041_8925ba79bf_b.jpg","og:title":"Kern River","twitter:card":"summary_large_image","twitter:image":"https://live.staticflickr.com/65535/48156671041_8925ba79bf_b.jpg","og:description":"A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direction.","og:image:width":1024,"og:image:height":683,"twitter:description":"A drive along the Kern River on route 178 just to get out of LA for a day.  The Kern River, originally Rio de San Felipe, later La Porciuncula, is a river in the U.S. state of California, approximately 165 miles (270 km) long. It drains an area of the southern Sierra Nevada mountains northeast of Bakersfield. Fed by snowmelt near Mount Whitney, the river passes through scenic canyons in the mountains and is a popular destination for whitewater rafting and kayaking. It is the southernmost major river system in the Sierra Nevada, and is the only major river in the Sierra that drains in a southerly direction.","_flickrModelRegistry":"photo-head-meta-models","twitter:app:url:ipad":"flickr://flickr.com/photos/ruggybear/48156671041/","twitter:app:url:iphone":"flickr://flickr.com/photos/ruggybear/48156671041/","twitter:app:url:googleplay":"https://www.flickr.com/photos/ruggybear/48156671041/"},"exportMetaType":"model"}],"photo-license-history-models":[]},"acquisition_file":"fl-48156671041.webp","source_html_file":"/Users/atincakcayoz/corteqs/output/bakersfield-production-20261023/flickr-source-pages/48156671041.html","original_file_url":"https://live.staticflickr.com/65535/48156671041_62191e1b01_3k.jpg","proposed_identity":"Kern River Canyon","source_html_sha256":"af8aa49334df5a14b253e7b7242f273554d82d5b5e07be7b68c5e2f85e4518e8","third_party_rights_review":{"basis":"Kaynakta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dönüştürüldü.","photo_attribution":{"author_url":"https://www.flickr.com/photos/21874566@N07/","modifications":"EXIF yönü uygulandı; boyut küçültülüp WebP biçimine dönüştürüldü.","original_file_url":"https://live.staticflickr.com/65535/48156671041_62191e1b01_3k.jpg"},"metadata_reviewed_on":"2026-10-24","metadata_review_status":"verified"}}</x:v>
      </x:c>
    </x:row>
    <x:row r="257" ht="300" customHeight="1">
      <x:c r="A257" s="29" t="str">
        <x:v>bakersfield:evidence:venue-22222</x:v>
      </x:c>
      <x:c r="B257" s="29" t="str">
        <x:v>bakersfield</x:v>
      </x:c>
      <x:c r="C257" s="29" t="str">
        <x:v>bakersfield:photo:venue-22222</x:v>
      </x:c>
      <x:c r="D257" s="29" t="str">
        <x:v>https://www.flickr.com/photos/98609821@N00/19737306910/</x:v>
      </x:c>
      <x:c r="E257" s="29" t="str">
        <x:v>Kern River Canyon · 2015 tarihli fotoğraf</x:v>
      </x:c>
      <x:c r="F257" s="29" t="str">
        <x:v>Julie Jordan Scott</x:v>
      </x:c>
      <x:c r="G257" s="29" t="str">
        <x:v>CC BY 2.0</x:v>
      </x:c>
      <x:c r="H257" s="29" t="str">
        <x:v>https://creativecommons.org/licenses/by/2.0/</x:v>
      </x:c>
      <x:c r="I257" s="29" t="str">
        <x:v>CC BY 2.0</x:v>
      </x:c>
      <x:c r="J257" s="29" t="str">
        <x:v>Kern River Canyon · 2015 tarihli fotoğraf · Julie Jordan Scott · CC BY 2.0 · https://www.flickr.com/photos/98609821@N00/19737306910/</x:v>
      </x:c>
      <x:c r="K25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7" s="31" t="d">
        <x:v>2026-10-24T00:00:00.000Z</x:v>
      </x:c>
      <x:c r="M257" s="29" t="str">
        <x:v>Doğrulandı</x:v>
      </x:c>
      <x:c r="N257" s="29" t="str">
        <x:v>Doğrulandı</x:v>
      </x:c>
      <x:c r="O257" s="29" t="str">
        <x:v>Fotoğraflar/bk-e54890bf02c662a92f8a1b17.webp</x:v>
      </x:c>
      <x:c r="P257" s="29" t="str">
        <x:v>Kern River Canyon · 2015 tarihli fotoğraf · İndirilen kare temas sayfasında görüldü; kaynak mekân kimliğiyle eşleştirildi. Seçim kaydı final-pixel-review.json.</x:v>
      </x:c>
      <x:c r="Q257" s="29" t="str">
        <x:v>Bu kare için uygun</x:v>
      </x:c>
      <x:c r="R25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7" s="29" t="str">
        <x:v>Lisans kanıtları/bk-e54890bf02c662a92f8a1b17.source-evidence.json</x:v>
      </x:c>
      <x:c r="T257" s="29" t="str">
        <x:v>5590a87f89dab1bb24c6f0455507e209b8d2543e04482026f81be6f1ec439c71</x:v>
      </x:c>
      <x:c r="U257" s="29" t="str">
        <x:v>Lisans kanıtları/bk-e54890bf02c662a92f8a1b17.license-record.json</x:v>
      </x:c>
      <x:c r="V257" s="29" t="str">
        <x:v>f8c60a2756413b52d0bef33139e4cd684b41ee8c285ef8f7989f32688bc0b38a</x:v>
      </x:c>
      <x:c r="W257" s="29" t="str">
        <x:v>{"file":"bk-e54890bf02c662a92f8a1b17.webp","width":1024,"author":"Julie Jordan Scott","height":768,"sha256":"e54890bf02c662a92f8a1b17da5e6be477e083f584e5bcbaa371eb1e5aaae925","status":"reviewed-selected","license":"CC BY 2.0","provider":"Flickr","review_id":"E211","source_id":"19737306910","author_url":"https://www.flickr.com/photos/98609821@N00/","date_texts":["Uploaded on July 22, 2015 Taken on July 21, 2015","Taken on July 21, 2015","Uploaded on July 22, 2015 Taken on July 21, 2015","Taken on July 21, 2015"],"source_url":"https://www.flickr.com/photos/98609821@N00/19737306910/","description":"","license_url":"https://creativecommons.org/licenses/by/2.0/","review_note":"Water, rock and riparian trees.","reviewed_on":"2026-10-24","source_text":"Kern River Canyon - July 21, 2015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Kern River Canyon - July 21, 2015 Done 65 views 0 faves 0 comments Uploaded on July 22, 2015 Taken on July 21, 2015 Julie Jordan Scott By: Julie Jordan Scott Kern River Canyon - July 21, 2015 Done 65 views 0 faves 0 comments Uploaded on July 22, 2015 Taken on July 21, 2015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photography.","capture_date":"2015-07-21","download_url":"https://live.staticflickr.com/396/19737306910_4942dee1c4_b.jpg","original_url":"https://live.staticflickr.com/396/19737306910_792dd023c8_o.jpg","pixel_review":{"method":"İndirilen kare temas sayfasında görüldü; kaynak mekân kimliğiyle eşleştirildi. Seçim kaydı final-pixel-review.json.","status":"verified","caption":"Kern River Canyon · 2015 tarihli fotoğraf","reviewer":"Codex (AI)","review_id":"E211"},"source_title":"Kern River Canyon - July 21, 2015","downloaded_at":"2026-10-23T19:50:43.334394+00:00","download_sha256":"51cad8270424fde5542ed224f60606bce97a941dcfbc277f422a17cc7d7e8de4","downloaded_file":"downloads/51cad8270424fde5542ed224f60606bce97a941dcfbc277f422a17cc7d7e8de4.jpg","public_metadata":{"photo-models":[{"data":{"id":"19737306910","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396/19737306910_4942dee1c4_c.jpg","width":800,"height":600,"displayUrl":"//live.staticflickr.com/396/19737306910_4942dee1c4_c.jpg"},"exportMetaType":"pojo"},"h":{"data":{"url":"//live.staticflickr.com/396/19737306910_45697fa2cf_h.jpg","width":1600,"height":1200,"displayUrl":"//live.staticflickr.com/396/19737306910_45697fa2cf_h.jpg"},"exportMetaType":"pojo"},"k":{"data":{"url":"//live.staticflickr.com/396/19737306910_7ef51d2d35_k.jpg","width":2048,"height":1536,"displayUrl":"//live.staticflickr.com/396/19737306910_7ef51d2d35_k.jpg"},"exportMetaType":"pojo"},"l":{"data":{"url":"//live.staticflickr.com/396/19737306910_4942dee1c4_b.jpg","width":1024,"height":768,"displayUrl":"//live.staticflickr.com/396/19737306910_4942dee1c4_b.jpg"},"exportMetaType":"pojo"},"m":{"data":{"url":"//live.staticflickr.com/396/19737306910_4942dee1c4.jpg","width":500,"height":375,"displayUrl":"//live.staticflickr.com/396/19737306910_4942dee1c4.jpg"},"exportMetaType":"pojo"},"n":{"data":{"url":"//live.staticflickr.com/396/19737306910_4942dee1c4_n.jpg","width":320,"height":240,"displayUrl":"//live.staticflickr.com/396/19737306910_4942dee1c4_n.jpg"},"exportMetaType":"pojo"},"o":{"data":{"url":"//live.staticflickr.com/396/19737306910_792dd023c8_o.jpg","width":3264,"height":2448,"displayUrl":"//live.staticflickr.com/396/19737306910_792dd023c8_o.jpg"},"exportMetaType":"pojo"},"q":{"data":{"url":"//live.staticflickr.com/396/19737306910_4942dee1c4_q.jpg","width":150,"height":150,"displayUrl":"//live.staticflickr.com/396/19737306910_4942dee1c4_q.jpg"},"exportMetaType":"pojo"},"s":{"data":{"url":"//live.staticflickr.com/396/19737306910_4942dee1c4_m.jpg","width":240,"height":180,"displayUrl":"//live.staticflickr.com/396/19737306910_4942dee1c4_m.jpg"},"exportMetaType":"pojo"},"t":{"data":{"url":"//live.staticflickr.com/396/19737306910_4942dee1c4_t.jpg","width":100,"height":75,"displayUrl":"//live.staticflickr.com/396/19737306910_4942dee1c4_t.jpg"},"exportMetaType":"pojo"},"w":{"data":{"url":"//live.staticflickr.com/396/19737306910_4942dee1c4_w.jpg","width":400,"height":300,"displayUrl":"//live.staticflickr.com/396/19737306910_4942dee1c4_w.jpg"},"exportMetaType":"pojo"},"z":{"data":{"url":"//live.staticflickr.com/396/19737306910_4942dee1c4_z.jpg","width":640,"height":480,"displayUrl":"//live.staticflickr.com/396/19737306910_4942dee1c4_z.jpg"},"exportMetaType":"pojo"},"3k":{"data":{"url":"//live.staticflickr.com/396/19737306910_d61a365b8e_3k.jpg","width":3072,"height":2304,"displayUrl":"//live.staticflickr.com/396/19737306910_d61a365b8e_3k.jpg"},"exportMetaType":"pojo"},"sq":{"data":{"url":"//live.staticflickr.com/396/19737306910_4942dee1c4_s.jpg","width":75,"height":75,"displayUrl":"//live.staticflickr.com/396/19737306910_4942dee1c4_s.jpg"},"exportMetaType":"pojo"}},"exportMetaType":"pojo"},"title":"Kern River Canyon - July 21, 2015","oWidth":3264,"secret":"4942dee1c4","license":4,"oHeight":2448,"rotation":0,"canAddMeta":false,"canComment":false,"engagement":{"data":{"id":"19737306910","canShare":true,"ownerNsid":"98609821@N00","reactions":{"data":{"like":{"data":{"id":"like","count":5,"canReact":true,"didViewerReact":true},"exportMetaType":"pojo"},"someOtherReaction":{"data":{"id":"someOtherReaction","count":3,"canReact":true,"didViewerReact":false},"exportMetaType":"pojo"}},"exportMetaType":"pojo"},"viewCount":65,"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19737306910","_flickrModelRegistry":"photo-geo-models"},"exportMetaType":"model"}],"photo-location-models":[{"data":{"id":"19737306910","geo":{"data":"~2","exportMetaType":"model"},"text":"","levels":{"data":{},"exportMetaType":"pojo"},"staticMaps":{"data":{},"exportMetaType":"pojo"},"_flickrModelRegistry":"photo-location-models"},"exportMetaType":"model"}],"photo-head-meta-models":[{"data":{"id":"19737306910","title":"Kern River Canyon - July 21, 2015","og:url":"https://www.flickr.com/photos/juliejordanscott/19737306910/","og:type":"article","og:image":"https://live.staticflickr.com/396/19737306910_4942dee1c4_b.jpg","og:title":"Kern River Canyon - July 21, 2015","twitter:card":"summary_large_image","twitter:image":"https://live.staticflickr.com/396/19737306910_4942dee1c4_b.jpg","og:description":"","og:image:width":1024,"og:image:height":768,"twitter:creator":"@juliejordanscot","twitter:description":"Explore juliejordanscott's 67408 photos on Flickr!","_flickrModelRegistry":"photo-head-meta-models","twitter:app:url:ipad":"flickr://flickr.com/photos/juliejordanscott/19737306910/","twitter:app:url:iphone":"flickr://flickr.com/photos/juliejordanscott/19737306910/","twitter:app:url:googleplay":"https://www.flickr.com/photos/juliejordanscott/19737306910/"},"exportMetaType":"model"}],"photo-license-history-models":[]},"acquisition_file":"fl-19737306910.webp","source_html_file":"/Users/atincakcayoz/corteqs/output/bakersfield-production-20261023/flickr-source-pages/19737306910.html","original_file_url":"https://live.staticflickr.com/396/19737306910_792dd023c8_o.jpg","proposed_identity":"Kern River Canyon","source_html_sha256":"fa22a4058c00713f256b055c97c32544a11cb3e6a45a5987ac5be759b3fb9b5a","third_party_rights_review":{"basis":"Kaynakta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dönüştürüldü.","original_file_url":"https://live.staticflickr.com/396/19737306910_792dd023c8_o.jpg"},"metadata_reviewed_on":"2026-10-24","metadata_review_status":"verified"}}</x:v>
      </x:c>
    </x:row>
    <x:row r="258" ht="300" customHeight="1">
      <x:c r="A258" s="29" t="str">
        <x:v>bakersfield:evidence:venue-22223</x:v>
      </x:c>
      <x:c r="B258" s="29" t="str">
        <x:v>bakersfield</x:v>
      </x:c>
      <x:c r="C258" s="29" t="str">
        <x:v>bakersfield:photo:venue-22223</x:v>
      </x:c>
      <x:c r="D258" s="29" t="str">
        <x:v>https://commons.wikimedia.org/wiki/File:2009-0820-WeedpatchCamp-LibPO.jpg</x:v>
      </x:c>
      <x:c r="E258" s="29" t="str">
        <x:v>2009-0820-WeedpatchCamp-LibPO.jpg</x:v>
      </x:c>
      <x:c r="F258" s="29" t="str">
        <x:v>Bobak Ha'Eri</x:v>
      </x:c>
      <x:c r="G258" s="29" t="str">
        <x:v>CC BY 3.0</x:v>
      </x:c>
      <x:c r="H258" s="29" t="str">
        <x:v>https://creativecommons.org/licenses/by/3.0</x:v>
      </x:c>
      <x:c r="I258" s="29" t="str">
        <x:v>Creative Commons Attribution 3.0</x:v>
      </x:c>
      <x:c r="J258" s="29" t="str">
        <x:v>2009-0820-WeedpatchCamp-LibPO.jpg · Bobak Ha'Eri · CC BY 3.0 · https://commons.wikimedia.org/wiki/File:2009-0820-WeedpatchCamp-LibPO.jpg</x:v>
      </x:c>
      <x:c r="K25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8" s="31" t="d">
        <x:v>2026-10-24T00:00:00.000Z</x:v>
      </x:c>
      <x:c r="M258" s="29" t="str">
        <x:v>Doğrulandı</x:v>
      </x:c>
      <x:c r="N258" s="29" t="str">
        <x:v>Doğrulandı</x:v>
      </x:c>
      <x:c r="O258" s="29" t="str">
        <x:v>Fotoğraflar/bk-943d7c9402819aab0a2cee7a.webp</x:v>
      </x:c>
      <x:c r="P258" s="29" t="str">
        <x:v>Sunset Labor Camp – Weedpatch · 2009 tarihli fotoğraf · İndirilen kare temas sayfasında görüldü; kaynak mekân kimliğiyle eşleştirildi. Seçim kaydı final-pixel-review.json.</x:v>
      </x:c>
      <x:c r="Q258" s="29" t="str">
        <x:v>Bu kare için uygun</x:v>
      </x:c>
      <x:c r="R25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8" s="29" t="str">
        <x:v>Lisans kanıtları/bk-943d7c9402819aab0a2cee7a.source-evidence.json</x:v>
      </x:c>
      <x:c r="T258" s="29" t="str">
        <x:v>85456ead10904a291d10f24bb19a2a5ef62fb6169998b1440077ee5664613181</x:v>
      </x:c>
      <x:c r="U258" s="29" t="str">
        <x:v>Lisans kanıtları/bk-943d7c9402819aab0a2cee7a.license-record.json</x:v>
      </x:c>
      <x:c r="V258" s="29" t="str">
        <x:v>745e9a75961009ffe789ce9cccf4637c7185e00014e5b130e6d6d552979feef8</x:v>
      </x:c>
      <x:c r="W258" s="29" t="str">
        <x:v>{"file":"bk-943d7c9402819aab0a2cee7a.webp","width":1280,"author":"Bobak Ha'Eri","height":894,"sha256":"943d7c9402819aab0a2cee7a2c8b836ab9f4f45ad227433f2dc03fce1d9ef3de","license":"CC BY 3.0","imageinfo":{"url":"https://upload.wikimedia.org/wikipedia/commons/c/c3/2009-0820-WeedpatchCamp-LibPO.jpg?utm_source=commons.wikimedia.org&amp;utm_campaign=imageinfo&amp;utm_content=original","mime":"image/jpeg","sha1":"d7f189db86814c8f3371159837944af54db63710","size":3168790,"width":2526,"height":1764,"pageid":8050496,"thumburl":"https://thumb.wikimedia.org/wikipedia/commons/thumb/c/c3/2009-0820-WeedpatchCamp-LibPO.jpg/1280px-2009-0820-WeedpatchCamp-LibPO.jpg?utm_source=commons.wikimedia.org&amp;utm_campaign=imageinfo&amp;utm_content=thumbnail","timestamp":"2009-10-13T06:07:56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work&lt;/span&gt;","source":"commons-desc-page"},"License":{"value":"cc-by-3.0","hidden":"","source":"commons-templates"},"DateTime":{"value":"2009-10-13 06:07:56","hidden":"","source":"mediawiki-metadata"},"Categories":{"value":"Taken with Panasonic Lumix DMC-TZ7|Arvin Federal Government Camp|National Register of Historic Places in Kern County, California|Government buildings on the National Register of Historic Places in California|Libraries on the National Register of Historic Places in California|Post offices on the National Register of Historic Places in California|1930s architecture in California|Wooden buildings in California|Buildings by the Works Progress Administration in California|Self-published work|Government buildings in Bakersfield, California|Post offices in Kern County, California|National Register of Historic Places with known IDs|Libraries in Kern County, California|Files by User:Bobak","hidden":"","source":"commons-categories"},"LicenseUrl":{"value":"https://creativecommons.org/licenses/by/3.0","source":"commons-desc-page"},"ObjectName":{"value":"2009-0820-WeedpatchCamp-LibPO","source":"mediawiki-metadata"},"Permission":{"value":"CC-By-SA-3.0","hidden":"","source":"commons-desc-page"},"UsageTerms":{"value":"Creative Commons Attribution 3.0","source":"commons-desc-page"},"Assessments":{"value":"","hidden":"","source":"commons-categories"},"Copyrighted":{"value":"True","hidden":"","source":"commons-desc-page"},"GPSLatitude":{"value":"35.223056","source":"commons-desc-page"},"GPSMapDatum":{"value":"WGS-84","hidden":"","source":"commons-desc-page"},"GPSLongitude":{"value":"-118.905556","source":"commons-desc-page"},"Restrictions":{"value":"","hidden":"","source":"commons-desc-page"},"DateTimeOriginal":{"value":"2009-08-20","source":"commons-desc-page"},"ImageDescription":{"value":"Library (left) and Post Office (right) of the &lt;b&gt;&lt;a href=\"https://en.wikipedia.org/wiki/Weedpatch_Camp\" class=\"extiw\" title=\"en:Weedpatch Camp\"&gt;Weedpatch Camp&lt;/a&gt;&lt;/b&gt; (also known as the Arvin Federal Government Camp and the Sunset Labor Camp) —  in outer &lt;a href=\"//commons.wikimedia.org/wiki/Category:Bakersfield,_California\" title=\"Category:Bakersfield, California\"&gt;Bakersfield&lt;/a&gt;, southern &lt;a href=\"//commons.wikimedia.org/wiki/Category:San_Joaquin_Valley\" title=\"Category:San Joaquin Valley\"&gt;San Joaquin Valley&lt;/a&gt;, California.\n&lt;ul&gt;&lt;li&gt;A 1930s &lt;a href=\"//commons.wikimedia.org/wiki/Category:Farm_Security_Administration\" title=\"Category:Farm Security Administration\"&gt;FSA—Farm Security Administration&lt;/a&gt; project built by the &lt;a href=\"//commons.wikimedia.org/wiki/Category:Works_Progress_Administration\" title=\"Category:Works Progress Administration\"&gt;WPA—Works Progress Administration&lt;/a&gt;.&lt;/li&gt;\n&lt;li&gt;The plight of the Okies and a description of Weedpatch Camp were chronicled by novelist &lt;a href=\"//commons.wikimedia.org/wiki/Category:John_Steinbeck\" title=\"Category:John Steinbeck\"&gt;John Steinbeck&lt;/a&gt; in his book &lt;i&gt;&lt;a href=\"https://en.wikipedia.org/wiki/The_Grapes_of_Wrath\" class=\"extiw\" title=\"w:The Grapes of Wrath\"&gt;The Grapes of Wrath&lt;/a&gt;&lt;/i&gt;.&lt;/li&gt;\n&lt;li&gt;On the &lt;a href=\"//commons.wikimedia.org/wiki/Category:National_Register_of_Historic_Places_in_Kern_County,_California\" title=\"Category:National Register of Historic Places in Kern County, California\"&gt;National Register of Historic Places in Kern County, California&lt;/a&gt;.&lt;/li&gt;&lt;/ul&gt;","source":"commons-desc-page"},"LicenseShortName":{"value":"CC BY 3.0","hidden":"","source":"commons-desc-page"},"AttributionRequired":{"value":"true","hidden":"","source":"commons-desc-page"},"CommonsMetadataExtension":{"value":1.2,"hidden":"","source":"extension"}},"thumbheight":894,"thumbattribs":{"src":"https://thumb.wikimedia.org/wikipedia/commons/thumb/c/c3/2009-0820-WeedpatchCamp-LibPO.jpg/1280px-2009-0820-WeedpatchCamp-LibPO.jpg?utm_source=commons.wikimedia.org&amp;utm_campaign=imageinfo&amp;utm_content=thumbnail","width":1280,"height":894,"srcset":"https://upload.wikimedia.org/wikipedia/commons/c/c3/2009-0820-WeedpatchCamp-LibPO.jpg?utm_source=commons.wikimedia.org&amp;utm_campaign=imageinfo&amp;utm_content=thumbnail_unscaled 2x","loading":"lazy","decoding":"async"},"descriptionurl":"https://commons.wikimedia.org/wiki/File:2009-0820-WeedpatchCamp-LibPO.jpg","responsiveUrls":{"2":"https://upload.wikimedia.org/wikipedia/commons/c/c3/2009-0820-WeedpatchCamp-LibPO.jpg?utm_source=commons.wikimedia.org&amp;utm_campaign=imageinfo&amp;utm_content=thumbnail_unscaled"},"descriptionshorturl":"https://commons.wikimedia.org/w/index.php?curid=8050496"},"selection":{"qid":"pending","kind":"candidate","title":"Bakersfield local buildings"},"author_url":"https://en.wikipedia.org/wiki/User:Bobak","derivative":"Wikimedia thumbnail decoded; EXIF orientation applied; converted to WebP quality 86; no generated pixels, no cropping.","source_url":"https://commons.wikimedia.org/wiki/File:2009-0820-WeedpatchCamp-LibPO.jpg","author_urls":["https://en.wikipedia.org/wiki/User:Bobak"],"description":"Library (left) and Post Office (right) of the Weedpatch Camp (also known as the Arvin Federal Government Camp and the Sunset Labor Camp) —  in outer Bakersfield, southern San Joaquin Valley, California.\nA 1930s FSA—Farm Security Administration project built by the WPA—Works Progress Administration.\nThe plight of the Okies and a description of Weedpatch Camp were chronicled by novelist John Steinbeck in his book The Grapes of Wrath.\nOn the National Register of Historic Places in Kern County, California.","license_url":"https://creativecommons.org/licenses/by/3.0","reviewed_on":"2026-10-24","capture_date":"2009-08-20","download_url":"https://thumb.wikimedia.org/wikipedia/commons/thumb/c/c3/2009-0820-WeedpatchCamp-LibPO.jpg/1280px-2009-0820-WeedpatchCamp-LibPO.jpg?utm_source=commons.wikimedia.org&amp;utm_campaign=imageinfo&amp;utm_content=thumbnail","original_url":"https://upload.wikimedia.org/wikipedia/commons/c/c3/2009-0820-WeedpatchCamp-LibPO.jpg?utm_source=commons.wikimedia.org&amp;utm_campaign=imageinfo&amp;utm_content=original","pixel_review":{"method":"İndirilen kare temas sayfasında görüldü; kaynak mekân kimliğiyle eşleştirildi. Seçim kaydı final-pixel-review.json.","status":"verified","caption":"Sunset Labor Camp – Weedpatch · 2009 tarihli fotoğraf","reviewer":"Codex (AI)","review_id":"C21"},"downloaded_at":"2026-10-23T19:07:57.922516+00:00","download_sha256":"9ab60efc73660e480a05c35d05e828266fd169647459658dff125e0e790b0593","downloaded_file":"downloads/9ab60efc73660e480a05c35d05e828266fd169647459658dff125e0e790b0593.jpg","acquisition_file":"ea8dbea8c3cf5c2a55f80e43.webp","commons_filename":"2009-0820-WeedpatchCamp-LibPO.jpg","original_file_url":"https://upload.wikimedia.org/wikipedia/commons/c/c3/2009-0820-WeedpatchCamp-LibP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c/c3/2009-0820-WeedpatchCamp-LibPO.jpg?utm_source=commons.wikimedia.org&amp;utm_campaign=imageinfo&amp;utm_content=original"},"metadata_reviewed_on":"2026-10-24","metadata_review_status":"verified"}}</x:v>
      </x:c>
    </x:row>
    <x:row r="259" ht="300" customHeight="1">
      <x:c r="A259" s="29" t="str">
        <x:v>bakersfield:evidence:venue-22224</x:v>
      </x:c>
      <x:c r="B259" s="29" t="str">
        <x:v>bakersfield</x:v>
      </x:c>
      <x:c r="C259" s="29" t="str">
        <x:v>bakersfield:photo:venue-22224</x:v>
      </x:c>
      <x:c r="D259" s="29" t="str">
        <x:v>https://commons.wikimedia.org/wiki/File:Frazier_Mountain_Park.jpg</x:v>
      </x:c>
      <x:c r="E259" s="29" t="str">
        <x:v>Frazier Mountain Park.jpg</x:v>
      </x:c>
      <x:c r="F259" s="29" t="str">
        <x:v>LittleT889</x:v>
      </x:c>
      <x:c r="G259" s="29" t="str">
        <x:v>CC BY-SA 4.0</x:v>
      </x:c>
      <x:c r="H259" s="29" t="str">
        <x:v>https://creativecommons.org/licenses/by-sa/4.0</x:v>
      </x:c>
      <x:c r="I259" s="29" t="str">
        <x:v>Creative Commons Attribution-Share Alike 4.0</x:v>
      </x:c>
      <x:c r="J259" s="29" t="str">
        <x:v>Frazier Mountain Park.jpg · LittleT889 · CC BY-SA 4.0 · https://commons.wikimedia.org/wiki/File:Frazier_Mountain_Park.jpg</x:v>
      </x:c>
      <x:c r="K25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59" s="31" t="d">
        <x:v>2026-10-24T00:00:00.000Z</x:v>
      </x:c>
      <x:c r="M259" s="29" t="str">
        <x:v>Doğrulandı</x:v>
      </x:c>
      <x:c r="N259" s="29" t="str">
        <x:v>Doğrulandı</x:v>
      </x:c>
      <x:c r="O259" s="29" t="str">
        <x:v>Fotoğraflar/bk-deaac0975bca4c437a51386b.webp</x:v>
      </x:c>
      <x:c r="P259" s="29" t="str">
        <x:v>Frazier Mountain Park · 2021 tarihli fotoğraf · İndirilen kare temas sayfasında görüldü; kaynak mekân kimliğiyle eşleştirildi. Seçim kaydı final-pixel-review.json.</x:v>
      </x:c>
      <x:c r="Q259" s="29" t="str">
        <x:v>Bu kare için uygun</x:v>
      </x:c>
      <x:c r="R25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59" s="29" t="str">
        <x:v>Lisans kanıtları/bk-deaac0975bca4c437a51386b.source-evidence.json</x:v>
      </x:c>
      <x:c r="T259" s="29" t="str">
        <x:v>1ff5b8c39c6735d1c4687dc38b9f714a5c9cee40e0c189f705bf6a601944a07e</x:v>
      </x:c>
      <x:c r="U259" s="29" t="str">
        <x:v>Lisans kanıtları/bk-deaac0975bca4c437a51386b.license-record.json</x:v>
      </x:c>
      <x:c r="V259" s="29" t="str">
        <x:v>a49b07e87cf8b95f143459ca7f402b4db7459b1af74ddbf893d7dabbe07f42ad</x:v>
      </x:c>
      <x:c r="W259" s="29" t="str">
        <x:v>{"file":"bk-deaac0975bca4c437a51386b.webp","width":1280,"author":"LittleT889","height":960,"sha256":"deaac0975bca4c437a51386baf3fbebdc7a8365f3e4b02e8271ad02d1592fd5e","license":"CC BY-SA 4.0","imageinfo":{"url":"https://upload.wikimedia.org/wikipedia/commons/d/df/Frazier_Mountain_Park.jpg?utm_source=commons.wikimedia.org&amp;utm_campaign=imageinfo&amp;utm_content=original","mime":"image/jpeg","sha1":"a529ae085e823a8a39689f9599aff06b0f75b63d","size":3845242,"width":4032,"height":3024,"pageid":109662821,"thumburl":"https://thumb.wikimedia.org/wikipedia/commons/thumb/d/df/Frazier_Mountain_Park.jpg/1280px-Frazier_Mountain_Park.jpg?utm_source=commons.wikimedia.org&amp;utm_campaign=imageinfo&amp;utm_content=thumbnail","timestamp":"2021-09-04T02:58:46Z","thumbwidth":1280,"extmetadata":{"Artist":{"value":"&lt;a href=\"//commons.wikimedia.org/w/index.php?title=User:LittleT889&amp;amp;action=edit&amp;amp;redlink=1\" class=\"new\" title=\"User:LittleT889 (page does not exist)\"&gt;LittleT889&lt;/a&gt;","source":"commons-desc-page"},"Credit":{"value":"&lt;span class=\"int-own-work\" lang=\"en\"&gt;Own work&lt;/span&gt;","source":"commons-desc-page"},"License":{"value":"cc-by-sa-4.0","hidden":"","source":"commons-templates"},"DateTime":{"value":"2021-09-04 02:58:46","hidden":"","source":"mediawiki-metadata"},"Categories":{"value":"Forests in California|Frazier Park, California|Parks in Kern County, California|Playgrounds in California|Self-published work|Files with coordinates missing SDC location of creation|Flora of Kern County, California|Trees in Kern County, California|Hills of Kern County, California","hidden":"","source":"commons-categories"},"LicenseUrl":{"value":"https://creativecommons.org/licenses/by-sa/4.0","source":"commons-desc-page"},"ObjectName":{"value":"Frazier Mountain Park","source":"mediawiki-metadata"},"UsageTerms":{"value":"Creative Commons Attribution-Share Alike 4.0","source":"commons-desc-page"},"Assessments":{"value":"","hidden":"","source":"commons-categories"},"Copyrighted":{"value":"True","hidden":"","source":"commons-desc-page"},"GPSLatitude":{"value":"34.820492","source":"commons-desc-page"},"GPSMapDatum":{"value":"WGS-84","hidden":"","source":"commons-desc-page"},"GPSLongitude":{"value":"-118.949494","source":"commons-desc-page"},"Restrictions":{"value":"","hidden":"","source":"commons-desc-page"},"DateTimeOriginal":{"value":"2021-09-03 18:36:27","source":"commons-desc-page"},"ImageDescription":{"value":"Frazier Mountain Park","source":"commons-desc-page"},"LicenseShortName":{"value":"CC BY-SA 4.0","hidden":"","source":"commons-desc-page"},"AttributionRequired":{"value":"true","hidden":"","source":"commons-desc-page"},"CommonsMetadataExtension":{"value":1.2,"hidden":"","source":"extension"}},"thumbheight":960,"thumbattribs":{"src":"https://thumb.wikimedia.org/wikipedia/commons/thumb/d/df/Frazier_Mountain_Park.jpg/1280px-Frazier_Mountain_Park.jpg?utm_source=commons.wikimedia.org&amp;utm_campaign=imageinfo&amp;utm_content=thumbnail","width":1280,"height":960,"srcset":"https://thumb.wikimedia.org/wikipedia/commons/thumb/d/df/Frazier_Mountain_Park.jpg/3840px-Frazier_Mountain_Park.jpg?utm_source=commons.wikimedia.org&amp;utm_campaign=imageinfo&amp;utm_content=thumbnail 2x","loading":"lazy","decoding":"async"},"descriptionurl":"https://commons.wikimedia.org/wiki/File:Frazier_Mountain_Park.jpg","responsiveUrls":{"2":"https://thumb.wikimedia.org/wikipedia/commons/thumb/d/df/Frazier_Mountain_Park.jpg/3840px-Frazier_Mountain_Park.jpg?utm_source=commons.wikimedia.org&amp;utm_campaign=imageinfo&amp;utm_content=thumbnail"},"descriptionshorturl":"https://commons.wikimedia.org/w/index.php?curid=109662821"},"selection":{"qid":"pending","kind":"candidate","title":"Parks in Kern County, California"},"author_url":"","derivative":"Wikimedia thumbnail decoded; EXIF orientation applied; converted to WebP quality 86; no generated pixels, no cropping.","source_url":"https://commons.wikimedia.org/wiki/File:Frazier_Mountain_Park.jpg","author_urls":[],"description":"Frazier Mountain Park","license_url":"https://creativecommons.org/licenses/by-sa/4.0","reviewed_on":"2026-10-24","capture_date":"2021-09-03 18:36:27","download_url":"https://thumb.wikimedia.org/wikipedia/commons/thumb/d/df/Frazier_Mountain_Park.jpg/1280px-Frazier_Mountain_Park.jpg?utm_source=commons.wikimedia.org&amp;utm_campaign=imageinfo&amp;utm_content=thumbnail","original_url":"https://upload.wikimedia.org/wikipedia/commons/d/df/Frazier_Mountain_Park.jpg?utm_source=commons.wikimedia.org&amp;utm_campaign=imageinfo&amp;utm_content=original","pixel_review":{"method":"İndirilen kare temas sayfasında görüldü; kaynak mekân kimliğiyle eşleştirildi. Seçim kaydı final-pixel-review.json.","status":"verified","caption":"Frazier Mountain Park · 2021 tarihli fotoğraf","reviewer":"Codex (AI)","review_id":"C134"},"downloaded_at":"2026-10-23T19:10:11.529656+00:00","download_sha256":"95e5c8a1ae3643070a4d16a1cb811332b622164945f8b9ae40140175d969b347","downloaded_file":"downloads/95e5c8a1ae3643070a4d16a1cb811332b622164945f8b9ae40140175d969b347.jpg","acquisition_file":"63aef9911cc18576f0020802.webp","commons_filename":"Frazier Mountain Park.jpg","original_file_url":"https://upload.wikimedia.org/wikipedia/commons/d/df/Frazier_Mountain_Park.jpg?utm_source=commons.wikimedia.org&amp;utm_campaign=imageinfo&amp;utm_content=original","pixel_review_status":"pending","third_party_rights_review":{"basis":"Kaynakta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d/df/Frazier_Mountain_Park.jpg?utm_source=commons.wikimedia.org&amp;utm_campaign=imageinfo&amp;utm_content=original"},"metadata_reviewed_on":"2026-10-24","metadata_review_status":"verified"}}</x:v>
      </x:c>
    </x:row>
    <x:row r="260" ht="300" customHeight="1">
      <x:c r="A260" s="29" t="str">
        <x:v>bakersfield:evidence:venue-22225</x:v>
      </x:c>
      <x:c r="B260" s="29" t="str">
        <x:v>bakersfield</x:v>
      </x:c>
      <x:c r="C260" s="29" t="str">
        <x:v>bakersfield:photo:venue-22225</x:v>
      </x:c>
      <x:c r="D260" s="29" t="str">
        <x:v>https://commons.wikimedia.org/wiki/File:MaturangoMuseum.JPG</x:v>
      </x:c>
      <x:c r="E260" s="29" t="str">
        <x:v>MaturangoMuseum.JPG</x:v>
      </x:c>
      <x:c r="F260" s="29" t="str">
        <x:v>Qfl247 (talk) (Transferred by Citypeek/Original uploaded by Qfl247)</x:v>
      </x:c>
      <x:c r="G260" s="29" t="str">
        <x:v>CC BY-SA 3.0</x:v>
      </x:c>
      <x:c r="H260" s="29" t="str">
        <x:v>https://creativecommons.org/licenses/by-sa/3.0</x:v>
      </x:c>
      <x:c r="I260" s="29" t="str">
        <x:v>Creative Commons Attribution-Share Alike 3.0</x:v>
      </x:c>
      <x:c r="J260" s="29" t="str">
        <x:v>MaturangoMuseum.JPG · Qfl247 (talk) (Transferred by Citypeek/Original uploaded by Qfl247) · CC BY-SA 3.0 · https://commons.wikimedia.org/wiki/File:MaturangoMuseum.JPG</x:v>
      </x:c>
      <x:c r="K26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0" s="31" t="d">
        <x:v>2026-10-24T00:00:00.000Z</x:v>
      </x:c>
      <x:c r="M260" s="29" t="str">
        <x:v>Doğrulandı</x:v>
      </x:c>
      <x:c r="N260" s="29" t="str">
        <x:v>Doğrulandı</x:v>
      </x:c>
      <x:c r="O260" s="29" t="str">
        <x:v>Fotoğraflar/bk-020f151489372ea7a0ba71e2.webp</x:v>
      </x:c>
      <x:c r="P260" s="29" t="str">
        <x:v>Maturango Museum · 2010 tarihli fotoğraf · İndirilen kare temas sayfasında görüldü; kaynak mekân kimliğiyle eşleştirildi. Seçim kaydı final-pixel-review.json.</x:v>
      </x:c>
      <x:c r="Q260" s="29" t="str">
        <x:v>Bu kare için uygun</x:v>
      </x:c>
      <x:c r="R26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0" s="29" t="str">
        <x:v>Lisans kanıtları/bk-020f151489372ea7a0ba71e2.source-evidence.json</x:v>
      </x:c>
      <x:c r="T260" s="29" t="str">
        <x:v>59ceb88884a32cf0722a8d8bdfabfa69c5147c8854206a05b452435347e5416d</x:v>
      </x:c>
      <x:c r="U260" s="29" t="str">
        <x:v>Lisans kanıtları/bk-020f151489372ea7a0ba71e2.license-record.json</x:v>
      </x:c>
      <x:c r="V260" s="29" t="str">
        <x:v>78c4e6dc1906fd648d72fada8f8720215816b3b0773ece550cb3611e4cac4b7b</x:v>
      </x:c>
      <x:c r="W260" s="29" t="str">
        <x:v>{"file":"bk-020f151489372ea7a0ba71e2.webp","width":1280,"author":"Qfl247 (talk) (Transferred by Citypeek/Original uploaded by Qfl247)","height":853,"sha256":"020f151489372ea7a0ba71e20420a779d375ef36a6a3d751ed10c6af9a3806ba","license":"CC BY-SA 3.0","imageinfo":{"url":"https://upload.wikimedia.org/wikipedia/commons/d/df/MaturangoMuseum.JPG?utm_source=commons.wikimedia.org&amp;utm_campaign=imageinfo&amp;utm_content=original","mime":"image/jpeg","sha1":"916138cbbdaae0a2865d8c87e7c84f561e32e228","size":3513066,"width":3648,"height":2432,"pageid":14715701,"thumburl":"https://thumb.wikimedia.org/wikipedia/commons/thumb/d/df/MaturangoMuseum.JPG/1280px-MaturangoMuseum.JPG?utm_source=commons.wikimedia.org&amp;utm_campaign=imageinfo&amp;utm_content=thumbnail","timestamp":"2011-03-27T17:03:31Z","thumbwidth":1280,"extmetadata":{"Artist":{"value":"&lt;a href=\"https://en.wikipedia.org/wiki/User:Qfl247\" class=\"extiw\" title=\"en:User:Qfl247\"&gt;Qfl247&lt;/a&gt; (&lt;a href=\"https://en.wikipedia.org/wiki/User_talk:Qfl247\" class=\"extiw\" title=\"en:User talk:Qfl247\"&gt;talk&lt;/a&gt;) (Transferred by &lt;a href=\"//commons.wikimedia.org/wiki/User:Citypeek\" title=\"User:Citypeek\"&gt;Citypeek&lt;/a&gt;/Original uploaded by &lt;a href=\"https://en.wikipedia.org/wiki/Qfl247\" class=\"extiw\" title=\"en:Qfl247\"&gt;Qfl247&lt;/a&gt;)","source":"commons-desc-page"},"Credit":{"value":"I (&lt;a href=\"https://en.wikipedia.org/wiki/User:Qfl247\" class=\"extiw\" title=\"en:User:Qfl247\"&gt;Qfl247&lt;/a&gt; (&lt;a href=\"https://en.wikipedia.org/wiki/User_talk:Qfl247\" class=\"extiw\" title=\"en:User talk:Qfl247\"&gt;talk&lt;/a&gt;)) created this work entirely by myself. (Original uploaded on en.wikipedia)","source":"commons-desc-page"},"License":{"value":"cc-by-sa-3.0","hidden":"","source":"commons-templates"},"DateTime":{"value":"2011-03-27 17:03:31","hidden":"","source":"mediawiki-metadata"},"Categories":{"value":"GFDL|Taken with Sony DSC-T700|Mojave Desert|Ridgecrest, California|History museums in California|License migration redundant|Museums in Kern County, California|Native American museums in California|Self-published work","hidden":"","source":"commons-categories"},"LicenseUrl":{"value":"https://creativecommons.org/licenses/by-sa/3.0","source":"commons-desc-page"},"ObjectName":{"value":"MaturangoMuseum","source":"mediawiki-metadata"},"UsageTerms":{"value":"Creative Commons Attribution-Share Alike 3.0","source":"commons-desc-page"},"Assessments":{"value":"","hidden":"","source":"commons-categories"},"Attribution":{"value":"&lt;a href=\"https://en.wikipedia.org/wiki/User:Qfl247\" class=\"extiw\" title=\"en:User:Qfl247\"&gt;Qfl247&lt;/a&gt;","hidden":"","source":"commons-desc-page"},"Copyrighted":{"value":"True","hidden":"","source":"commons-desc-page"},"Restrictions":{"value":"","hidden":"","source":"commons-desc-page"},"DateTimeOriginal":{"value":"2010-04-14 17:49","source":"commons-desc-page"},"ImageDescription":{"value":"The &lt;a href=\"https://en.wikipedia.org/wiki/Maturango_Museum\" class=\"extiw\" title=\"w:Maturango Museum\"&gt;Maturango Museum&lt;/a&gt; — in &lt;a href=\"https://en.wikipedia.org/wiki/Ridgecrest,_California\" class=\"extiw\" title=\"en:Ridgecrest, California\"&gt;Ridgecrest, California&lt;/a&gt;. \n&lt;dl&gt;&lt;dd&gt;&lt;ul&gt;&lt;li&gt;On the history and nature of the northern &lt;a href=\"//commons.wikimedia.org/wiki/Category:Mojave_Desert\" title=\"Category:Mojave Desert\"&gt;Mojave Desert&lt;/a&gt;.&lt;/li&gt;&lt;/ul&gt;&lt;/dd&gt;&lt;/dl&gt;","source":"commons-desc-page"},"LicenseShortName":{"value":"CC BY-SA 3.0","hidden":"","source":"commons-desc-page"},"AttributionRequired":{"value":"true","hidden":"","source":"commons-desc-page"},"CommonsMetadataExtension":{"value":1.2,"hidden":"","source":"extension"}},"thumbheight":853,"thumbattribs":{"src":"https://thumb.wikimedia.org/wikipedia/commons/thumb/d/df/MaturangoMuseum.JPG/1280px-MaturangoMuseum.JPG?utm_source=commons.wikimedia.org&amp;utm_campaign=imageinfo&amp;utm_content=thumbnail","width":1280,"height":853,"srcset":"https://upload.wikimedia.org/wikipedia/commons/d/df/MaturangoMuseum.JPG?utm_source=commons.wikimedia.org&amp;utm_campaign=imageinfo&amp;utm_content=thumbnail_unscaled 2x","loading":"lazy","decoding":"async"},"descriptionurl":"https://commons.wikimedia.org/wiki/File:MaturangoMuseum.JPG","responsiveUrls":{"2":"https://upload.wikimedia.org/wikipedia/commons/d/df/MaturangoMuseum.JPG?utm_source=commons.wikimedia.org&amp;utm_campaign=imageinfo&amp;utm_content=thumbnail_unscaled"},"descriptionshorturl":"https://commons.wikimedia.org/w/index.php?curid=14715701"},"selection":{"qid":"pending","kind":"candidate","title":"Museums in Kern County, California"},"author_url":"https://en.wikipedia.org/wiki/User:Qfl247","derivative":"Wikimedia thumbnail decoded; EXIF orientation applied; converted to WebP quality 86; no generated pixels, no cropping.","source_url":"https://commons.wikimedia.org/wiki/File:MaturangoMuseum.JPG","author_urls":["https://en.wikipedia.org/wiki/User:Qfl247","https://en.wikipedia.org/wiki/User_talk:Qfl247","https://commons.wikimedia.org/wiki/User:Citypeek","https://en.wikipedia.org/wiki/Qfl247"],"description":"The Maturango Museum — in Ridgecrest, California. \nOn the history and nature of the northern Mojave Desert.","license_url":"https://creativecommons.org/licenses/by-sa/3.0","reviewed_on":"2026-10-24","capture_date":"2010-04-14 17:49","download_url":"https://thumb.wikimedia.org/wikipedia/commons/thumb/d/df/MaturangoMuseum.JPG/1280px-MaturangoMuseum.JPG?utm_source=commons.wikimedia.org&amp;utm_campaign=imageinfo&amp;utm_content=thumbnail","original_url":"https://upload.wikimedia.org/wikipedia/commons/d/df/MaturangoMuseum.JPG?utm_source=commons.wikimedia.org&amp;utm_campaign=imageinfo&amp;utm_content=original","pixel_review":{"method":"İndirilen kare temas sayfasında görüldü; kaynak mekân kimliğiyle eşleştirildi. Seçim kaydı final-pixel-review.json.","status":"verified","caption":"Maturango Museum · 2010 tarihli fotoğraf","reviewer":"Codex (AI)","review_id":"C203"},"downloaded_at":"2026-10-23T19:10:09.048678+00:00","download_sha256":"b79d05e2635d83809a3d519a2198e8649d96478dfd19df84d58a933b0ed362c2","downloaded_file":"downloads/b79d05e2635d83809a3d519a2198e8649d96478dfd19df84d58a933b0ed362c2.jpg","acquisition_file":"2cff169ee79fbb5aab434169.webp","commons_filename":"MaturangoMuseum.JPG","original_file_url":"https://upload.wikimedia.org/wikipedia/commons/d/df/MaturangoMuseum.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dönüştürüldü.","photo_attribution":{"author_url":"https://en.wikipedia.org/wiki/User:Qfl247","modifications":"EXIF yönü uygulandı; boyut küçültülüp WebP biçimine dönüştürüldü.","original_file_url":"https://upload.wikimedia.org/wikipedia/commons/d/df/MaturangoMuseum.JPG?utm_source=commons.wikimedia.org&amp;utm_campaign=imageinfo&amp;utm_content=original"},"metadata_reviewed_on":"2026-10-24","metadata_review_status":"verified"}}</x:v>
      </x:c>
    </x:row>
    <x:row r="261" ht="300" customHeight="1">
      <x:c r="A261" s="29" t="str">
        <x:v>bakersfield:evidence:venue-22226</x:v>
      </x:c>
      <x:c r="B261" s="29" t="str">
        <x:v>bakersfield</x:v>
      </x:c>
      <x:c r="C261" s="29" t="str">
        <x:v>bakersfield:photo:venue-22226</x:v>
      </x:c>
      <x:c r="D261" s="29" t="str">
        <x:v>https://www.flickr.com/photos/54597574@N00/51714873670/</x:v>
      </x:c>
      <x:c r="E261" s="29" t="str">
        <x:v>Walker Pass Campground ve PCT bağlantısı · 2021 tarihli fotoğraf</x:v>
      </x:c>
      <x:c r="F261" s="29" t="str">
        <x:v>Tracie Hall</x:v>
      </x:c>
      <x:c r="G261" s="29" t="str">
        <x:v>CC BY-SA 2.0</x:v>
      </x:c>
      <x:c r="H261" s="29" t="str">
        <x:v>https://creativecommons.org/licenses/by-sa/2.0/</x:v>
      </x:c>
      <x:c r="I261" s="29" t="str">
        <x:v>CC BY-SA 2.0</x:v>
      </x:c>
      <x:c r="J261" s="29" t="str">
        <x:v>Walker Pass Campground ve PCT bağlantısı · 2021 tarihli fotoğraf · Tracie Hall · CC BY-SA 2.0 · https://www.flickr.com/photos/54597574@N00/51714873670/</x:v>
      </x:c>
      <x:c r="K26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1" s="31" t="d">
        <x:v>2026-10-24T00:00:00.000Z</x:v>
      </x:c>
      <x:c r="M261" s="29" t="str">
        <x:v>Doğrulandı</x:v>
      </x:c>
      <x:c r="N261" s="29" t="str">
        <x:v>Doğrulandı</x:v>
      </x:c>
      <x:c r="O261" s="29" t="str">
        <x:v>Fotoğraflar/bk-b28db44a0b1872a3cb2b8f2e.webp</x:v>
      </x:c>
      <x:c r="P261" s="29" t="str">
        <x:v>Walker Pass Campground ve PCT bağlantısı · 2021 tarihli fotoğraf · İndirilen kare temas sayfasında görüldü; kaynak mekân kimliğiyle eşleştirildi. Seçim kaydı final-pixel-review.json.</x:v>
      </x:c>
      <x:c r="Q261" s="29" t="str">
        <x:v>Bu kare için uygun</x:v>
      </x:c>
      <x:c r="R26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1" s="29" t="str">
        <x:v>Lisans kanıtları/bk-b28db44a0b1872a3cb2b8f2e.source-evidence.json</x:v>
      </x:c>
      <x:c r="T261" s="29" t="str">
        <x:v>4087b512bdf356139f0e6375c0ad51a2cbc28089760f1810cf957fe9c042421e</x:v>
      </x:c>
      <x:c r="U261" s="29" t="str">
        <x:v>Lisans kanıtları/bk-b28db44a0b1872a3cb2b8f2e.license-record.json</x:v>
      </x:c>
      <x:c r="V261" s="29" t="str">
        <x:v>30c4791439d49d0e948d9ca052aead04b8abfff47b4beabf1808a77ecb8f1a37</x:v>
      </x:c>
      <x:c r="W261" s="29" t="str">
        <x:v>{"file":"bk-b28db44a0b1872a3cb2b8f2e.webp","width":1024,"author":"Tracie Hall","height":971,"sha256":"b28db44a0b1872a3cb2b8f2eabc3c33e68f2105297637f025acc0853775272e0","status":"reviewed-selected","license":"CC BY-SA 2.0","provider":"Flickr","review_id":"Z88","source_id":"51714873670","author_url":"https://www.flickr.com/photos/54597574@N00/","date_texts":["Uploaded on November 29, 2021 Taken on November 26, 2021","Taken on November 26, 2021","Uploaded on November 29, 2021 Taken on November 26, 2021","Taken on November 26, 2021"],"source_url":"https://www.flickr.com/photos/54597574@N00/51714873670/","description":"Onyx, CA","license_url":"https://creativecommons.org/licenses/by-sa/2.0/","review_note":"Patika başlangıcındaki bilgi panosu ve geniş arazi; kişi küçük ve yüzü görünmüyor.","reviewed_on":"2026-10-24","source_text":"Walker Pass Campground | Onyx, CA | Tracie Hall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Tracie Hall tracie7779 Walker Pass Campground Onyx, CA Done 38 views 1 fave 0 comments Uploaded on November 29, 2021 Taken on November 26, 2021 Tracie Hall By: Tracie Hall Walker Pass Campground Onyx, CA Done 38 views 1 fave 0 comments Uploaded on November 29, 2021 Taken on November 26, 2021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photography.","capture_date":"2021-11-26","download_url":"https://live.staticflickr.com/65535/51714873670_c3e4d78ab1_b.jpg","original_url":"https://live.staticflickr.com/65535/51714873670_511b4f0554_3k.jpg","pixel_review":{"method":"İndirilen kare temas sayfasında görüldü; kaynak mekân kimliğiyle eşleştirildi. Seçim kaydı final-pixel-review.json.","status":"verified","caption":"Walker Pass Campground ve PCT bağlantısı · 2021 tarihli fotoğraf","reviewer":"Codex (AI)","review_id":"Z88"},"source_title":"Walker Pass Campground","downloaded_at":"2026-10-23T21:40:08.223621+00:00","download_sha256":"28e49316afe954a9cca320a278e820d7af5ea3ebe3fc79e6e5b273f0208d19e3","downloaded_file":"downloads/28e49316afe954a9cca320a278e820d7af5ea3ebe3fc79e6e5b273f0208d19e3.jpg","public_metadata":{"photo-models":[{"data":{"id":"51714873670","owner":{"data":{"id":"54597574@N00","isPro":true,"newFlow":true,"isAdFree":false,"location":"Orange County, us","proBadge":"standard","realname":"Tracie Hall","segments":{"data":[],"exportMetaType":"array"},"username":"tracie7779","buddyicon":{"data":{"large":"//live.staticflickr.com/4253/buddyicons/54597574@N00_l.jpg?1497619248#54597574@N00","small":"//live.staticflickr.com/4253/buddyicons/54597574@N00_s.jpg?1497619248#54597574@N00","medium":"//live.staticflickr.com/4253/buddyicons/54597574@N00_m.jpg?1497619248#54597574@N00","retina":"//live.staticflickr.com/4253/buddyicons/54597574@N00_r.jpg?1497619248#54597574@N00","default":"//live.staticflickr.com/4253/buddyicons/54597574@N00.jpg?1497619248#54597574@N00"},"exportMetaType":"pojo"},"pathAlias":"twobears2","dateCreated":{"data":"1168372691","exportMetaType":"serializeFunction"},"subscription":{"data":{"isPro":false,"isClosed":false,"isPastDue":false},"exportMetaType":"pojo"},"eligibleGifts":{"data":["year","month","week"],"exportMetaType":"array"},"isEligibleForGifts":true,"_flickrModelRegistry":"person-models"},"exportMetaType":"model"},"sizes":{"data":{"c":{"data":{"url":"//live.staticflickr.com/65535/51714873670_c3e4d78ab1_c.jpg","width":800,"height":758,"displayUrl":"//live.staticflickr.com/65535/51714873670_c3e4d78ab1_c.jpg"},"exportMetaType":"pojo"},"h":{"data":{"url":"//live.staticflickr.com/65535/51714873670_2640f805b6_h.jpg","width":1600,"height":1517,"displayUrl":"//live.staticflickr.com/65535/51714873670_2640f805b6_h.jpg"},"exportMetaType":"pojo"},"k":{"data":{"url":"//live.staticflickr.com/65535/51714873670_d1450cdcd7_k.jpg","width":2048,"height":1942,"displayUrl":"//live.staticflickr.com/65535/51714873670_d1450cdcd7_k.jpg"},"exportMetaType":"pojo"},"l":{"data":{"url":"//live.staticflickr.com/65535/51714873670_c3e4d78ab1_b.jpg","width":1024,"height":971,"displayUrl":"//live.staticflickr.com/65535/51714873670_c3e4d78ab1_b.jpg"},"exportMetaType":"pojo"},"m":{"data":{"url":"//live.staticflickr.com/65535/51714873670_c3e4d78ab1.jpg","width":500,"height":474,"displayUrl":"//live.staticflickr.com/65535/51714873670_c3e4d78ab1.jpg"},"exportMetaType":"pojo"},"n":{"data":{"url":"//live.staticflickr.com/65535/51714873670_c3e4d78ab1_n.jpg","width":320,"height":303,"displayUrl":"//live.staticflickr.com/65535/51714873670_c3e4d78ab1_n.jpg"},"exportMetaType":"pojo"},"o":{"data":{"url":"//live.staticflickr.com/65535/51714873670_069b80cc85_o.jpg","width":3022,"height":2865,"displayUrl":"//live.staticflickr.com/65535/51714873670_069b80cc85_o.jpg"},"exportMetaType":"pojo"},"q":{"data":{"url":"//live.staticflickr.com/65535/51714873670_c3e4d78ab1_q.jpg","width":150,"height":150,"displayUrl":"//live.staticflickr.com/65535/51714873670_c3e4d78ab1_q.jpg"},"exportMetaType":"pojo"},"s":{"data":{"url":"//live.staticflickr.com/65535/51714873670_c3e4d78ab1_m.jpg","width":240,"height":228,"displayUrl":"//live.staticflickr.com/65535/51714873670_c3e4d78ab1_m.jpg"},"exportMetaType":"pojo"},"t":{"data":{"url":"//live.staticflickr.com/65535/51714873670_c3e4d78ab1_t.jpg","width":100,"height":95,"displayUrl":"//live.staticflickr.com/65535/51714873670_c3e4d78ab1_t.jpg"},"exportMetaType":"pojo"},"w":{"data":{"url":"//live.staticflickr.com/65535/51714873670_c3e4d78ab1_w.jpg","width":400,"height":379,"displayUrl":"//live.staticflickr.com/65535/51714873670_c3e4d78ab1_w.jpg"},"exportMetaType":"pojo"},"z":{"data":{"url":"//live.staticflickr.com/65535/51714873670_c3e4d78ab1_z.jpg","width":640,"height":607,"displayUrl":"//live.staticflickr.com/65535/51714873670_c3e4d78ab1_z.jpg"},"exportMetaType":"pojo"},"3k":{"data":{"url":"//live.staticflickr.com/65535/51714873670_511b4f0554_3k.jpg","width":3022,"height":2865,"displayUrl":"//live.staticflickr.com/65535/51714873670_511b4f0554_3k.jpg"},"exportMetaType":"pojo"},"sq":{"data":{"url":"//live.staticflickr.com/65535/51714873670_c3e4d78ab1_s.jpg","width":75,"height":75,"displayUrl":"//live.staticflickr.com/65535/51714873670_c3e4d78ab1_s.jpg"},"exportMetaType":"pojo"}},"exportMetaType":"pojo"},"title":"Walker Pass Campground","oWidth":3022,"secret":"c3e4d78ab1","license":5,"oHeight":2865,"rotation":0,"canAddMeta":false,"canComment":false,"engagement":{"data":{"id":"51714873670","canShare":true,"faveCount":1,"ownerNsid":"54597574@N00","reactions":{"data":{"like":{"data":{"id":"like","count":5,"canReact":true,"didViewerReact":true},"exportMetaType":"pojo"},"someOtherReaction":{"data":{"id":"someOtherReaction","count":3,"canReact":true,"didViewerReact":false},"exportMetaType":"pojo"}},"exportMetaType":"pojo"},"viewCount":38,"canDownload":true,"_flickrModelRegistry":"photo-engagement-models"},"exportMetaType":"model"},"description":"Onyx, CA","safetyLevel":0,"upgradeSizes":{"data":[],"exportMetaType":"array"},"adEligibility":{"data":{"lane":1,"labels":{"data":["ProOwner"],"exportMetaType":"array"},"isAdEligible":false,"highScoreLabels":{"data":["ProOwner"],"exportMetaType":"array"}},"exportMetaType":"pojo"},"canPublicComment":true,"_flickrModelRegistry":"photo-models"},"exportMetaType":"model"}],"photo-geo-models":[{"data":{"id":"51714873670","_flickrModelRegistry":"photo-geo-models"},"exportMetaType":"model"}],"photo-location-models":[{"data":{"id":"51714873670","geo":{"data":"~2","exportMetaType":"model"},"text":"","levels":{"data":{},"exportMetaType":"pojo"},"staticMaps":{"data":{},"exportMetaType":"pojo"},"_flickrModelRegistry":"photo-location-models"},"exportMetaType":"model"}],"photo-head-meta-models":[{"data":{"id":"51714873670","title":"Walker Pass Campground","og:url":"https://www.flickr.com/photos/twobears2/51714873670/","og:type":"article","og:image":"https://live.staticflickr.com/65535/51714873670_c3e4d78ab1_b.jpg","og:title":"Walker Pass Campground","twitter:card":"summary_large_image","twitter:image":"https://live.staticflickr.com/65535/51714873670_c3e4d78ab1_b.jpg","og:description":"Onyx, CA","og:image:width":1024,"og:image:height":971,"twitter:description":"Onyx, CA","_flickrModelRegistry":"photo-head-meta-models","twitter:app:url:ipad":"flickr://flickr.com/photos/twobears2/51714873670/","twitter:app:url:iphone":"flickr://flickr.com/photos/twobears2/51714873670/","twitter:app:url:googleplay":"https://www.flickr.com/photos/twobears2/51714873670/"},"exportMetaType":"model"}],"photo-license-history-models":[]},"acquisition_file":"fl-51714873670.webp","source_html_file":"/Users/atincakcayoz/corteqs/output/bakersfield-completion-20261024/flickr-source-pages/51714873670.html","original_file_url":"https://live.staticflickr.com/65535/51714873670_511b4f0554_3k.jpg","proposed_identity":"Walker Pass Campground","source_html_sha256":"b38754e72241c5d09cedf720269b1d81a497432446e7105eec72cf8c69572bc4","third_party_rights_review":{"basis":"Kaynakta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dönüştürüldü.","photo_attribution":{"author_url":"https://www.flickr.com/photos/54597574@N00/","modifications":"EXIF yönü uygulandı; boyut küçültülüp WebP biçimine dönüştürüldü.","original_file_url":"https://live.staticflickr.com/65535/51714873670_511b4f0554_3k.jpg"},"metadata_reviewed_on":"2026-10-24","metadata_review_status":"verified"}}</x:v>
      </x:c>
    </x:row>
    <x:row r="262" ht="300" customHeight="1">
      <x:c r="A262" s="29" t="str">
        <x:v>bakersfield:evidence:venue-22227</x:v>
      </x:c>
      <x:c r="B262" s="29" t="str">
        <x:v>bakersfield</x:v>
      </x:c>
      <x:c r="C262" s="29" t="str">
        <x:v>bakersfield:photo:venue-22227</x:v>
      </x:c>
      <x:c r="D262" s="29" t="str">
        <x:v>https://www.flickr.com/photos/54259492@N00/30362978451/</x:v>
      </x:c>
      <x:c r="E262" s="29" t="str">
        <x:v>Walker Pass Campground ve PCT bağlantısı · 2016 tarihli fotoğraf</x:v>
      </x:c>
      <x:c r="F262" s="29" t="str">
        <x:v>Tom Hilton</x:v>
      </x:c>
      <x:c r="G262" s="29" t="str">
        <x:v>CC BY 2.0</x:v>
      </x:c>
      <x:c r="H262" s="29" t="str">
        <x:v>https://creativecommons.org/licenses/by/2.0/</x:v>
      </x:c>
      <x:c r="I262" s="29" t="str">
        <x:v>CC BY 2.0</x:v>
      </x:c>
      <x:c r="J262" s="29" t="str">
        <x:v>Walker Pass Campground ve PCT bağlantısı · 2016 tarihli fotoğraf · Tom Hilton · CC BY 2.0 · https://www.flickr.com/photos/54259492@N00/30362978451/</x:v>
      </x:c>
      <x:c r="K26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2" s="31" t="d">
        <x:v>2026-10-24T00:00:00.000Z</x:v>
      </x:c>
      <x:c r="M262" s="29" t="str">
        <x:v>Doğrulandı</x:v>
      </x:c>
      <x:c r="N262" s="29" t="str">
        <x:v>Doğrulandı</x:v>
      </x:c>
      <x:c r="O262" s="29" t="str">
        <x:v>Fotoğraflar/bk-8186a5cea95823a6ed1f22b3.webp</x:v>
      </x:c>
      <x:c r="P262" s="29" t="str">
        <x:v>Walker Pass Campground ve PCT bağlantısı · 2016 tarihli fotoğraf · İndirilen kare temas sayfasında görüldü; kaynak mekân kimliğiyle eşleştirildi. Seçim kaydı final-pixel-review.json.</x:v>
      </x:c>
      <x:c r="Q262" s="29" t="str">
        <x:v>Bu kare için uygun</x:v>
      </x:c>
      <x:c r="R26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2" s="29" t="str">
        <x:v>Lisans kanıtları/bk-8186a5cea95823a6ed1f22b3.source-evidence.json</x:v>
      </x:c>
      <x:c r="T262" s="29" t="str">
        <x:v>8ca8e48dc862f9dda9b4628929b7dd0359a698b6d81a82b770e81b2a00912feb</x:v>
      </x:c>
      <x:c r="U262" s="29" t="str">
        <x:v>Lisans kanıtları/bk-8186a5cea95823a6ed1f22b3.license-record.json</x:v>
      </x:c>
      <x:c r="V262" s="29" t="str">
        <x:v>3156a475e6260cefc3cd95952f1fbc126810a6e12a5258c9c976ae74fcccb266</x:v>
      </x:c>
      <x:c r="W262" s="29" t="str">
        <x:v>{"file":"bk-8186a5cea95823a6ed1f22b3.webp","width":1024,"author":"Tom Hilton","height":678,"sha256":"8186a5cea95823a6ed1f22b3be167fbfbf9707d6c91992c19335b9d2019a861e","status":"reviewed-selected","license":"CC BY 2.0","provider":"Flickr","review_id":"Z81","source_id":"30362978451","author_url":"https://www.flickr.com/photos/54259492@N00/","date_texts":["Uploaded on October 20, 2016 Taken on October 17, 2016","Taken on October 17, 2016","Uploaded on October 20, 2016 Taken on October 17, 2016","Taken on October 17, 2016"],"source_url":"https://www.flickr.com/photos/54259492@N00/30362978451/","description":"","license_url":"https://creativecommons.org/licenses/by/2.0/","review_note":"Walker Pass batısındaki yamaç ve vadi.","reviewed_on":"2026-10-24","source_text":"West of Walker Pass | Tom Hilton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Tom Hilton Tom Hilton West of Walker Pass Done 138 views 0 faves 0 comments Uploaded on October 20, 2016 Taken on October 17, 2016 Tom Hilton By: Tom Hilton West of Walker Pass Done 138 views 0 faves 0 comments Uploaded on October 20, 2016 Taken on October 17,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photography.","capture_date":"2016-10-17","download_url":"https://live.staticflickr.com/5607/30362978451_acd76424b9_b.jpg","original_url":"https://live.staticflickr.com/5607/30362978451_77197b71ab_5k.jpg","pixel_review":{"method":"İndirilen kare temas sayfasında görüldü; kaynak mekân kimliğiyle eşleştirildi. Seçim kaydı final-pixel-review.json.","status":"verified","caption":"Walker Pass Campground ve PCT bağlantısı · 2016 tarihli fotoğraf","reviewer":"Codex (AI)","review_id":"Z81"},"source_title":"West of Walker Pass","downloaded_at":"2026-10-23T21:40:06.999559+00:00","download_sha256":"f84e564c12c8c897a20735b951e714e7cdd6faaad928e107d483f58b62fdd8a8","downloaded_file":"downloads/f84e564c12c8c897a20735b951e714e7cdd6faaad928e107d483f58b62fdd8a8.jpg","public_metadata":{"photo-models":[{"data":{"id":"30362978451","owner":{"data":{"id":"54259492@N00","isPro":true,"newFlow":true,"isAdFree":false,"proBadge":"standard","realname":"Tom Hilton","segments":{"data":[],"exportMetaType":"array"},"username":"Tom Hilton","buddyicon":{"data":{"large":"//live.staticflickr.com/52/buddyicons/54259492@N00_l.jpg?1184371187#54259492@N00","small":"//live.staticflickr.com/52/buddyicons/54259492@N00_s.jpg?1184371187#54259492@N00","medium":"//live.staticflickr.com/52/buddyicons/54259492@N00_m.jpg?1184371187#54259492@N00","retina":"//live.staticflickr.com/52/buddyicons/54259492@N00_r.jpg?1184371187#54259492@N00","default":"//live.staticflickr.com/52/buddyicons/54259492@N00.jpg?1184371187#54259492@N00"},"exportMetaType":"pojo"},"pathAlias":"tomhilton","dateCreated":{"data":"1124286718","exportMetaType":"serializeFunction"},"subscription":{"data":{"isPro":false,"isClosed":false,"isPastDue":false},"exportMetaType":"pojo"},"eligibleGifts":{"data":["year","month","week"],"exportMetaType":"array"},"isEligibleForGifts":true,"_flickrModelRegistry":"person-models"},"exportMetaType":"model"},"sizes":{"data":{"c":{"data":{"url":"//live.staticflickr.com/5607/30362978451_acd76424b9_c.jpg","width":800,"height":530,"displayUrl":"//live.staticflickr.com/5607/30362978451_acd76424b9_c.jpg"},"exportMetaType":"pojo"},"h":{"data":{"url":"//live.staticflickr.com/5607/30362978451_b87fa43fc9_h.jpg","width":1600,"height":1060,"displayUrl":"//live.staticflickr.com/5607/30362978451_b87fa43fc9_h.jpg"},"exportMetaType":"pojo"},"k":{"data":{"url":"//live.staticflickr.com/5607/30362978451_f3c5a91b29_k.jpg","width":2048,"height":1356,"displayUrl":"//live.staticflickr.com/5607/30362978451_f3c5a91b29_k.jpg"},"exportMetaType":"pojo"},"l":{"data":{"url":"//live.staticflickr.com/5607/30362978451_acd76424b9_b.jpg","width":1024,"height":678,"displayUrl":"//live.staticflickr.com/5607/30362978451_acd76424b9_b.jpg"},"exportMetaType":"pojo"},"m":{"data":{"url":"//live.staticflickr.com/5607/30362978451_acd76424b9.jpg","width":500,"height":331,"displayUrl":"//live.staticflickr.com/5607/30362978451_acd76424b9.jpg"},"exportMetaType":"pojo"},"n":{"data":{"url":"//live.staticflickr.com/5607/30362978451_acd76424b9_n.jpg","width":320,"height":212,"displayUrl":"//live.staticflickr.com/5607/30362978451_acd76424b9_n.jpg"},"exportMetaType":"pojo"},"o":{"data":{"url":"//live.staticflickr.com/5607/30362978451_2392407c54_o.jpg","width":4928,"height":3264,"displayUrl":"//live.staticflickr.com/5607/30362978451_2392407c54_o.jpg"},"exportMetaType":"pojo"},"q":{"data":{"url":"//live.staticflickr.com/5607/30362978451_acd76424b9_q.jpg","width":150,"height":150,"displayUrl":"//live.staticflickr.com/5607/30362978451_acd76424b9_q.jpg"},"exportMetaType":"pojo"},"s":{"data":{"url":"//live.staticflickr.com/5607/30362978451_acd76424b9_m.jpg","width":240,"height":159,"displayUrl":"//live.staticflickr.com/5607/30362978451_acd76424b9_m.jpg"},"exportMetaType":"pojo"},"t":{"data":{"url":"//live.staticflickr.com/5607/30362978451_acd76424b9_t.jpg","width":100,"height":66,"displayUrl":"//live.staticflickr.com/5607/30362978451_acd76424b9_t.jpg"},"exportMetaType":"pojo"},"w":{"data":{"url":"//live.staticflickr.com/5607/30362978451_acd76424b9_w.jpg","width":400,"height":265,"displayUrl":"//live.staticflickr.com/5607/30362978451_acd76424b9_w.jpg"},"exportMetaType":"pojo"},"z":{"data":{"url":"//live.staticflickr.com/5607/30362978451_acd76424b9_z.jpg","width":640,"height":424,"displayUrl":"//live.staticflickr.com/5607/30362978451_acd76424b9_z.jpg"},"exportMetaType":"pojo"},"3k":{"data":{"url":"//live.staticflickr.com/5607/30362978451_8cbbe7290f_3k.jpg","width":3072,"height":2035,"displayUrl":"//live.staticflickr.com/5607/30362978451_8cbbe7290f_3k.jpg"},"exportMetaType":"pojo"},"4k":{"data":{"url":"//live.staticflickr.com/5607/30362978451_fb92ba16cf_4k.jpg","width":4096,"height":2713,"displayUrl":"//live.staticflickr.com/5607/30362978451_fb92ba16cf_4k.jpg"},"exportMetaType":"pojo"},"5k":{"data":{"url":"//live.staticflickr.com/5607/30362978451_77197b71ab_5k.jpg","width":4928,"height":3264,"displayUrl":"//live.staticflickr.com/5607/30362978451_77197b71ab_5k.jpg"},"exportMetaType":"pojo"},"sq":{"data":{"url":"//live.staticflickr.com/5607/30362978451_acd76424b9_s.jpg","width":75,"height":75,"displayUrl":"//live.staticflickr.com/5607/30362978451_acd76424b9_s.jpg"},"exportMetaType":"pojo"}},"exportMetaType":"pojo"},"title":"West of Walker Pass","oWidth":4928,"secret":"acd76424b9","license":4,"oHeight":3264,"rotation":0,"canAddMeta":false,"canComment":false,"engagement":{"data":{"id":"30362978451","canShare":true,"ownerNsid":"54259492@N00","reactions":{"data":{"like":{"data":{"id":"like","count":5,"canReact":true,"didViewerReact":true},"exportMetaType":"pojo"},"someOtherReaction":{"data":{"id":"someOtherReaction","count":3,"canReact":true,"didViewerReact":false},"exportMetaType":"pojo"}},"exportMetaType":"pojo"},"viewCount":138,"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30362978451","_flickrModelRegistry":"photo-geo-models"},"exportMetaType":"model"}],"photo-location-models":[{"data":{"id":"30362978451","geo":{"data":"~2","exportMetaType":"model"},"text":"","levels":{"data":{},"exportMetaType":"pojo"},"staticMaps":{"data":{},"exportMetaType":"pojo"},"_flickrModelRegistry":"photo-location-models"},"exportMetaType":"model"}],"photo-head-meta-models":[{"data":{"id":"30362978451","title":"West of Walker Pass","og:url":"https://www.flickr.com/photos/tomhilton/30362978451/","og:type":"article","og:image":"https://live.staticflickr.com/5607/30362978451_acd76424b9_b.jpg","og:title":"West of Walker Pass","twitter:card":"summary_large_image","twitter:image":"https://live.staticflickr.com/5607/30362978451_acd76424b9_b.jpg","og:description":"","og:image:width":1024,"og:image:height":678,"twitter:description":"Explore Tom Hilton's 27412 photos on Flickr!","_flickrModelRegistry":"photo-head-meta-models","twitter:app:url:ipad":"flickr://flickr.com/photos/tomhilton/30362978451/","twitter:app:url:iphone":"flickr://flickr.com/photos/tomhilton/30362978451/","twitter:app:url:googleplay":"https://www.flickr.com/photos/tomhilton/30362978451/"},"exportMetaType":"model"}],"photo-license-history-models":[]},"acquisition_file":"fl-30362978451.webp","source_html_file":"/Users/atincakcayoz/corteqs/output/bakersfield-completion-20261024/flickr-source-pages/30362978451.html","original_file_url":"https://live.staticflickr.com/5607/30362978451_77197b71ab_5k.jpg","proposed_identity":"Walker Pass","source_html_sha256":"ad20b848cb175336ce871d84fe9bd196448e1032b12adb7800642bb5c894142a","third_party_rights_review":{"basis":"Kaynakta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dönüştürüldü.","photo_attribution":{"author_url":"https://www.flickr.com/photos/54259492@N00/","modifications":"EXIF yönü uygulandı; boyut küçültülüp WebP biçimine dönüştürüldü.","original_file_url":"https://live.staticflickr.com/5607/30362978451_77197b71ab_5k.jpg"},"metadata_reviewed_on":"2026-10-24","metadata_review_status":"verified"}}</x:v>
      </x:c>
    </x:row>
    <x:row r="263" ht="300" customHeight="1">
      <x:c r="A263" s="29" t="str">
        <x:v>bakersfield:evidence:venue-22228</x:v>
      </x:c>
      <x:c r="B263" s="29" t="str">
        <x:v>bakersfield</x:v>
      </x:c>
      <x:c r="C263" s="29" t="str">
        <x:v>bakersfield:photo:venue-22228</x:v>
      </x:c>
      <x:c r="D263" s="29" t="str">
        <x:v>https://www.flickr.com/photos/27749836@N02/3128918287/</x:v>
      </x:c>
      <x:c r="E263" s="29" t="str">
        <x:v>Walker Pass Campground ve PCT bağlantısı · 2008 tarihli fotoğraf</x:v>
      </x:c>
      <x:c r="F263" s="29" t="str">
        <x:v>Justin Ennis</x:v>
      </x:c>
      <x:c r="G263" s="29" t="str">
        <x:v>CC BY 2.0</x:v>
      </x:c>
      <x:c r="H263" s="29" t="str">
        <x:v>https://creativecommons.org/licenses/by/2.0/</x:v>
      </x:c>
      <x:c r="I263" s="29" t="str">
        <x:v>CC BY 2.0</x:v>
      </x:c>
      <x:c r="J263" s="29" t="str">
        <x:v>Walker Pass Campground ve PCT bağlantısı · 2008 tarihli fotoğraf · Justin Ennis · CC BY 2.0 · https://www.flickr.com/photos/27749836@N02/3128918287/</x:v>
      </x:c>
      <x:c r="K26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3" s="31" t="d">
        <x:v>2026-10-24T00:00:00.000Z</x:v>
      </x:c>
      <x:c r="M263" s="29" t="str">
        <x:v>Doğrulandı</x:v>
      </x:c>
      <x:c r="N263" s="29" t="str">
        <x:v>Doğrulandı</x:v>
      </x:c>
      <x:c r="O263" s="29" t="str">
        <x:v>Fotoğraflar/bk-d42bb7f51dd54d632ae63d45.webp</x:v>
      </x:c>
      <x:c r="P263" s="29" t="str">
        <x:v>Walker Pass Campground ve PCT bağlantısı · 2008 tarihli fotoğraf · İndirilen kare temas sayfasında görüldü; kaynak mekân kimliğiyle eşleştirildi. Seçim kaydı final-pixel-review.json.</x:v>
      </x:c>
      <x:c r="Q263" s="29" t="str">
        <x:v>Bu kare için uygun</x:v>
      </x:c>
      <x:c r="R26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3" s="29" t="str">
        <x:v>Lisans kanıtları/bk-d42bb7f51dd54d632ae63d45.source-evidence.json</x:v>
      </x:c>
      <x:c r="T263" s="29" t="str">
        <x:v>b3b556fab90457bae92420f0c257708292366a739c57296e33c3b21917301edb</x:v>
      </x:c>
      <x:c r="U263" s="29" t="str">
        <x:v>Lisans kanıtları/bk-d42bb7f51dd54d632ae63d45.license-record.json</x:v>
      </x:c>
      <x:c r="V263" s="29" t="str">
        <x:v>cd280b037767d25d78f6f371f16dc94a6442d4c6a03a7e4e818064b2f519a858</x:v>
      </x:c>
      <x:c r="W263" s="29" t="str">
        <x:v>{"file":"bk-d42bb7f51dd54d632ae63d45.webp","width":1024,"author":"Justin Ennis","height":682,"sha256":"d42bb7f51dd54d632ae63d4553e6a09319a869a948abb307c0ea18dd0e661baa","status":"reviewed-selected","license":"CC BY 2.0","provider":"Flickr","review_id":"Z83","source_id":"3128918287","author_url":"https://www.flickr.com/photos/27749836@N02/","date_texts":["Uploaded on December 23, 2008 Taken on December 20, 2008","Taken on December 20, 2008","Uploaded on December 23, 2008 Taken on December 20, 2008","Taken on December 20, 2008"],"source_url":"https://www.flickr.com/photos/27749836@N02/3128918287/","description":"With the snow Pilot's Knob looked like a huge volcano.","license_url":"https://creativecommons.org/licenses/by/2.0/","review_note":"Geçitten Pilot Knob yönünde kış görünümü.","reviewed_on":"2026-10-24","source_text":"Pilot's Knob From Walker Pass | With the snow Pilot's Knob l…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Justin Ennis Averain Pilot's Knob From Walker Pass With the snow Pilot's Knob looked like a huge volcano. Done 302 views 0 faves 0 comments Uploaded on December 23, 2008 Taken on December 20, 2008 Justin Ennis By: Justin Ennis Pilot's Knob From Walker Pass With the snow Pilot's Knob looked like a huge volcano. Done 302 views 0 faves 0 comments Uploaded on December 23, 2008 Taken on December 20,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photography.","capture_date":"2008-12-20","download_url":"https://live.staticflickr.com/3233/3128918287_1889b617a3_b.jpg","original_url":"https://live.staticflickr.com/3233/3128918287_65fcf73c54_4k.jpg","pixel_review":{"method":"İndirilen kare temas sayfasında görüldü; kaynak mekân kimliğiyle eşleştirildi. Seçim kaydı final-pixel-review.json.","status":"verified","caption":"Walker Pass Campground ve PCT bağlantısı · 2008 tarihli fotoğraf","reviewer":"Codex (AI)","review_id":"Z83"},"source_title":"Pilot's Knob From Walker Pass","downloaded_at":"2026-10-23T21:40:07.568153+00:00","download_sha256":"329264bc38247e4cb1cd7842dbf357c0ceef8b87b6ceaea67f877ce56bae345c","downloaded_file":"downloads/329264bc38247e4cb1cd7842dbf357c0ceef8b87b6ceaea67f877ce56bae345c.jpg","public_metadata":{"photo-models":[{"data":{"id":"3128918287","owner":{"data":{"id":"27749836@N02","isPro":true,"newFlow":true,"isAdFree":false,"location":"Ridgecrest, US","proBadge":"standard","realname":"Justin Ennis","segments":{"data":[],"exportMetaType":"array"},"username":"Averain","buddyicon":{"data":{"large":"//live.staticflickr.com/7161/buddyicons/27749836@N02_l.jpg?1398045256#27749836@N02","small":"//live.staticflickr.com/7161/buddyicons/27749836@N02_s.jpg?1398045256#27749836@N02","medium":"//live.staticflickr.com/7161/buddyicons/27749836@N02_m.jpg?1398045256#27749836@N02","retina":"//live.staticflickr.com/7161/buddyicons/27749836@N02_r.jpg?1398045256#27749836@N02","default":"//live.staticflickr.com/7161/buddyicons/27749836@N02.jpg?1398045256#27749836@N02"},"exportMetaType":"pojo"},"pathAlias":"averain","dateCreated":{"data":"1213735089","exportMetaType":"serializeFunction"},"subscription":{"data":{"isPro":false,"isClosed":false,"isPastDue":false},"exportMetaType":"pojo"},"eligibleGifts":{"data":["year","month","week"],"exportMetaType":"array"},"isEligibleForGifts":true,"_flickrModelRegistry":"person-models"},"exportMetaType":"model"},"sizes":{"data":{"c":{"data":{"url":"//live.staticflickr.com/3233/3128918287_1889b617a3_c.jpg","width":800,"height":533,"displayUrl":"//live.staticflickr.com/3233/3128918287_1889b617a3_c.jpg"},"exportMetaType":"pojo"},"h":{"data":{"url":"//live.staticflickr.com/3233/3128918287_3949d5776f_h.jpg","width":1600,"height":1065,"displayUrl":"//live.staticflickr.com/3233/3128918287_3949d5776f_h.jpg"},"exportMetaType":"pojo"},"k":{"data":{"url":"//live.staticflickr.com/3233/3128918287_70835063c5_k.jpg","width":2048,"height":1363,"displayUrl":"//live.staticflickr.com/3233/3128918287_70835063c5_k.jpg"},"exportMetaType":"pojo"},"l":{"data":{"url":"//live.staticflickr.com/3233/3128918287_1889b617a3_b.jpg","width":1024,"height":682,"displayUrl":"//live.staticflickr.com/3233/3128918287_1889b617a3_b.jpg"},"exportMetaType":"pojo"},"m":{"data":{"url":"//live.staticflickr.com/3233/3128918287_1889b617a3.jpg","width":500,"height":333,"displayUrl":"//live.staticflickr.com/3233/3128918287_1889b617a3.jpg"},"exportMetaType":"pojo"},"n":{"data":{"url":"//live.staticflickr.com/3233/3128918287_1889b617a3_n.jpg","width":320,"height":213,"displayUrl":"//live.staticflickr.com/3233/3128918287_1889b617a3_n.jpg"},"exportMetaType":"pojo"},"o":{"data":{"url":"//live.staticflickr.com/3233/3128918287_34f63d2f6f_o.jpg","width":3888,"height":2588,"displayUrl":"//live.staticflickr.com/3233/3128918287_34f63d2f6f_o.jpg"},"exportMetaType":"pojo"},"q":{"data":{"url":"//live.staticflickr.com/3233/3128918287_1889b617a3_q.jpg","width":150,"height":150,"displayUrl":"//live.staticflickr.com/3233/3128918287_1889b617a3_q.jpg"},"exportMetaType":"pojo"},"s":{"data":{"url":"//live.staticflickr.com/3233/3128918287_1889b617a3_m.jpg","width":240,"height":160,"displayUrl":"//live.staticflickr.com/3233/3128918287_1889b617a3_m.jpg"},"exportMetaType":"pojo"},"t":{"data":{"url":"//live.staticflickr.com/3233/3128918287_1889b617a3_t.jpg","width":100,"height":67,"displayUrl":"//live.staticflickr.com/3233/3128918287_1889b617a3_t.jpg"},"exportMetaType":"pojo"},"w":{"data":{"url":"//live.staticflickr.com/3233/3128918287_1889b617a3_w.jpg","width":400,"height":266,"displayUrl":"//live.staticflickr.com/3233/3128918287_1889b617a3_w.jpg"},"exportMetaType":"pojo"},"z":{"data":{"url":"//live.staticflickr.com/3233/3128918287_1889b617a3_z.jpg","width":640,"height":426,"displayUrl":"//live.staticflickr.com/3233/3128918287_1889b617a3_z.jpg"},"exportMetaType":"pojo"},"3k":{"data":{"url":"//live.staticflickr.com/3233/3128918287_35a033e40c_3k.jpg","width":3072,"height":2045,"displayUrl":"//live.staticflickr.com/3233/3128918287_35a033e40c_3k.jpg"},"exportMetaType":"pojo"},"4k":{"data":{"url":"//live.staticflickr.com/3233/3128918287_65fcf73c54_4k.jpg","width":3888,"height":2588,"displayUrl":"//live.staticflickr.com/3233/3128918287_65fcf73c54_4k.jpg"},"exportMetaType":"pojo"},"sq":{"data":{"url":"//live.staticflickr.com/3233/3128918287_1889b617a3_s.jpg","width":75,"height":75,"displayUrl":"//live.staticflickr.com/3233/3128918287_1889b617a3_s.jpg"},"exportMetaType":"pojo"}},"exportMetaType":"pojo"},"title":"Pilot's Knob From Walker Pass","oWidth":3888,"secret":"1889b617a3","license":4,"oHeight":2588,"rotation":0,"canAddMeta":false,"canComment":false,"engagement":{"data":{"id":"3128918287","canShare":true,"ownerNsid":"27749836@N02","reactions":{"data":{"like":{"data":{"id":"like","count":5,"canReact":true,"didViewerReact":true},"exportMetaType":"pojo"},"someOtherReaction":{"data":{"id":"someOtherReaction","count":3,"canReact":true,"didViewerReact":false},"exportMetaType":"pojo"}},"exportMetaType":"pojo"},"viewCount":302,"canDownload":true,"_flickrModelRegistry":"photo-engagement-models"},"exportMetaType":"model"},"description":"With the snow Pilot's Knob looked like a huge volcano.","safetyLevel":0,"upgradeSizes":{"data":[],"exportMetaType":"array"},"adEligibility":{"data":{"lane":1,"labels":{"data":["ProOwner"],"exportMetaType":"array"},"isAdEligible":false,"highScoreLabels":{"data":["ProOwner"],"exportMetaType":"array"}},"exportMetaType":"pojo"},"canPublicComment":true,"_flickrModelRegistry":"photo-models"},"exportMetaType":"model"}],"photo-geo-models":[{"data":{"id":"3128918287","hasGeo":true,"accuracy":16,"isPublic":true,"latitude":35.66281,"longitude":-118.026795,"_flickrModelRegistry":"photo-geo-models"},"exportMetaType":"model"}],"photo-location-models":[{"data":{"id":"3128918287","geo":{"data":"~2","exportMetaType":"model"},"text":"Kern, California, United States","levels":{"data":{"county":{"data":{"name":"Kern","woeId":12587684},"exportMetaType":"pojo"},"region":{"data":{"name":"California","woeId":2347563},"exportMetaType":"pojo"},"country":{"data":{"name":"United States","woeId":23424977},"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3128918287","title":"Pilot's Knob From Walker Pass","og:url":"https://www.flickr.com/photos/averain/3128918287/","og:type":"article","keywords":"california, unitedstates, walkerpass, pilotsknob, 180kmnoflosangeles","og:image":"https://live.staticflickr.com/3233/3128918287_1889b617a3_b.jpg","og:title":"Pilot's Knob From Walker Pass","twitter:card":"summary_large_image","twitter:image":"https://live.staticflickr.com/3233/3128918287_1889b617a3_b.jpg","og:description":"With the snow Pilot's Knob looked like a huge volcano.","og:image:width":1024,"og:image:height":682,"twitter:description":"With the snow Pilot's Knob looked like a huge volcano.","_flickrModelRegistry":"photo-head-meta-models","twitter:app:url:ipad":"flickr://flickr.com/photos/averain/3128918287/","twitter:app:url:iphone":"flickr://flickr.com/photos/averain/3128918287/","twitter:app:url:googleplay":"https://www.flickr.com/photos/averain/3128918287/"},"exportMetaType":"model"}],"photo-license-history-models":[]},"acquisition_file":"fl-3128918287.webp","source_html_file":"/Users/atincakcayoz/corteqs/output/bakersfield-completion-20261024/flickr-source-pages/3128918287.html","original_file_url":"https://live.staticflickr.com/3233/3128918287_65fcf73c54_4k.jpg","proposed_identity":"Walker Pass","source_html_sha256":"0dc7f11d17cb724f62b931f3d5b2dd4a34f2ca8f67bbf4c7982b26f114bf044e","third_party_rights_review":{"basis":"Kaynakta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dönüştürüldü.","photo_attribution":{"author_url":"https://www.flickr.com/photos/27749836@N02/","modifications":"EXIF yönü uygulandı; boyut küçültülüp WebP biçimine dönüştürüldü.","original_file_url":"https://live.staticflickr.com/3233/3128918287_65fcf73c54_4k.jpg"},"metadata_reviewed_on":"2026-10-24","metadata_review_status":"verified"}}</x:v>
      </x:c>
    </x:row>
    <x:row r="264" ht="300" customHeight="1">
      <x:c r="A264" s="29" t="str">
        <x:v>bakersfield:evidence:venue-22229</x:v>
      </x:c>
      <x:c r="B264" s="29" t="str">
        <x:v>bakersfield</x:v>
      </x:c>
      <x:c r="C264" s="29" t="str">
        <x:v>bakersfield:photo:venue-22229</x:v>
      </x:c>
      <x:c r="D264" s="29" t="str">
        <x:v>https://www.flickr.com/photos/68444185@N04/8992220121/</x:v>
      </x:c>
      <x:c r="E264" s="29" t="str">
        <x:v>Walker Pass Campground ve PCT bağlantısı · 2013 tarihli fotoğraf</x:v>
      </x:c>
      <x:c r="F264" s="29" t="str">
        <x:v>Kyle</x:v>
      </x:c>
      <x:c r="G264" s="29" t="str">
        <x:v>CC BY 2.0</x:v>
      </x:c>
      <x:c r="H264" s="29" t="str">
        <x:v>https://creativecommons.org/licenses/by/2.0/</x:v>
      </x:c>
      <x:c r="I264" s="29" t="str">
        <x:v>CC BY 2.0</x:v>
      </x:c>
      <x:c r="J264" s="29" t="str">
        <x:v>Walker Pass Campground ve PCT bağlantısı · 2013 tarihli fotoğraf · Kyle · CC BY 2.0 · https://www.flickr.com/photos/68444185@N04/8992220121/</x:v>
      </x:c>
      <x:c r="K26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4" s="31" t="d">
        <x:v>2026-10-24T00:00:00.000Z</x:v>
      </x:c>
      <x:c r="M264" s="29" t="str">
        <x:v>Doğrulandı</x:v>
      </x:c>
      <x:c r="N264" s="29" t="str">
        <x:v>Doğrulandı</x:v>
      </x:c>
      <x:c r="O264" s="29" t="str">
        <x:v>Fotoğraflar/bk-ada5997bfb26748bccf15f74.webp</x:v>
      </x:c>
      <x:c r="P264" s="29" t="str">
        <x:v>Walker Pass Campground ve PCT bağlantısı · 2013 tarihli fotoğraf · İndirilen kare temas sayfasında görüldü; kaynak mekân kimliğiyle eşleştirildi. Seçim kaydı final-pixel-review.json.</x:v>
      </x:c>
      <x:c r="Q264" s="29" t="str">
        <x:v>Bu kare için uygun</x:v>
      </x:c>
      <x:c r="R26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4" s="29" t="str">
        <x:v>Lisans kanıtları/bk-ada5997bfb26748bccf15f74.source-evidence.json</x:v>
      </x:c>
      <x:c r="T264" s="29" t="str">
        <x:v>805082bd084f0a74599b155f2d96a79ee9f3251ba23845325e94d2a754eea122</x:v>
      </x:c>
      <x:c r="U264" s="29" t="str">
        <x:v>Lisans kanıtları/bk-ada5997bfb26748bccf15f74.license-record.json</x:v>
      </x:c>
      <x:c r="V264" s="29" t="str">
        <x:v>73a262dd7af6ec6b7f7c0d4ca2842fae2ac0cd2aa96adb2c9403822b399fdf2b</x:v>
      </x:c>
      <x:c r="W264" s="29" t="str">
        <x:v>{"file":"bk-ada5997bfb26748bccf15f74.webp","width":1024,"author":"Kyle","height":768,"sha256":"ada5997bfb26748bccf15f74addecf176034bb41df7198e2ecbb7af5fcac8473","status":"reviewed-selected","license":"CC BY 2.0","provider":"Flickr","review_id":"Z98","source_id":"8992220121","author_url":"https://www.flickr.com/photos/68444185@N04/","date_texts":["Uploaded on June 9, 2013 Taken on May 18, 2013","Taken on May 18, 2013","Uploaded on June 9, 2013 Taken on May 18, 2013","Taken on May 18, 2013"],"source_url":"https://www.flickr.com/photos/68444185@N04/8992220121/","description":"","license_url":"https://creativecommons.org/licenses/by/2.0/","review_note":"Geçitten CA-178 yolunun vadi içindeki görünümü.","reviewed_on":"2026-10-24","source_text":"Walker Pass | Kyle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Kyle Kjmagnuson Walker Pass Done 58 views 0 faves 0 comments Uploaded on June 9, 2013 Taken on May 18, 2013 Kyle By: Kyle Walker Pass Done 58 views 0 faves 0 comments Uploaded on June 9, 2013 Taken on May 18, 2013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photography.","capture_date":"2013-05-18","download_url":"https://live.staticflickr.com/3791/8992220121_c047b16136_b.jpg","original_url":"https://live.staticflickr.com/3791/8992220121_a09b10c268_4k.jpg","pixel_review":{"method":"İndirilen kare temas sayfasında görüldü; kaynak mekân kimliğiyle eşleştirildi. Seçim kaydı final-pixel-review.json.","status":"verified","caption":"Walker Pass Campground ve PCT bağlantısı · 2013 tarihli fotoğraf","reviewer":"Codex (AI)","review_id":"Z98"},"source_title":"Walker Pass","downloaded_at":"2026-10-23T21:40:08.854394+00:00","download_sha256":"4831b0afbe69fdc7f4168947f57a3fe5ad4e5938e03a88623e6f6178cfb9d7c7","downloaded_file":"downloads/4831b0afbe69fdc7f4168947f57a3fe5ad4e5938e03a88623e6f6178cfb9d7c7.jpg","public_metadata":{"photo-models":[{"data":{"id":"8992220121","owner":{"data":{"id":"68444185@N04","isPro":true,"newFlow":true,"isAdFree":false,"location":"Los Angeles, United States","proBadge":"standard","realname":"Kyle","segments":{"data":[],"exportMetaType":"array"},"username":"Kjmagnuson","buddyicon":{"data":{"large":"//farm66.staticflickr.com/65535/buddyicons/68444185@N04_l.jpg?1636175636#68444185@N04","small":"//farm66.staticflickr.com/65535/buddyicons/68444185@N04_s.jpg?1636175636#68444185@N04","medium":"//farm66.staticflickr.com/65535/buddyicons/68444185@N04_m.jpg?1636175636#68444185@N04","retina":"//farm66.staticflickr.com/65535/buddyicons/68444185@N04_r.jpg?1636175636#68444185@N04","default":"//farm66.staticflickr.com/65535/buddyicons/68444185@N04.jpg?1636175636#68444185@N04"},"exportMetaType":"pojo"},"pathAlias":"kjmagnuson","dateCreated":{"data":"1318124146","exportMetaType":"serializeFunction"},"subscription":{"data":{"isPro":false,"isClosed":false,"isPastDue":false},"exportMetaType":"pojo"},"eligibleGifts":{"data":["year","month","week"],"exportMetaType":"array"},"isEligibleForGifts":true,"_flickrModelRegistry":"person-models"},"exportMetaType":"model"},"sizes":{"data":{"c":{"data":{"url":"//live.staticflickr.com/3791/8992220121_c047b16136_c.jpg","width":800,"height":600,"displayUrl":"//live.staticflickr.com/3791/8992220121_c047b16136_c.jpg"},"exportMetaType":"pojo"},"h":{"data":{"url":"//live.staticflickr.com/3791/8992220121_d2a2a8a76e_h.jpg","width":1600,"height":1200,"displayUrl":"//live.staticflickr.com/3791/8992220121_d2a2a8a76e_h.jpg"},"exportMetaType":"pojo"},"k":{"data":{"url":"//live.staticflickr.com/3791/8992220121_3f89ec986c_k.jpg","width":2048,"height":1536,"displayUrl":"//live.staticflickr.com/3791/8992220121_3f89ec986c_k.jpg"},"exportMetaType":"pojo"},"l":{"data":{"url":"//live.staticflickr.com/3791/8992220121_c047b16136_b.jpg","width":1024,"height":768,"displayUrl":"//live.staticflickr.com/3791/8992220121_c047b16136_b.jpg"},"exportMetaType":"pojo"},"m":{"data":{"url":"//live.staticflickr.com/3791/8992220121_c047b16136.jpg","width":500,"height":375,"displayUrl":"//live.staticflickr.com/3791/8992220121_c047b16136.jpg"},"exportMetaType":"pojo"},"n":{"data":{"url":"//live.staticflickr.com/3791/8992220121_c047b16136_n.jpg","width":320,"height":240,"displayUrl":"//live.staticflickr.com/3791/8992220121_c047b16136_n.jpg"},"exportMetaType":"pojo"},"o":{"data":{"url":"//live.staticflickr.com/3791/8992220121_a0e11e86ab_o.jpg","width":4000,"height":3000,"displayUrl":"//live.staticflickr.com/3791/8992220121_a0e11e86ab_o.jpg"},"exportMetaType":"pojo"},"q":{"data":{"url":"//live.staticflickr.com/3791/8992220121_c047b16136_q.jpg","width":150,"height":150,"displayUrl":"//live.staticflickr.com/3791/8992220121_c047b16136_q.jpg"},"exportMetaType":"pojo"},"s":{"data":{"url":"//live.staticflickr.com/3791/8992220121_c047b16136_m.jpg","width":240,"height":180,"displayUrl":"//live.staticflickr.com/3791/8992220121_c047b16136_m.jpg"},"exportMetaType":"pojo"},"t":{"data":{"url":"//live.staticflickr.com/3791/8992220121_c047b16136_t.jpg","width":100,"height":75,"displayUrl":"//live.staticflickr.com/3791/8992220121_c047b16136_t.jpg"},"exportMetaType":"pojo"},"w":{"data":{"url":"//live.staticflickr.com/3791/8992220121_c047b16136_w.jpg","width":400,"height":300,"displayUrl":"//live.staticflickr.com/3791/8992220121_c047b16136_w.jpg"},"exportMetaType":"pojo"},"z":{"data":{"url":"//live.staticflickr.com/3791/8992220121_c047b16136_z.jpg","width":640,"height":480,"displayUrl":"//live.staticflickr.com/3791/8992220121_c047b16136_z.jpg"},"exportMetaType":"pojo"},"3k":{"data":{"url":"//live.staticflickr.com/3791/8992220121_b9b64315a7_3k.jpg","width":3072,"height":2304,"displayUrl":"//live.staticflickr.com/3791/8992220121_b9b64315a7_3k.jpg"},"exportMetaType":"pojo"},"4k":{"data":{"url":"//live.staticflickr.com/3791/8992220121_a09b10c268_4k.jpg","width":4000,"height":3000,"displayUrl":"//live.staticflickr.com/3791/8992220121_a09b10c268_4k.jpg"},"exportMetaType":"pojo"},"sq":{"data":{"url":"//live.staticflickr.com/3791/8992220121_c047b16136_s.jpg","width":75,"height":75,"displayUrl":"//live.staticflickr.com/3791/8992220121_c047b16136_s.jpg"},"exportMetaType":"pojo"}},"exportMetaType":"pojo"},"title":"Walker Pass","oWidth":4000,"secret":"c047b16136","license":4,"oHeight":3000,"rotation":0,"canAddMeta":false,"canComment":false,"engagement":{"data":{"id":"8992220121","canShare":true,"ownerNsid":"68444185@N04","reactions":{"data":{"like":{"data":{"id":"like","count":5,"canReact":true,"didViewerReact":true},"exportMetaType":"pojo"},"someOtherReaction":{"data":{"id":"someOtherReaction","count":3,"canReact":true,"didViewerReact":false},"exportMetaType":"pojo"}},"exportMetaType":"pojo"},"viewCount":58,"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8992220121","_flickrModelRegistry":"photo-geo-models"},"exportMetaType":"model"}],"photo-location-models":[{"data":{"id":"8992220121","geo":{"data":"~2","exportMetaType":"model"},"text":"","levels":{"data":{},"exportMetaType":"pojo"},"staticMaps":{"data":{},"exportMetaType":"pojo"},"_flickrModelRegistry":"photo-location-models"},"exportMetaType":"model"}],"photo-head-meta-models":[{"data":{"id":"8992220121","title":"Walker Pass","og:url":"https://www.flickr.com/photos/kjmagnuson/8992220121/","og:type":"article","og:image":"https://live.staticflickr.com/3791/8992220121_c047b16136_b.jpg","og:title":"Walker Pass","twitter:card":"summary_large_image","twitter:image":"https://live.staticflickr.com/3791/8992220121_c047b16136_b.jpg","og:description":"","og:image:width":1024,"og:image:height":768,"twitter:description":"Explore Kjmagnuson's 7881 photos on Flickr!","_flickrModelRegistry":"photo-head-meta-models","twitter:app:url:ipad":"flickr://flickr.com/photos/kjmagnuson/8992220121/","twitter:app:url:iphone":"flickr://flickr.com/photos/kjmagnuson/8992220121/","twitter:app:url:googleplay":"https://www.flickr.com/photos/kjmagnuson/8992220121/"},"exportMetaType":"model"}],"photo-license-history-models":[]},"acquisition_file":"fl-8992220121.webp","source_html_file":"/Users/atincakcayoz/corteqs/output/bakersfield-completion-20261024/flickr-source-pages/8992220121.html","original_file_url":"https://live.staticflickr.com/3791/8992220121_a09b10c268_4k.jpg","proposed_identity":"Walker Pass","source_html_sha256":"a2365e375e25a9ae77f013e3b1c7e57dd41f904272b21b6b369318139810cae0","third_party_rights_review":{"basis":"Kaynakta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dönüştürüldü.","photo_attribution":{"author_url":"https://www.flickr.com/photos/68444185@N04/","modifications":"EXIF yönü uygulandı; boyut küçültülüp WebP biçimine dönüştürüldü.","original_file_url":"https://live.staticflickr.com/3791/8992220121_a09b10c268_4k.jpg"},"metadata_reviewed_on":"2026-10-24","metadata_review_status":"verified"}}</x:v>
      </x:c>
    </x:row>
    <x:row r="265" ht="300" customHeight="1">
      <x:c r="A265" s="29" t="str">
        <x:v>bakersfield:evidence:venue-22230</x:v>
      </x:c>
      <x:c r="B265" s="29" t="str">
        <x:v>bakersfield</x:v>
      </x:c>
      <x:c r="C265" s="29" t="str">
        <x:v>bakersfield:photo:venue-22230</x:v>
      </x:c>
      <x:c r="D265" s="29" t="str">
        <x:v>https://www.flickr.com/photos/21874566@N07/51951176103/</x:v>
      </x:c>
      <x:c r="E265" s="29" t="str">
        <x:v>Jawbone Canyon OHV Area · 2022 tarihli fotoğraf</x:v>
      </x:c>
      <x:c r="F265" s="29" t="str">
        <x:v>Matthew Dillon</x:v>
      </x:c>
      <x:c r="G265" s="29" t="str">
        <x:v>CC BY 2.0</x:v>
      </x:c>
      <x:c r="H265" s="29" t="str">
        <x:v>https://creativecommons.org/licenses/by/2.0/</x:v>
      </x:c>
      <x:c r="I265" s="29" t="str">
        <x:v>CC BY 2.0</x:v>
      </x:c>
      <x:c r="J265" s="29" t="str">
        <x:v>Jawbone Canyon OHV Area · 2022 tarihli fotoğraf · Matthew Dillon · CC BY 2.0 · https://www.flickr.com/photos/21874566@N07/51951176103/</x:v>
      </x:c>
      <x:c r="K26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5" s="31" t="d">
        <x:v>2026-10-24T00:00:00.000Z</x:v>
      </x:c>
      <x:c r="M265" s="29" t="str">
        <x:v>Doğrulandı</x:v>
      </x:c>
      <x:c r="N265" s="29" t="str">
        <x:v>Doğrulandı</x:v>
      </x:c>
      <x:c r="O265" s="29" t="str">
        <x:v>Fotoğraflar/bk-54661aaaae2917d6827984a8.webp</x:v>
      </x:c>
      <x:c r="P265" s="29" t="str">
        <x:v>Jawbone Canyon OHV Area · 2022 tarihli fotoğraf · İndirilen kare temas sayfasında görüldü; kaynak mekân kimliğiyle eşleştirildi. Seçim kaydı final-pixel-review.json.</x:v>
      </x:c>
      <x:c r="Q265" s="29" t="str">
        <x:v>Bu kare için uygun</x:v>
      </x:c>
      <x:c r="R26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5" s="29" t="str">
        <x:v>Lisans kanıtları/bk-54661aaaae2917d6827984a8.source-evidence.json</x:v>
      </x:c>
      <x:c r="T265" s="29" t="str">
        <x:v>c4a9b61f33b668c237fe40b4664ae0b75e91878742b66aab324586c442480b5c</x:v>
      </x:c>
      <x:c r="U265" s="29" t="str">
        <x:v>Lisans kanıtları/bk-54661aaaae2917d6827984a8.license-record.json</x:v>
      </x:c>
      <x:c r="V265" s="29" t="str">
        <x:v>43964216862a4cef941eaaf4e74c22a0ac0b970ba04988aaf6b7b7e56b1bf3ab</x:v>
      </x:c>
      <x:c r="W265" s="29" t="str">
        <x:v>{"file":"bk-54661aaaae2917d6827984a8.webp","width":1024,"author":"Matthew Dillon","height":768,"sha256":"54661aaaae2917d6827984a8c628872dea00c5c9617559e5a72b74bb24c15ee2","status":"reviewed-selected","license":"CC BY 2.0","provider":"Flickr","review_id":"Z27","source_id":"51951176103","author_url":"https://www.flickr.com/photos/21874566@N07/","date_texts":["Uploaded on March 21, 2022 Taken on March 5, 2022","Taken on March 5, 2022","Uploaded on March 21, 2022 Taken on March 5, 2022","Taken on March 5, 2022"],"source_url":"https://www.flickr.com/photos/21874566@N07/51951176103/","description":"Jawbone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nofollow\"&gt;en.wikipedia.org/wiki/Jawbone_Canyon&lt;/a&gt;\n\n\nNote:  These images were taken with the Samsung S22 Ultra, which I have since returned because I find the images over-processed, but I'm posting them as a review of that device, and because this was a new-to-me area.\n","license_url":"https://creativecommons.org/licenses/by/2.0/","review_note":"Renkli kanyon jeolojisi.","reviewed_on":"2026-10-24","source_text":"Jawbone Canyon | Jawbone Canyon is a geographic feature in 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Matthew Dillon RuggyBearLA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Done 858 views 5 faves 0 comments Uploaded on March 21, 2022 Taken on March 5, 2022 Matthew Dillon By: Matthew Dillon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Done 858 views 5 faves 0 comments Uploaded on March 21, 2022 Taken on March 5, 2022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photography.","capture_date":"2022-03-05","download_url":"https://live.staticflickr.com/65535/51951176103_5f68f153d6_b.jpg","original_url":"https://live.staticflickr.com/65535/51951176103_4a367a01fa_3k.jpg","pixel_review":{"method":"İndirilen kare temas sayfasında görüldü; kaynak mekân kimliğiyle eşleştirildi. Seçim kaydı final-pixel-review.json.","status":"verified","caption":"Jawbone Canyon OHV Area · 2022 tarihli fotoğraf","reviewer":"Codex (AI)","review_id":"Z27"},"source_title":"Jawbone Canyon","downloaded_at":"2026-10-23T21:40:03.910714+00:00","download_sha256":"b110b21241abab05cce348a768c28e6552326dc6ad1c73e4487b635e2332c56f","downloaded_file":"downloads/b110b21241abab05cce348a768c28e6552326dc6ad1c73e4487b635e2332c56f.jpg","public_metadata":{"photo-models":[{"data":{"id":"51951176103","owner":{"data":{"id":"21874566@N07","isPro":true,"newFlow":true,"isAdFree":false,"location":"Hollywood, CA, USA","proBadge":"standard","realname":"Matthew Dillon","segments":{"data":[],"exportMetaType":"array"},"username":"RuggyBearLA","buddyicon":{"data":{"large":"//live.staticflickr.com/8130/buddyicons/21874566@N07_l.jpg?1369090903#21874566@N07","small":"//live.staticflickr.com/8130/buddyicons/21874566@N07_s.jpg?1369090903#21874566@N07","medium":"//live.staticflickr.com/8130/buddyicons/21874566@N07_m.jpg?1369090903#21874566@N07","retina":"//live.staticflickr.com/8130/buddyicons/21874566@N07_r.jpg?1369090903#21874566@N07","default":"//live.staticflickr.com/8130/buddyicons/21874566@N07.jpg?1369090903#21874566@N07"},"exportMetaType":"pojo"},"pathAlias":"ruggybear","dateCreated":{"data":"1197727946","exportMetaType":"serializeFunction"},"subscription":{"data":{"isPro":false,"isClosed":false,"isPastDue":false},"exportMetaType":"pojo"},"eligibleGifts":{"data":["year","month","week"],"exportMetaType":"array"},"isEligibleForGifts":true,"_flickrModelRegistry":"person-models"},"exportMetaType":"model"},"sizes":{"data":{"c":{"data":{"url":"//live.staticflickr.com/65535/51951176103_5f68f153d6_c.jpg","width":800,"height":600,"displayUrl":"//live.staticflickr.com/65535/51951176103_5f68f153d6_c.jpg"},"exportMetaType":"pojo"},"h":{"data":{"url":"//live.staticflickr.com/65535/51951176103_57ff81c467_h.jpg","width":1600,"height":1200,"displayUrl":"//live.staticflickr.com/65535/51951176103_57ff81c467_h.jpg"},"exportMetaType":"pojo"},"k":{"data":{"url":"//live.staticflickr.com/65535/51951176103_06e0bca1ae_k.jpg","width":2048,"height":1536,"displayUrl":"//live.staticflickr.com/65535/51951176103_06e0bca1ae_k.jpg"},"exportMetaType":"pojo"},"l":{"data":{"url":"//live.staticflickr.com/65535/51951176103_5f68f153d6_b.jpg","width":1024,"height":768,"displayUrl":"//live.staticflickr.com/65535/51951176103_5f68f153d6_b.jpg"},"exportMetaType":"pojo"},"m":{"data":{"url":"//live.staticflickr.com/65535/51951176103_5f68f153d6.jpg","width":500,"height":375,"displayUrl":"//live.staticflickr.com/65535/51951176103_5f68f153d6.jpg"},"exportMetaType":"pojo"},"n":{"data":{"url":"//live.staticflickr.com/65535/51951176103_5f68f153d6_n.jpg","width":320,"height":240,"displayUrl":"//live.staticflickr.com/65535/51951176103_5f68f153d6_n.jpg"},"exportMetaType":"pojo"},"o":{"data":{"url":"//live.staticflickr.com/65535/51951176103_25440e0204_o.jpg","width":3000,"height":2250,"displayUrl":"//live.staticflickr.com/65535/51951176103_25440e0204_o.jpg"},"exportMetaType":"pojo"},"q":{"data":{"url":"//live.staticflickr.com/65535/51951176103_5f68f153d6_q.jpg","width":150,"height":150,"displayUrl":"//live.staticflickr.com/65535/51951176103_5f68f153d6_q.jpg"},"exportMetaType":"pojo"},"s":{"data":{"url":"//live.staticflickr.com/65535/51951176103_5f68f153d6_m.jpg","width":240,"height":180,"displayUrl":"//live.staticflickr.com/65535/51951176103_5f68f153d6_m.jpg"},"exportMetaType":"pojo"},"t":{"data":{"url":"//live.staticflickr.com/65535/51951176103_5f68f153d6_t.jpg","width":100,"height":75,"displayUrl":"//live.staticflickr.com/65535/51951176103_5f68f153d6_t.jpg"},"exportMetaType":"pojo"},"w":{"data":{"url":"//live.staticflickr.com/65535/51951176103_5f68f153d6_w.jpg","width":400,"height":300,"displayUrl":"//live.staticflickr.com/65535/51951176103_5f68f153d6_w.jpg"},"exportMetaType":"pojo"},"z":{"data":{"url":"//live.staticflickr.com/65535/51951176103_5f68f153d6_z.jpg","width":640,"height":480,"displayUrl":"//live.staticflickr.com/65535/51951176103_5f68f153d6_z.jpg"},"exportMetaType":"pojo"},"3k":{"data":{"url":"//live.staticflickr.com/65535/51951176103_4a367a01fa_3k.jpg","width":3000,"height":2250,"displayUrl":"//live.staticflickr.com/65535/51951176103_4a367a01fa_3k.jpg"},"exportMetaType":"pojo"},"sq":{"data":{"url":"//live.staticflickr.com/65535/51951176103_5f68f153d6_s.jpg","width":75,"height":75,"displayUrl":"//live.staticflickr.com/65535/51951176103_5f68f153d6_s.jpg"},"exportMetaType":"pojo"}},"exportMetaType":"pojo"},"title":"Jawbone Canyon","oWidth":3000,"secret":"5f68f153d6","license":4,"oHeight":2250,"rotation":0,"canAddMeta":false,"canComment":false,"engagement":{"data":{"id":"51951176103","canShare":true,"faveCount":5,"ownerNsid":"21874566@N07","reactions":{"data":{"like":{"data":{"id":"like","count":5,"canReact":true,"didViewerReact":true},"exportMetaType":"pojo"},"someOtherReaction":{"data":{"id":"someOtherReaction","count":3,"canReact":true,"didViewerReact":false},"exportMetaType":"pojo"}},"exportMetaType":"pojo"},"viewCount":858,"canDownload":true,"_flickrModelRegistry":"photo-engagement-models"},"exportMetaType":"model"},"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nofollow\"&gt;en.wikipedia.org/wiki/Jawbone_Canyon&lt;/a&gt;\n\n\nNote:  These images were taken with the Samsung S22 Ultra, which I have since returned because I find the images over-processed, but I'm posting them as a review of that device, and because this was a new-to-me area.\n","safetyLevel":0,"upgradeSizes":{"data":[],"exportMetaType":"array"},"adEligibility":{"data":{"lane":1,"labels":{"data":["ProOwner"],"exportMetaType":"array"},"isAdEligible":false,"highScoreLabels":{"data":["ProOwner"],"exportMetaType":"array"}},"exportMetaType":"pojo"},"canPublicComment":true,"_flickrModelRegistry":"photo-models"},"exportMetaType":"model"}],"photo-geo-models":[{"data":{"id":"51951176103","hasGeo":true,"accuracy":16,"isPublic":true,"latitude":35.292366,"longitude":-118.018175,"_flickrModelRegistry":"photo-geo-models"},"exportMetaType":"model"}],"photo-location-models":[{"data":{"id":"51951176103","geo":{"data":"~2","exportMetaType":"model"},"text":"Rancho Seco, California, United States","levels":{"data":{"county":{"data":{"name":"Kern","woeId":null},"exportMetaType":"pojo"},"region":{"data":{"name":"California","woeId":null},"exportMetaType":"pojo"},"country":{"data":{"name":"United States","woeId":null},"exportMetaType":"pojo"},"locality":{"data":{"name":"Rancho Seco","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51951176103","title":"Jawbone Canyon","og:url":"https://www.flickr.com/photos/ruggybear/51951176103/","og:type":"article","keywords":"ca, california, 14, statepark, jawbonecanyon, mojave, unitedstatesofamerica, geology, jeepcantilcaliforniaunitedstates","og:image":"https://live.staticflickr.com/65535/51951176103_5f68f153d6_b.jpg","og:title":"Jawbone Canyon","twitter:card":"summary_large_image","twitter:image":"https://live.staticflickr.com/65535/51951176103_5f68f153d6_b.jpg","og:description":"Jawbone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","og:image:width":1024,"og:image:height":768,"twitter:description":"Jawbone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_flickrModelRegistry":"photo-head-meta-models","twitter:app:url:ipad":"flickr://flickr.com/photos/ruggybear/51951176103/","twitter:app:url:iphone":"flickr://flickr.com/photos/ruggybear/51951176103/","twitter:app:url:googleplay":"https://www.flickr.com/photos/ruggybear/51951176103/"},"exportMetaType":"model"}],"photo-license-history-models":[]},"acquisition_file":"fl-51951176103.webp","source_html_file":"/Users/atincakcayoz/corteqs/output/bakersfield-completion-20261024/flickr-source-pages/51951176103.html","original_file_url":"https://live.staticflickr.com/65535/51951176103_4a367a01fa_3k.jpg","proposed_identity":"Jawbone Canyon","source_html_sha256":"2e5ab997a78c38b1a206164a2be942da29f7d8b8f55d419d3022862177573f04","third_party_rights_review":{"basis":"Kaynakta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dönüştürüldü.","photo_attribution":{"author_url":"https://www.flickr.com/photos/21874566@N07/","modifications":"EXIF yönü uygulandı; boyut küçültülüp WebP biçimine dönüştürüldü.","original_file_url":"https://live.staticflickr.com/65535/51951176103_4a367a01fa_3k.jpg"},"metadata_reviewed_on":"2026-10-24","metadata_review_status":"verified"}}</x:v>
      </x:c>
    </x:row>
    <x:row r="266" ht="300" customHeight="1">
      <x:c r="A266" s="29" t="str">
        <x:v>bakersfield:evidence:venue-22231</x:v>
      </x:c>
      <x:c r="B266" s="29" t="str">
        <x:v>bakersfield</x:v>
      </x:c>
      <x:c r="C266" s="29" t="str">
        <x:v>bakersfield:photo:venue-22231</x:v>
      </x:c>
      <x:c r="D266" s="29" t="str">
        <x:v>https://www.flickr.com/photos/21874566@N07/51957222547/</x:v>
      </x:c>
      <x:c r="E266" s="29" t="str">
        <x:v>Jawbone Canyon OHV Area · 2022 tarihli fotoğraf</x:v>
      </x:c>
      <x:c r="F266" s="29" t="str">
        <x:v>Matthew Dillon</x:v>
      </x:c>
      <x:c r="G266" s="29" t="str">
        <x:v>CC BY 2.0</x:v>
      </x:c>
      <x:c r="H266" s="29" t="str">
        <x:v>https://creativecommons.org/licenses/by/2.0/</x:v>
      </x:c>
      <x:c r="I266" s="29" t="str">
        <x:v>CC BY 2.0</x:v>
      </x:c>
      <x:c r="J266" s="29" t="str">
        <x:v>Jawbone Canyon OHV Area · 2022 tarihli fotoğraf · Matthew Dillon · CC BY 2.0 · https://www.flickr.com/photos/21874566@N07/51957222547/</x:v>
      </x:c>
      <x:c r="K26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6" s="31" t="d">
        <x:v>2026-10-24T00:00:00.000Z</x:v>
      </x:c>
      <x:c r="M266" s="29" t="str">
        <x:v>Doğrulandı</x:v>
      </x:c>
      <x:c r="N266" s="29" t="str">
        <x:v>Doğrulandı</x:v>
      </x:c>
      <x:c r="O266" s="29" t="str">
        <x:v>Fotoğraflar/bk-0916e50c34803807807c3bc7.webp</x:v>
      </x:c>
      <x:c r="P266" s="29" t="str">
        <x:v>Jawbone Canyon OHV Area · 2022 tarihli fotoğraf · İndirilen kare temas sayfasında görüldü; kaynak mekân kimliğiyle eşleştirildi. Seçim kaydı final-pixel-review.json.</x:v>
      </x:c>
      <x:c r="Q266" s="29" t="str">
        <x:v>Bu kare için uygun</x:v>
      </x:c>
      <x:c r="R26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6" s="29" t="str">
        <x:v>Lisans kanıtları/bk-0916e50c34803807807c3bc7.source-evidence.json</x:v>
      </x:c>
      <x:c r="T266" s="29" t="str">
        <x:v>148d5c646c0f5358ba93ff9ebaac71cf3c9f60d9a9bd0b703903e5904d675c4b</x:v>
      </x:c>
      <x:c r="U266" s="29" t="str">
        <x:v>Lisans kanıtları/bk-0916e50c34803807807c3bc7.license-record.json</x:v>
      </x:c>
      <x:c r="V266" s="29" t="str">
        <x:v>28b85b718c249da0e58708967ae50c3b5cbb191150b15f2d93708f8128c6e98a</x:v>
      </x:c>
      <x:c r="W266" s="29" t="str">
        <x:v>{"file":"bk-0916e50c34803807807c3bc7.webp","width":1024,"author":"Matthew Dillon","height":768,"sha256":"0916e50c34803807807c3bc7e9a51cb9fa1fc4a52e28896162f4dd94ab9c99be","status":"reviewed-selected","license":"CC BY 2.0","provider":"Flickr","review_id":"Z28","source_id":"51957222547","author_url":"https://www.flickr.com/photos/21874566@N07/","date_texts":["Uploaded on March 24, 2022 Taken on March 5, 2022","Taken on March 5, 2022","Uploaded on March 24, 2022 Taken on March 5, 2022","Taken on March 5, 2022"],"source_url":"https://www.flickr.com/photos/21874566@N07/51957222547/","description":"Jawbone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nofollow\"&gt;en.wikipedia.org/wiki/Jawbone_Canyon&lt;/a&gt;\n\n\nNote:  These images were taken with the Samsung S22 Ultra, which I have since returned because I find the images over-processed, but I'm posting them as a review of that device, and because this was a new-to-me area.\n","license_url":"https://creativecommons.org/licenses/by/2.0/","review_note":"Kayalıklar arasında vadi kesiti.","reviewed_on":"2026-10-24","source_text":"Jawbone Canyon | Jawbone Canyon is a geographic feature in 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Matthew Dillon RuggyBearLA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Done 853 views 7 faves 0 comments Uploaded on March 24, 2022 Taken on March 5, 2022 Matthew Dillon By: Matthew Dillon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Done 853 views 7 faves 0 comments Uploaded on March 24, 2022 Taken on March 5, 2022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photography.","capture_date":"2022-03-05","download_url":"https://live.staticflickr.com/65535/51957222547_0a4b122235_b.jpg","original_url":"https://live.staticflickr.com/65535/51957222547_13914e38f8_3k.jpg","pixel_review":{"method":"İndirilen kare temas sayfasında görüldü; kaynak mekân kimliğiyle eşleştirildi. Seçim kaydı final-pixel-review.json.","status":"verified","caption":"Jawbone Canyon OHV Area · 2022 tarihli fotoğraf","reviewer":"Codex (AI)","review_id":"Z28"},"source_title":"Jawbone Canyon","downloaded_at":"2026-10-23T21:40:04.651677+00:00","download_sha256":"85126f4e041b5f6dac95136eca09ed2bf4405d8d5bbaccf09582fa74ad234d47","downloaded_file":"downloads/85126f4e041b5f6dac95136eca09ed2bf4405d8d5bbaccf09582fa74ad234d47.jpg","public_metadata":{"photo-models":[{"data":{"id":"51957222547","owner":{"data":{"id":"21874566@N07","isPro":true,"newFlow":true,"isAdFree":false,"location":"Hollywood, CA, USA","proBadge":"standard","realname":"Matthew Dillon","segments":{"data":[],"exportMetaType":"array"},"username":"RuggyBearLA","buddyicon":{"data":{"large":"//live.staticflickr.com/8130/buddyicons/21874566@N07_l.jpg?1369090903#21874566@N07","small":"//live.staticflickr.com/8130/buddyicons/21874566@N07_s.jpg?1369090903#21874566@N07","medium":"//live.staticflickr.com/8130/buddyicons/21874566@N07_m.jpg?1369090903#21874566@N07","retina":"//live.staticflickr.com/8130/buddyicons/21874566@N07_r.jpg?1369090903#21874566@N07","default":"//live.staticflickr.com/8130/buddyicons/21874566@N07.jpg?1369090903#21874566@N07"},"exportMetaType":"pojo"},"pathAlias":"ruggybear","dateCreated":{"data":"1197727946","exportMetaType":"serializeFunction"},"subscription":{"data":{"isPro":false,"isClosed":false,"isPastDue":false},"exportMetaType":"pojo"},"eligibleGifts":{"data":["year","month","week"],"exportMetaType":"array"},"isEligibleForGifts":true,"_flickrModelRegistry":"person-models"},"exportMetaType":"model"},"sizes":{"data":{"c":{"data":{"url":"//live.staticflickr.com/65535/51957222547_0a4b122235_c.jpg","width":800,"height":600,"displayUrl":"//live.staticflickr.com/65535/51957222547_0a4b122235_c.jpg"},"exportMetaType":"pojo"},"h":{"data":{"url":"//live.staticflickr.com/65535/51957222547_65d9acf062_h.jpg","width":1600,"height":1200,"displayUrl":"//live.staticflickr.com/65535/51957222547_65d9acf062_h.jpg"},"exportMetaType":"pojo"},"k":{"data":{"url":"//live.staticflickr.com/65535/51957222547_9042684571_k.jpg","width":2048,"height":1536,"displayUrl":"//live.staticflickr.com/65535/51957222547_9042684571_k.jpg"},"exportMetaType":"pojo"},"l":{"data":{"url":"//live.staticflickr.com/65535/51957222547_0a4b122235_b.jpg","width":1024,"height":768,"displayUrl":"//live.staticflickr.com/65535/51957222547_0a4b122235_b.jpg"},"exportMetaType":"pojo"},"m":{"data":{"url":"//live.staticflickr.com/65535/51957222547_0a4b122235.jpg","width":500,"height":375,"displayUrl":"//live.staticflickr.com/65535/51957222547_0a4b122235.jpg"},"exportMetaType":"pojo"},"n":{"data":{"url":"//live.staticflickr.com/65535/51957222547_0a4b122235_n.jpg","width":320,"height":240,"displayUrl":"//live.staticflickr.com/65535/51957222547_0a4b122235_n.jpg"},"exportMetaType":"pojo"},"o":{"data":{"url":"//live.staticflickr.com/65535/51957222547_7ef3a30bc3_o.jpg","width":3000,"height":2250,"displayUrl":"//live.staticflickr.com/65535/51957222547_7ef3a30bc3_o.jpg"},"exportMetaType":"pojo"},"q":{"data":{"url":"//live.staticflickr.com/65535/51957222547_0a4b122235_q.jpg","width":150,"height":150,"displayUrl":"//live.staticflickr.com/65535/51957222547_0a4b122235_q.jpg"},"exportMetaType":"pojo"},"s":{"data":{"url":"//live.staticflickr.com/65535/51957222547_0a4b122235_m.jpg","width":240,"height":180,"displayUrl":"//live.staticflickr.com/65535/51957222547_0a4b122235_m.jpg"},"exportMetaType":"pojo"},"t":{"data":{"url":"//live.staticflickr.com/65535/51957222547_0a4b122235_t.jpg","width":100,"height":75,"displayUrl":"//live.staticflickr.com/65535/51957222547_0a4b122235_t.jpg"},"exportMetaType":"pojo"},"w":{"data":{"url":"//live.staticflickr.com/65535/51957222547_0a4b122235_w.jpg","width":400,"height":300,"displayUrl":"//live.staticflickr.com/65535/51957222547_0a4b122235_w.jpg"},"exportMetaType":"pojo"},"z":{"data":{"url":"//live.staticflickr.com/65535/51957222547_0a4b122235_z.jpg","width":640,"height":480,"displayUrl":"//live.staticflickr.com/65535/51957222547_0a4b122235_z.jpg"},"exportMetaType":"pojo"},"3k":{"data":{"url":"//live.staticflickr.com/65535/51957222547_13914e38f8_3k.jpg","width":3000,"height":2250,"displayUrl":"//live.staticflickr.com/65535/51957222547_13914e38f8_3k.jpg"},"exportMetaType":"pojo"},"sq":{"data":{"url":"//live.staticflickr.com/65535/51957222547_0a4b122235_s.jpg","width":75,"height":75,"displayUrl":"//live.staticflickr.com/65535/51957222547_0a4b122235_s.jpg"},"exportMetaType":"pojo"}},"exportMetaType":"pojo"},"title":"Jawbone Canyon","oWidth":3000,"secret":"0a4b122235","license":4,"oHeight":2250,"rotation":0,"canAddMeta":false,"canComment":false,"engagement":{"data":{"id":"51957222547","canShare":true,"faveCount":7,"ownerNsid":"21874566@N07","reactions":{"data":{"like":{"data":{"id":"like","count":5,"canReact":true,"didViewerReact":true},"exportMetaType":"pojo"},"someOtherReaction":{"data":{"id":"someOtherReaction","count":3,"canReact":true,"didViewerReact":false},"exportMetaType":"pojo"}},"exportMetaType":"pojo"},"viewCount":853,"canDownload":true,"_flickrModelRegistry":"photo-engagement-models"},"exportMetaType":"model"},"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nofollow\"&gt;en.wikipedia.org/wiki/Jawbone_Canyon&lt;/a&gt;\n\n\nNote:  These images were taken with the Samsung S22 Ultra, which I have since returned because I find the images over-processed, but I'm posting them as a review of that device, and because this was a new-to-me area.\n","safetyLevel":0,"upgradeSizes":{"data":[],"exportMetaType":"array"},"adEligibility":{"data":{"lane":1,"labels":{"data":["ProOwner"],"exportMetaType":"array"},"isAdEligible":false,"highScoreLabels":{"data":["ProOwner"],"exportMetaType":"array"}},"exportMetaType":"pojo"},"canPublicComment":true,"_flickrModelRegistry":"photo-models"},"exportMetaType":"model"}],"photo-geo-models":[{"data":{"id":"51957222547","hasGeo":true,"accuracy":16,"isPublic":true,"latitude":35.293441,"longitude":-118.01957,"_flickrModelRegistry":"photo-geo-models"},"exportMetaType":"model"}],"photo-location-models":[{"data":{"id":"51957222547","geo":{"data":"~2","exportMetaType":"model"},"text":"Rancho Seco, California, United States","levels":{"data":{"county":{"data":{"name":"Kern","woeId":null},"exportMetaType":"pojo"},"region":{"data":{"name":"California","woeId":null},"exportMetaType":"pojo"},"country":{"data":{"name":"United States","woeId":null},"exportMetaType":"pojo"},"locality":{"data":{"name":"Rancho Seco","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51957222547","title":"Jawbone Canyon","og:url":"https://www.flickr.com/photos/ruggybear/51957222547/","og:type":"article","keywords":"ca, california, 14, statepark, jawbonecanyon, mojave, unitedstatesofamerica, geology, jeepcantilcaliforniaunitedstates","og:image":"https://live.staticflickr.com/65535/51957222547_0a4b122235_b.jpg","og:title":"Jawbone Canyon","twitter:card":"summary_large_image","twitter:image":"https://live.staticflickr.com/65535/51957222547_0a4b122235_b.jpg","og:description":"Jawbone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","og:image:width":1024,"og:image:height":768,"twitter:description":"Jawbone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Note:  These images were taken with the Samsung S22 Ultra, which I have since returned because I find the images over-processed, but I'm posting them as a review of that device, and because this was a new-to-me area. ","_flickrModelRegistry":"photo-head-meta-models","twitter:app:url:ipad":"flickr://flickr.com/photos/ruggybear/51957222547/","twitter:app:url:iphone":"flickr://flickr.com/photos/ruggybear/51957222547/","twitter:app:url:googleplay":"https://www.flickr.com/photos/ruggybear/51957222547/"},"exportMetaType":"model"}],"photo-license-history-models":[]},"acquisition_file":"fl-51957222547.webp","source_html_file":"/Users/atincakcayoz/corteqs/output/bakersfield-completion-20261024/flickr-source-pages/51957222547.html","original_file_url":"https://live.staticflickr.com/65535/51957222547_13914e38f8_3k.jpg","proposed_identity":"Jawbone Canyon","source_html_sha256":"56eb9b6b22e4e2ed5ec25c8b2988981aa80b5de6e181aec852fa1c4cd83d53bf","third_party_rights_review":{"basis":"Kaynakta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dönüştürüldü.","photo_attribution":{"author_url":"https://www.flickr.com/photos/21874566@N07/","modifications":"EXIF yönü uygulandı; boyut küçültülüp WebP biçimine dönüştürüldü.","original_file_url":"https://live.staticflickr.com/65535/51957222547_13914e38f8_3k.jpg"},"metadata_reviewed_on":"2026-10-24","metadata_review_status":"verified"}}</x:v>
      </x:c>
    </x:row>
    <x:row r="267" ht="300" customHeight="1">
      <x:c r="A267" s="29" t="str">
        <x:v>bakersfield:evidence:venue-22232</x:v>
      </x:c>
      <x:c r="B267" s="29" t="str">
        <x:v>bakersfield</x:v>
      </x:c>
      <x:c r="C267" s="29" t="str">
        <x:v>bakersfield:photo:venue-22232</x:v>
      </x:c>
      <x:c r="D267" s="29" t="str">
        <x:v>https://www.flickr.com/photos/21874566@N07/52019204865/</x:v>
      </x:c>
      <x:c r="E267" s="29" t="str">
        <x:v>Jawbone Canyon OHV Area · 2022 tarihli fotoğraf</x:v>
      </x:c>
      <x:c r="F267" s="29" t="str">
        <x:v>Matthew Dillon</x:v>
      </x:c>
      <x:c r="G267" s="29" t="str">
        <x:v>CC BY 2.0</x:v>
      </x:c>
      <x:c r="H267" s="29" t="str">
        <x:v>https://creativecommons.org/licenses/by/2.0/</x:v>
      </x:c>
      <x:c r="I267" s="29" t="str">
        <x:v>CC BY 2.0</x:v>
      </x:c>
      <x:c r="J267" s="29" t="str">
        <x:v>Jawbone Canyon OHV Area · 2022 tarihli fotoğraf · Matthew Dillon · CC BY 2.0 · https://www.flickr.com/photos/21874566@N07/52019204865/</x:v>
      </x:c>
      <x:c r="K26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7" s="31" t="d">
        <x:v>2026-10-24T00:00:00.000Z</x:v>
      </x:c>
      <x:c r="M267" s="29" t="str">
        <x:v>Doğrulandı</x:v>
      </x:c>
      <x:c r="N267" s="29" t="str">
        <x:v>Doğrulandı</x:v>
      </x:c>
      <x:c r="O267" s="29" t="str">
        <x:v>Fotoğraflar/bk-4822f2c030abf47089d68a1c.webp</x:v>
      </x:c>
      <x:c r="P267" s="29" t="str">
        <x:v>Jawbone Canyon OHV Area · 2022 tarihli fotoğraf · İndirilen kare temas sayfasında görüldü; kaynak mekân kimliğiyle eşleştirildi. Seçim kaydı final-pixel-review.json.</x:v>
      </x:c>
      <x:c r="Q267" s="29" t="str">
        <x:v>Bu kare için uygun</x:v>
      </x:c>
      <x:c r="R26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7" s="29" t="str">
        <x:v>Lisans kanıtları/bk-4822f2c030abf47089d68a1c.source-evidence.json</x:v>
      </x:c>
      <x:c r="T267" s="29" t="str">
        <x:v>44c43cf29a2d5fcdfb1cb342b9eb29580489d70609f185d028783930eab09f14</x:v>
      </x:c>
      <x:c r="U267" s="29" t="str">
        <x:v>Lisans kanıtları/bk-4822f2c030abf47089d68a1c.license-record.json</x:v>
      </x:c>
      <x:c r="V267" s="29" t="str">
        <x:v>c2ec7808c6d30f7ad09aa73dae1b535065d20ca124593d477086f667f675255b</x:v>
      </x:c>
      <x:c r="W267" s="29" t="str">
        <x:v>{"file":"bk-4822f2c030abf47089d68a1c.webp","width":1024,"author":"Matthew Dillon","height":767,"sha256":"4822f2c030abf47089d68a1cc4508b80b8524841e43f820dfd59c9076343a293","status":"reviewed-selected","license":"CC BY 2.0","provider":"Flickr","review_id":"Z35","source_id":"52019204865","author_url":"https://www.flickr.com/photos/21874566@N07/","date_texts":["Uploaded on April 21, 2022 Taken on March 20, 2022","Taken on March 20, 2022","Uploaded on April 21, 2022 Taken on March 20, 2022","Taken on March 20, 2022"],"source_url":"https://www.flickr.com/photos/21874566@N07/52019204865/","description":"Jawbone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nofollow\"&gt;en.wikipedia.org/wiki/Jawbone_Canyon&lt;/a&gt;\n","license_url":"https://creativecommons.org/licenses/by/2.0/","review_note":"Kanyonun Joshua ağacı çiçeği; farklı konu bağlamı.","reviewed_on":"2026-10-24","source_text":"Jawbone Canyon | Jawbone Canyon is a geographic feature in 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Matthew Dillon RuggyBearLA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Done 348 views 5 faves 0 comments Uploaded on April 21, 2022 Taken on March 20, 2022 Matthew Dillon By: Matthew Dillon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Done 348 views 5 faves 0 comments Uploaded on April 21, 2022 Taken on March 20, 2022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photography.","capture_date":"2022-03-20","download_url":"https://live.staticflickr.com/65535/52019204865_0a62df7d82_b.jpg","original_url":"https://live.staticflickr.com/65535/52019204865_92d1b181d6_3k.jpg","pixel_review":{"method":"İndirilen kare temas sayfasında görüldü; kaynak mekân kimliğiyle eşleştirildi. Seçim kaydı final-pixel-review.json.","status":"verified","caption":"Jawbone Canyon OHV Area · 2022 tarihli fotoğraf","reviewer":"Codex (AI)","review_id":"Z35"},"source_title":"Jawbone Canyon","downloaded_at":"2026-10-23T21:40:05.684197+00:00","download_sha256":"6eac1619cd9d17e2bb33c69f128c83677a9d1d8714f3ba116294b381574915fb","downloaded_file":"downloads/6eac1619cd9d17e2bb33c69f128c83677a9d1d8714f3ba116294b381574915fb.jpg","public_metadata":{"photo-models":[{"data":{"id":"52019204865","owner":{"data":{"id":"21874566@N07","isPro":true,"newFlow":true,"isAdFree":false,"location":"Hollywood, CA, USA","proBadge":"standard","realname":"Matthew Dillon","segments":{"data":[],"exportMetaType":"array"},"username":"RuggyBearLA","buddyicon":{"data":{"large":"//live.staticflickr.com/8130/buddyicons/21874566@N07_l.jpg?1369090903#21874566@N07","small":"//live.staticflickr.com/8130/buddyicons/21874566@N07_s.jpg?1369090903#21874566@N07","medium":"//live.staticflickr.com/8130/buddyicons/21874566@N07_m.jpg?1369090903#21874566@N07","retina":"//live.staticflickr.com/8130/buddyicons/21874566@N07_r.jpg?1369090903#21874566@N07","default":"//live.staticflickr.com/8130/buddyicons/21874566@N07.jpg?1369090903#21874566@N07"},"exportMetaType":"pojo"},"pathAlias":"ruggybear","dateCreated":{"data":"1197727946","exportMetaType":"serializeFunction"},"subscription":{"data":{"isPro":false,"isClosed":false,"isPastDue":false},"exportMetaType":"pojo"},"eligibleGifts":{"data":["year","month","week"],"exportMetaType":"array"},"isEligibleForGifts":true,"_flickrModelRegistry":"person-models"},"exportMetaType":"model"},"sizes":{"data":{"c":{"data":{"url":"//live.staticflickr.com/65535/52019204865_0a62df7d82_c.jpg","width":800,"height":599,"displayUrl":"//live.staticflickr.com/65535/52019204865_0a62df7d82_c.jpg"},"exportMetaType":"pojo"},"h":{"data":{"url":"//live.staticflickr.com/65535/52019204865_7b8049df21_h.jpg","width":1600,"height":1198,"displayUrl":"//live.staticflickr.com/65535/52019204865_7b8049df21_h.jpg"},"exportMetaType":"pojo"},"k":{"data":{"url":"//live.staticflickr.com/65535/52019204865_cf898bc570_k.jpg","width":2048,"height":1534,"displayUrl":"//live.staticflickr.com/65535/52019204865_cf898bc570_k.jpg"},"exportMetaType":"pojo"},"l":{"data":{"url":"//live.staticflickr.com/65535/52019204865_0a62df7d82_b.jpg","width":1024,"height":767,"displayUrl":"//live.staticflickr.com/65535/52019204865_0a62df7d82_b.jpg"},"exportMetaType":"pojo"},"m":{"data":{"url":"//live.staticflickr.com/65535/52019204865_0a62df7d82.jpg","width":500,"height":375,"displayUrl":"//live.staticflickr.com/65535/52019204865_0a62df7d82.jpg"},"exportMetaType":"pojo"},"n":{"data":{"url":"//live.staticflickr.com/65535/52019204865_0a62df7d82_n.jpg","width":320,"height":240,"displayUrl":"//live.staticflickr.com/65535/52019204865_0a62df7d82_n.jpg"},"exportMetaType":"pojo"},"o":{"data":{"url":"//live.staticflickr.com/65535/52019204865_eb4ec78046_o.jpg","width":3000,"height":2247,"displayUrl":"//live.staticflickr.com/65535/52019204865_eb4ec78046_o.jpg"},"exportMetaType":"pojo"},"q":{"data":{"url":"//live.staticflickr.com/65535/52019204865_0a62df7d82_q.jpg","width":150,"height":150,"displayUrl":"//live.staticflickr.com/65535/52019204865_0a62df7d82_q.jpg"},"exportMetaType":"pojo"},"s":{"data":{"url":"//live.staticflickr.com/65535/52019204865_0a62df7d82_m.jpg","width":240,"height":180,"displayUrl":"//live.staticflickr.com/65535/52019204865_0a62df7d82_m.jpg"},"exportMetaType":"pojo"},"t":{"data":{"url":"//live.staticflickr.com/65535/52019204865_0a62df7d82_t.jpg","width":100,"height":75,"displayUrl":"//live.staticflickr.com/65535/52019204865_0a62df7d82_t.jpg"},"exportMetaType":"pojo"},"w":{"data":{"url":"//live.staticflickr.com/65535/52019204865_0a62df7d82_w.jpg","width":400,"height":300,"displayUrl":"//live.staticflickr.com/65535/52019204865_0a62df7d82_w.jpg"},"exportMetaType":"pojo"},"z":{"data":{"url":"//live.staticflickr.com/65535/52019204865_0a62df7d82_z.jpg","width":640,"height":479,"displayUrl":"//live.staticflickr.com/65535/52019204865_0a62df7d82_z.jpg"},"exportMetaType":"pojo"},"3k":{"data":{"url":"//live.staticflickr.com/65535/52019204865_92d1b181d6_3k.jpg","width":3000,"height":2247,"displayUrl":"//live.staticflickr.com/65535/52019204865_92d1b181d6_3k.jpg"},"exportMetaType":"pojo"},"sq":{"data":{"url":"//live.staticflickr.com/65535/52019204865_0a62df7d82_s.jpg","width":75,"height":75,"displayUrl":"//live.staticflickr.com/65535/52019204865_0a62df7d82_s.jpg"},"exportMetaType":"pojo"}},"exportMetaType":"pojo"},"title":"Jawbone Canyon","oWidth":3000,"secret":"0a62df7d82","license":4,"oHeight":2247,"rotation":0,"canAddMeta":false,"canComment":false,"engagement":{"data":{"id":"52019204865","canShare":true,"faveCount":5,"ownerNsid":"21874566@N07","reactions":{"data":{"like":{"data":{"id":"like","count":5,"canReact":true,"didViewerReact":true},"exportMetaType":"pojo"},"someOtherReaction":{"data":{"id":"someOtherReaction","count":3,"canReact":true,"didViewerReact":false},"exportMetaType":"pojo"}},"exportMetaType":"pojo"},"viewCount":348,"canDownload":true,"_flickrModelRegistry":"photo-engagement-models"},"exportMetaType":"model"},"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safetyLevel":0,"upgradeSizes":{"data":[],"exportMetaType":"array"},"adEligibility":{"data":{"lane":1,"labels":{"data":["ProOwner"],"exportMetaType":"array"},"isAdEligible":false,"highScoreLabels":{"data":["ProOwner"],"exportMetaType":"array"}},"exportMetaType":"pojo"},"canPublicComment":true,"_flickrModelRegistry":"photo-models"},"exportMetaType":"model"}],"photo-geo-models":[{"data":{"id":"52019204865","_flickrModelRegistry":"photo-geo-models"},"exportMetaType":"model"}],"photo-location-models":[{"data":{"id":"52019204865","geo":{"data":"~2","exportMetaType":"model"},"text":"","levels":{"data":{},"exportMetaType":"pojo"},"staticMaps":{"data":{},"exportMetaType":"pojo"},"_flickrModelRegistry":"photo-location-models"},"exportMetaType":"model"}],"photo-head-meta-models":[{"data":{"id":"52019204865","title":"Jawbone Canyon","og:url":"https://www.flickr.com/photos/ruggybear/52019204865/","og:type":"article","keywords":"ca, california, 14, statepark, jawbonecanyon, mojave, unitedstatesofamerica, geology, jeep","og:image":"https://live.staticflickr.com/65535/52019204865_0a62df7d82_b.jpg","og:title":"Jawbone Canyon","twitter:card":"summary_large_image","twitter:image":"https://live.staticflickr.com/65535/52019204865_0a62df7d82_b.jpg","og:description":"Jawbone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","og:image:width":1024,"og:image:height":767,"twitter:description":"Jawbone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_flickrModelRegistry":"photo-head-meta-models","twitter:app:url:ipad":"flickr://flickr.com/photos/ruggybear/52019204865/","twitter:app:url:iphone":"flickr://flickr.com/photos/ruggybear/52019204865/","twitter:app:url:googleplay":"https://www.flickr.com/photos/ruggybear/52019204865/"},"exportMetaType":"model"}],"photo-license-history-models":[]},"acquisition_file":"fl-52019204865.webp","source_html_file":"/Users/atincakcayoz/corteqs/output/bakersfield-completion-20261024/flickr-source-pages/52019204865.html","original_file_url":"https://live.staticflickr.com/65535/52019204865_92d1b181d6_3k.jpg","proposed_identity":"Jawbone Canyon","source_html_sha256":"b70cfd18c045ed11f96b39449912c6b358804abc51ec021567bb19a2fb34b533","third_party_rights_review":{"basis":"Kaynakta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dönüştürüldü.","photo_attribution":{"author_url":"https://www.flickr.com/photos/21874566@N07/","modifications":"EXIF yönü uygulandı; boyut küçültülüp WebP biçimine dönüştürüldü.","original_file_url":"https://live.staticflickr.com/65535/52019204865_92d1b181d6_3k.jpg"},"metadata_reviewed_on":"2026-10-24","metadata_review_status":"verified"}}</x:v>
      </x:c>
    </x:row>
    <x:row r="268" ht="300" customHeight="1">
      <x:c r="A268" s="29" t="str">
        <x:v>bakersfield:evidence:venue-22233</x:v>
      </x:c>
      <x:c r="B268" s="29" t="str">
        <x:v>bakersfield</x:v>
      </x:c>
      <x:c r="C268" s="29" t="str">
        <x:v>bakersfield:photo:venue-22233</x:v>
      </x:c>
      <x:c r="D268" s="29" t="str">
        <x:v>https://www.flickr.com/photos/21874566@N07/52070452336/</x:v>
      </x:c>
      <x:c r="E268" s="29" t="str">
        <x:v>Jawbone Canyon OHV Area · 2022 tarihli fotoğraf</x:v>
      </x:c>
      <x:c r="F268" s="29" t="str">
        <x:v>Matthew Dillon</x:v>
      </x:c>
      <x:c r="G268" s="29" t="str">
        <x:v>CC BY 2.0</x:v>
      </x:c>
      <x:c r="H268" s="29" t="str">
        <x:v>https://creativecommons.org/licenses/by/2.0/</x:v>
      </x:c>
      <x:c r="I268" s="29" t="str">
        <x:v>CC BY 2.0</x:v>
      </x:c>
      <x:c r="J268" s="29" t="str">
        <x:v>Jawbone Canyon OHV Area · 2022 tarihli fotoğraf · Matthew Dillon · CC BY 2.0 · https://www.flickr.com/photos/21874566@N07/52070452336/</x:v>
      </x:c>
      <x:c r="K26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8" s="31" t="d">
        <x:v>2026-10-24T00:00:00.000Z</x:v>
      </x:c>
      <x:c r="M268" s="29" t="str">
        <x:v>Doğrulandı</x:v>
      </x:c>
      <x:c r="N268" s="29" t="str">
        <x:v>Doğrulandı</x:v>
      </x:c>
      <x:c r="O268" s="29" t="str">
        <x:v>Fotoğraflar/bk-7102ad84cd24405e42c0ffe1.webp</x:v>
      </x:c>
      <x:c r="P268" s="29" t="str">
        <x:v>Jawbone Canyon OHV Area · 2022 tarihli fotoğraf · İndirilen kare temas sayfasında görüldü; kaynak mekân kimliğiyle eşleştirildi. Seçim kaydı final-pixel-review.json.</x:v>
      </x:c>
      <x:c r="Q268" s="29" t="str">
        <x:v>Bu kare için uygun</x:v>
      </x:c>
      <x:c r="R26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8" s="29" t="str">
        <x:v>Lisans kanıtları/bk-7102ad84cd24405e42c0ffe1.source-evidence.json</x:v>
      </x:c>
      <x:c r="T268" s="29" t="str">
        <x:v>1625e2ba1175d1e3b6a81004a2e2b8a927bf07a1ff47a5b5be0a8b121e1b14a4</x:v>
      </x:c>
      <x:c r="U268" s="29" t="str">
        <x:v>Lisans kanıtları/bk-7102ad84cd24405e42c0ffe1.license-record.json</x:v>
      </x:c>
      <x:c r="V268" s="29" t="str">
        <x:v>9fd8d65d3d28b6d85763299352b6b7038ef376854ad08cf2ad681d7467459a60</x:v>
      </x:c>
      <x:c r="W268" s="29" t="str">
        <x:v>{"file":"bk-7102ad84cd24405e42c0ffe1.webp","width":1024,"author":"Matthew Dillon","height":767,"sha256":"7102ad84cd24405e42c0ffe1d215aa7a9b91284889675ca1d819bcc0dff22645","status":"reviewed-selected","license":"CC BY 2.0","provider":"Flickr","review_id":"Z41","source_id":"52070452336","author_url":"https://www.flickr.com/photos/21874566@N07/","date_texts":["Uploaded on May 13, 2022 Taken on April 4, 2022","Taken on April 4, 2022","Uploaded on May 13, 2022 Taken on April 4, 2022","Taken on April 4, 2022"],"source_url":"https://www.flickr.com/photos/21874566@N07/52070452336/","description":"Jawbone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nofollow\"&gt;en.wikipedia.org/wiki/Jawbone_Canyon&lt;/a&gt;\n","license_url":"https://creativecommons.org/licenses/by/2.0/","review_note":"Yol ve belirgin kaya oluşumu.","reviewed_on":"2026-10-24","source_text":"Jawbone Canyon | Jawbone Canyon is a geographic feature in 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Matthew Dillon RuggyBearLA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Done 636 views 5 faves 0 comments Uploaded on May 13, 2022 Taken on April 4, 2022 Matthew Dillon By: Matthew Dillon Jawbone Canyon 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Done 636 views 5 faves 0 comments Uploaded on May 13, 2022 Taken on April 4, 2022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photography.","capture_date":"2022-04-04","download_url":"https://live.staticflickr.com/65535/52070452336_ae80b5abb7_b.jpg","original_url":"https://live.staticflickr.com/65535/52070452336_5decda84f8_3k.jpg","pixel_review":{"method":"İndirilen kare temas sayfasında görüldü; kaynak mekân kimliğiyle eşleştirildi. Seçim kaydı final-pixel-review.json.","status":"verified","caption":"Jawbone Canyon OHV Area · 2022 tarihli fotoğraf","reviewer":"Codex (AI)","review_id":"Z41"},"source_title":"Jawbone Canyon","downloaded_at":"2026-10-23T21:40:06.350406+00:00","download_sha256":"701e506ed66fa709e3a934154674eed657bb54fd1a3e33662baaf3e29f2be312","downloaded_file":"downloads/701e506ed66fa709e3a934154674eed657bb54fd1a3e33662baaf3e29f2be312.jpg","public_metadata":{"photo-models":[{"data":{"id":"52070452336","owner":{"data":{"id":"21874566@N07","isPro":true,"newFlow":true,"isAdFree":false,"location":"Hollywood, CA, USA","proBadge":"standard","realname":"Matthew Dillon","segments":{"data":[],"exportMetaType":"array"},"username":"RuggyBearLA","buddyicon":{"data":{"large":"//live.staticflickr.com/8130/buddyicons/21874566@N07_l.jpg?1369090903#21874566@N07","small":"//live.staticflickr.com/8130/buddyicons/21874566@N07_s.jpg?1369090903#21874566@N07","medium":"//live.staticflickr.com/8130/buddyicons/21874566@N07_m.jpg?1369090903#21874566@N07","retina":"//live.staticflickr.com/8130/buddyicons/21874566@N07_r.jpg?1369090903#21874566@N07","default":"//live.staticflickr.com/8130/buddyicons/21874566@N07.jpg?1369090903#21874566@N07"},"exportMetaType":"pojo"},"pathAlias":"ruggybear","dateCreated":{"data":"1197727946","exportMetaType":"serializeFunction"},"subscription":{"data":{"isPro":false,"isClosed":false,"isPastDue":false},"exportMetaType":"pojo"},"eligibleGifts":{"data":["year","month","week"],"exportMetaType":"array"},"isEligibleForGifts":true,"_flickrModelRegistry":"person-models"},"exportMetaType":"model"},"sizes":{"data":{"c":{"data":{"url":"//live.staticflickr.com/65535/52070452336_ae80b5abb7_c.jpg","width":800,"height":599,"displayUrl":"//live.staticflickr.com/65535/52070452336_ae80b5abb7_c.jpg"},"exportMetaType":"pojo"},"h":{"data":{"url":"//live.staticflickr.com/65535/52070452336_abfe581526_h.jpg","width":1600,"height":1198,"displayUrl":"//live.staticflickr.com/65535/52070452336_abfe581526_h.jpg"},"exportMetaType":"pojo"},"k":{"data":{"url":"//live.staticflickr.com/65535/52070452336_beca8fcf7a_k.jpg","width":2048,"height":1534,"displayUrl":"//live.staticflickr.com/65535/52070452336_beca8fcf7a_k.jpg"},"exportMetaType":"pojo"},"l":{"data":{"url":"//live.staticflickr.com/65535/52070452336_ae80b5abb7_b.jpg","width":1024,"height":767,"displayUrl":"//live.staticflickr.com/65535/52070452336_ae80b5abb7_b.jpg"},"exportMetaType":"pojo"},"m":{"data":{"url":"//live.staticflickr.com/65535/52070452336_ae80b5abb7.jpg","width":500,"height":375,"displayUrl":"//live.staticflickr.com/65535/52070452336_ae80b5abb7.jpg"},"exportMetaType":"pojo"},"n":{"data":{"url":"//live.staticflickr.com/65535/52070452336_ae80b5abb7_n.jpg","width":320,"height":240,"displayUrl":"//live.staticflickr.com/65535/52070452336_ae80b5abb7_n.jpg"},"exportMetaType":"pojo"},"o":{"data":{"url":"//live.staticflickr.com/65535/52070452336_9b7ab961ce_o.jpg","width":3000,"height":2247,"displayUrl":"//live.staticflickr.com/65535/52070452336_9b7ab961ce_o.jpg"},"exportMetaType":"pojo"},"q":{"data":{"url":"//live.staticflickr.com/65535/52070452336_ae80b5abb7_q.jpg","width":150,"height":150,"displayUrl":"//live.staticflickr.com/65535/52070452336_ae80b5abb7_q.jpg"},"exportMetaType":"pojo"},"s":{"data":{"url":"//live.staticflickr.com/65535/52070452336_ae80b5abb7_m.jpg","width":240,"height":180,"displayUrl":"//live.staticflickr.com/65535/52070452336_ae80b5abb7_m.jpg"},"exportMetaType":"pojo"},"t":{"data":{"url":"//live.staticflickr.com/65535/52070452336_ae80b5abb7_t.jpg","width":100,"height":75,"displayUrl":"//live.staticflickr.com/65535/52070452336_ae80b5abb7_t.jpg"},"exportMetaType":"pojo"},"w":{"data":{"url":"//live.staticflickr.com/65535/52070452336_ae80b5abb7_w.jpg","width":400,"height":300,"displayUrl":"//live.staticflickr.com/65535/52070452336_ae80b5abb7_w.jpg"},"exportMetaType":"pojo"},"z":{"data":{"url":"//live.staticflickr.com/65535/52070452336_ae80b5abb7_z.jpg","width":640,"height":479,"displayUrl":"//live.staticflickr.com/65535/52070452336_ae80b5abb7_z.jpg"},"exportMetaType":"pojo"},"3k":{"data":{"url":"//live.staticflickr.com/65535/52070452336_5decda84f8_3k.jpg","width":3000,"height":2247,"displayUrl":"//live.staticflickr.com/65535/52070452336_5decda84f8_3k.jpg"},"exportMetaType":"pojo"},"sq":{"data":{"url":"//live.staticflickr.com/65535/52070452336_ae80b5abb7_s.jpg","width":75,"height":75,"displayUrl":"//live.staticflickr.com/65535/52070452336_ae80b5abb7_s.jpg"},"exportMetaType":"pojo"}},"exportMetaType":"pojo"},"title":"Jawbone Canyon","oWidth":3000,"secret":"ae80b5abb7","license":4,"oHeight":2247,"rotation":0,"canAddMeta":false,"canComment":false,"engagement":{"data":{"id":"52070452336","canShare":true,"faveCount":5,"ownerNsid":"21874566@N07","reactions":{"data":{"like":{"data":{"id":"like","count":5,"canReact":true,"didViewerReact":true},"exportMetaType":"pojo"},"someOtherReaction":{"data":{"id":"someOtherReaction","count":3,"canReact":true,"didViewerReact":false},"exportMetaType":"pojo"}},"exportMetaType":"pojo"},"viewCount":636,"canDownload":true,"_flickrModelRegistry":"photo-engagement-models"},"exportMetaType":"model"},"description":"Jawbone Canyon is a geographic feature in the Mojave Desert and a Bureau of Land Management area located in Kern County, California, 20 miles (32 km) north of Mojave on CA 14. The area is a popular destination for hikers and off road vehicle enthusiasts.\n\nEuropeans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antimony.\n\nSource: &lt;a href=\"https://en.wikipedia.org/wiki/Jawbone_Canyon\" rel=\"noreferrer nofollow\"&gt;en.wikipedia.org/wiki/Jawbone_Canyon&lt;/a&gt;\n","safetyLevel":0,"upgradeSizes":{"data":[],"exportMetaType":"array"},"adEligibility":{"data":{"lane":1,"labels":{"data":["ProOwner"],"exportMetaType":"array"},"isAdEligible":false,"highScoreLabels":{"data":["ProOwner"],"exportMetaType":"array"}},"exportMetaType":"pojo"},"canPublicComment":true,"_flickrModelRegistry":"photo-models"},"exportMetaType":"model"}],"photo-geo-models":[{"data":{"id":"52070452336","_flickrModelRegistry":"photo-geo-models"},"exportMetaType":"model"}],"photo-location-models":[{"data":{"id":"52070452336","geo":{"data":"~2","exportMetaType":"model"},"text":"","levels":{"data":{},"exportMetaType":"pojo"},"staticMaps":{"data":{},"exportMetaType":"pojo"},"_flickrModelRegistry":"photo-location-models"},"exportMetaType":"model"}],"photo-head-meta-models":[{"data":{"id":"52070452336","title":"Jawbone Canyon","og:url":"https://www.flickr.com/photos/ruggybear/52070452336/","og:type":"article","keywords":"ca, california, 14, statepark, jawbonecanyon, mojave, unitedstatesofamerica, geology, jeep","og:image":"https://live.staticflickr.com/65535/52070452336_ae80b5abb7_b.jpg","og:title":"Jawbone Canyon","twitter:card":"summary_large_image","twitter:image":"https://live.staticflickr.com/65535/52070452336_ae80b5abb7_b.jpg","og:description":"Jawbone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","og:image:width":1024,"og:image:height":767,"twitter:description":"Jawbone Canyon is a geographic feature in the Mojave Desert and a Bureau of Land Management area located in Kern County, California, 20 miles (32 km) north of Mojave on CA 14. The area is a popular destination for hikers and off road vehicle enthusiasts.  Europeans first settled in the canyon around 1860—naming it Jawbone because its shape resembled a mandible—and the trail was used as a trade route from Keyesville into the Piute Mountains (not to be confused with the Piute Mountains of the eastern Mojave Desert). During the Kern River gold rush, several gold mines operated in the canyon; the most successful of these, the St. John mine, yielded nearly $700,000 worth of gold between 1860 and 1875. The Gwynn mine, on the Geringer Grade, ran six claims yielding a total of $770,000 worth of gold and quartz before ceasing operations in 1942. Mining continued throughout the 1940s, mainly focused on rhyolite and antimony.  Source: en.wikipedia.org/wiki/Jawbone_Canyon ","_flickrModelRegistry":"photo-head-meta-models","twitter:app:url:ipad":"flickr://flickr.com/photos/ruggybear/52070452336/","twitter:app:url:iphone":"flickr://flickr.com/photos/ruggybear/52070452336/","twitter:app:url:googleplay":"https://www.flickr.com/photos/ruggybear/52070452336/"},"exportMetaType":"model"}],"photo-license-history-models":[]},"acquisition_file":"fl-52070452336.webp","source_html_file":"/Users/atincakcayoz/corteqs/output/bakersfield-completion-20261024/flickr-source-pages/52070452336.html","original_file_url":"https://live.staticflickr.com/65535/52070452336_5decda84f8_3k.jpg","proposed_identity":"Jawbone Canyon","source_html_sha256":"3a1b83e7b360dd171279fa03ba70c238fdf8e5e878ae5506c3999c731b704355","third_party_rights_review":{"basis":"Kaynakta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dönüştürüldü.","photo_attribution":{"author_url":"https://www.flickr.com/photos/21874566@N07/","modifications":"EXIF yönü uygulandı; boyut küçültülüp WebP biçimine dönüştürüldü.","original_file_url":"https://live.staticflickr.com/65535/52070452336_5decda84f8_3k.jpg"},"metadata_reviewed_on":"2026-10-24","metadata_review_status":"verified"}}</x:v>
      </x:c>
    </x:row>
    <x:row r="269" ht="300" customHeight="1">
      <x:c r="A269" s="29" t="str">
        <x:v>bakersfield:evidence:venue-22234</x:v>
      </x:c>
      <x:c r="B269" s="29" t="str">
        <x:v>bakersfield</x:v>
      </x:c>
      <x:c r="C269" s="29" t="str">
        <x:v>bakersfield:photo:venue-22234</x:v>
      </x:c>
      <x:c r="D269" s="29" t="str">
        <x:v>https://www.flickr.com/photos/38534720@N00/3960656206/</x:v>
      </x:c>
      <x:c r="E269" s="29" t="str">
        <x:v>Dove Springs OHV Area · 2009 tarihli fotoğraf</x:v>
      </x:c>
      <x:c r="F269" s="29" t="str">
        <x:v>BirdsEyePix</x:v>
      </x:c>
      <x:c r="G269" s="29" t="str">
        <x:v>CC BY-SA 2.0</x:v>
      </x:c>
      <x:c r="H269" s="29" t="str">
        <x:v>https://creativecommons.org/licenses/by-sa/2.0/</x:v>
      </x:c>
      <x:c r="I269" s="29" t="str">
        <x:v>CC BY-SA 2.0</x:v>
      </x:c>
      <x:c r="J269" s="29" t="str">
        <x:v>Dove Springs OHV Area · 2009 tarihli fotoğraf · BirdsEyePix · CC BY-SA 2.0 · https://www.flickr.com/photos/38534720@N00/3960656206/</x:v>
      </x:c>
      <x:c r="K26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69" s="31" t="d">
        <x:v>2026-10-24T00:00:00.000Z</x:v>
      </x:c>
      <x:c r="M269" s="29" t="str">
        <x:v>Doğrulandı</x:v>
      </x:c>
      <x:c r="N269" s="29" t="str">
        <x:v>Doğrulandı</x:v>
      </x:c>
      <x:c r="O269" s="29" t="str">
        <x:v>Fotoğraflar/bk-1141143e192455c74bd8226a.webp</x:v>
      </x:c>
      <x:c r="P269" s="29" t="str">
        <x:v>Dove Springs OHV Area · 2009 tarihli fotoğraf · İndirilen kare temas sayfasında görüldü; kaynak mekân kimliğiyle eşleştirildi. Seçim kaydı final-pixel-review.json.</x:v>
      </x:c>
      <x:c r="Q269" s="29" t="str">
        <x:v>Bu kare için uygun</x:v>
      </x:c>
      <x:c r="R26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69" s="29" t="str">
        <x:v>Lisans kanıtları/bk-1141143e192455c74bd8226a.source-evidence.json</x:v>
      </x:c>
      <x:c r="T269" s="29" t="str">
        <x:v>7e1aff74014cb6c63557f4c29fd78dfa94e9f33e695a215c1f6009dc23472463</x:v>
      </x:c>
      <x:c r="U269" s="29" t="str">
        <x:v>Lisans kanıtları/bk-1141143e192455c74bd8226a.license-record.json</x:v>
      </x:c>
      <x:c r="V269" s="29" t="str">
        <x:v>f48fb9deb9ee5083e8301f85d823de2f738b73602e6c2e8ed476d0e2714da0b8</x:v>
      </x:c>
      <x:c r="W269" s="29" t="str">
        <x:v>{"file":"bk-1141143e192455c74bd8226a.webp","width":1024,"author":"BirdsEyePix","height":680,"sha256":"1141143e192455c74bd8226a2d76eb0f16432214cdf45706958db6b784a35cee","status":"reviewed-selected","license":"CC BY-SA 2.0","provider":"Flickr","review_id":"Z24","source_id":"3960656206","author_url":"https://www.flickr.com/photos/38534720@N00/","date_texts":["Uploaded on September 27, 2009 Taken on September 27, 2009","Taken on September 27, 2009","Uploaded on September 27, 2009 Taken on September 27, 2009","Taken on September 27, 2009"],"source_url":"https://www.flickr.com/photos/38534720@N00/3960656206/","description":"","license_url":"https://creativecommons.org/licenses/by-sa/2.0/","review_note":"Mojave açık sürüş alanının alacakaranlık görünümü; Texas kent parkı görselleri elendi.","reviewed_on":"2026-10-24","source_text":"Dove Springs Sunset 02 | BirdsEyePix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BirdsEyePix BirdsEyePix Dove Springs Sunset 02 Done 184 views 0 faves 0 comments Uploaded on September 27, 2009 Taken on September 27, 2009 BirdsEyePix By: BirdsEyePix Dove Springs Sunset 02 Done 184 views 0 faves 0 comments Uploaded on September 27, 2009 Taken on September 27, 2009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photography.","capture_date":"2009-09-27","download_url":"https://live.staticflickr.com/3496/3960656206_71ff122eee_b.jpg","original_url":"https://live.staticflickr.com/3496/3960656206_47442ca670_h.jpg","pixel_review":{"method":"İndirilen kare temas sayfasında görüldü; kaynak mekân kimliğiyle eşleştirildi. Seçim kaydı final-pixel-review.json.","status":"verified","caption":"Dove Springs OHV Area · 2009 tarihli fotoğraf","reviewer":"Codex (AI)","review_id":"Z24"},"source_title":"Dove Springs Sunset 02","downloaded_at":"2026-10-23T21:40:02.534067+00:00","download_sha256":"49639073429786ed5a9f7db486f807b2c7cf837549434cca451c51d1dd69bc52","downloaded_file":"downloads/49639073429786ed5a9f7db486f807b2c7cf837549434cca451c51d1dd69bc52.jpg","public_metadata":{"photo-models":[{"data":{"id":"3960656206","owner":{"data":{"id":"38534720@N00","isPro":false,"newFlow":true,"isAdFree":false,"location":"Maui, Hawaii","realname":"BirdsEyePix","segments":{"data":[],"exportMetaType":"array"},"username":"BirdsEyePix","buddyicon":{"data":{"large":"//live.staticflickr.com/3887/buddyicons/38534720@N00_l.jpg?1410233361#38534720@N00","small":"//live.staticflickr.com/3887/buddyicons/38534720@N00_s.jpg?1410233361#38534720@N00","medium":"//live.staticflickr.com/3887/buddyicons/38534720@N00_m.jpg?1410233361#38534720@N00","retina":"//live.staticflickr.com/3887/buddyicons/38534720@N00_r.jpg?1410233361#38534720@N00","default":"//live.staticflickr.com/3887/buddyicons/38534720@N00.jpg?1410233361#38534720@N00"},"exportMetaType":"pojo"},"dateCreated":{"data":"1138522601","exportMetaType":"serializeFunction"},"subscription":{"data":{"isPro":false,"isClosed":false,"isPastDue":false},"exportMetaType":"pojo"},"eligibleGifts":{"data":["year","month","week"],"exportMetaType":"array"},"isEligibleForGifts":true,"_flickrModelRegistry":"person-models"},"exportMetaType":"model"},"sizes":{"data":{"c":{"data":{"url":"//live.staticflickr.com/3496/3960656206_71ff122eee_c.jpg","width":800,"height":532,"displayUrl":"//live.staticflickr.com/3496/3960656206_71ff122eee_c.jpg"},"exportMetaType":"pojo"},"h":{"data":{"url":"//live.staticflickr.com/3496/3960656206_47442ca670_h.jpg","width":1600,"height":1063,"displayUrl":"//live.staticflickr.com/3496/3960656206_47442ca670_h.jpg"},"exportMetaType":"pojo"},"l":{"data":{"url":"//live.staticflickr.com/3496/3960656206_71ff122eee_b.jpg","width":1024,"height":680,"displayUrl":"//live.staticflickr.com/3496/3960656206_71ff122eee_b.jpg"},"exportMetaType":"pojo"},"m":{"data":{"url":"//live.staticflickr.com/3496/3960656206_71ff122eee.jpg","width":500,"height":332,"displayUrl":"//live.staticflickr.com/3496/3960656206_71ff122eee.jpg"},"exportMetaType":"pojo"},"n":{"data":{"url":"//live.staticflickr.com/3496/3960656206_71ff122eee_n.jpg","width":320,"height":213,"displayUrl":"//live.staticflickr.com/3496/3960656206_71ff122eee_n.jpg"},"exportMetaType":"pojo"},"o":{"data":{"url":"//live.staticflickr.com/3496/3960656206_b213c592e9_o.jpg","width":1600,"height":1063,"displayUrl":"//live.staticflickr.com/3496/3960656206_b213c592e9_o.jpg"},"exportMetaType":"pojo"},"q":{"data":{"url":"//live.staticflickr.com/3496/3960656206_71ff122eee_q.jpg","width":150,"height":150,"displayUrl":"//live.staticflickr.com/3496/3960656206_71ff122eee_q.jpg"},"exportMetaType":"pojo"},"s":{"data":{"url":"//live.staticflickr.com/3496/3960656206_71ff122eee_m.jpg","width":240,"height":159,"displayUrl":"//live.staticflickr.com/3496/3960656206_71ff122eee_m.jpg"},"exportMetaType":"pojo"},"t":{"data":{"url":"//live.staticflickr.com/3496/3960656206_71ff122eee_t.jpg","width":100,"height":66,"displayUrl":"//live.staticflickr.com/3496/3960656206_71ff122eee_t.jpg"},"exportMetaType":"pojo"},"w":{"data":{"url":"//live.staticflickr.com/3496/3960656206_71ff122eee_w.jpg","width":400,"height":266,"displayUrl":"//live.staticflickr.com/3496/3960656206_71ff122eee_w.jpg"},"exportMetaType":"pojo"},"z":{"data":{"url":"//live.staticflickr.com/3496/3960656206_71ff122eee_z.jpg","width":640,"height":425,"displayUrl":"//live.staticflickr.com/3496/3960656206_71ff122eee_z.jpg"},"exportMetaType":"pojo"},"sq":{"data":{"url":"//live.staticflickr.com/3496/3960656206_71ff122eee_s.jpg","width":75,"height":75,"displayUrl":"//live.staticflickr.com/3496/3960656206_71ff122eee_s.jpg"},"exportMetaType":"pojo"}},"exportMetaType":"pojo"},"title":"Dove Springs Sunset 02","oWidth":1600,"secret":"71ff122eee","license":5,"oHeight":1063,"rotation":0,"canAddMeta":false,"canComment":false,"engagement":{"data":{"id":"3960656206","canShare":true,"ownerNsid":"38534720@N00","reactions":{"data":{"like":{"data":{"id":"like","count":5,"canReact":true,"didViewerReact":true},"exportMetaType":"pojo"},"someOtherReaction":{"data":{"id":"someOtherReaction","count":3,"canReact":true,"didViewerReact":false},"exportMetaType":"pojo"}},"exportMetaType":"pojo"},"viewCount":184,"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3960656206","_flickrModelRegistry":"photo-geo-models"},"exportMetaType":"model"}],"photo-location-models":[{"data":{"id":"3960656206","geo":{"data":"~2","exportMetaType":"model"},"text":"","levels":{"data":{},"exportMetaType":"pojo"},"staticMaps":{"data":{},"exportMetaType":"pojo"},"_flickrModelRegistry":"photo-location-models"},"exportMetaType":"model"}],"photo-head-meta-models":[{"data":{"id":"3960656206","title":"Dove Springs Sunset 02","og:url":"https://www.flickr.com/photos/38534720@N00/3960656206/","og:type":"article","og:image":"https://live.staticflickr.com/3496/3960656206_71ff122eee_b.jpg","og:title":"Dove Springs Sunset 02","twitter:card":"summary_large_image","twitter:image":"https://live.staticflickr.com/3496/3960656206_71ff122eee_b.jpg","og:description":"","og:image:width":1024,"og:image:height":680,"twitter:description":"Explore BirdsEyePix's 3592 photos on Flickr!","_flickrModelRegistry":"photo-head-meta-models","twitter:app:url:ipad":"flickr://flickr.com/photos/38534720@N00/3960656206/","twitter:app:url:iphone":"flickr://flickr.com/photos/38534720@N00/3960656206/","twitter:app:url:googleplay":"https://www.flickr.com/photos/38534720@N00/3960656206/"},"exportMetaType":"model"}],"photo-license-history-models":[]},"acquisition_file":"fl-3960656206.webp","source_html_file":"/Users/atincakcayoz/corteqs/output/bakersfield-completion-20261024/flickr-source-pages/3960656206.html","original_file_url":"https://live.staticflickr.com/3496/3960656206_47442ca670_h.jpg","proposed_identity":"Dove Springs OHV Area","source_html_sha256":"d9f89a7867351136de66d145f5427fa30718e3551b017df47352ab7b7bc0810e","third_party_rights_review":{"basis":"Kaynakta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dönüştürüldü.","photo_attribution":{"author_url":"https://www.flickr.com/photos/38534720@N00/","modifications":"EXIF yönü uygulandı; boyut küçültülüp WebP biçimine dönüştürüldü.","original_file_url":"https://live.staticflickr.com/3496/3960656206_47442ca670_h.jpg"},"metadata_reviewed_on":"2026-10-24","metadata_review_status":"verified"}}</x:v>
      </x:c>
    </x:row>
    <x:row r="270" ht="300" customHeight="1">
      <x:c r="A270" s="29" t="str">
        <x:v>bakersfield:evidence:venue-22235</x:v>
      </x:c>
      <x:c r="B270" s="29" t="str">
        <x:v>bakersfield</x:v>
      </x:c>
      <x:c r="C270" s="29" t="str">
        <x:v>bakersfield:photo:venue-22235</x:v>
      </x:c>
      <x:c r="D270" s="29" t="str">
        <x:v>https://www.flickr.com/photos/98609821@N00/27493486013/</x:v>
      </x:c>
      <x:c r="E270" s="29" t="str">
        <x:v>Panorama Vista Preserve · açık koruluk ve çayır, 2016</x:v>
      </x:c>
      <x:c r="F270" s="29" t="str">
        <x:v>Julie Jordan Scott</x:v>
      </x:c>
      <x:c r="G270" s="29" t="str">
        <x:v>CC BY 2.0</x:v>
      </x:c>
      <x:c r="H270" s="29" t="str">
        <x:v>https://creativecommons.org/licenses/by/2.0/</x:v>
      </x:c>
      <x:c r="I270" s="29" t="str">
        <x:v>CC BY 2.0</x:v>
      </x:c>
      <x:c r="J270" s="29" t="str">
        <x:v>Panorama Vista Preserve · açık koruluk ve çayır, 2016 · Julie Jordan Scott · CC BY 2.0 · https://www.flickr.com/photos/98609821@N00/27493486013/</x:v>
      </x:c>
      <x:c r="K27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0" s="31" t="d">
        <x:v>2026-10-24T00:00:00.000Z</x:v>
      </x:c>
      <x:c r="M270" s="29" t="str">
        <x:v>Doğrulandı</x:v>
      </x:c>
      <x:c r="N270" s="29" t="str">
        <x:v>Doğrulandı</x:v>
      </x:c>
      <x:c r="O270" s="29" t="str">
        <x:v>Fotoğraflar/bk-91279e285646480aea63c579.webp</x:v>
      </x:c>
      <x:c r="P270" s="29" t="str">
        <x:v>Panorama Vista Preserve · açık koruluk ve çayır, 2016 · İndirilen kare temas sayfasında görüldü; kaynak mekân kimliğiyle eşleştirildi. Seçim kaydı final-pixel-review.json.</x:v>
      </x:c>
      <x:c r="Q270" s="29" t="str">
        <x:v>Bu kare için uygun</x:v>
      </x:c>
      <x:c r="R27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0" s="29" t="str">
        <x:v>Lisans kanıtları/bk-91279e285646480aea63c579.source-evidence.json</x:v>
      </x:c>
      <x:c r="T270" s="29" t="str">
        <x:v>75b4e24710f7c950f3e70eba49a2b074bd3914baabea87f44aabf9b267e92705</x:v>
      </x:c>
      <x:c r="U270" s="29" t="str">
        <x:v>Lisans kanıtları/bk-91279e285646480aea63c579.license-record.json</x:v>
      </x:c>
      <x:c r="V270" s="29" t="str">
        <x:v>747da2360b5bd3dff2dd0cfd92c35d645f1ed00df02f5d6b81e9725335bf809f</x:v>
      </x:c>
      <x:c r="W270" s="29" t="str">
        <x:v>{"file":"bk-91279e285646480aea63c579.webp","width":1024,"author":"Julie Jordan Scott","height":768,"sha256":"91279e285646480aea63c5792601cc9975d09b48cc80d8d6c8fbcad32c6ced85","status":"reviewed-selected","license":"CC BY 2.0","provider":"Flickr","review_id":"H78","source_id":"27493486013","author_url":"https://www.flickr.com/photos/98609821@N00/","date_texts":["Uploaded on July 5, 2016 Taken on July 5, 2016","Taken on July 5, 2016","Uploaded on July 5, 2016 Taken on July 5, 2016","Taken on July 5, 2016"],"source_url":"https://www.flickr.com/photos/98609821@N00/27493486013/","description":"","license_url":"https://creativecommons.org/licenses/by/2.0/","review_note":"Exact source title and preserve scene visually reviewed, no portrait or standalone copyrighted work.","reviewed_on":"2026-10-24","source_text":"Virtual Pilgrim Panorama Vista Preserve July 5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Virtual Pilgrim Panorama Vista Preserve July 5 Done 124 views 0 faves 0 comments Uploaded on July 5, 2016 Taken on July 5, 2016 Julie Jordan Scott By: Julie Jordan Scott Virtual Pilgrim Panorama Vista Preserve July 5 Done 124 views 0 faves 0 comments Uploaded on July 5, 2016 Taken on July 5,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photography.","capture_date":"2016-07-05","download_url":"https://live.staticflickr.com/7357/27493486013_64d7f6f4ea_b.jpg","original_url":"https://live.staticflickr.com/7357/27493486013_ed7569e75f_o.jpg","pixel_review":{"method":"İndirilen kare temas sayfasında görüldü; kaynak mekân kimliğiyle eşleştirildi. Seçim kaydı final-pixel-review.json.","status":"verified","caption":"Panorama Vista Preserve · açık koruluk ve çayır, 2016","reviewer":"Codex (AI)","review_id":"H78"},"source_title":"Virtual Pilgrim Panorama Vista Preserve July 5","downloaded_at":"2026-10-23T20:38:26.114108+00:00","download_sha256":"609f380333294f86b65482284f51fa9233674bdfc240a059dd401181d1dbe38c","downloaded_file":"downloads/609f380333294f86b65482284f51fa9233674bdfc240a059dd401181d1dbe38c.jpg","public_metadata":{"photo-models":[{"data":{"id":"27493486013","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7357/27493486013_64d7f6f4ea_c.jpg","width":800,"height":600,"displayUrl":"//live.staticflickr.com/7357/27493486013_64d7f6f4ea_c.jpg"},"exportMetaType":"pojo"},"h":{"data":{"url":"//live.staticflickr.com/7357/27493486013_840c6618d0_h.jpg","width":1600,"height":1200,"displayUrl":"//live.staticflickr.com/7357/27493486013_840c6618d0_h.jpg"},"exportMetaType":"pojo"},"k":{"data":{"url":"//live.staticflickr.com/7357/27493486013_e7eae4303e_k.jpg","width":2048,"height":1536,"displayUrl":"//live.staticflickr.com/7357/27493486013_e7eae4303e_k.jpg"},"exportMetaType":"pojo"},"l":{"data":{"url":"//live.staticflickr.com/7357/27493486013_64d7f6f4ea_b.jpg","width":1024,"height":768,"displayUrl":"//live.staticflickr.com/7357/27493486013_64d7f6f4ea_b.jpg"},"exportMetaType":"pojo"},"m":{"data":{"url":"//live.staticflickr.com/7357/27493486013_64d7f6f4ea.jpg","width":500,"height":375,"displayUrl":"//live.staticflickr.com/7357/27493486013_64d7f6f4ea.jpg"},"exportMetaType":"pojo"},"n":{"data":{"url":"//live.staticflickr.com/7357/27493486013_64d7f6f4ea_n.jpg","width":320,"height":240,"displayUrl":"//live.staticflickr.com/7357/27493486013_64d7f6f4ea_n.jpg"},"exportMetaType":"pojo"},"o":{"data":{"url":"//live.staticflickr.com/7357/27493486013_ed7569e75f_o.jpg","width":3264,"height":2448,"displayUrl":"//live.staticflickr.com/7357/27493486013_ed7569e75f_o.jpg"},"exportMetaType":"pojo"},"q":{"data":{"url":"//live.staticflickr.com/7357/27493486013_64d7f6f4ea_q.jpg","width":150,"height":150,"displayUrl":"//live.staticflickr.com/7357/27493486013_64d7f6f4ea_q.jpg"},"exportMetaType":"pojo"},"s":{"data":{"url":"//live.staticflickr.com/7357/27493486013_64d7f6f4ea_m.jpg","width":240,"height":180,"displayUrl":"//live.staticflickr.com/7357/27493486013_64d7f6f4ea_m.jpg"},"exportMetaType":"pojo"},"t":{"data":{"url":"//live.staticflickr.com/7357/27493486013_64d7f6f4ea_t.jpg","width":100,"height":75,"displayUrl":"//live.staticflickr.com/7357/27493486013_64d7f6f4ea_t.jpg"},"exportMetaType":"pojo"},"w":{"data":{"url":"//live.staticflickr.com/7357/27493486013_64d7f6f4ea_w.jpg","width":400,"height":300,"displayUrl":"//live.staticflickr.com/7357/27493486013_64d7f6f4ea_w.jpg"},"exportMetaType":"pojo"},"z":{"data":{"url":"//live.staticflickr.com/7357/27493486013_64d7f6f4ea_z.jpg","width":640,"height":480,"displayUrl":"//live.staticflickr.com/7357/27493486013_64d7f6f4ea_z.jpg"},"exportMetaType":"pojo"},"3k":{"data":{"url":"//live.staticflickr.com/7357/27493486013_535ac2078d_3k.jpg","width":3072,"height":2304,"displayUrl":"//live.staticflickr.com/7357/27493486013_535ac2078d_3k.jpg"},"exportMetaType":"pojo"},"sq":{"data":{"url":"//live.staticflickr.com/7357/27493486013_64d7f6f4ea_s.jpg","width":75,"height":75,"displayUrl":"//live.staticflickr.com/7357/27493486013_64d7f6f4ea_s.jpg"},"exportMetaType":"pojo"}},"exportMetaType":"pojo"},"title":"Virtual Pilgrim Panorama Vista Preserve July 5","oWidth":3264,"secret":"64d7f6f4ea","license":4,"oHeight":2448,"rotation":0,"canAddMeta":false,"canComment":false,"engagement":{"data":{"id":"27493486013","canShare":true,"ownerNsid":"98609821@N00","reactions":{"data":{"like":{"data":{"id":"like","count":5,"canReact":true,"didViewerReact":true},"exportMetaType":"pojo"},"someOtherReaction":{"data":{"id":"someOtherReaction","count":3,"canReact":true,"didViewerReact":false},"exportMetaType":"pojo"}},"exportMetaType":"pojo"},"viewCount":124,"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27493486013","_flickrModelRegistry":"photo-geo-models"},"exportMetaType":"model"}],"photo-location-models":[{"data":{"id":"27493486013","geo":{"data":"~2","exportMetaType":"model"},"text":"","levels":{"data":{},"exportMetaType":"pojo"},"staticMaps":{"data":{},"exportMetaType":"pojo"},"_flickrModelRegistry":"photo-location-models"},"exportMetaType":"model"}],"photo-head-meta-models":[{"data":{"id":"27493486013","title":"Virtual Pilgrim Panorama Vista Preserve July 5","og:url":"https://www.flickr.com/photos/juliejordanscott/27493486013/","og:type":"article","og:image":"https://live.staticflickr.com/7357/27493486013_64d7f6f4ea_b.jpg","og:title":"Virtual Pilgrim Panorama Vista Preserve July 5","twitter:card":"summary_large_image","twitter:image":"https://live.staticflickr.com/7357/27493486013_64d7f6f4ea_b.jpg","og:description":"","og:image:width":1024,"og:image:height":768,"twitter:creator":"@juliejordanscot","twitter:description":"Explore juliejordanscott's 67408 photos on Flickr!","_flickrModelRegistry":"photo-head-meta-models","twitter:app:url:ipad":"flickr://flickr.com/photos/juliejordanscott/27493486013/","twitter:app:url:iphone":"flickr://flickr.com/photos/juliejordanscott/27493486013/","twitter:app:url:googleplay":"https://www.flickr.com/photos/juliejordanscott/27493486013/"},"exportMetaType":"model"}],"photo-license-history-models":[]},"acquisition_file":"fl-27493486013.webp","source_html_file":"/Users/atincakcayoz/corteqs/output/bakersfield-production-20261023/flickr-source-pages/27493486013.html","original_file_url":"https://live.staticflickr.com/7357/27493486013_ed7569e75f_o.jpg","proposed_identity":"Panorama Vista Preserve","source_html_sha256":"6c4299aedf4768359691705b64d0855cec343f116264ed102e0309d8a261dbd0","third_party_rights_review":{"basis":"Kaynakta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dönüştürüldü.","original_file_url":"https://live.staticflickr.com/7357/27493486013_ed7569e75f_o.jpg"},"metadata_reviewed_on":"2026-10-24","metadata_review_status":"verified"}}</x:v>
      </x:c>
    </x:row>
    <x:row r="271" ht="300" customHeight="1">
      <x:c r="A271" s="29" t="str">
        <x:v>bakersfield:evidence:venue-22236</x:v>
      </x:c>
      <x:c r="B271" s="29" t="str">
        <x:v>bakersfield</x:v>
      </x:c>
      <x:c r="C271" s="29" t="str">
        <x:v>bakersfield:photo:venue-22236</x:v>
      </x:c>
      <x:c r="D271" s="29" t="str">
        <x:v>https://www.flickr.com/photos/98609821@N00/28074478076/</x:v>
      </x:c>
      <x:c r="E271" s="29" t="str">
        <x:v>Panorama Vista Preserve · sulak alan, 2016</x:v>
      </x:c>
      <x:c r="F271" s="29" t="str">
        <x:v>Julie Jordan Scott</x:v>
      </x:c>
      <x:c r="G271" s="29" t="str">
        <x:v>CC BY 2.0</x:v>
      </x:c>
      <x:c r="H271" s="29" t="str">
        <x:v>https://creativecommons.org/licenses/by/2.0/</x:v>
      </x:c>
      <x:c r="I271" s="29" t="str">
        <x:v>CC BY 2.0</x:v>
      </x:c>
      <x:c r="J271" s="29" t="str">
        <x:v>Panorama Vista Preserve · sulak alan, 2016 · Julie Jordan Scott · CC BY 2.0 · https://www.flickr.com/photos/98609821@N00/28074478076/</x:v>
      </x:c>
      <x:c r="K27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1" s="31" t="d">
        <x:v>2026-10-24T00:00:00.000Z</x:v>
      </x:c>
      <x:c r="M271" s="29" t="str">
        <x:v>Doğrulandı</x:v>
      </x:c>
      <x:c r="N271" s="29" t="str">
        <x:v>Doğrulandı</x:v>
      </x:c>
      <x:c r="O271" s="29" t="str">
        <x:v>Fotoğraflar/bk-b9c9d2b8460596af742e0368.webp</x:v>
      </x:c>
      <x:c r="P271" s="29" t="str">
        <x:v>Panorama Vista Preserve · sulak alan, 2016 · İndirilen kare temas sayfasında görüldü; kaynak mekân kimliğiyle eşleştirildi. Seçim kaydı final-pixel-review.json.</x:v>
      </x:c>
      <x:c r="Q271" s="29" t="str">
        <x:v>Bu kare için uygun</x:v>
      </x:c>
      <x:c r="R27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1" s="29" t="str">
        <x:v>Lisans kanıtları/bk-b9c9d2b8460596af742e0368.source-evidence.json</x:v>
      </x:c>
      <x:c r="T271" s="29" t="str">
        <x:v>7b9e99602415c121f52ebbc7eb7428a6971d6a1531aaf9551849eaa08a15f49a</x:v>
      </x:c>
      <x:c r="U271" s="29" t="str">
        <x:v>Lisans kanıtları/bk-b9c9d2b8460596af742e0368.license-record.json</x:v>
      </x:c>
      <x:c r="V271" s="29" t="str">
        <x:v>9a349818e2c1812d42d67831f64f6fbc1b6c65ed0b0a715bf6697b00b0c7d407</x:v>
      </x:c>
      <x:c r="W271" s="29" t="str">
        <x:v>{"file":"bk-b9c9d2b8460596af742e0368.webp","width":1024,"author":"Julie Jordan Scott","height":768,"sha256":"b9c9d2b8460596af742e0368d5a25f32d9407b27f97fb20395360faf79a0bf29","status":"reviewed-selected","license":"CC BY 2.0","provider":"Flickr","review_id":"H94","source_id":"28074478076","author_url":"https://www.flickr.com/photos/98609821@N00/","date_texts":["Uploaded on July 5, 2016 Taken on July 5, 2016","Taken on July 5, 2016","Uploaded on July 5, 2016 Taken on July 5, 2016","Taken on July 5, 2016"],"source_url":"https://www.flickr.com/photos/98609821@N00/28074478076/","description":"","license_url":"https://creativecommons.org/licenses/by/2.0/","review_note":"Exact source title and preserve scene visually reviewed, no portrait or standalone copyrighted work.","reviewed_on":"2026-10-24","source_text":"Virtual Pilgrim Panorama Vista Preserve July 5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Virtual Pilgrim Panorama Vista Preserve July 5 Done 123 views 0 faves 0 comments Uploaded on July 5, 2016 Taken on July 5, 2016 Julie Jordan Scott By: Julie Jordan Scott Virtual Pilgrim Panorama Vista Preserve July 5 Done 123 views 0 faves 0 comments Uploaded on July 5, 2016 Taken on July 5,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photography.","capture_date":"2016-07-05","download_url":"https://live.staticflickr.com/7515/28074478076_2468297739_b.jpg","original_url":"https://live.staticflickr.com/7515/28074478076_81f5589a63_o.jpg","pixel_review":{"method":"İndirilen kare temas sayfasında görüldü; kaynak mekân kimliğiyle eşleştirildi. Seçim kaydı final-pixel-review.json.","status":"verified","caption":"Panorama Vista Preserve · sulak alan, 2016","reviewer":"Codex (AI)","review_id":"H94"},"source_title":"Virtual Pilgrim Panorama Vista Preserve July 5","downloaded_at":"2026-10-23T20:38:27.511853+00:00","download_sha256":"35bcbac3e23f938f5948b02e422ef77d9c4114774caeaafd01cf950c2ed9fc0f","downloaded_file":"downloads/35bcbac3e23f938f5948b02e422ef77d9c4114774caeaafd01cf950c2ed9fc0f.jpg","public_metadata":{"photo-models":[{"data":{"id":"28074478076","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7515/28074478076_2468297739_c.jpg","width":800,"height":600,"displayUrl":"//live.staticflickr.com/7515/28074478076_2468297739_c.jpg"},"exportMetaType":"pojo"},"h":{"data":{"url":"//live.staticflickr.com/7515/28074478076_f7396e13f1_h.jpg","width":1600,"height":1200,"displayUrl":"//live.staticflickr.com/7515/28074478076_f7396e13f1_h.jpg"},"exportMetaType":"pojo"},"k":{"data":{"url":"//live.staticflickr.com/7515/28074478076_dfa8f7d85d_k.jpg","width":2048,"height":1536,"displayUrl":"//live.staticflickr.com/7515/28074478076_dfa8f7d85d_k.jpg"},"exportMetaType":"pojo"},"l":{"data":{"url":"//live.staticflickr.com/7515/28074478076_2468297739_b.jpg","width":1024,"height":768,"displayUrl":"//live.staticflickr.com/7515/28074478076_2468297739_b.jpg"},"exportMetaType":"pojo"},"m":{"data":{"url":"//live.staticflickr.com/7515/28074478076_2468297739.jpg","width":500,"height":375,"displayUrl":"//live.staticflickr.com/7515/28074478076_2468297739.jpg"},"exportMetaType":"pojo"},"n":{"data":{"url":"//live.staticflickr.com/7515/28074478076_2468297739_n.jpg","width":320,"height":240,"displayUrl":"//live.staticflickr.com/7515/28074478076_2468297739_n.jpg"},"exportMetaType":"pojo"},"o":{"data":{"url":"//live.staticflickr.com/7515/28074478076_81f5589a63_o.jpg","width":3264,"height":2448,"displayUrl":"//live.staticflickr.com/7515/28074478076_81f5589a63_o.jpg"},"exportMetaType":"pojo"},"q":{"data":{"url":"//live.staticflickr.com/7515/28074478076_2468297739_q.jpg","width":150,"height":150,"displayUrl":"//live.staticflickr.com/7515/28074478076_2468297739_q.jpg"},"exportMetaType":"pojo"},"s":{"data":{"url":"//live.staticflickr.com/7515/28074478076_2468297739_m.jpg","width":240,"height":180,"displayUrl":"//live.staticflickr.com/7515/28074478076_2468297739_m.jpg"},"exportMetaType":"pojo"},"t":{"data":{"url":"//live.staticflickr.com/7515/28074478076_2468297739_t.jpg","width":100,"height":75,"displayUrl":"//live.staticflickr.com/7515/28074478076_2468297739_t.jpg"},"exportMetaType":"pojo"},"w":{"data":{"url":"//live.staticflickr.com/7515/28074478076_2468297739_w.jpg","width":400,"height":300,"displayUrl":"//live.staticflickr.com/7515/28074478076_2468297739_w.jpg"},"exportMetaType":"pojo"},"z":{"data":{"url":"//live.staticflickr.com/7515/28074478076_2468297739_z.jpg","width":640,"height":480,"displayUrl":"//live.staticflickr.com/7515/28074478076_2468297739_z.jpg"},"exportMetaType":"pojo"},"3k":{"data":{"url":"//live.staticflickr.com/7515/28074478076_31c179bdb3_3k.jpg","width":3072,"height":2304,"displayUrl":"//live.staticflickr.com/7515/28074478076_31c179bdb3_3k.jpg"},"exportMetaType":"pojo"},"sq":{"data":{"url":"//live.staticflickr.com/7515/28074478076_2468297739_s.jpg","width":75,"height":75,"displayUrl":"//live.staticflickr.com/7515/28074478076_2468297739_s.jpg"},"exportMetaType":"pojo"}},"exportMetaType":"pojo"},"title":"Virtual Pilgrim Panorama Vista Preserve July 5","oWidth":3264,"secret":"2468297739","license":4,"oHeight":2448,"rotation":0,"canAddMeta":false,"canComment":false,"engagement":{"data":{"id":"28074478076","canShare":true,"ownerNsid":"98609821@N00","reactions":{"data":{"like":{"data":{"id":"like","count":5,"canReact":true,"didViewerReact":true},"exportMetaType":"pojo"},"someOtherReaction":{"data":{"id":"someOtherReaction","count":3,"canReact":true,"didViewerReact":false},"exportMetaType":"pojo"}},"exportMetaType":"pojo"},"viewCount":123,"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28074478076","_flickrModelRegistry":"photo-geo-models"},"exportMetaType":"model"}],"photo-location-models":[{"data":{"id":"28074478076","geo":{"data":"~2","exportMetaType":"model"},"text":"","levels":{"data":{},"exportMetaType":"pojo"},"staticMaps":{"data":{},"exportMetaType":"pojo"},"_flickrModelRegistry":"photo-location-models"},"exportMetaType":"model"}],"photo-head-meta-models":[{"data":{"id":"28074478076","title":"Virtual Pilgrim Panorama Vista Preserve July 5","og:url":"https://www.flickr.com/photos/juliejordanscott/28074478076/","og:type":"article","og:image":"https://live.staticflickr.com/7515/28074478076_2468297739_b.jpg","og:title":"Virtual Pilgrim Panorama Vista Preserve July 5","twitter:card":"summary_large_image","twitter:image":"https://live.staticflickr.com/7515/28074478076_2468297739_b.jpg","og:description":"","og:image:width":1024,"og:image:height":768,"twitter:creator":"@juliejordanscot","twitter:description":"Explore juliejordanscott's 67408 photos on Flickr!","_flickrModelRegistry":"photo-head-meta-models","twitter:app:url:ipad":"flickr://flickr.com/photos/juliejordanscott/28074478076/","twitter:app:url:iphone":"flickr://flickr.com/photos/juliejordanscott/28074478076/","twitter:app:url:googleplay":"https://www.flickr.com/photos/juliejordanscott/28074478076/"},"exportMetaType":"model"}],"photo-license-history-models":[]},"acquisition_file":"fl-28074478076.webp","source_html_file":"/Users/atincakcayoz/corteqs/output/bakersfield-production-20261023/flickr-source-pages/28074478076.html","original_file_url":"https://live.staticflickr.com/7515/28074478076_81f5589a63_o.jpg","proposed_identity":"Panorama Vista Preserve","source_html_sha256":"a25590c99c7fff4847cd57cfd1ae56b5ed6dd077f63ca276abb6e03ca5684990","third_party_rights_review":{"basis":"Kaynakta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dönüştürüldü.","original_file_url":"https://live.staticflickr.com/7515/28074478076_81f5589a63_o.jpg"},"metadata_reviewed_on":"2026-10-24","metadata_review_status":"verified"}}</x:v>
      </x:c>
    </x:row>
    <x:row r="272" ht="300" customHeight="1">
      <x:c r="A272" s="29" t="str">
        <x:v>bakersfield:evidence:venue-22237</x:v>
      </x:c>
      <x:c r="B272" s="29" t="str">
        <x:v>bakersfield</x:v>
      </x:c>
      <x:c r="C272" s="29" t="str">
        <x:v>bakersfield:photo:venue-22237</x:v>
      </x:c>
      <x:c r="D272" s="29" t="str">
        <x:v>https://www.flickr.com/photos/98609821@N00/28109065195/</x:v>
      </x:c>
      <x:c r="E272" s="29" t="str">
        <x:v>Panorama Vista Preserve · ağaçlar arasındaki patika, 2016</x:v>
      </x:c>
      <x:c r="F272" s="29" t="str">
        <x:v>Julie Jordan Scott</x:v>
      </x:c>
      <x:c r="G272" s="29" t="str">
        <x:v>CC BY 2.0</x:v>
      </x:c>
      <x:c r="H272" s="29" t="str">
        <x:v>https://creativecommons.org/licenses/by/2.0/</x:v>
      </x:c>
      <x:c r="I272" s="29" t="str">
        <x:v>CC BY 2.0</x:v>
      </x:c>
      <x:c r="J272" s="29" t="str">
        <x:v>Panorama Vista Preserve · ağaçlar arasındaki patika, 2016 · Julie Jordan Scott · CC BY 2.0 · https://www.flickr.com/photos/98609821@N00/28109065195/</x:v>
      </x:c>
      <x:c r="K27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2" s="31" t="d">
        <x:v>2026-10-24T00:00:00.000Z</x:v>
      </x:c>
      <x:c r="M272" s="29" t="str">
        <x:v>Doğrulandı</x:v>
      </x:c>
      <x:c r="N272" s="29" t="str">
        <x:v>Doğrulandı</x:v>
      </x:c>
      <x:c r="O272" s="29" t="str">
        <x:v>Fotoğraflar/bk-edd98021adfd1919eaeab084.webp</x:v>
      </x:c>
      <x:c r="P272" s="29" t="str">
        <x:v>Panorama Vista Preserve · ağaçlar arasındaki patika, 2016 · İndirilen kare temas sayfasında görüldü; kaynak mekân kimliğiyle eşleştirildi. Seçim kaydı final-pixel-review.json.</x:v>
      </x:c>
      <x:c r="Q272" s="29" t="str">
        <x:v>Bu kare için uygun</x:v>
      </x:c>
      <x:c r="R27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2" s="29" t="str">
        <x:v>Lisans kanıtları/bk-edd98021adfd1919eaeab084.source-evidence.json</x:v>
      </x:c>
      <x:c r="T272" s="29" t="str">
        <x:v>9433e56c1d9f429f04540a57caf4fa51e5a43f0a2fd72faafc886996f2bc7c1b</x:v>
      </x:c>
      <x:c r="U272" s="29" t="str">
        <x:v>Lisans kanıtları/bk-edd98021adfd1919eaeab084.license-record.json</x:v>
      </x:c>
      <x:c r="V272" s="29" t="str">
        <x:v>01924ab6adea537d432f33e9eee9dd9df4a94e22546504277e871d7dac5b0b27</x:v>
      </x:c>
      <x:c r="W272" s="29" t="str">
        <x:v>{"file":"bk-edd98021adfd1919eaeab084.webp","width":768,"author":"Julie Jordan Scott","height":1024,"sha256":"edd98021adfd1919eaeab084805dd404d97402be12c919978672de9043db4edd","status":"reviewed-selected","license":"CC BY 2.0","provider":"Flickr","review_id":"H98","source_id":"28109065195","author_url":"https://www.flickr.com/photos/98609821@N00/","date_texts":["Uploaded on July 5, 2016 Taken on July 5, 2016","Taken on July 5, 2016","Uploaded on July 5, 2016 Taken on July 5, 2016","Taken on July 5, 2016"],"source_url":"https://www.flickr.com/photos/98609821@N00/28109065195/","description":"","license_url":"https://creativecommons.org/licenses/by/2.0/","review_note":"Exact source title and preserve scene visually reviewed, no portrait or standalone copyrighted work.","reviewed_on":"2026-10-24","source_text":"Virtual pilgrim July 5. Panorama Vista Preserve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Virtual pilgrim July 5. Panorama Vista Preserve Done 105 views 0 faves 0 comments Uploaded on July 5, 2016 Taken on July 5, 2016 Julie Jordan Scott By: Julie Jordan Scott Virtual pilgrim July 5. Panorama Vista Preserve Done 105 views 0 faves 0 comments Uploaded on July 5, 2016 Taken on July 5,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photography.","capture_date":"2016-07-05","download_url":"https://live.staticflickr.com/7652/28109065195_3372f0d248_b.jpg","original_url":"https://live.staticflickr.com/7652/28109065195_15b12dc63f_o.jpg","pixel_review":{"method":"İndirilen kare temas sayfasında görüldü; kaynak mekân kimliğiyle eşleştirildi. Seçim kaydı final-pixel-review.json.","status":"verified","caption":"Panorama Vista Preserve · ağaçlar arasındaki patika, 2016","reviewer":"Codex (AI)","review_id":"H98"},"source_title":"Virtual pilgrim July 5. Panorama Vista Preserve","downloaded_at":"2026-10-23T20:38:28.159984+00:00","download_sha256":"131348fd6d712ecc04d0840dd18f3eadce0683cd72cbd8396a3bb85aced1f2ee","downloaded_file":"downloads/131348fd6d712ecc04d0840dd18f3eadce0683cd72cbd8396a3bb85aced1f2ee.jpg","public_metadata":{"photo-models":[{"data":{"id":"28109065195","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7652/28109065195_3372f0d248_c.jpg","width":600,"height":800,"displayUrl":"//live.staticflickr.com/7652/28109065195_3372f0d248_c.jpg"},"exportMetaType":"pojo"},"h":{"data":{"url":"//live.staticflickr.com/7652/28109065195_3f0b8ef9c5_h.jpg","width":1200,"height":1600,"displayUrl":"//live.staticflickr.com/7652/28109065195_3f0b8ef9c5_h.jpg"},"exportMetaType":"pojo"},"k":{"data":{"url":"//live.staticflickr.com/7652/28109065195_f15fdf57ca_k.jpg","width":1536,"height":2048,"displayUrl":"//live.staticflickr.com/7652/28109065195_f15fdf57ca_k.jpg"},"exportMetaType":"pojo"},"l":{"data":{"url":"//live.staticflickr.com/7652/28109065195_3372f0d248_b.jpg","width":768,"height":1024,"displayUrl":"//live.staticflickr.com/7652/28109065195_3372f0d248_b.jpg"},"exportMetaType":"pojo"},"m":{"data":{"url":"//live.staticflickr.com/7652/28109065195_3372f0d248.jpg","width":375,"height":500,"displayUrl":"//live.staticflickr.com/7652/28109065195_3372f0d248.jpg"},"exportMetaType":"pojo"},"n":{"data":{"url":"//live.staticflickr.com/7652/28109065195_3372f0d248_n.jpg","width":240,"height":320,"displayUrl":"//live.staticflickr.com/7652/28109065195_3372f0d248_n.jpg"},"exportMetaType":"pojo"},"o":{"data":{"url":"//live.staticflickr.com/7652/28109065195_15b12dc63f_o.jpg","width":3264,"height":2448,"displayUrl":"//live.staticflickr.com/7652/28109065195_15b12dc63f_o.jpg"},"exportMetaType":"pojo"},"q":{"data":{"url":"//live.staticflickr.com/7652/28109065195_3372f0d248_q.jpg","width":150,"height":150,"displayUrl":"//live.staticflickr.com/7652/28109065195_3372f0d248_q.jpg"},"exportMetaType":"pojo"},"s":{"data":{"url":"//live.staticflickr.com/7652/28109065195_3372f0d248_m.jpg","width":180,"height":240,"displayUrl":"//live.staticflickr.com/7652/28109065195_3372f0d248_m.jpg"},"exportMetaType":"pojo"},"t":{"data":{"url":"//live.staticflickr.com/7652/28109065195_3372f0d248_t.jpg","width":75,"height":100,"displayUrl":"//live.staticflickr.com/7652/28109065195_3372f0d248_t.jpg"},"exportMetaType":"pojo"},"w":{"data":{"url":"//live.staticflickr.com/7652/28109065195_3372f0d248_w.jpg","width":300,"height":400,"displayUrl":"//live.staticflickr.com/7652/28109065195_3372f0d248_w.jpg"},"exportMetaType":"pojo"},"z":{"data":{"url":"//live.staticflickr.com/7652/28109065195_3372f0d248_z.jpg","width":480,"height":640,"displayUrl":"//live.staticflickr.com/7652/28109065195_3372f0d248_z.jpg"},"exportMetaType":"pojo"},"3k":{"data":{"url":"//live.staticflickr.com/7652/28109065195_9c41487c61_3k.jpg","width":2304,"height":3072,"displayUrl":"//live.staticflickr.com/7652/28109065195_9c41487c61_3k.jpg"},"exportMetaType":"pojo"},"sq":{"data":{"url":"//live.staticflickr.com/7652/28109065195_3372f0d248_s.jpg","width":75,"height":75,"displayUrl":"//live.staticflickr.com/7652/28109065195_3372f0d248_s.jpg"},"exportMetaType":"pojo"}},"exportMetaType":"pojo"},"title":"Virtual pilgrim July 5. Panorama Vista Preserve","oWidth":3264,"secret":"3372f0d248","license":4,"oHeight":2448,"rotation":90,"canAddMeta":false,"canComment":false,"engagement":{"data":{"id":"28109065195","canShare":true,"ownerNsid":"98609821@N00","reactions":{"data":{"like":{"data":{"id":"like","count":5,"canReact":true,"didViewerReact":true},"exportMetaType":"pojo"},"someOtherReaction":{"data":{"id":"someOtherReaction","count":3,"canReact":true,"didViewerReact":false},"exportMetaType":"pojo"}},"exportMetaType":"pojo"},"viewCount":105,"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28109065195","_flickrModelRegistry":"photo-geo-models"},"exportMetaType":"model"}],"photo-location-models":[{"data":{"id":"28109065195","geo":{"data":"~2","exportMetaType":"model"},"text":"","levels":{"data":{},"exportMetaType":"pojo"},"staticMaps":{"data":{},"exportMetaType":"pojo"},"_flickrModelRegistry":"photo-location-models"},"exportMetaType":"model"}],"photo-head-meta-models":[{"data":{"id":"28109065195","title":"Virtual pilgrim July 5. Panorama Vista Preserve","og:url":"https://www.flickr.com/photos/juliejordanscott/28109065195/","og:type":"article","og:image":"https://live.staticflickr.com/7652/28109065195_3372f0d248_b.jpg","og:title":"Virtual pilgrim July 5. Panorama Vista Preserve","twitter:card":"summary_large_image","twitter:image":"https://live.staticflickr.com/7652/28109065195_3372f0d248_b.jpg","og:description":"","og:image:width":768,"og:image:height":1024,"twitter:creator":"@juliejordanscot","twitter:description":"Explore juliejordanscott's 67408 photos on Flickr!","_flickrModelRegistry":"photo-head-meta-models","twitter:app:url:ipad":"flickr://flickr.com/photos/juliejordanscott/28109065195/","twitter:app:url:iphone":"flickr://flickr.com/photos/juliejordanscott/28109065195/","twitter:app:url:googleplay":"https://www.flickr.com/photos/juliejordanscott/28109065195/"},"exportMetaType":"model"}],"photo-license-history-models":[]},"acquisition_file":"fl-28109065195.webp","source_html_file":"/Users/atincakcayoz/corteqs/output/bakersfield-production-20261023/flickr-source-pages/28109065195.html","original_file_url":"https://live.staticflickr.com/7652/28109065195_15b12dc63f_o.jpg","proposed_identity":"Panorama Vista Preserve","source_html_sha256":"99e305d1f7d927574d77ddbf4ee28db7654bfa9ea071ef5314020b1dcc808a29","third_party_rights_review":{"basis":"Kaynakta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dönüştürüldü.","original_file_url":"https://live.staticflickr.com/7652/28109065195_15b12dc63f_o.jpg"},"metadata_reviewed_on":"2026-10-24","metadata_review_status":"verified"}}</x:v>
      </x:c>
    </x:row>
    <x:row r="273" ht="300" customHeight="1">
      <x:c r="A273" s="29" t="str">
        <x:v>bakersfield:evidence:venue-22238</x:v>
      </x:c>
      <x:c r="B273" s="29" t="str">
        <x:v>bakersfield</x:v>
      </x:c>
      <x:c r="C273" s="29" t="str">
        <x:v>bakersfield:photo:venue-22238</x:v>
      </x:c>
      <x:c r="D273" s="29" t="str">
        <x:v>https://www.flickr.com/photos/98609821@N00/27828203780/</x:v>
      </x:c>
      <x:c r="E273" s="29" t="str">
        <x:v>Panorama Vista Preserve · giriş kapısı, 2016</x:v>
      </x:c>
      <x:c r="F273" s="29" t="str">
        <x:v>Julie Jordan Scott</x:v>
      </x:c>
      <x:c r="G273" s="29" t="str">
        <x:v>CC BY 2.0</x:v>
      </x:c>
      <x:c r="H273" s="29" t="str">
        <x:v>https://creativecommons.org/licenses/by/2.0/</x:v>
      </x:c>
      <x:c r="I273" s="29" t="str">
        <x:v>CC BY 2.0</x:v>
      </x:c>
      <x:c r="J273" s="29" t="str">
        <x:v>Panorama Vista Preserve · giriş kapısı, 2016 · Julie Jordan Scott · CC BY 2.0 · https://www.flickr.com/photos/98609821@N00/27828203780/</x:v>
      </x:c>
      <x:c r="K27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3" s="31" t="d">
        <x:v>2026-10-24T00:00:00.000Z</x:v>
      </x:c>
      <x:c r="M273" s="29" t="str">
        <x:v>Doğrulandı</x:v>
      </x:c>
      <x:c r="N273" s="29" t="str">
        <x:v>Doğrulandı</x:v>
      </x:c>
      <x:c r="O273" s="29" t="str">
        <x:v>Fotoğraflar/bk-0bd94bc1675c6031e1bcf1ed.webp</x:v>
      </x:c>
      <x:c r="P273" s="29" t="str">
        <x:v>Panorama Vista Preserve · giriş kapısı, 2016 · İndirilen kare temas sayfasında görüldü; kaynak mekân kimliğiyle eşleştirildi. Seçim kaydı final-pixel-review.json.</x:v>
      </x:c>
      <x:c r="Q273" s="29" t="str">
        <x:v>Bu kare için uygun</x:v>
      </x:c>
      <x:c r="R27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3" s="29" t="str">
        <x:v>Lisans kanıtları/bk-0bd94bc1675c6031e1bcf1ed.source-evidence.json</x:v>
      </x:c>
      <x:c r="T273" s="29" t="str">
        <x:v>878c7e3e1ff9b45b736432962fb4e4f8ad013fee270584dfddacd6ca6e9fa9ea</x:v>
      </x:c>
      <x:c r="U273" s="29" t="str">
        <x:v>Lisans kanıtları/bk-0bd94bc1675c6031e1bcf1ed.license-record.json</x:v>
      </x:c>
      <x:c r="V273" s="29" t="str">
        <x:v>d0f7e23b31d2d25016847fe19594fdb24da082f993f97b1f6a91a62699e247d4</x:v>
      </x:c>
      <x:c r="W273" s="29" t="str">
        <x:v>{"file":"bk-0bd94bc1675c6031e1bcf1ed.webp","width":768,"author":"Julie Jordan Scott","height":1024,"sha256":"0bd94bc1675c6031e1bcf1ed53fea32a7ec465fdb4a66b472b84f0e25415d912","status":"reviewed-selected","license":"CC BY 2.0","provider":"Flickr","review_id":"H87","source_id":"27828203780","author_url":"https://www.flickr.com/photos/98609821@N00/","date_texts":["Uploaded on July 5, 2016 Taken on July 5, 2016","Taken on July 5, 2016","Uploaded on July 5, 2016 Taken on July 5, 2016","Taken on July 5, 2016"],"source_url":"https://www.flickr.com/photos/98609821@N00/27828203780/","description":"","license_url":"https://creativecommons.org/licenses/by/2.0/","review_note":"Exact source title and preserve scene visually reviewed, no portrait or standalone copyrighted work.","reviewed_on":"2026-10-24","source_text":"Virtual Pilgrim Panorama Vista Preserve July 5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Virtual Pilgrim Panorama Vista Preserve July 5 Done 121 views 0 faves 0 comments Uploaded on July 5, 2016 Taken on July 5, 2016 Julie Jordan Scott By: Julie Jordan Scott Virtual Pilgrim Panorama Vista Preserve July 5 Done 121 views 0 faves 0 comments Uploaded on July 5, 2016 Taken on July 5, 2016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photography.","capture_date":"2016-07-05","download_url":"https://live.staticflickr.com/7304/27828203780_6180c45339_b.jpg","original_url":"https://live.staticflickr.com/7304/27828203780_f1b62b0785_o.jpg","pixel_review":{"method":"İndirilen kare temas sayfasında görüldü; kaynak mekân kimliğiyle eşleştirildi. Seçim kaydı final-pixel-review.json.","status":"verified","caption":"Panorama Vista Preserve · giriş kapısı, 2016","reviewer":"Codex (AI)","review_id":"H87"},"source_title":"Virtual Pilgrim Panorama Vista Preserve July 5","downloaded_at":"2026-10-23T20:38:26.816626+00:00","download_sha256":"e5628d30895669407f7b8b89031c099e0bf0cc533f457eb488b012d6d75d7715","downloaded_file":"downloads/e5628d30895669407f7b8b89031c099e0bf0cc533f457eb488b012d6d75d7715.jpg","public_metadata":{"photo-models":[{"data":{"id":"27828203780","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7304/27828203780_6180c45339_c.jpg","width":600,"height":800,"displayUrl":"//live.staticflickr.com/7304/27828203780_6180c45339_c.jpg"},"exportMetaType":"pojo"},"h":{"data":{"url":"//live.staticflickr.com/7304/27828203780_9eb1e93554_h.jpg","width":1200,"height":1600,"displayUrl":"//live.staticflickr.com/7304/27828203780_9eb1e93554_h.jpg"},"exportMetaType":"pojo"},"k":{"data":{"url":"//live.staticflickr.com/7304/27828203780_e3bcbe0230_k.jpg","width":1536,"height":2048,"displayUrl":"//live.staticflickr.com/7304/27828203780_e3bcbe0230_k.jpg"},"exportMetaType":"pojo"},"l":{"data":{"url":"//live.staticflickr.com/7304/27828203780_6180c45339_b.jpg","width":768,"height":1024,"displayUrl":"//live.staticflickr.com/7304/27828203780_6180c45339_b.jpg"},"exportMetaType":"pojo"},"m":{"data":{"url":"//live.staticflickr.com/7304/27828203780_6180c45339.jpg","width":375,"height":500,"displayUrl":"//live.staticflickr.com/7304/27828203780_6180c45339.jpg"},"exportMetaType":"pojo"},"n":{"data":{"url":"//live.staticflickr.com/7304/27828203780_6180c45339_n.jpg","width":240,"height":320,"displayUrl":"//live.staticflickr.com/7304/27828203780_6180c45339_n.jpg"},"exportMetaType":"pojo"},"o":{"data":{"url":"//live.staticflickr.com/7304/27828203780_f1b62b0785_o.jpg","width":3264,"height":2448,"displayUrl":"//live.staticflickr.com/7304/27828203780_f1b62b0785_o.jpg"},"exportMetaType":"pojo"},"q":{"data":{"url":"//live.staticflickr.com/7304/27828203780_6180c45339_q.jpg","width":150,"height":150,"displayUrl":"//live.staticflickr.com/7304/27828203780_6180c45339_q.jpg"},"exportMetaType":"pojo"},"s":{"data":{"url":"//live.staticflickr.com/7304/27828203780_6180c45339_m.jpg","width":180,"height":240,"displayUrl":"//live.staticflickr.com/7304/27828203780_6180c45339_m.jpg"},"exportMetaType":"pojo"},"t":{"data":{"url":"//live.staticflickr.com/7304/27828203780_6180c45339_t.jpg","width":75,"height":100,"displayUrl":"//live.staticflickr.com/7304/27828203780_6180c45339_t.jpg"},"exportMetaType":"pojo"},"w":{"data":{"url":"//live.staticflickr.com/7304/27828203780_6180c45339_w.jpg","width":300,"height":400,"displayUrl":"//live.staticflickr.com/7304/27828203780_6180c45339_w.jpg"},"exportMetaType":"pojo"},"z":{"data":{"url":"//live.staticflickr.com/7304/27828203780_6180c45339_z.jpg","width":480,"height":640,"displayUrl":"//live.staticflickr.com/7304/27828203780_6180c45339_z.jpg"},"exportMetaType":"pojo"},"3k":{"data":{"url":"//live.staticflickr.com/7304/27828203780_3172c8e0d4_3k.jpg","width":2304,"height":3072,"displayUrl":"//live.staticflickr.com/7304/27828203780_3172c8e0d4_3k.jpg"},"exportMetaType":"pojo"},"sq":{"data":{"url":"//live.staticflickr.com/7304/27828203780_6180c45339_s.jpg","width":75,"height":75,"displayUrl":"//live.staticflickr.com/7304/27828203780_6180c45339_s.jpg"},"exportMetaType":"pojo"}},"exportMetaType":"pojo"},"title":"Virtual Pilgrim Panorama Vista Preserve July 5","oWidth":3264,"secret":"6180c45339","license":4,"oHeight":2448,"rotation":90,"canAddMeta":false,"canComment":false,"engagement":{"data":{"id":"27828203780","canShare":true,"ownerNsid":"98609821@N00","reactions":{"data":{"like":{"data":{"id":"like","count":5,"canReact":true,"didViewerReact":true},"exportMetaType":"pojo"},"someOtherReaction":{"data":{"id":"someOtherReaction","count":3,"canReact":true,"didViewerReact":false},"exportMetaType":"pojo"}},"exportMetaType":"pojo"},"viewCount":121,"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27828203780","_flickrModelRegistry":"photo-geo-models"},"exportMetaType":"model"}],"photo-location-models":[{"data":{"id":"27828203780","geo":{"data":"~2","exportMetaType":"model"},"text":"","levels":{"data":{},"exportMetaType":"pojo"},"staticMaps":{"data":{},"exportMetaType":"pojo"},"_flickrModelRegistry":"photo-location-models"},"exportMetaType":"model"}],"photo-head-meta-models":[{"data":{"id":"27828203780","title":"Virtual Pilgrim Panorama Vista Preserve July 5","og:url":"https://www.flickr.com/photos/juliejordanscott/27828203780/","og:type":"article","og:image":"https://live.staticflickr.com/7304/27828203780_6180c45339_b.jpg","og:title":"Virtual Pilgrim Panorama Vista Preserve July 5","twitter:card":"summary_large_image","twitter:image":"https://live.staticflickr.com/7304/27828203780_6180c45339_b.jpg","og:description":"","og:image:width":768,"og:image:height":1024,"twitter:creator":"@juliejordanscot","twitter:description":"Explore juliejordanscott's 67408 photos on Flickr!","_flickrModelRegistry":"photo-head-meta-models","twitter:app:url:ipad":"flickr://flickr.com/photos/juliejordanscott/27828203780/","twitter:app:url:iphone":"flickr://flickr.com/photos/juliejordanscott/27828203780/","twitter:app:url:googleplay":"https://www.flickr.com/photos/juliejordanscott/27828203780/"},"exportMetaType":"model"}],"photo-license-history-models":[]},"acquisition_file":"fl-27828203780.webp","source_html_file":"/Users/atincakcayoz/corteqs/output/bakersfield-production-20261023/flickr-source-pages/27828203780.html","original_file_url":"https://live.staticflickr.com/7304/27828203780_f1b62b0785_o.jpg","proposed_identity":"Panorama Vista Preserve","source_html_sha256":"281238a517b061051e74ecd6090ed12c6b0686de34dc2d41372a3a8d0b11b962","third_party_rights_review":{"basis":"Kaynakta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dönüştürüldü.","original_file_url":"https://live.staticflickr.com/7304/27828203780_f1b62b0785_o.jpg"},"metadata_reviewed_on":"2026-10-24","metadata_review_status":"verified"}}</x:v>
      </x:c>
    </x:row>
    <x:row r="274" ht="300" customHeight="1">
      <x:c r="A274" s="29" t="str">
        <x:v>bakersfield:evidence:venue-22239</x:v>
      </x:c>
      <x:c r="B274" s="29" t="str">
        <x:v>bakersfield</x:v>
      </x:c>
      <x:c r="C274" s="29" t="str">
        <x:v>bakersfield:photo:venue-22239</x:v>
      </x:c>
      <x:c r="D274" s="29" t="str">
        <x:v>https://commons.wikimedia.org/wiki/File:Bickel_Camp_cabin.JPG</x:v>
      </x:c>
      <x:c r="E274" s="29" t="str">
        <x:v>Bickel Camp cabin.JPG</x:v>
      </x:c>
      <x:c r="F274" s="29" t="str">
        <x:v>Kurtis Clark</x:v>
      </x:c>
      <x:c r="G274" s="29" t="str">
        <x:v>CC BY-SA 3.0</x:v>
      </x:c>
      <x:c r="H274" s="29" t="str">
        <x:v>https://creativecommons.org/licenses/by-sa/3.0</x:v>
      </x:c>
      <x:c r="I274" s="29" t="str">
        <x:v>Creative Commons Attribution-Share Alike 3.0</x:v>
      </x:c>
      <x:c r="J274" s="29" t="str">
        <x:v>Bickel Camp cabin.JPG · Kurtis Clark · CC BY-SA 3.0 · https://commons.wikimedia.org/wiki/File:Bickel_Camp_cabin.JPG</x:v>
      </x:c>
      <x:c r="K27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4" s="31" t="d">
        <x:v>2026-10-24T00:00:00.000Z</x:v>
      </x:c>
      <x:c r="M274" s="29" t="str">
        <x:v>Doğrulandı</x:v>
      </x:c>
      <x:c r="N274" s="29" t="str">
        <x:v>Doğrulandı</x:v>
      </x:c>
      <x:c r="O274" s="29" t="str">
        <x:v>Fotoğraflar/bk-91d62a5c2d6b3fdb2ef3c5f6.webp</x:v>
      </x:c>
      <x:c r="P274" s="29" t="str">
        <x:v>Bickel Camp · 2013 tarihli fotoğraf · İndirilen kare temas sayfasında görüldü; kaynak mekân kimliğiyle eşleştirildi. Seçim kaydı final-pixel-review.json.</x:v>
      </x:c>
      <x:c r="Q274" s="29" t="str">
        <x:v>Bu kare için uygun</x:v>
      </x:c>
      <x:c r="R27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4" s="29" t="str">
        <x:v>Lisans kanıtları/bk-91d62a5c2d6b3fdb2ef3c5f6.source-evidence.json</x:v>
      </x:c>
      <x:c r="T274" s="29" t="str">
        <x:v>4635041f256b4dea17e4b73c34e3acf7edb704c296d6ecf6f46b88f802a8a3a0</x:v>
      </x:c>
      <x:c r="U274" s="29" t="str">
        <x:v>Lisans kanıtları/bk-91d62a5c2d6b3fdb2ef3c5f6.license-record.json</x:v>
      </x:c>
      <x:c r="V274" s="29" t="str">
        <x:v>7fdabdaef9f1b8724a7f24729bf4070736daede1871cd724cf2a72cbaf541844</x:v>
      </x:c>
      <x:c r="W274" s="29" t="str">
        <x:v>{"file":"bk-91d62a5c2d6b3fdb2ef3c5f6.webp","width":1280,"author":"Kurtis Clark","height":960,"sha256":"91d62a5c2d6b3fdb2ef3c5f68fa26d2d57ca84c38582e3a7340d5df93aafe3d6","license":"CC BY-SA 3.0","imageinfo":{"url":"https://upload.wikimedia.org/wikipedia/commons/3/34/Bickel_Camp_cabin.JPG?utm_source=commons.wikimedia.org&amp;utm_campaign=imageinfo&amp;utm_content=original","mime":"image/jpeg","sha1":"800784307a72b9b62b878d79875e242f25f56405","size":5402287,"width":3456,"height":2592,"pageid":35298830,"thumburl":"https://thumb.wikimedia.org/wikipedia/commons/thumb/3/34/Bickel_Camp_cabin.JPG/1280px-Bickel_Camp_cabin.JPG?utm_source=commons.wikimedia.org&amp;utm_campaign=imageinfo&amp;utm_content=thumbnail","timestamp":"2014-09-11T16:16:45Z","thumbwidth":1280,"extmetadata":{"Artist":{"value":"&lt;a href=\"//commons.wikimedia.org/w/index.php?title=User:Kurtis2014&amp;amp;action=edit&amp;amp;redlink=1\" class=\"new\" title=\"User:Kurtis2014 (page does not exist)\"&gt;Kurtis Clark&lt;/a&gt;","source":"commons-desc-page"},"Credit":{"value":"&lt;span class=\"int-own-work\" lang=\"en\"&gt;Own work&lt;/span&gt;","source":"commons-desc-page"},"License":{"value":"cc-by-sa-3.0","hidden":"","source":"commons-templates"},"DateTime":{"value":"2014-09-11 16:16:45","hidden":"","source":"mediawiki-metadata"},"Categories":{"value":"Taken with Canon PowerShot SX110 IS|National Register of Historic Places in Kern County, California|Self-published work|National Register of Historic Places with known IDs|Images from Wikipedia Summer of Monuments|Uploaded via Campaign:wsm","hidden":"","source":"commons-categories"},"LicenseUrl":{"value":"https://creativecommons.org/licenses/by-sa/3.0","source":"commons-desc-page"},"ObjectName":{"value":"Bickel Camp cabin","source":"mediawiki-metadata"},"UsageTerms":{"value":"Creative Commons Attribution-Share Alike 3.0","source":"commons-desc-page"},"Assessments":{"value":"","hidden":"","source":"commons-categories"},"Copyrighted":{"value":"True","hidden":"","source":"commons-desc-page"},"Restrictions":{"value":"","hidden":"","source":"commons-desc-page"},"DateTimeOriginal":{"value":"2013-04-20 22:41:37","source":"commons-desc-page"},"ImageDescription":{"value":"Located in Last Chance Canyon, about 1.5 miles from Burro Schmidt Tunnel","source":"commons-desc-page"},"LicenseShortName":{"value":"CC BY-SA 3.0","hidden":"","source":"commons-desc-page"},"AttributionRequired":{"value":"true","hidden":"","source":"commons-desc-page"},"CommonsMetadataExtension":{"value":1.2,"hidden":"","source":"extension"}},"thumbheight":960,"thumbattribs":{"src":"https://thumb.wikimedia.org/wikipedia/commons/thumb/3/34/Bickel_Camp_cabin.JPG/1280px-Bickel_Camp_cabin.JPG?utm_source=commons.wikimedia.org&amp;utm_campaign=imageinfo&amp;utm_content=thumbnail","width":1280,"height":960,"srcset":"https://upload.wikimedia.org/wikipedia/commons/3/34/Bickel_Camp_cabin.JPG?utm_source=commons.wikimedia.org&amp;utm_campaign=imageinfo&amp;utm_content=thumbnail_unscaled 2x","loading":"lazy","decoding":"async"},"descriptionurl":"https://commons.wikimedia.org/wiki/File:Bickel_Camp_cabin.JPG","responsiveUrls":{"2":"https://upload.wikimedia.org/wikipedia/commons/3/34/Bickel_Camp_cabin.JPG?utm_source=commons.wikimedia.org&amp;utm_campaign=imageinfo&amp;utm_content=thumbnail_unscaled"},"descriptionshorturl":"https://commons.wikimedia.org/w/index.php?curid=35298830"},"selection":{"qid":"pending","kind":"candidate","title":"Bakersfield alternatives"},"author_url":"","derivative":"Wikimedia thumbnail decoded; EXIF orientation applied; converted to WebP quality 86; no generated pixels, no cropping.","source_url":"https://commons.wikimedia.org/wiki/File:Bickel_Camp_cabin.JPG","author_urls":[],"description":"Located in Last Chance Canyon, about 1.5 miles from Burro Schmidt Tunnel","license_url":"https://creativecommons.org/licenses/by-sa/3.0","reviewed_on":"2026-10-24","capture_date":"2013-04-20 22:41:37","download_url":"https://thumb.wikimedia.org/wikipedia/commons/thumb/3/34/Bickel_Camp_cabin.JPG/1280px-Bickel_Camp_cabin.JPG?utm_source=commons.wikimedia.org&amp;utm_campaign=imageinfo&amp;utm_content=thumbnail","original_url":"https://upload.wikimedia.org/wikipedia/commons/3/34/Bickel_Camp_cabin.JPG?utm_source=commons.wikimedia.org&amp;utm_campaign=imageinfo&amp;utm_content=original","pixel_review":{"method":"İndirilen kare temas sayfasında görüldü; kaynak mekân kimliğiyle eşleştirildi. Seçim kaydı final-pixel-review.json.","status":"verified","caption":"Bickel Camp · 2013 tarihli fotoğraf","reviewer":"Codex (AI)","review_id":"T11"},"downloaded_at":"2026-10-23T19:10:24.829453+00:00","download_sha256":"353d178664c3af41819237957e3287f5ec5b039d5a45cbaf575c277b4c74e2bb","downloaded_file":"downloads/353d178664c3af41819237957e3287f5ec5b039d5a45cbaf575c277b4c74e2bb.jpg","acquisition_file":"b6328472556a6ac902dff58a.webp","commons_filename":"Bickel Camp cabin.JPG","original_file_url":"https://upload.wikimedia.org/wikipedia/commons/3/34/Bickel_Camp_cabin.JPG?utm_source=commons.wikimedia.org&amp;utm_campaign=imageinfo&amp;utm_content=original","pixel_review_status":"pending","third_party_rights_review":{"basis":"Kaynakta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dönüştürüldü.","original_file_url":"https://upload.wikimedia.org/wikipedia/commons/3/34/Bickel_Camp_cabin.JPG?utm_source=commons.wikimedia.org&amp;utm_campaign=imageinfo&amp;utm_content=original"},"metadata_reviewed_on":"2026-10-24","metadata_review_status":"verified"}}</x:v>
      </x:c>
    </x:row>
    <x:row r="275" ht="300" customHeight="1">
      <x:c r="A275" s="29" t="str">
        <x:v>bakersfield:evidence:venue-22240</x:v>
      </x:c>
      <x:c r="B275" s="29" t="str">
        <x:v>bakersfield</x:v>
      </x:c>
      <x:c r="C275" s="29" t="str">
        <x:v>bakersfield:photo:venue-22240</x:v>
      </x:c>
      <x:c r="D275" s="29" t="str">
        <x:v>https://commons.wikimedia.org/wiki/File:Bickel_Camp_workshop.JPG</x:v>
      </x:c>
      <x:c r="E275" s="29" t="str">
        <x:v>Bickel Camp workshop.JPG</x:v>
      </x:c>
      <x:c r="F275" s="29" t="str">
        <x:v>Kurtis Clark</x:v>
      </x:c>
      <x:c r="G275" s="29" t="str">
        <x:v>CC BY-SA 3.0</x:v>
      </x:c>
      <x:c r="H275" s="29" t="str">
        <x:v>https://creativecommons.org/licenses/by-sa/3.0</x:v>
      </x:c>
      <x:c r="I275" s="29" t="str">
        <x:v>Creative Commons Attribution-Share Alike 3.0</x:v>
      </x:c>
      <x:c r="J275" s="29" t="str">
        <x:v>Bickel Camp workshop.JPG · Kurtis Clark · CC BY-SA 3.0 · https://commons.wikimedia.org/wiki/File:Bickel_Camp_workshop.JPG</x:v>
      </x:c>
      <x:c r="K27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5" s="31" t="d">
        <x:v>2026-10-24T00:00:00.000Z</x:v>
      </x:c>
      <x:c r="M275" s="29" t="str">
        <x:v>Doğrulandı</x:v>
      </x:c>
      <x:c r="N275" s="29" t="str">
        <x:v>Doğrulandı</x:v>
      </x:c>
      <x:c r="O275" s="29" t="str">
        <x:v>Fotoğraflar/bk-1ee4d2d61c41778e8dcd3ce7.webp</x:v>
      </x:c>
      <x:c r="P275" s="29" t="str">
        <x:v>Bickel Camp · 2013 tarihli fotoğraf · İndirilen kare temas sayfasında görüldü; kaynak mekân kimliğiyle eşleştirildi. Seçim kaydı final-pixel-review.json.</x:v>
      </x:c>
      <x:c r="Q275" s="29" t="str">
        <x:v>Bu kare için uygun</x:v>
      </x:c>
      <x:c r="R27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5" s="29" t="str">
        <x:v>Lisans kanıtları/bk-1ee4d2d61c41778e8dcd3ce7.source-evidence.json</x:v>
      </x:c>
      <x:c r="T275" s="29" t="str">
        <x:v>57ef5ee0a5c55251ced8242c619c4633c819584336956ac875a77ae59ec8282a</x:v>
      </x:c>
      <x:c r="U275" s="29" t="str">
        <x:v>Lisans kanıtları/bk-1ee4d2d61c41778e8dcd3ce7.license-record.json</x:v>
      </x:c>
      <x:c r="V275" s="29" t="str">
        <x:v>1283d43dc0df8b23dde170481a7377eb8f0e7743aeb13ea5d21b60816409cca5</x:v>
      </x:c>
      <x:c r="W275" s="29" t="str">
        <x:v>{"file":"bk-1ee4d2d61c41778e8dcd3ce7.webp","width":1280,"author":"Kurtis Clark","height":960,"sha256":"1ee4d2d61c41778e8dcd3ce7450cc4a6cb1a10c3b896abe66b809bcb0425f462","license":"CC BY-SA 3.0","imageinfo":{"url":"https://upload.wikimedia.org/wikipedia/commons/8/8f/Bickel_Camp_workshop.JPG?utm_source=commons.wikimedia.org&amp;utm_campaign=imageinfo&amp;utm_content=original","mime":"image/jpeg","sha1":"6380f1b3a30794fa406bda474deefe3af7d4c6d5","size":5131030,"width":3456,"height":2592,"pageid":35298828,"thumburl":"https://thumb.wikimedia.org/wikipedia/commons/thumb/8/8f/Bickel_Camp_workshop.JPG/1280px-Bickel_Camp_workshop.JPG?utm_source=commons.wikimedia.org&amp;utm_campaign=imageinfo&amp;utm_content=thumbnail","timestamp":"2014-09-11T16:16:44Z","thumbwidth":1280,"extmetadata":{"Artist":{"value":"&lt;a href=\"//commons.wikimedia.org/w/index.php?title=User:Kurtis2014&amp;amp;action=edit&amp;amp;redlink=1\" class=\"new\" title=\"User:Kurtis2014 (page does not exist)\"&gt;Kurtis Clark&lt;/a&gt;","source":"commons-desc-page"},"Credit":{"value":"&lt;span class=\"int-own-work\" lang=\"en\"&gt;Own work&lt;/span&gt;","source":"commons-desc-page"},"License":{"value":"cc-by-sa-3.0","hidden":"","source":"commons-templates"},"DateTime":{"value":"2014-09-11 16:16:44","hidden":"","source":"mediawiki-metadata"},"Categories":{"value":"Taken with Canon PowerShot SX110 IS|National Register of Historic Places in Kern County, California|Self-published work|National Register of Historic Places with known IDs|Images from Wikipedia Summer of Monuments|Uploaded via Campaign:wsm","hidden":"","source":"commons-categories"},"LicenseUrl":{"value":"https://creativecommons.org/licenses/by-sa/3.0","source":"commons-desc-page"},"ObjectName":{"value":"Bickel Camp workshop","source":"mediawiki-metadata"},"UsageTerms":{"value":"Creative Commons Attribution-Share Alike 3.0","source":"commons-desc-page"},"Assessments":{"value":"","hidden":"","source":"commons-categories"},"Copyrighted":{"value":"True","hidden":"","source":"commons-desc-page"},"Restrictions":{"value":"","hidden":"","source":"commons-desc-page"},"DateTimeOriginal":{"value":"2013-04-20 22:41:18","source":"commons-desc-page"},"ImageDescription":{"value":"Historic mining camp dating from the 1930's depression era.","source":"commons-desc-page"},"LicenseShortName":{"value":"CC BY-SA 3.0","hidden":"","source":"commons-desc-page"},"AttributionRequired":{"value":"true","hidden":"","source":"commons-desc-page"},"CommonsMetadataExtension":{"value":1.2,"hidden":"","source":"extension"}},"thumbheight":960,"thumbattribs":{"src":"https://thumb.wikimedia.org/wikipedia/commons/thumb/8/8f/Bickel_Camp_workshop.JPG/1280px-Bickel_Camp_workshop.JPG?utm_source=commons.wikimedia.org&amp;utm_campaign=imageinfo&amp;utm_content=thumbnail","width":1280,"height":960,"srcset":"https://upload.wikimedia.org/wikipedia/commons/8/8f/Bickel_Camp_workshop.JPG?utm_source=commons.wikimedia.org&amp;utm_campaign=imageinfo&amp;utm_content=thumbnail_unscaled 2x","loading":"lazy","decoding":"async"},"descriptionurl":"https://commons.wikimedia.org/wiki/File:Bickel_Camp_workshop.JPG","responsiveUrls":{"2":"https://upload.wikimedia.org/wikipedia/commons/8/8f/Bickel_Camp_workshop.JPG?utm_source=commons.wikimedia.org&amp;utm_campaign=imageinfo&amp;utm_content=thumbnail_unscaled"},"descriptionshorturl":"https://commons.wikimedia.org/w/index.php?curid=35298828"},"selection":{"qid":"pending","kind":"candidate","title":"Bakersfield alternatives"},"author_url":"","derivative":"Wikimedia thumbnail decoded; EXIF orientation applied; converted to WebP quality 86; no generated pixels, no cropping.","source_url":"https://commons.wikimedia.org/wiki/File:Bickel_Camp_workshop.JPG","author_urls":[],"description":"Historic mining camp dating from the 1930's depression era.","license_url":"https://creativecommons.org/licenses/by-sa/3.0","reviewed_on":"2026-10-24","capture_date":"2013-04-20 22:41:18","download_url":"https://thumb.wikimedia.org/wikipedia/commons/thumb/8/8f/Bickel_Camp_workshop.JPG/1280px-Bickel_Camp_workshop.JPG?utm_source=commons.wikimedia.org&amp;utm_campaign=imageinfo&amp;utm_content=thumbnail","original_url":"https://upload.wikimedia.org/wikipedia/commons/8/8f/Bickel_Camp_workshop.JPG?utm_source=commons.wikimedia.org&amp;utm_campaign=imageinfo&amp;utm_content=original","pixel_review":{"method":"İndirilen kare temas sayfasında görüldü; kaynak mekân kimliğiyle eşleştirildi. Seçim kaydı final-pixel-review.json.","status":"verified","caption":"Bickel Camp · 2013 tarihli fotoğraf","reviewer":"Codex (AI)","review_id":"T12"},"downloaded_at":"2026-10-23T19:10:25.531688+00:00","download_sha256":"6e224d5cfb1cece302515fd552dfd7829e08f795a9a1722678ae0f23caf4fd14","downloaded_file":"downloads/6e224d5cfb1cece302515fd552dfd7829e08f795a9a1722678ae0f23caf4fd14.jpg","acquisition_file":"07e05dbd82a61a28d79a9575.webp","commons_filename":"Bickel Camp workshop.JPG","original_file_url":"https://upload.wikimedia.org/wikipedia/commons/8/8f/Bickel_Camp_workshop.JPG?utm_source=commons.wikimedia.org&amp;utm_campaign=imageinfo&amp;utm_content=original","pixel_review_status":"pending","third_party_rights_review":{"basis":"Kaynakta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dönüştürüldü.","original_file_url":"https://upload.wikimedia.org/wikipedia/commons/8/8f/Bickel_Camp_workshop.JPG?utm_source=commons.wikimedia.org&amp;utm_campaign=imageinfo&amp;utm_content=original"},"metadata_reviewed_on":"2026-10-24","metadata_review_status":"verified"}}</x:v>
      </x:c>
    </x:row>
    <x:row r="276" ht="300" customHeight="1">
      <x:c r="A276" s="29" t="str">
        <x:v>bakersfield:evidence:venue-22241</x:v>
      </x:c>
      <x:c r="B276" s="29" t="str">
        <x:v>bakersfield</x:v>
      </x:c>
      <x:c r="C276" s="29" t="str">
        <x:v>bakersfield:photo:venue-22241</x:v>
      </x:c>
      <x:c r="D276" s="29" t="str">
        <x:v>https://commons.wikimedia.org/wiki/File:Tunnel_south_entrance.JPG</x:v>
      </x:c>
      <x:c r="E276" s="29" t="str">
        <x:v>Tunnel south entrance.JPG</x:v>
      </x:c>
      <x:c r="F276" s="29" t="str">
        <x:v>Kurtis2014</x:v>
      </x:c>
      <x:c r="G276" s="29" t="str">
        <x:v>CC BY-SA 3.0</x:v>
      </x:c>
      <x:c r="H276" s="29" t="str">
        <x:v>https://creativecommons.org/licenses/by-sa/3.0</x:v>
      </x:c>
      <x:c r="I276" s="29" t="str">
        <x:v>Creative Commons Attribution-Share Alike 3.0</x:v>
      </x:c>
      <x:c r="J276" s="29" t="str">
        <x:v>Tunnel south entrance.JPG · Kurtis2014 · CC BY-SA 3.0 · https://commons.wikimedia.org/wiki/File:Tunnel_south_entrance.JPG</x:v>
      </x:c>
      <x:c r="K27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6" s="31" t="d">
        <x:v>2026-10-24T00:00:00.000Z</x:v>
      </x:c>
      <x:c r="M276" s="29" t="str">
        <x:v>Doğrulandı</x:v>
      </x:c>
      <x:c r="N276" s="29" t="str">
        <x:v>Doğrulandı</x:v>
      </x:c>
      <x:c r="O276" s="29" t="str">
        <x:v>Fotoğraflar/bk-3274c4b709717ec381dce45a.webp</x:v>
      </x:c>
      <x:c r="P276" s="29" t="str">
        <x:v>Burro Schmidt Tunnel çevresi · 2013 tarihli fotoğraf · İndirilen kare temas sayfasında görüldü; kaynak mekân kimliğiyle eşleştirildi. Seçim kaydı final-pixel-review.json.</x:v>
      </x:c>
      <x:c r="Q276" s="29" t="str">
        <x:v>Bu kare için uygun</x:v>
      </x:c>
      <x:c r="R27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6" s="29" t="str">
        <x:v>Lisans kanıtları/bk-3274c4b709717ec381dce45a.source-evidence.json</x:v>
      </x:c>
      <x:c r="T276" s="29" t="str">
        <x:v>83d363d50773aac28df5a07614d1d813cf14fd4bb64258cab49d301dec6768d7</x:v>
      </x:c>
      <x:c r="U276" s="29" t="str">
        <x:v>Lisans kanıtları/bk-3274c4b709717ec381dce45a.license-record.json</x:v>
      </x:c>
      <x:c r="V276" s="29" t="str">
        <x:v>fc53de4e74e5d8560b7d2cbd8ef162b8fcf914655c6931bd77b2e61b2e676a2e</x:v>
      </x:c>
      <x:c r="W276" s="29" t="str">
        <x:v>{"file":"bk-3274c4b709717ec381dce45a.webp","width":1280,"author":"Kurtis2014","height":960,"sha256":"3274c4b709717ec381dce45adabbec09b7695d603ff0a7530087b0c1d628afe3","license":"CC BY-SA 3.0","imageinfo":{"url":"https://upload.wikimedia.org/wikipedia/commons/3/3a/Tunnel_south_entrance.JPG?utm_source=commons.wikimedia.org&amp;utm_campaign=imageinfo&amp;utm_content=original","mime":"image/jpeg","sha1":"6725dce94419b3d5b824608c9957cf2cc86fff88","size":5887276,"width":3456,"height":2592,"pageid":35297535,"thumburl":"https://thumb.wikimedia.org/wikipedia/commons/thumb/3/3a/Tunnel_south_entrance.JPG/1280px-Tunnel_south_entrance.JPG?utm_source=commons.wikimedia.org&amp;utm_campaign=imageinfo&amp;utm_content=thumbnail","timestamp":"2014-09-11T15:06:45Z","thumbwidth":1280,"extmetadata":{"Artist":{"value":"&lt;a href=\"//commons.wikimedia.org/w/index.php?title=User:Kurtis2014&amp;amp;action=edit&amp;amp;redlink=1\" class=\"new\" title=\"User:Kurtis2014 (page does not exist)\"&gt;Kurtis2014&lt;/a&gt;","source":"commons-desc-page"},"Credit":{"value":"&lt;span class=\"int-own-work\" lang=\"en\"&gt;Own work&lt;/span&gt;","source":"commons-desc-page"},"License":{"value":"cc-by-sa-3.0","hidden":"","source":"commons-templates"},"DateTime":{"value":"2014-09-11 15:06:45","hidden":"","source":"mediawiki-metadata"},"Categories":{"value":"Tunnels in California|Taken with Canon PowerShot SX110 IS|Mojave Desert|National Register of Historic Places in Kern County, California|Gold mining in California|Bureau of Land Management in California|Self-published work|National Register of Historic Places with known IDs|Images from Wikipedia Summer of Monuments|Adits in the United States|United States photographs taken on 2013-04-21|Uploaded via Campaign:wsm","hidden":"","source":"commons-categories"},"LicenseUrl":{"value":"https://creativecommons.org/licenses/by-sa/3.0","source":"commons-desc-page"},"ObjectName":{"value":"Tunnel south entrance","source":"mediawiki-metadata"},"UsageTerms":{"value":"Creative Commons Attribution-Share Alike 3.0","source":"commons-desc-page"},"Assessments":{"value":"","hidden":"","source":"commons-categories"},"Copyrighted":{"value":"True","hidden":"","source":"commons-desc-page"},"Restrictions":{"value":"","hidden":"","source":"commons-desc-page"},"DateTimeOriginal":{"value":"2013-04-21 05:53:10","source":"commons-desc-page"},"ImageDescription":{"value":"The historic &lt;b&gt;&lt;a href=\"https://en.wikipedia.org/wiki/Burro_Schmidt_Tunnel\" class=\"extiw\" title=\"w:Burro Schmidt Tunnel\"&gt;Burro Schmidt Tunnel&lt;/a&gt;&lt;/b&gt;  — through the granitic &lt;a href=\"https://en.wikipedia.org/wiki/El_Paso_Mountains\" class=\"extiw\" title=\"w:El Paso Mountains\"&gt;El Paso Mountains&lt;/a&gt;, located in the northern &lt;a href=\"//commons.wikimedia.org/wiki/Category:Mojave_Desert\" title=\"Category:Mojave Desert\"&gt;Mojave Desert&lt;/a&gt;, Southern California.\n&lt;ul&gt;&lt;li&gt;View of the \"exit\" &lt;a href=\"//commons.wikimedia.org/wiki/Category:Adits_in_the_United_States\" title=\"Category:Adits in the United States\"&gt;adit&lt;/a&gt; (portal), that overlooks the &lt;a href=\"https://en.wikipedia.org/wiki/Fremont_Valley\" class=\"extiw\" title=\"w:Fremont Valley\"&gt;Fremont Valley&lt;/a&gt; with &lt;a href=\"https://en.wikipedia.org/wiki/Koehn_Lake\" class=\"extiw\" title=\"w:Koehn Lake\"&gt;Koehn Dry Lake&lt;/a&gt;, and the ghost town of &lt;a href=\"https://en.wikipedia.org/wiki/Garlock,_California\" class=\"extiw\" title=\"w:Garlock, California\"&gt;Garlock&lt;/a&gt;.&lt;/li&gt;\n&lt;li&gt;It was a mining ore transport tunnel dug by hand by William \"Burro\" H. Schmidt between 1906 and 1938.&lt;/li&gt;\n&lt;li&gt;Managed by the &lt;a href=\"//commons.wikimedia.org/wiki/Category:Bureau_of_Land_Management_in_California\" title=\"Category:Bureau of Land Management in California\"&gt;BLM−Bureau of Land Management&lt;/a&gt;, it is on the &lt;a href=\"//commons.wikimedia.org/wiki/Category:National_Register_of_Historic_Places_in_Kern_County,_California\" title=\"Category:National Register of Historic Places in Kern County, California\"&gt;National Register of Historic Places in Kern County, California&lt;/a&gt;&lt;/li&gt;&lt;/ul&gt;","source":"commons-desc-page"},"LicenseShortName":{"value":"CC BY-SA 3.0","hidden":"","source":"commons-desc-page"},"AttributionRequired":{"value":"true","hidden":"","source":"commons-desc-page"},"CommonsMetadataExtension":{"value":1.2,"hidden":"","source":"extension"}},"thumbheight":960,"thumbattribs":{"src":"https://thumb.wikimedia.org/wikipedia/commons/thumb/3/3a/Tunnel_south_entrance.JPG/1280px-Tunnel_south_entrance.JPG?utm_source=commons.wikimedia.org&amp;utm_campaign=imageinfo&amp;utm_content=thumbnail","width":1280,"height":960,"srcset":"https://upload.wikimedia.org/wikipedia/commons/3/3a/Tunnel_south_entrance.JPG?utm_source=commons.wikimedia.org&amp;utm_campaign=imageinfo&amp;utm_content=thumbnail_unscaled 2x","loading":"lazy","decoding":"async"},"descriptionurl":"https://commons.wikimedia.org/wiki/File:Tunnel_south_entrance.JPG","responsiveUrls":{"2":"https://upload.wikimedia.org/wikipedia/commons/3/3a/Tunnel_south_entrance.JPG?utm_source=commons.wikimedia.org&amp;utm_campaign=imageinfo&amp;utm_content=thumbnail_unscaled"},"descriptionshorturl":"https://commons.wikimedia.org/w/index.php?curid=35297535"},"selection":{"qid":"pending","kind":"candidate","title":"Bakersfield alternatives"},"author_url":"","derivative":"Wikimedia thumbnail decoded; EXIF orientation applied; converted to WebP quality 86; no generated pixels, no cropping.","source_url":"https://commons.wikimedia.org/wiki/File:Tunnel_south_entrance.JPG","author_urls":[],"description":"The historic Burro Schmidt Tunnel  — through the granitic El Paso Mountains, located in the northern Mojave Desert, Southern California.\nView of the \"exit\" adit (portal), that overlooks the Fremont Valley with Koehn Dry Lake, and the ghost town of Garlock.\nIt was a mining ore transport tunnel dug by hand by William \"Burro\" H. Schmidt between 1906 and 1938.\nManaged by the BLM−Bureau of Land Management, it is on the National Register of Historic Places in Kern County, California","license_url":"https://creativecommons.org/licenses/by-sa/3.0","reviewed_on":"2026-10-24","capture_date":"2013-04-21 05:53:10","download_url":"https://thumb.wikimedia.org/wikipedia/commons/thumb/3/3a/Tunnel_south_entrance.JPG/1280px-Tunnel_south_entrance.JPG?utm_source=commons.wikimedia.org&amp;utm_campaign=imageinfo&amp;utm_content=thumbnail","original_url":"https://upload.wikimedia.org/wikipedia/commons/3/3a/Tunnel_south_entrance.JPG?utm_source=commons.wikimedia.org&amp;utm_campaign=imageinfo&amp;utm_content=original","pixel_review":{"method":"İndirilen kare temas sayfasında görüldü; kaynak mekân kimliğiyle eşleştirildi. Seçim kaydı final-pixel-review.json.","status":"verified","caption":"Burro Schmidt Tunnel çevresi · 2013 tarihli fotoğraf","reviewer":"Codex (AI)","review_id":"T45"},"downloaded_at":"2026-10-23T19:10:26.277019+00:00","download_sha256":"54c2bcf13c67b56a897b93869839245ecc494d39d63103f27ac5963f106d53c7","downloaded_file":"downloads/54c2bcf13c67b56a897b93869839245ecc494d39d63103f27ac5963f106d53c7.jpg","acquisition_file":"adcb65b286a8491b99b5be71.webp","commons_filename":"Tunnel south entrance.JPG","original_file_url":"https://upload.wikimedia.org/wikipedia/commons/3/3a/Tunnel_south_entrance.JPG?utm_source=commons.wikimedia.org&amp;utm_campaign=imageinfo&amp;utm_content=original","pixel_review_status":"pending","third_party_rights_review":{"basis":"Kaynakta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3/3a/Tunnel_south_entrance.JPG?utm_source=commons.wikimedia.org&amp;utm_campaign=imageinfo&amp;utm_content=original"},"metadata_reviewed_on":"2026-10-24","metadata_review_status":"verified"}}</x:v>
      </x:c>
    </x:row>
    <x:row r="277" ht="300" customHeight="1">
      <x:c r="A277" s="29" t="str">
        <x:v>bakersfield:evidence:venue-22242</x:v>
      </x:c>
      <x:c r="B277" s="29" t="str">
        <x:v>bakersfield</x:v>
      </x:c>
      <x:c r="C277" s="29" t="str">
        <x:v>bakersfield:photo:venue-22242</x:v>
      </x:c>
      <x:c r="D277" s="29" t="str">
        <x:v>https://commons.wikimedia.org/wiki/File:Burro_Schmidt%27s_cabin.jpg</x:v>
      </x:c>
      <x:c r="E277" s="29" t="str">
        <x:v>Burro Schmidt's cabin.jpg</x:v>
      </x:c>
      <x:c r="F277" s="29" t="str">
        <x:v>Kurtis2014</x:v>
      </x:c>
      <x:c r="G277" s="29" t="str">
        <x:v>CC BY-SA 3.0</x:v>
      </x:c>
      <x:c r="H277" s="29" t="str">
        <x:v>https://creativecommons.org/licenses/by-sa/3.0</x:v>
      </x:c>
      <x:c r="I277" s="29" t="str">
        <x:v>Creative Commons Attribution-Share Alike 3.0</x:v>
      </x:c>
      <x:c r="J277" s="29" t="str">
        <x:v>Burro Schmidt's cabin.jpg · Kurtis2014 · CC BY-SA 3.0 · https://commons.wikimedia.org/wiki/File:Burro_Schmidt%27s_cabin.jpg</x:v>
      </x:c>
      <x:c r="K27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7" s="31" t="d">
        <x:v>2026-10-24T00:00:00.000Z</x:v>
      </x:c>
      <x:c r="M277" s="29" t="str">
        <x:v>Doğrulandı</x:v>
      </x:c>
      <x:c r="N277" s="29" t="str">
        <x:v>Doğrulandı</x:v>
      </x:c>
      <x:c r="O277" s="29" t="str">
        <x:v>Fotoğraflar/bk-5b4b8fb2e990816b55ea4cdf.webp</x:v>
      </x:c>
      <x:c r="P277" s="29" t="str">
        <x:v>Burro Schmidt Tunnel çevresi · 2008 tarihli fotoğraf · İndirilen kare temas sayfasında görüldü; kaynak mekân kimliğiyle eşleştirildi. Seçim kaydı final-pixel-review.json.</x:v>
      </x:c>
      <x:c r="Q277" s="29" t="str">
        <x:v>Bu kare için uygun</x:v>
      </x:c>
      <x:c r="R27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7" s="29" t="str">
        <x:v>Lisans kanıtları/bk-5b4b8fb2e990816b55ea4cdf.source-evidence.json</x:v>
      </x:c>
      <x:c r="T277" s="29" t="str">
        <x:v>2cbc06490d8005fac21b653f815c655b4e2aeb639035421400fc4884646acf58</x:v>
      </x:c>
      <x:c r="U277" s="29" t="str">
        <x:v>Lisans kanıtları/bk-5b4b8fb2e990816b55ea4cdf.license-record.json</x:v>
      </x:c>
      <x:c r="V277" s="29" t="str">
        <x:v>592f7888be53889775d5d649356b97743b85a76d91176f57262383313a41c80d</x:v>
      </x:c>
      <x:c r="W277" s="29" t="str">
        <x:v>{"file":"bk-5b4b8fb2e990816b55ea4cdf.webp","width":1280,"author":"Kurtis2014","height":960,"sha256":"5b4b8fb2e990816b55ea4cdf64ea466edd8e4fc830231b3458c3280fae8f2c6c","license":"CC BY-SA 3.0","imageinfo":{"url":"https://upload.wikimedia.org/wikipedia/commons/5/52/Burro_Schmidt%27s_cabin.jpg?utm_source=commons.wikimedia.org&amp;utm_campaign=imageinfo&amp;utm_content=original","mime":"image/jpeg","sha1":"9db7c76f805a206be485783fd01afc36f910fa94","size":3518329,"width":2816,"height":2112,"pageid":35297533,"thumburl":"https://thumb.wikimedia.org/wikipedia/commons/thumb/5/52/Burro_Schmidt%27s_cabin.jpg/1280px-Burro_Schmidt%27s_cabin.jpg?utm_source=commons.wikimedia.org&amp;utm_campaign=imageinfo&amp;utm_content=thumbnail","timestamp":"2014-09-11T15:06:40Z","thumbwidth":1280,"extmetadata":{"Artist":{"value":"&lt;a href=\"//commons.wikimedia.org/w/index.php?title=User:Kurtis2014&amp;amp;action=edit&amp;amp;redlink=1\" class=\"new\" title=\"User:Kurtis2014 (page does not exist)\"&gt;Kurtis2014&lt;/a&gt;","source":"commons-desc-page"},"Credit":{"value":"&lt;span class=\"int-own-work\" lang=\"en\"&gt;Own work&lt;/span&gt;","source":"commons-desc-page"},"License":{"value":"cc-by-sa-3.0","hidden":"","source":"commons-templates"},"DateTime":{"value":"2014-09-11 15:06:40","hidden":"","source":"mediawiki-metadata"},"Categories":{"value":"Taken with Canon PowerShot SX110 IS|National Register of Historic Places in Kern County, California|Self-published work|National Register of Historic Places with known IDs|Images from Wikipedia Summer of Monuments|Uploaded via Campaign:wsm","hidden":"","source":"commons-categories"},"LicenseUrl":{"value":"https://creativecommons.org/licenses/by-sa/3.0","source":"commons-desc-page"},"ObjectName":{"value":"Burro Schmidt's cabin","source":"mediawiki-metadata"},"UsageTerms":{"value":"Creative Commons Attribution-Share Alike 3.0","source":"commons-desc-page"},"Assessments":{"value":"","hidden":"","source":"commons-categories"},"Copyrighted":{"value":"True","hidden":"","source":"commons-desc-page"},"Restrictions":{"value":"","hidden":"","source":"commons-desc-page"},"DateTimeOriginal":{"value":"2008-11-21 12:13:24","source":"commons-desc-page"},"ImageDescription":{"value":"Cabin condition has deteriorated since the BLM took control of the site","source":"commons-desc-page"},"LicenseShortName":{"value":"CC BY-SA 3.0","hidden":"","source":"commons-desc-page"},"AttributionRequired":{"value":"true","hidden":"","source":"commons-desc-page"},"CommonsMetadataExtension":{"value":1.2,"hidden":"","source":"extension"}},"thumbheight":960,"thumbattribs":{"src":"https://thumb.wikimedia.org/wikipedia/commons/thumb/5/52/Burro_Schmidt%27s_cabin.jpg/1280px-Burro_Schmidt%27s_cabin.jpg?utm_source=commons.wikimedia.org&amp;utm_campaign=imageinfo&amp;utm_content=thumbnail","width":1280,"height":960,"srcset":"https://upload.wikimedia.org/wikipedia/commons/5/52/Burro_Schmidt%27s_cabin.jpg?utm_source=commons.wikimedia.org&amp;utm_campaign=imageinfo&amp;utm_content=thumbnail_unscaled 2x","loading":"lazy","decoding":"async"},"descriptionurl":"https://commons.wikimedia.org/wiki/File:Burro_Schmidt%27s_cabin.jpg","responsiveUrls":{"2":"https://upload.wikimedia.org/wikipedia/commons/5/52/Burro_Schmidt%27s_cabin.jpg?utm_source=commons.wikimedia.org&amp;utm_campaign=imageinfo&amp;utm_content=thumbnail_unscaled"},"descriptionshorturl":"https://commons.wikimedia.org/w/index.php?curid=35297533"},"selection":{"qid":"pending","kind":"candidate","title":"Bakersfield alternatives"},"author_url":"","derivative":"Wikimedia thumbnail decoded; EXIF orientation applied; converted to WebP quality 86; no generated pixels, no cropping.","source_url":"https://commons.wikimedia.org/wiki/File:Burro_Schmidt%27s_cabin.jpg","author_urls":[],"description":"Cabin condition has deteriorated since the BLM took control of the site","license_url":"https://creativecommons.org/licenses/by-sa/3.0","reviewed_on":"2026-10-24","capture_date":"2008-11-21 12:13:24","download_url":"https://thumb.wikimedia.org/wikipedia/commons/thumb/5/52/Burro_Schmidt%27s_cabin.jpg/1280px-Burro_Schmidt%27s_cabin.jpg?utm_source=commons.wikimedia.org&amp;utm_campaign=imageinfo&amp;utm_content=thumbnail","original_url":"https://upload.wikimedia.org/wikipedia/commons/5/52/Burro_Schmidt%27s_cabin.jpg?utm_source=commons.wikimedia.org&amp;utm_campaign=imageinfo&amp;utm_content=original","pixel_review":{"method":"İndirilen kare temas sayfasında görüldü; kaynak mekân kimliğiyle eşleştirildi. Seçim kaydı final-pixel-review.json.","status":"verified","caption":"Burro Schmidt Tunnel çevresi · 2008 tarihli fotoğraf","reviewer":"Codex (AI)","review_id":"T17"},"downloaded_at":"2026-10-23T19:10:27.294768+00:00","download_sha256":"b28552821e7f50fcb03e18c6a39844becceb5c240092b9fa95639960c7be37a6","downloaded_file":"downloads/b28552821e7f50fcb03e18c6a39844becceb5c240092b9fa95639960c7be37a6.jpg","acquisition_file":"7178f78acf8d9eb373e32fee.webp","commons_filename":"Burro Schmidt's cabin.jpg","original_file_url":"https://upload.wikimedia.org/wikipedia/commons/5/52/Burro_Schmidt%27s_cabin.jpg?utm_source=commons.wikimedia.org&amp;utm_campaign=imageinfo&amp;utm_content=original","pixel_review_status":"pending","third_party_rights_review":{"basis":"Kaynakta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5/52/Burro_Schmidt%27s_cabin.jpg?utm_source=commons.wikimedia.org&amp;utm_campaign=imageinfo&amp;utm_content=original"},"metadata_reviewed_on":"2026-10-24","metadata_review_status":"verified"}}</x:v>
      </x:c>
    </x:row>
    <x:row r="278" ht="300" customHeight="1">
      <x:c r="A278" s="29" t="str">
        <x:v>bakersfield:evidence:venue-22243</x:v>
      </x:c>
      <x:c r="B278" s="29" t="str">
        <x:v>bakersfield</x:v>
      </x:c>
      <x:c r="C278" s="29" t="str">
        <x:v>bakersfield:photo:venue-22243</x:v>
      </x:c>
      <x:c r="D278" s="29" t="str">
        <x:v>https://commons.wikimedia.org/wiki/File:20050101_Tehachapi_Windmills_04_pano.jpg</x:v>
      </x:c>
      <x:c r="E278" s="29" t="str">
        <x:v>20050101 Tehachapi Windmills 04 pano.jpg</x:v>
      </x:c>
      <x:c r="F278" s="29" t="str">
        <x:v>No machine-readable author provided. Rogerhoward assumed (based on copyright claims).</x:v>
      </x:c>
      <x:c r="G278" s="29" t="str">
        <x:v>CC BY-SA 2.5</x:v>
      </x:c>
      <x:c r="H278" s="29" t="str">
        <x:v>https://creativecommons.org/licenses/by-sa/2.5</x:v>
      </x:c>
      <x:c r="I278" s="29" t="str">
        <x:v>Creative Commons Attribution-Share Alike 2.5</x:v>
      </x:c>
      <x:c r="J278" s="29" t="str">
        <x:v>20050101 Tehachapi Windmills 04 pano.jpg · No machine-readable author provided. Rogerhoward assumed (based on copyright claims). · CC BY-SA 2.5 · https://commons.wikimedia.org/wiki/File:20050101_Tehachapi_Windmills_04_pano.jpg</x:v>
      </x:c>
      <x:c r="K27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8" s="31" t="d">
        <x:v>2026-10-24T00:00:00.000Z</x:v>
      </x:c>
      <x:c r="M278" s="29" t="str">
        <x:v>Doğrulandı</x:v>
      </x:c>
      <x:c r="N278" s="29" t="str">
        <x:v>Doğrulandı</x:v>
      </x:c>
      <x:c r="O278" s="29" t="str">
        <x:v>Fotoğraflar/bk-d02137d310f16e925f1c62f5.webp</x:v>
      </x:c>
      <x:c r="P278" s="29" t="str">
        <x:v>Tehachapi rüzgâr enerjisi peyzajı · 6 De tarihli fotoğraf · İndirilen kare temas sayfasında görüldü; kaynak mekân kimliğiyle eşleştirildi. Seçim kaydı final-pixel-review.json.</x:v>
      </x:c>
      <x:c r="Q278" s="29" t="str">
        <x:v>Bu kare için uygun</x:v>
      </x:c>
      <x:c r="R27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8" s="29" t="str">
        <x:v>Lisans kanıtları/bk-d02137d310f16e925f1c62f5.source-evidence.json</x:v>
      </x:c>
      <x:c r="T278" s="29" t="str">
        <x:v>4edcc3b0a98a3eac0200041fc0659da8c8b3b1e2c7f611459b5efc399ad53092</x:v>
      </x:c>
      <x:c r="U278" s="29" t="str">
        <x:v>Lisans kanıtları/bk-d02137d310f16e925f1c62f5.license-record.json</x:v>
      </x:c>
      <x:c r="V278" s="29" t="str">
        <x:v>d7dc150d08f3c762e828d08243f0c7404397ee5c5f09e3ce447c7446d54f58c0</x:v>
      </x:c>
      <x:c r="W278" s="29" t="str">
        <x:v>{"file":"bk-d02137d310f16e925f1c62f5.webp","width":1600,"author":"No machine-readable author provided. Rogerhoward assumed (based on copyright claims).","height":498,"sha256":"d02137d310f16e925f1c62f52487a8bc38ed3d60deb9dcde85a353b7f764ec20","license":"CC BY-SA 2.5","imageinfo":{"url":"https://upload.wikimedia.org/wikipedia/commons/0/01/20050101_Tehachapi_Windmills_04_pano.jpg?utm_source=commons.wikimedia.org&amp;utm_campaign=imageinfo&amp;utm_content=original","mime":"image/jpeg","sha1":"95524d56275b870e230745b7c160ec6e7401ce93","size":306074,"width":1927,"height":600,"pageid":448298,"thumburl":"https://thumb.wikimedia.org/wikipedia/commons/thumb/0/01/20050101_Tehachapi_Windmills_04_pano.jpg/1280px-20050101_Tehachapi_Windmills_04_pano.jpg?utm_source=commons.wikimedia.org&amp;utm_campaign=imageinfo&amp;utm_content=thumbnail","timestamp":"2005-12-06T06:17:33Z","thumbwidth":1280,"extmetadata":{"Artist":{"value":"No machine-readable author provided. &lt;a href=\"//commons.wikimedia.org/wiki/User:Rogerhoward\" title=\"User:Rogerhoward\"&gt;Rogerhoward&lt;/a&gt; assumed (based on copyright claims).","source":"commons-desc-page"},"Credit":{"value":"No machine-readable source provided. Own work assumed (based on copyright claims).","source":"commons-desc-page"},"License":{"value":"cc-by-sa-2.5","hidden":"","source":"commons-templates"},"DateTime":{"value":"2005-12-06 06:17:33","hidden":"","source":"mediawiki-metadata"},"Categories":{"value":"Tehachapi Mountains|Files with no machine-readable source|Tehachapi Pass Wind Farm|Self-published work|Assumed own work","hidden":"","source":"commons-categories"},"LicenseUrl":{"value":"https://creativecommons.org/licenses/by-sa/2.5","source":"commons-desc-page"},"ObjectName":{"value":"20050101 Tehachapi Windmills 04 pano","source":"mediawiki-metadata"},"UsageTerms":{"value":"Creative Commons Attribution-Share Alike 2.5","source":"commons-desc-page"},"Assessments":{"value":"","hidden":"","source":"commons-categories"},"Copyrighted":{"value":"True","hidden":"","source":"commons-desc-page"},"Restrictions":{"value":"","hidden":"","source":"commons-desc-page"},"DateTimeOriginal":{"value":"6 December 2005 (original upload date)","source":"commons-desc-page"},"ImageDescription":{"value":"Panoramic image of the windfarm at Tehachapi, CA, by Roger Howard &amp;lt;rogerhoward@mac.com&amp;gt;; more images at &lt;a rel=\"nofollow\" class=\"external free\" href=\"http://www.rogerroger.org/\"&gt;http://www.rogerroger.org/&lt;/a&gt;","source":"commons-desc-page"},"LicenseShortName":{"value":"CC BY-SA 2.5","hidden":"","source":"commons-desc-page"},"AttributionRequired":{"value":"true","hidden":"","source":"commons-desc-page"},"CommonsMetadataExtension":{"value":1.2,"hidden":"","source":"extension"}},"thumbheight":399,"thumbattribs":{"src":"https://thumb.wikimedia.org/wikipedia/commons/thumb/0/01/20050101_Tehachapi_Windmills_04_pano.jpg/1280px-20050101_Tehachapi_Windmills_04_pano.jpg?utm_source=commons.wikimedia.org&amp;utm_campaign=imageinfo&amp;utm_content=thumbnail","width":1280,"height":399,"srcset":"https://upload.wikimedia.org/wikipedia/commons/0/01/20050101_Tehachapi_Windmills_04_pano.jpg?utm_source=commons.wikimedia.org&amp;utm_campaign=imageinfo&amp;utm_content=thumbnail_unscaled 2x","loading":"lazy","decoding":"async"},"descriptionurl":"https://commons.wikimedia.org/wiki/File:20050101_Tehachapi_Windmills_04_pano.jpg","responsiveUrls":{"2":"https://upload.wikimedia.org/wikipedia/commons/0/01/20050101_Tehachapi_Windmills_04_pano.jpg?utm_source=commons.wikimedia.org&amp;utm_campaign=imageinfo&amp;utm_content=thumbnail_unscaled"},"descriptionshorturl":"https://commons.wikimedia.org/w/index.php?curid=448298"},"review_id":"L2","selection":{"qid":"pending","kind":"candidate","title":"Tehachapi Pass Wind Farm"},"author_url":"https://commons.wikimedia.org/wiki/User:Rogerhoward","derivative":"Wikimedia thumbnail decoded; EXIF orientation applied; converted to WebP quality 86; no generated pixels, no cropping.","source_url":"https://commons.wikimedia.org/wiki/File:20050101_Tehachapi_Windmills_04_pano.jpg","author_urls":["https://commons.wikimedia.org/wiki/User:Rogerhoward"],"description":"Panoramic image of the windfarm at Tehachapi, CA, by Roger Howard &lt;rogerhoward@mac.com&gt;; more images at http://www.rogerroger.org/","license_url":"https://creativecommons.org/licenses/by-sa/2.5","reviewed_on":"2026-10-24","capture_date":"6 December 2005 (original upload date)","download_url":"https://thumb.wikimedia.org/wikipedia/commons/thumb/0/01/20050101_Tehachapi_Windmills_04_pano.jpg/1280px-20050101_Tehachapi_Windmills_04_pano.jpg?utm_source=commons.wikimedia.org&amp;utm_campaign=imageinfo&amp;utm_content=thumbnail","original_url":"https://upload.wikimedia.org/wikipedia/commons/0/01/20050101_Tehachapi_Windmills_04_pano.jpg?utm_source=commons.wikimedia.org&amp;utm_campaign=imageinfo&amp;utm_content=original","pixel_review":{"method":"İndirilen kare temas sayfasında görüldü; kaynak mekân kimliğiyle eşleştirildi. Seçim kaydı final-pixel-review.json.","status":"verified","caption":"Tehachapi rüzgâr enerjisi peyzajı · 6 De tarihli fotoğraf","reviewer":"Codex (AI)","review_id":"L2"},"downloaded_at":"2026-10-23T19:10:38.882545+00:00","download_sha256":"5a5a8b5d11ad7e3b6d393723c282a24c21ed30f0401be26c3313412cd36febf4","downloaded_file":"downloads/5a5a8b5d11ad7e3b6d393723c282a24c21ed30f0401be26c3313412cd36febf4.jpg","acquisition_file":"upgrade-5a5a8b5d11ad7e3b6d393723.webp","commons_filename":"20050101 Tehachapi Windmills 04 pano.jpg","original_file_url":"https://upload.wikimedia.org/wikipedia/commons/0/01/20050101_Tehachapi_Windmills_04_pano.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dönüştürüldü.","photo_attribution":{"author_url":"https://commons.wikimedia.org/wiki/User:Rogerhoward","modifications":"EXIF yönü uygulandı; boyut küçültülüp WebP biçimine dönüştürüldü.","original_file_url":"https://upload.wikimedia.org/wikipedia/commons/0/01/20050101_Tehachapi_Windmills_04_pano.jpg?utm_source=commons.wikimedia.org&amp;utm_campaign=imageinfo&amp;utm_content=original"},"metadata_reviewed_on":"2026-10-24","metadata_review_status":"verified"}}</x:v>
      </x:c>
    </x:row>
    <x:row r="279" ht="300" customHeight="1">
      <x:c r="A279" s="29" t="str">
        <x:v>bakersfield:evidence:venue-22244</x:v>
      </x:c>
      <x:c r="B279" s="29" t="str">
        <x:v>bakersfield</x:v>
      </x:c>
      <x:c r="C279" s="29" t="str">
        <x:v>bakersfield:photo:venue-22244</x:v>
      </x:c>
      <x:c r="D279" s="29" t="str">
        <x:v>https://commons.wikimedia.org/wiki/File:61_Frazier_Mountain_Road_Views_(25)_-_Mount_Pinos_Ranger_Station_(1).jpg</x:v>
      </x:c>
      <x:c r="E279" s="29" t="str">
        <x:v>61 Frazier Mountain Road Views (25) - Mount Pinos Ranger Station (1).jpg</x:v>
      </x:c>
      <x:c r="F279" s="29" t="str">
        <x:v>The Fun Chronicles</x:v>
      </x:c>
      <x:c r="G279" s="29" t="str">
        <x:v>CC0 1.0</x:v>
      </x:c>
      <x:c r="H279" s="29" t="str">
        <x:v>https://creativecommons.org/publicdomain/zero/1.0/</x:v>
      </x:c>
      <x:c r="I279" s="29" t="str">
        <x:v>Creative Commons Zero, Public Domain Dedication</x:v>
      </x:c>
      <x:c r="J279" s="29" t="str">
        <x:v>61 Frazier Mountain Road Views (25) - Mount Pinos Ranger Station (1).jpg · The Fun Chronicles · CC0 1.0 · https://commons.wikimedia.org/wiki/File:61_Frazier_Mountain_Road_Views_(25)_-_Mount_Pinos_Ranger_Station_(1).jpg</x:v>
      </x:c>
      <x:c r="K27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79" s="31" t="d">
        <x:v>2026-10-24T00:00:00.000Z</x:v>
      </x:c>
      <x:c r="M279" s="29" t="str">
        <x:v>Doğrulandı</x:v>
      </x:c>
      <x:c r="N279" s="29" t="str">
        <x:v>Doğrulandı</x:v>
      </x:c>
      <x:c r="O279" s="29" t="str">
        <x:v>Fotoğraflar/bk-939319bf57338ab83a7895ff.webp</x:v>
      </x:c>
      <x:c r="P279" s="29" t="str">
        <x:v>Mt. Pinos Ranger Station – Chuchupate · 2021 tarihli fotoğraf · İndirilen kare temas sayfasında görüldü; kaynak mekân kimliğiyle eşleştirildi. Seçim kaydı final-pixel-review.json.</x:v>
      </x:c>
      <x:c r="Q279" s="29" t="str">
        <x:v>Bu kare için uygun</x:v>
      </x:c>
      <x:c r="R27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79" s="29" t="str">
        <x:v>Lisans kanıtları/bk-939319bf57338ab83a7895ff.source-evidence.json</x:v>
      </x:c>
      <x:c r="T279" s="29" t="str">
        <x:v>78b423a56b25b33db8c778868a19a3d4da9b411ea9aebe9d612c2a7d3a93d900</x:v>
      </x:c>
      <x:c r="U279" s="29" t="str">
        <x:v>Lisans kanıtları/bk-939319bf57338ab83a7895ff.license-record.json</x:v>
      </x:c>
      <x:c r="V279" s="29" t="str">
        <x:v>5962eee904ee096ca0b1a280334cf0c3cb4f931e2edfecd5066fa2ce24d9abc5</x:v>
      </x:c>
      <x:c r="W279" s="29" t="str">
        <x:v>{"file":"bk-939319bf57338ab83a7895ff.webp","width":1280,"author":"The Fun Chronicles","height":850,"sha256":"939319bf57338ab83a7895ffa8406a92c1b558d4398f489d8184ef1437b17399","license":"CC0 1.0","imageinfo":{"url":"https://upload.wikimedia.org/wikipedia/commons/2/26/61_Frazier_Mountain_Road_Views_%2825%29_-_Mount_Pinos_Ranger_Station_%281%29.jpg?utm_source=commons.wikimedia.org&amp;utm_campaign=imageinfo&amp;utm_content=original","mime":"image/jpeg","sha1":"b60aea6c96fa66b941e7550ca88c116a54b7cac4","size":2378637,"width":2144,"height":1424,"pageid":134422837,"thumburl":"https://thumb.wikimedia.org/wikipedia/commons/thumb/2/26/61_Frazier_Mountain_Road_Views_%2825%29_-_Mount_Pinos_Ranger_Station_%281%29.jpg/1280px-61_Frazier_Mountain_Road_Views_%2825%29_-_Mount_Pinos_Ranger_Station_%281%29.jpg?utm_source=commons.wikimedia.org&amp;utm_campaign=imageinfo&amp;utm_content=thumbnail","timestamp":"2023-07-14T20:56:56Z","thumbwidth":1280,"extmetadata":{"Artist":{"value":"The Fun Chronicles","source":"commons-desc-page"},"Credit":{"value":"&lt;a rel=\"nofollow\" class=\"external free\" href=\"https://www.flickr.com/photos/196406308@N04/53040056069/\"&gt;https://www.flickr.com/photos/196406308@N04/53040056069/&lt;/a&gt;","source":"commons-desc-page"},"License":{"value":"cc0","hidden":"","source":"commons-templates"},"DateTime":{"value":"2023-07-14 20:56:56","hidden":"","source":"mediawiki-metadata"},"Categories":{"value":"Frazier Mountain|CC-Zero|Flickr images reviewed by FlickreviewR 2","hidden":"","source":"commons-categories"},"LicenseUrl":{"value":"http://creativecommons.org/publicdomain/zero/1.0/deed.en","source":"commons-desc-page"},"ObjectName":{"value":"61 Frazier Mountain Road Views (25) - Mount Pinos Ranger Station (1)","source":"mediawiki-metadata"},"UsageTerms":{"value":"Creative Commons Zero, Public Domain Dedication","source":"commons-desc-page"},"Assessments":{"value":"","hidden":"","source":"commons-categories"},"Copyrighted":{"value":"True","hidden":"","source":"commons-desc-page"},"Restrictions":{"value":"","hidden":"","source":"commons-desc-page"},"DateTimeOriginal":{"value":"2021-11-03 13:53:36","source":"commons-desc-page"},"ImageDescription":{"value":"Los Padres National Forest","source":"commons-desc-page"},"LicenseShortName":{"value":"CC0","hidden":"","source":"commons-desc-page"},"AttributionRequired":{"value":"false","hidden":"","source":"commons-desc-page"},"CommonsMetadataExtension":{"value":1.2,"hidden":"","source":"extension"}},"thumbheight":850,"thumbattribs":{"src":"https://thumb.wikimedia.org/wikipedia/commons/thumb/2/26/61_Frazier_Mountain_Road_Views_%2825%29_-_Mount_Pinos_Ranger_Station_%281%29.jpg/1280px-61_Frazier_Mountain_Road_Views_%2825%29_-_Mount_Pinos_Ranger_Station_%281%29.jpg?utm_source=commons.wikimedia.org&amp;utm_campaign=imageinfo&amp;utm_content=thumbnail","width":1280,"height":850,"srcset":"https://upload.wikimedia.org/wikipedia/commons/2/26/61_Frazier_Mountain_Road_Views_%2825%29_-_Mount_Pinos_Ranger_Station_%281%29.jpg?utm_source=commons.wikimedia.org&amp;utm_campaign=imageinfo&amp;utm_content=thumbnail_unscaled 2x","loading":"lazy","decoding":"async"},"descriptionurl":"https://commons.wikimedia.org/wiki/File:61_Frazier_Mountain_Road_Views_(25)_-_Mount_Pinos_Ranger_Station_(1).jpg","responsiveUrls":{"2":"https://upload.wikimedia.org/wikipedia/commons/2/26/61_Frazier_Mountain_Road_Views_%2825%29_-_Mount_Pinos_Ranger_Station_%281%29.jpg?utm_source=commons.wikimedia.org&amp;utm_campaign=imageinfo&amp;utm_content=thumbnail_unscaled"},"descriptionshorturl":"https://commons.wikimedia.org/w/index.php?curid=134422837"},"selection":{"qid":"pending","kind":"candidate","title":"Bakersfield alternatives"},"author_url":"","derivative":"Wikimedia thumbnail decoded; EXIF orientation applied; converted to WebP quality 86; no generated pixels, no cropping.","source_url":"https://commons.wikimedia.org/wiki/File:61_Frazier_Mountain_Road_Views_(25)_-_Mount_Pinos_Ranger_Station_(1).jpg","author_urls":[],"description":"Los Padres National Forest","license_url":"https://creativecommons.org/publicdomain/zero/1.0/","reviewed_on":"2026-10-24","capture_date":"2021-11-03 13:53:36","download_url":"https://thumb.wikimedia.org/wikipedia/commons/thumb/2/26/61_Frazier_Mountain_Road_Views_%2825%29_-_Mount_Pinos_Ranger_Station_%281%29.jpg/1280px-61_Frazier_Mountain_Road_Views_%2825%29_-_Mount_Pinos_Ranger_Station_%281%29.jpg?utm_source=commons.wikimedia.org&amp;utm_campaign=imageinfo&amp;utm_content=thumbnail","original_url":"https://upload.wikimedia.org/wikipedia/commons/2/26/61_Frazier_Mountain_Road_Views_%2825%29_-_Mount_Pinos_Ranger_Station_%281%29.jpg?utm_source=commons.wikimedia.org&amp;utm_campaign=imageinfo&amp;utm_content=original","pixel_review":{"method":"İndirilen kare temas sayfasında görüldü; kaynak mekân kimliğiyle eşleştirildi. Seçim kaydı final-pixel-review.json.","status":"verified","caption":"Mt. Pinos Ranger Station – Chuchupate · 2021 tarihli fotoğraf","reviewer":"Codex (AI)","review_id":"T7"},"downloaded_at":"2026-10-23T21:29:15.367532+00:00","download_sha256":"ac27d54dc4918b80b4caa2a31f117af2ccc651d171539a18f553462a2be21536","downloaded_file":"downloads/ac27d54dc4918b80b4caa2a31f117af2ccc651d171539a18f553462a2be21536.jpg","acquisition_file":"f3722c56f29e3a2f371b9b26.webp","commons_filename":"61 Frazier Mountain Road Views (25) - Mount Pinos Ranger Station (1).jpg","original_file_url":"https://upload.wikimedia.org/wikipedia/commons/2/26/61_Frazier_Mountain_Road_Views_%2825%29_-_Mount_Pinos_Ranger_Station_%281%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2/26/61_Frazier_Mountain_Road_Views_%2825%29_-_Mount_Pinos_Ranger_Station_%281%29.jpg?utm_source=commons.wikimedia.org&amp;utm_campaign=imageinfo&amp;utm_content=original"},"metadata_reviewed_on":"2026-10-24","metadata_review_status":"verified"}}</x:v>
      </x:c>
    </x:row>
    <x:row r="280" ht="300" customHeight="1">
      <x:c r="A280" s="29" t="str">
        <x:v>bakersfield:evidence:venue-22245</x:v>
      </x:c>
      <x:c r="B280" s="29" t="str">
        <x:v>bakersfield</x:v>
      </x:c>
      <x:c r="C280" s="29" t="str">
        <x:v>bakersfield:photo:venue-22245</x:v>
      </x:c>
      <x:c r="D280" s="29" t="str">
        <x:v>https://commons.wikimedia.org/wiki/File:62_Frazier_Mountain_Road_Views_(26)_-_Mount_Pinos_Ranger_Station_(2).jpg</x:v>
      </x:c>
      <x:c r="E280" s="29" t="str">
        <x:v>62 Frazier Mountain Road Views (26) - Mount Pinos Ranger Station (2).jpg</x:v>
      </x:c>
      <x:c r="F280" s="29" t="str">
        <x:v>The Fun Chronicles</x:v>
      </x:c>
      <x:c r="G280" s="29" t="str">
        <x:v>CC0 1.0</x:v>
      </x:c>
      <x:c r="H280" s="29" t="str">
        <x:v>https://creativecommons.org/publicdomain/zero/1.0/</x:v>
      </x:c>
      <x:c r="I280" s="29" t="str">
        <x:v>Creative Commons Zero, Public Domain Dedication</x:v>
      </x:c>
      <x:c r="J280" s="29" t="str">
        <x:v>62 Frazier Mountain Road Views (26) - Mount Pinos Ranger Station (2).jpg · The Fun Chronicles · CC0 1.0 · https://commons.wikimedia.org/wiki/File:62_Frazier_Mountain_Road_Views_(26)_-_Mount_Pinos_Ranger_Station_(2).jpg</x:v>
      </x:c>
      <x:c r="K28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0" s="31" t="d">
        <x:v>2026-10-24T00:00:00.000Z</x:v>
      </x:c>
      <x:c r="M280" s="29" t="str">
        <x:v>Doğrulandı</x:v>
      </x:c>
      <x:c r="N280" s="29" t="str">
        <x:v>Doğrulandı</x:v>
      </x:c>
      <x:c r="O280" s="29" t="str">
        <x:v>Fotoğraflar/bk-a108f295151115762860aaf6.webp</x:v>
      </x:c>
      <x:c r="P280" s="29" t="str">
        <x:v>Mt. Pinos Ranger Station – Chuchupate · 2021 tarihli fotoğraf · İndirilen kare temas sayfasında görüldü; kaynak mekân kimliğiyle eşleştirildi. Seçim kaydı final-pixel-review.json.</x:v>
      </x:c>
      <x:c r="Q280" s="29" t="str">
        <x:v>Bu kare için uygun</x:v>
      </x:c>
      <x:c r="R28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0" s="29" t="str">
        <x:v>Lisans kanıtları/bk-a108f295151115762860aaf6.source-evidence.json</x:v>
      </x:c>
      <x:c r="T280" s="29" t="str">
        <x:v>93a17f3ee286f3e53b3150c9c4a54f301162e120b89daf686a09abb1478a14ef</x:v>
      </x:c>
      <x:c r="U280" s="29" t="str">
        <x:v>Lisans kanıtları/bk-a108f295151115762860aaf6.license-record.json</x:v>
      </x:c>
      <x:c r="V280" s="29" t="str">
        <x:v>0be9de90ed9b737e6ba62e622a3a8686598407e56c50aadded6b8bb398e03a1b</x:v>
      </x:c>
      <x:c r="W280" s="29" t="str">
        <x:v>{"file":"bk-a108f295151115762860aaf6.webp","width":1280,"author":"The Fun Chronicles","height":850,"sha256":"a108f295151115762860aaf6d0b0558150689219696f9f9a50927d815aa20ff9","license":"CC0 1.0","imageinfo":{"url":"https://upload.wikimedia.org/wikipedia/commons/d/db/62_Frazier_Mountain_Road_Views_%2826%29_-_Mount_Pinos_Ranger_Station_%282%29.jpg?utm_source=commons.wikimedia.org&amp;utm_campaign=imageinfo&amp;utm_content=original","mime":"image/jpeg","sha1":"2bc05ac4f0bec73f8f4d0c9e38620506cc188bc2","size":2531056,"width":2144,"height":1424,"pageid":134422838,"thumburl":"https://thumb.wikimedia.org/wikipedia/commons/thumb/d/db/62_Frazier_Mountain_Road_Views_%2826%29_-_Mount_Pinos_Ranger_Station_%282%29.jpg/1280px-62_Frazier_Mountain_Road_Views_%2826%29_-_Mount_Pinos_Ranger_Station_%282%29.jpg?utm_source=commons.wikimedia.org&amp;utm_campaign=imageinfo&amp;utm_content=thumbnail","timestamp":"2023-07-14T20:56:56Z","thumbwidth":1280,"extmetadata":{"Artist":{"value":"The Fun Chronicles","source":"commons-desc-page"},"Credit":{"value":"&lt;a rel=\"nofollow\" class=\"external free\" href=\"https://www.flickr.com/photos/196406308@N04/53040254690/\"&gt;https://www.flickr.com/photos/196406308@N04/53040254690/&lt;/a&gt;","source":"commons-desc-page"},"License":{"value":"cc0","hidden":"","source":"commons-templates"},"DateTime":{"value":"2023-07-14 20:56:56","hidden":"","source":"mediawiki-metadata"},"Categories":{"value":"Frazier Mountain|CC-Zero|Flickr images reviewed by FlickreviewR 2","hidden":"","source":"commons-categories"},"LicenseUrl":{"value":"http://creativecommons.org/publicdomain/zero/1.0/deed.en","source":"commons-desc-page"},"ObjectName":{"value":"62 Frazier Mountain Road Views (26) - Mount Pinos Ranger Station (2)","source":"mediawiki-metadata"},"UsageTerms":{"value":"Creative Commons Zero, Public Domain Dedication","source":"commons-desc-page"},"Assessments":{"value":"","hidden":"","source":"commons-categories"},"Copyrighted":{"value":"True","hidden":"","source":"commons-desc-page"},"Restrictions":{"value":"","hidden":"","source":"commons-desc-page"},"DateTimeOriginal":{"value":"2021-11-03 13:54:21","source":"commons-desc-page"},"ImageDescription":{"value":"Los Padres National Forest","source":"commons-desc-page"},"LicenseShortName":{"value":"CC0","hidden":"","source":"commons-desc-page"},"AttributionRequired":{"value":"false","hidden":"","source":"commons-desc-page"},"CommonsMetadataExtension":{"value":1.2,"hidden":"","source":"extension"}},"thumbheight":850,"thumbattribs":{"src":"https://thumb.wikimedia.org/wikipedia/commons/thumb/d/db/62_Frazier_Mountain_Road_Views_%2826%29_-_Mount_Pinos_Ranger_Station_%282%29.jpg/1280px-62_Frazier_Mountain_Road_Views_%2826%29_-_Mount_Pinos_Ranger_Station_%282%29.jpg?utm_source=commons.wikimedia.org&amp;utm_campaign=imageinfo&amp;utm_content=thumbnail","width":1280,"height":850,"srcset":"https://upload.wikimedia.org/wikipedia/commons/d/db/62_Frazier_Mountain_Road_Views_%2826%29_-_Mount_Pinos_Ranger_Station_%282%29.jpg?utm_source=commons.wikimedia.org&amp;utm_campaign=imageinfo&amp;utm_content=thumbnail_unscaled 2x","loading":"lazy","decoding":"async"},"descriptionurl":"https://commons.wikimedia.org/wiki/File:62_Frazier_Mountain_Road_Views_(26)_-_Mount_Pinos_Ranger_Station_(2).jpg","responsiveUrls":{"2":"https://upload.wikimedia.org/wikipedia/commons/d/db/62_Frazier_Mountain_Road_Views_%2826%29_-_Mount_Pinos_Ranger_Station_%282%29.jpg?utm_source=commons.wikimedia.org&amp;utm_campaign=imageinfo&amp;utm_content=thumbnail_unscaled"},"descriptionshorturl":"https://commons.wikimedia.org/w/index.php?curid=134422838"},"selection":{"qid":"pending","kind":"candidate","title":"Bakersfield alternatives"},"author_url":"","derivative":"Wikimedia thumbnail decoded; EXIF orientation applied; converted to WebP quality 86; no generated pixels, no cropping.","source_url":"https://commons.wikimedia.org/wiki/File:62_Frazier_Mountain_Road_Views_(26)_-_Mount_Pinos_Ranger_Station_(2).jpg","author_urls":[],"description":"Los Padres National Forest","license_url":"https://creativecommons.org/publicdomain/zero/1.0/","reviewed_on":"2026-10-24","capture_date":"2021-11-03 13:54:21","download_url":"https://thumb.wikimedia.org/wikipedia/commons/thumb/d/db/62_Frazier_Mountain_Road_Views_%2826%29_-_Mount_Pinos_Ranger_Station_%282%29.jpg/1280px-62_Frazier_Mountain_Road_Views_%2826%29_-_Mount_Pinos_Ranger_Station_%282%29.jpg?utm_source=commons.wikimedia.org&amp;utm_campaign=imageinfo&amp;utm_content=thumbnail","original_url":"https://upload.wikimedia.org/wikipedia/commons/d/db/62_Frazier_Mountain_Road_Views_%2826%29_-_Mount_Pinos_Ranger_Station_%282%29.jpg?utm_source=commons.wikimedia.org&amp;utm_campaign=imageinfo&amp;utm_content=original","pixel_review":{"method":"İndirilen kare temas sayfasında görüldü; kaynak mekân kimliğiyle eşleştirildi. Seçim kaydı final-pixel-review.json.","status":"verified","caption":"Mt. Pinos Ranger Station – Chuchupate · 2021 tarihli fotoğraf","reviewer":"Codex (AI)","review_id":"T8"},"downloaded_at":"2026-10-23T21:29:15.905507+00:00","download_sha256":"306bc9cda8a22603ff9282a155af05c32ef958a9cb8103df474dbddd0bc806e9","downloaded_file":"downloads/306bc9cda8a22603ff9282a155af05c32ef958a9cb8103df474dbddd0bc806e9.jpg","acquisition_file":"825864d1702c287a2a975328.webp","commons_filename":"62 Frazier Mountain Road Views (26) - Mount Pinos Ranger Station (2).jpg","original_file_url":"https://upload.wikimedia.org/wikipedia/commons/d/db/62_Frazier_Mountain_Road_Views_%2826%29_-_Mount_Pinos_Ranger_Station_%282%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d/db/62_Frazier_Mountain_Road_Views_%2826%29_-_Mount_Pinos_Ranger_Station_%282%29.jpg?utm_source=commons.wikimedia.org&amp;utm_campaign=imageinfo&amp;utm_content=original"},"metadata_reviewed_on":"2026-10-24","metadata_review_status":"verified"}}</x:v>
      </x:c>
    </x:row>
    <x:row r="281" ht="300" customHeight="1">
      <x:c r="A281" s="29" t="str">
        <x:v>bakersfield:evidence:venue-22246</x:v>
      </x:c>
      <x:c r="B281" s="29" t="str">
        <x:v>bakersfield</x:v>
      </x:c>
      <x:c r="C281" s="29" t="str">
        <x:v>bakersfield:photo:venue-22246</x:v>
      </x:c>
      <x:c r="D281" s="29" t="str">
        <x:v>https://commons.wikimedia.org/wiki/File:Fox_Theater_-_Bakersfield,_CA_-_DSC00462.jpg</x:v>
      </x:c>
      <x:c r="E281" s="29" t="str">
        <x:v>Fox Theater - Bakersfield, CA - DSC00462.jpg</x:v>
      </x:c>
      <x:c r="F281" s="29" t="str">
        <x:v>Daderot</x:v>
      </x:c>
      <x:c r="G281" s="29" t="str">
        <x:v>CC0 1.0</x:v>
      </x:c>
      <x:c r="H281" s="29" t="str">
        <x:v>https://creativecommons.org/publicdomain/zero/1.0/</x:v>
      </x:c>
      <x:c r="I281" s="29" t="str">
        <x:v>Creative Commons Zero, Public Domain Dedication</x:v>
      </x:c>
      <x:c r="J281" s="29" t="str">
        <x:v>Fox Theater - Bakersfield, CA - DSC00462.jpg · Daderot · CC0 1.0 · https://commons.wikimedia.org/wiki/File:Fox_Theater_-_Bakersfield,_CA_-_DSC00462.jpg</x:v>
      </x:c>
      <x:c r="K28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1" s="31" t="d">
        <x:v>2026-10-24T00:00:00.000Z</x:v>
      </x:c>
      <x:c r="M281" s="29" t="str">
        <x:v>Doğrulandı</x:v>
      </x:c>
      <x:c r="N281" s="29" t="str">
        <x:v>Doğrulandı</x:v>
      </x:c>
      <x:c r="O281" s="29" t="str">
        <x:v>Fotoğraflar/bk-6349205a7e370536e7a3f979.webp</x:v>
      </x:c>
      <x:c r="P281" s="29" t="str">
        <x:v>Downtown · 2026 tarihli fotoğraf · İndirilen kare temas sayfasında görüldü; kaynak mekân kimliğiyle eşleştirildi. Seçim kaydı final-pixel-review.json.</x:v>
      </x:c>
      <x:c r="Q281" s="29" t="str">
        <x:v>Bu kare için uygun</x:v>
      </x:c>
      <x:c r="R28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1" s="29" t="str">
        <x:v>Lisans kanıtları/bk-6349205a7e370536e7a3f979.source-evidence.json</x:v>
      </x:c>
      <x:c r="T281" s="29" t="str">
        <x:v>086db124fe8d973907a03b5a68dea45d3898cf1fc79bde26116a169ce7e8fa01</x:v>
      </x:c>
      <x:c r="U281" s="29" t="str">
        <x:v>Lisans kanıtları/bk-6349205a7e370536e7a3f979.license-record.json</x:v>
      </x:c>
      <x:c r="V281" s="29" t="str">
        <x:v>ee3991bb0ab6c3c50f76277d44a4bd600de685d97a45e6ee7356039496e43e92</x:v>
      </x:c>
      <x:c r="W281" s="29" t="str">
        <x:v>{"file":"bk-6349205a7e370536e7a3f979.webp","width":960,"author":"Daderot","height":1440,"sha256":"6349205a7e370536e7a3f97964462f0021b160d7f3a6e2e8d1d459a2e26335a8","license":"CC0 1.0","imageinfo":{"url":"https://upload.wikimedia.org/wikipedia/commons/b/b2/Fox_Theater_-_Bakersfield%2C_CA_-_DSC00462.jpg?utm_source=commons.wikimedia.org&amp;utm_campaign=imageinfo&amp;utm_content=original","mime":"image/jpeg","sha1":"eaadb8641aa1b9c22d4b24af4f10eb491efdafef","size":3065088,"width":3498,"height":5247,"pageid":196520545,"thumburl":"https://thumb.wikimedia.org/wikipedia/commons/thumb/b/b2/Fox_Theater_-_Bakersfield%2C_CA_-_DSC00462.jpg/1280px-Fox_Theater_-_Bakersfield%2C_CA_-_DSC00462.jpg?utm_source=commons.wikimedia.org&amp;utm_campaign=imageinfo&amp;utm_content=thumbnail","timestamp":"2026-07-30T14:34:04Z","thumbwidth":1280,"extmetadata":{"Artist":{"value":"&lt;a href=\"//commons.wikimedia.org/wiki/User:Daderot\" title=\"User:Daderot\"&gt;Daderot&lt;/a&gt;","source":"commons-desc-page"},"Credit":{"value":"&lt;span class=\"int-own-work\" lang=\"en\"&gt;Own work&lt;/span&gt;","source":"commons-desc-page"},"License":{"value":"cc0","hidden":"","source":"commons-templates"},"DateTime":{"value":"2026-07-30 14:34:04","hidden":"","source":"mediawiki-metadata"},"Categories":{"value":"CC-Zero|Fox Theater (Bakersfield, California)|Self-published work","hidden":"","source":"commons-categories"},"LicenseUrl":{"value":"http://creativecommons.org/publicdomain/zero/1.0/deed.en","source":"commons-desc-page"},"ObjectName":{"value":"Fox Theater - Bakersfield, CA - DSC00462","source":"mediawiki-metadata"},"UsageTerms":{"value":"Creative Commons Zero, Public Domain Dedication","source":"commons-desc-page"},"Assessments":{"value":"","hidden":"","source":"commons-categories"},"Copyrighted":{"value":"True","hidden":"","source":"commons-desc-page"},"Restrictions":{"value":"","hidden":"","source":"commons-desc-page"},"DateTimeOriginal":{"value":"2026-05-27 17:48:53","source":"commons-desc-page"},"ImageDescription":{"value":"Fox Theater - Bakersfield, California, USA.","source":"commons-desc-page"},"LicenseShortName":{"value":"CC0","hidden":"","source":"commons-desc-page"},"AttributionRequired":{"value":"false","hidden":"","source":"commons-desc-page"},"CommonsMetadataExtension":{"value":1.2,"hidden":"","source":"extension"}},"thumbheight":1920,"thumbattribs":{"src":"https://thumb.wikimedia.org/wikipedia/commons/thumb/b/b2/Fox_Theater_-_Bakersfield%2C_CA_-_DSC00462.jpg/1280px-Fox_Theater_-_Bakersfield%2C_CA_-_DSC00462.jpg?utm_source=commons.wikimedia.org&amp;utm_campaign=imageinfo&amp;utm_content=thumbnail","width":1280,"height":1920,"srcset":"https://upload.wikimedia.org/wikipedia/commons/b/b2/Fox_Theater_-_Bakersfield%2C_CA_-_DSC00462.jpg?utm_source=commons.wikimedia.org&amp;utm_campaign=imageinfo&amp;utm_content=thumbnail_unscaled 2x","loading":"lazy","decoding":"async"},"descriptionurl":"https://commons.wikimedia.org/wiki/File:Fox_Theater_-_Bakersfield,_CA_-_DSC00462.jpg","responsiveUrls":{"2":"https://upload.wikimedia.org/wikipedia/commons/b/b2/Fox_Theater_-_Bakersfield%2C_CA_-_DSC00462.jpg?utm_source=commons.wikimedia.org&amp;utm_campaign=imageinfo&amp;utm_content=thumbnail_unscaled"},"descriptionshorturl":"https://commons.wikimedia.org/w/index.php?curid=196520545"},"selection":{"qid":"pending","kind":"candidate","title":"Bakersfield local buildings"},"author_url":"https://commons.wikimedia.org/wiki/User:Daderot","derivative":"Wikimedia thumbnail decoded; EXIF orientation applied; converted to WebP quality 86; no generated pixels, no cropping.","source_url":"https://commons.wikimedia.org/wiki/File:Fox_Theater_-_Bakersfield,_CA_-_DSC00462.jpg","author_urls":["https://commons.wikimedia.org/wiki/User:Daderot"],"description":"Fox Theater - Bakersfield, California, USA.","license_url":"https://creativecommons.org/publicdomain/zero/1.0/","reviewed_on":"2026-10-24","capture_date":"2026-05-27 17:48:53","download_url":"https://thumb.wikimedia.org/wikipedia/commons/thumb/b/b2/Fox_Theater_-_Bakersfield%2C_CA_-_DSC00462.jpg/1280px-Fox_Theater_-_Bakersfield%2C_CA_-_DSC00462.jpg?utm_source=commons.wikimedia.org&amp;utm_campaign=imageinfo&amp;utm_content=thumbnail","original_url":"https://upload.wikimedia.org/wikipedia/commons/b/b2/Fox_Theater_-_Bakersfield%2C_CA_-_DSC00462.jpg?utm_source=commons.wikimedia.org&amp;utm_campaign=imageinfo&amp;utm_content=original","pixel_review":{"method":"İndirilen kare temas sayfasında görüldü; kaynak mekân kimliğiyle eşleştirildi. Seçim kaydı final-pixel-review.json.","status":"verified","caption":"Downtown · 2026 tarihli fotoğraf","reviewer":"Codex (AI)","review_id":"C129"},"downloaded_at":"2026-10-23T19:08:23.678890+00:00","download_sha256":"2ae9dc4cc51c1df8886464fb791e76ffb323516745d474f480de6140cf5a62f8","downloaded_file":"downloads/2ae9dc4cc51c1df8886464fb791e76ffb323516745d474f480de6140cf5a62f8.jpg","acquisition_file":"a5c14e2bc5ea508c25791f2f.webp","commons_filename":"Fox Theater - Bakersfield, CA - DSC00462.jpg","original_file_url":"https://upload.wikimedia.org/wikipedia/commons/b/b2/Fox_Theater_-_Bakersfield%2C_CA_-_DSC00462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b/b2/Fox_Theater_-_Bakersfield%2C_CA_-_DSC00462.jpg?utm_source=commons.wikimedia.org&amp;utm_campaign=imageinfo&amp;utm_content=original"},"metadata_reviewed_on":"2026-10-24","metadata_review_status":"verified"}}</x:v>
      </x:c>
    </x:row>
    <x:row r="282" ht="300" customHeight="1">
      <x:c r="A282" s="29" t="str">
        <x:v>bakersfield:evidence:venue-22247</x:v>
      </x:c>
      <x:c r="B282" s="29" t="str">
        <x:v>bakersfield</x:v>
      </x:c>
      <x:c r="C282" s="29" t="str">
        <x:v>bakersfield:photo:venue-22247</x:v>
      </x:c>
      <x:c r="D282" s="29" t="str">
        <x:v>https://www.flickr.com/photos/93406569@N00/6345264555/</x:v>
      </x:c>
      <x:c r="E282" s="29" t="str">
        <x:v>Mill Creek çevresi · 2011 tarihli fotoğraf</x:v>
      </x:c>
      <x:c r="F282" s="29" t="str">
        <x:v>Chuck Abbe</x:v>
      </x:c>
      <x:c r="G282" s="29" t="str">
        <x:v>CC BY 2.0</x:v>
      </x:c>
      <x:c r="H282" s="29" t="str">
        <x:v>https://creativecommons.org/licenses/by/2.0/</x:v>
      </x:c>
      <x:c r="I282" s="29" t="str">
        <x:v>CC BY 2.0</x:v>
      </x:c>
      <x:c r="J282" s="29" t="str">
        <x:v>Mill Creek çevresi · 2011 tarihli fotoğraf · Chuck Abbe · CC BY 2.0 · https://www.flickr.com/photos/93406569@N00/6345264555/</x:v>
      </x:c>
      <x:c r="K28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2" s="31" t="d">
        <x:v>2026-10-24T00:00:00.000Z</x:v>
      </x:c>
      <x:c r="M282" s="29" t="str">
        <x:v>Doğrulandı</x:v>
      </x:c>
      <x:c r="N282" s="29" t="str">
        <x:v>Doğrulandı</x:v>
      </x:c>
      <x:c r="O282" s="29" t="str">
        <x:v>Fotoğraflar/bk-5987d5a76c2414407ef94d89.webp</x:v>
      </x:c>
      <x:c r="P282" s="29" t="str">
        <x:v>Mill Creek çevresi · 2011 tarihli fotoğraf · İndirilen kare temas sayfasında görüldü; kaynak mekân kimliğiyle eşleştirildi. Seçim kaydı final-pixel-review.json.</x:v>
      </x:c>
      <x:c r="Q282" s="29" t="str">
        <x:v>Bu kare için uygun</x:v>
      </x:c>
      <x:c r="R28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2" s="29" t="str">
        <x:v>Lisans kanıtları/bk-5987d5a76c2414407ef94d89.source-evidence.json</x:v>
      </x:c>
      <x:c r="T282" s="29" t="str">
        <x:v>2f1d7ed0a1214987b45f557fea3a40aeba2be42c8bba7f1d1a2cf16f7b1c4baf</x:v>
      </x:c>
      <x:c r="U282" s="29" t="str">
        <x:v>Lisans kanıtları/bk-5987d5a76c2414407ef94d89.license-record.json</x:v>
      </x:c>
      <x:c r="V282" s="29" t="str">
        <x:v>1f904b6f530bf70609342357a155942cf04aa352f856ce941049e1a7b8b46688</x:v>
      </x:c>
      <x:c r="W282" s="29" t="str">
        <x:v>{"file":"bk-5987d5a76c2414407ef94d89.webp","width":1023,"author":"Chuck Abbe","height":687,"sha256":"5987d5a76c2414407ef94d89bef4087b85ced7db99d25ddde7ba949331160065","status":"reviewed-selected","license":"CC BY 2.0","provider":"Flickr","review_id":"F139","source_id":"6345264555","author_url":"https://www.flickr.com/photos/93406569@N00/","date_texts":["Uploaded on November 14, 2011 Taken on November 14, 2011","Taken on November 14, 2011","Uploaded on November 14, 2011 Taken on November 14, 2011","Taken on November 14, 2011"],"source_url":"https://www.flickr.com/photos/93406569@N00/6345264555/","description":"","license_url":"https://creativecommons.org/licenses/by/2.0/","review_note":"Üstü örtülü köprü.","reviewed_on":"2026-10-24","source_text":"Covered bridge at Mill Creek Park | Chuck Abbe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Chuck Abbe ChuckThePhotographer Covered bridge at Mill Creek Park Done 242 views 0 faves 0 comments Uploaded on November 14, 2011 Taken on November 14, 2011 Chuck Abbe By: Chuck Abbe Covered bridge at Mill Creek Park Done 242 views 0 faves 0 comments Uploaded on November 14, 2011 Taken on November 14,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photography.","capture_date":"2011-11-14","download_url":"https://live.staticflickr.com/6109/6345264555_6444169bbb_b.jpg","original_url":"https://live.staticflickr.com/6109/6345264555_d10d246581_o.jpg","pixel_review":{"method":"İndirilen kare temas sayfasında görüldü; kaynak mekân kimliğiyle eşleştirildi. Seçim kaydı final-pixel-review.json.","status":"verified","caption":"Mill Creek çevresi · 2011 tarihli fotoğraf","reviewer":"Codex (AI)","review_id":"F139"},"source_title":"Covered bridge at Mill Creek Park","downloaded_at":"2026-10-23T19:50:10.662224+00:00","download_sha256":"b87ce19ea393849111c34cc69ca656903e2d13b53151c38fbec6d7e5eb3c14d0","downloaded_file":"downloads/b87ce19ea393849111c34cc69ca656903e2d13b53151c38fbec6d7e5eb3c14d0.jpg","public_metadata":{"photo-models":[{"data":{"id":"6345264555","owner":{"data":{"id":"93406569@N00","isPro":false,"newFlow":true,"isAdFree":false,"realname":"Chuck Abbe","segments":{"data":[],"exportMetaType":"array"},"username":"ChuckThePhotographer","buddyicon":{"data":{"large":"//live.staticflickr.com/1166/buddyicons/93406569@N00_l.jpg?1183755746#93406569@N00","small":"//live.staticflickr.com/1166/buddyicons/93406569@N00_s.jpg?1183755746#93406569@N00","medium":"//live.staticflickr.com/1166/buddyicons/93406569@N00_m.jpg?1183755746#93406569@N00","retina":"//live.staticflickr.com/1166/buddyicons/93406569@N00_r.jpg?1183755746#93406569@N00","default":"//live.staticflickr.com/1166/buddyicons/93406569@N00.jpg?1183755746#93406569@N00"},"exportMetaType":"pojo"},"pathAlias":"chuckthephotographer","dateCreated":{"data":"1160686476","exportMetaType":"serializeFunction"},"subscription":{"data":{"isPro":false,"isClosed":false,"isPastDue":false},"exportMetaType":"pojo"},"eligibleGifts":{"data":["year","month","week"],"exportMetaType":"array"},"isEligibleForGifts":true,"_flickrModelRegistry":"person-models"},"exportMetaType":"model"},"sizes":{"data":{"c":{"data":{"url":"//live.staticflickr.com/6109/6345264555_6444169bbb_c.jpg","width":800,"height":537,"displayUrl":"//live.staticflickr.com/6109/6345264555_6444169bbb_c.jpg"},"exportMetaType":"pojo"},"h":{"data":{"url":"//live.staticflickr.com/6109/6345264555_b8558168c7_h.jpg","width":1600,"height":1074,"displayUrl":"//live.staticflickr.com/6109/6345264555_b8558168c7_h.jpg"},"exportMetaType":"pojo"},"k":{"data":{"url":"//live.staticflickr.com/6109/6345264555_afffbd8379_k.jpg","width":2048,"height":1375,"displayUrl":"//live.staticflickr.com/6109/6345264555_afffbd8379_k.jpg"},"exportMetaType":"pojo"},"l":{"data":{"url":"//live.staticflickr.com/6109/6345264555_6444169bbb_b.jpg","width":1024,"height":687,"displayUrl":"//live.staticflickr.com/6109/6345264555_6444169bbb_b.jpg"},"exportMetaType":"pojo"},"m":{"data":{"url":"//live.staticflickr.com/6109/6345264555_6444169bbb.jpg","width":500,"height":336,"displayUrl":"//live.staticflickr.com/6109/6345264555_6444169bbb.jpg"},"exportMetaType":"pojo"},"n":{"data":{"url":"//live.staticflickr.com/6109/6345264555_6444169bbb_n.jpg","width":320,"height":215,"displayUrl":"//live.staticflickr.com/6109/6345264555_6444169bbb_n.jpg"},"exportMetaType":"pojo"},"o":{"data":{"url":"//live.staticflickr.com/6109/6345264555_d10d246581_o.jpg","width":2896,"height":1944,"displayUrl":"//live.staticflickr.com/6109/6345264555_d10d246581_o.jpg"},"exportMetaType":"pojo"},"q":{"data":{"url":"//live.staticflickr.com/6109/6345264555_6444169bbb_q.jpg","width":150,"height":150,"displayUrl":"//live.staticflickr.com/6109/6345264555_6444169bbb_q.jpg"},"exportMetaType":"pojo"},"s":{"data":{"url":"//live.staticflickr.com/6109/6345264555_6444169bbb_m.jpg","width":240,"height":161,"displayUrl":"//live.staticflickr.com/6109/6345264555_6444169bbb_m.jpg"},"exportMetaType":"pojo"},"t":{"data":{"url":"//live.staticflickr.com/6109/6345264555_6444169bbb_t.jpg","width":100,"height":67,"displayUrl":"//live.staticflickr.com/6109/6345264555_6444169bbb_t.jpg"},"exportMetaType":"pojo"},"w":{"data":{"url":"//live.staticflickr.com/6109/6345264555_6444169bbb_w.jpg","width":400,"height":269,"displayUrl":"//live.staticflickr.com/6109/6345264555_6444169bbb_w.jpg"},"exportMetaType":"pojo"},"z":{"data":{"url":"//live.staticflickr.com/6109/6345264555_6444169bbb_z.jpg","width":640,"height":430,"displayUrl":"//live.staticflickr.com/6109/6345264555_6444169bbb_z.jpg"},"exportMetaType":"pojo"},"sq":{"data":{"url":"//live.staticflickr.com/6109/6345264555_6444169bbb_s.jpg","width":75,"height":75,"displayUrl":"//live.staticflickr.com/6109/6345264555_6444169bbb_s.jpg"},"exportMetaType":"pojo"}},"exportMetaType":"pojo"},"title":"Covered bridge at Mill Creek Park","oWidth":2896,"secret":"6444169bbb","license":4,"oHeight":1944,"rotation":0,"canAddMeta":false,"canComment":false,"engagement":{"data":{"id":"6345264555","canShare":true,"ownerNsid":"93406569@N00","reactions":{"data":{"like":{"data":{"id":"like","count":5,"canReact":true,"didViewerReact":true},"exportMetaType":"pojo"},"someOtherReaction":{"data":{"id":"someOtherReaction","count":3,"canReact":true,"didViewerReact":false},"exportMetaType":"pojo"}},"exportMetaType":"pojo"},"viewCount":242,"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6345264555","_flickrModelRegistry":"photo-geo-models"},"exportMetaType":"model"}],"photo-location-models":[{"data":{"id":"6345264555","geo":{"data":"~2","exportMetaType":"model"},"text":"","levels":{"data":{},"exportMetaType":"pojo"},"staticMaps":{"data":{},"exportMetaType":"pojo"},"_flickrModelRegistry":"photo-location-models"},"exportMetaType":"model"}],"photo-head-meta-models":[{"data":{"id":"6345264555","title":"Covered bridge at Mill Creek Park","og:url":"https://www.flickr.com/photos/chuckthephotographer/6345264555/","og:type":"article","keywords":"bakersfield, millcreekpark, downtownbakersfield","og:image":"https://live.staticflickr.com/6109/6345264555_6444169bbb_b.jpg","og:title":"Covered bridge at Mill Creek Park","twitter:card":"summary_large_image","twitter:image":"https://live.staticflickr.com/6109/6345264555_6444169bbb_b.jpg","og:description":"","og:image:width":1024,"og:image:height":687,"twitter:description":"Explore ChuckThePhotographer's 895 photos on Flickr!","_flickrModelRegistry":"photo-head-meta-models","twitter:app:url:ipad":"flickr://flickr.com/photos/chuckthephotographer/6345264555/","twitter:app:url:iphone":"flickr://flickr.com/photos/chuckthephotographer/6345264555/","twitter:app:url:googleplay":"https://www.flickr.com/photos/chuckthephotographer/6345264555/"},"exportMetaType":"model"}],"photo-license-history-models":[]},"acquisition_file":"fl-6345264555.webp","source_html_file":"/Users/atincakcayoz/corteqs/output/bakersfield-production-20261023/flickr-source-pages/6345264555.html","original_file_url":"https://live.staticflickr.com/6109/6345264555_d10d246581_o.jpg","proposed_identity":"Central Park at Mill Creek","source_html_sha256":"ef95c83c531f3215e325036ee14cb54af5900bc07c27969c08e1fdbd788f7eaf","third_party_rights_review":{"basis":"Kaynakta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dönüştürüldü.","photo_attribution":{"author_url":"https://www.flickr.com/photos/93406569@N00/","modifications":"EXIF yönü uygulandı; boyut küçültülüp WebP biçimine dönüştürüldü.","original_file_url":"https://live.staticflickr.com/6109/6345264555_d10d246581_o.jpg"},"metadata_reviewed_on":"2026-10-24","metadata_review_status":"verified"}}</x:v>
      </x:c>
    </x:row>
    <x:row r="283" ht="300" customHeight="1">
      <x:c r="A283" s="29" t="str">
        <x:v>bakersfield:evidence:venue-22248</x:v>
      </x:c>
      <x:c r="B283" s="29" t="str">
        <x:v>bakersfield</x:v>
      </x:c>
      <x:c r="C283" s="29" t="str">
        <x:v>bakersfield:photo:venue-22248</x:v>
      </x:c>
      <x:c r="D283" s="29" t="str">
        <x:v>https://www.flickr.com/photos/98609821@N00/4300726314/</x:v>
      </x:c>
      <x:c r="E283" s="29" t="str">
        <x:v>Westchester · 2010 tarihli fotoğraf</x:v>
      </x:c>
      <x:c r="F283" s="29" t="str">
        <x:v>Julie Jordan Scott</x:v>
      </x:c>
      <x:c r="G283" s="29" t="str">
        <x:v>CC BY 2.0</x:v>
      </x:c>
      <x:c r="H283" s="29" t="str">
        <x:v>https://creativecommons.org/licenses/by/2.0/</x:v>
      </x:c>
      <x:c r="I283" s="29" t="str">
        <x:v>CC BY 2.0</x:v>
      </x:c>
      <x:c r="J283" s="29" t="str">
        <x:v>Westchester · 2010 tarihli fotoğraf · Julie Jordan Scott · CC BY 2.0 · https://www.flickr.com/photos/98609821@N00/4300726314/</x:v>
      </x:c>
      <x:c r="K28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3" s="31" t="d">
        <x:v>2026-10-24T00:00:00.000Z</x:v>
      </x:c>
      <x:c r="M283" s="29" t="str">
        <x:v>Doğrulandı</x:v>
      </x:c>
      <x:c r="N283" s="29" t="str">
        <x:v>Doğrulandı</x:v>
      </x:c>
      <x:c r="O283" s="29" t="str">
        <x:v>Fotoğraflar/bk-92512eac2e0ea0bfef36b828.webp</x:v>
      </x:c>
      <x:c r="P283" s="29" t="str">
        <x:v>Westchester · 2010 tarihli fotoğraf · İndirilen kare temas sayfasında görüldü; kaynak mekân kimliğiyle eşleştirildi. Seçim kaydı final-pixel-review.json.</x:v>
      </x:c>
      <x:c r="Q283" s="29" t="str">
        <x:v>Bu kare için uygun</x:v>
      </x:c>
      <x:c r="R28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3" s="29" t="str">
        <x:v>Lisans kanıtları/bk-92512eac2e0ea0bfef36b828.source-evidence.json</x:v>
      </x:c>
      <x:c r="T283" s="29" t="str">
        <x:v>f70dfa5e369d89277c6a11bac0834add193e7a44dc12915a794a497da2efd161</x:v>
      </x:c>
      <x:c r="U283" s="29" t="str">
        <x:v>Lisans kanıtları/bk-92512eac2e0ea0bfef36b828.license-record.json</x:v>
      </x:c>
      <x:c r="V283" s="29" t="str">
        <x:v>a7801d7588bef2c72e4b1497797796b797947f5dbad90e3d216da5f2af0df01d</x:v>
      </x:c>
      <x:c r="W283" s="29" t="str">
        <x:v>{"file":"bk-92512eac2e0ea0bfef36b828.webp","width":1024,"author":"Julie Jordan Scott","height":768,"sha256":"92512eac2e0ea0bfef36b82894489211ba5f5415c72020771a73726e7de69f71","status":"reviewed-selected","license":"CC BY 2.0","provider":"Flickr","review_id":"F198","source_id":"4300726314","author_url":"https://www.flickr.com/photos/98609821@N00/","date_texts":["Uploaded on January 24, 2010 Taken on January 23, 2010","Taken on January 23, 2010","Uploaded on January 24, 2010 Taken on January 23, 2010","Taken on January 23, 2010"],"source_url":"https://www.flickr.com/photos/98609821@N00/4300726314/","description":"","license_url":"https://creativecommons.org/licenses/by/2.0/","review_note":"Bandstand, clear architectural view.","reviewed_on":"2026-10-24","source_text":"\"To the People of Bakersfield\"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\"To the People of Bakersfield\" Done 742 views 0 faves 0 comments Uploaded on January 24, 2010 Taken on January 23, 2010 Julie Jordan Scott By: Julie Jordan Scott \"To the People of Bakersfield\" Done 742 views 0 faves 0 comments Uploaded on January 24, 2010 Taken on January 23,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photography.","capture_date":"2010-01-23","download_url":"https://live.staticflickr.com/4058/4300726314_f47f9305bf_b.jpg","original_url":"https://live.staticflickr.com/4058/4300726314_43bb7f8238_4k.jpg","pixel_review":{"method":"İndirilen kare temas sayfasında görüldü; kaynak mekân kimliğiyle eşleştirildi. Seçim kaydı final-pixel-review.json.","status":"verified","caption":"Westchester · 2010 tarihli fotoğraf","reviewer":"Codex (AI)","review_id":"F198"},"source_title":"\"To the People of Bakersfield\"","downloaded_at":"2026-10-23T19:50:15.111387+00:00","download_sha256":"d7e07dd56fc1f1c74e7e29399cf52c77ebb100e92972f91b43f3dafa359b7318","downloaded_file":"downloads/d7e07dd56fc1f1c74e7e29399cf52c77ebb100e92972f91b43f3dafa359b7318.jpg","public_metadata":{"photo-models":[{"data":{"id":"4300726314","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4058/4300726314_f47f9305bf_c.jpg","width":800,"height":600,"displayUrl":"//live.staticflickr.com/4058/4300726314_f47f9305bf_c.jpg"},"exportMetaType":"pojo"},"h":{"data":{"url":"//live.staticflickr.com/4058/4300726314_6da633bfe9_h.jpg","width":1600,"height":1200,"displayUrl":"//live.staticflickr.com/4058/4300726314_6da633bfe9_h.jpg"},"exportMetaType":"pojo"},"k":{"data":{"url":"//live.staticflickr.com/4058/4300726314_63524cdfb9_k.jpg","width":2048,"height":1536,"displayUrl":"//live.staticflickr.com/4058/4300726314_63524cdfb9_k.jpg"},"exportMetaType":"pojo"},"l":{"data":{"url":"//live.staticflickr.com/4058/4300726314_f47f9305bf_b.jpg","width":1024,"height":768,"displayUrl":"//live.staticflickr.com/4058/4300726314_f47f9305bf_b.jpg"},"exportMetaType":"pojo"},"m":{"data":{"url":"//live.staticflickr.com/4058/4300726314_f47f9305bf.jpg","width":500,"height":375,"displayUrl":"//live.staticflickr.com/4058/4300726314_f47f9305bf.jpg"},"exportMetaType":"pojo"},"n":{"data":{"url":"//live.staticflickr.com/4058/4300726314_f47f9305bf_n.jpg","width":320,"height":240,"displayUrl":"//live.staticflickr.com/4058/4300726314_f47f9305bf_n.jpg"},"exportMetaType":"pojo"},"o":{"data":{"url":"//live.staticflickr.com/4058/4300726314_ba863c21fb_o.jpg","width":4000,"height":3000,"displayUrl":"//live.staticflickr.com/4058/4300726314_ba863c21fb_o.jpg"},"exportMetaType":"pojo"},"q":{"data":{"url":"//live.staticflickr.com/4058/4300726314_f47f9305bf_q.jpg","width":150,"height":150,"displayUrl":"//live.staticflickr.com/4058/4300726314_f47f9305bf_q.jpg"},"exportMetaType":"pojo"},"s":{"data":{"url":"//live.staticflickr.com/4058/4300726314_f47f9305bf_m.jpg","width":240,"height":180,"displayUrl":"//live.staticflickr.com/4058/4300726314_f47f9305bf_m.jpg"},"exportMetaType":"pojo"},"t":{"data":{"url":"//live.staticflickr.com/4058/4300726314_f47f9305bf_t.jpg","width":100,"height":75,"displayUrl":"//live.staticflickr.com/4058/4300726314_f47f9305bf_t.jpg"},"exportMetaType":"pojo"},"w":{"data":{"url":"//live.staticflickr.com/4058/4300726314_f47f9305bf_w.jpg","width":400,"height":300,"displayUrl":"//live.staticflickr.com/4058/4300726314_f47f9305bf_w.jpg"},"exportMetaType":"pojo"},"z":{"data":{"url":"//live.staticflickr.com/4058/4300726314_f47f9305bf_z.jpg","width":640,"height":480,"displayUrl":"//live.staticflickr.com/4058/4300726314_f47f9305bf_z.jpg"},"exportMetaType":"pojo"},"3k":{"data":{"url":"//live.staticflickr.com/4058/4300726314_618da6f408_3k.jpg","width":3072,"height":2304,"displayUrl":"//live.staticflickr.com/4058/4300726314_618da6f408_3k.jpg"},"exportMetaType":"pojo"},"4k":{"data":{"url":"//live.staticflickr.com/4058/4300726314_43bb7f8238_4k.jpg","width":4000,"height":3000,"displayUrl":"//live.staticflickr.com/4058/4300726314_43bb7f8238_4k.jpg"},"exportMetaType":"pojo"},"sq":{"data":{"url":"//live.staticflickr.com/4058/4300726314_f47f9305bf_s.jpg","width":75,"height":75,"displayUrl":"//live.staticflickr.com/4058/4300726314_f47f9305bf_s.jpg"},"exportMetaType":"pojo"}},"exportMetaType":"pojo"},"title":"\"To the People of Bakersfield\"","oWidth":4000,"secret":"f47f9305bf","license":4,"oHeight":3000,"rotation":0,"canAddMeta":false,"canComment":false,"engagement":{"data":{"id":"4300726314","canShare":true,"ownerNsid":"98609821@N00","reactions":{"data":{"like":{"data":{"id":"like","count":5,"canReact":true,"didViewerReact":true},"exportMetaType":"pojo"},"someOtherReaction":{"data":{"id":"someOtherReaction","count":3,"canReact":true,"didViewerReact":false},"exportMetaType":"pojo"}},"exportMetaType":"pojo"},"viewCount":742,"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4300726314","_flickrModelRegistry":"photo-geo-models"},"exportMetaType":"model"}],"photo-location-models":[{"data":{"id":"4300726314","geo":{"data":"~2","exportMetaType":"model"},"text":"","levels":{"data":{},"exportMetaType":"pojo"},"staticMaps":{"data":{},"exportMetaType":"pojo"},"_flickrModelRegistry":"photo-location-models"},"exportMetaType":"model"}],"photo-head-meta-models":[{"data":{"id":"4300726314","title":"&amp;quot;To the People of Bakersfield&amp;quot;","og:url":"https://www.flickr.com/photos/juliejordanscott/4300726314/","og:type":"article","keywords":"friends, jared, actors, rehearsal, stage, michelle, cast, preparation, theemptyspace, jastropark, january2010, firstkissesatjastropark, tothepeopleofbakersfield","og:image":"https://live.staticflickr.com/4058/4300726314_f47f9305bf_b.jpg","og:title":"&amp;quot;To the People of Bakersfield&amp;quot;","twitter:card":"summary_large_image","twitter:image":"https://live.staticflickr.com/4058/4300726314_f47f9305bf_b.jpg","og:description":"","og:image:width":1024,"og:image:height":768,"twitter:creator":"@juliejordanscot","twitter:description":"Explore juliejordanscott's 67408 photos on Flickr!","_flickrModelRegistry":"photo-head-meta-models","twitter:app:url:ipad":"flickr://flickr.com/photos/juliejordanscott/4300726314/","twitter:app:url:iphone":"flickr://flickr.com/photos/juliejordanscott/4300726314/","twitter:app:url:googleplay":"https://www.flickr.com/photos/juliejordanscott/4300726314/"},"exportMetaType":"model"}],"photo-license-history-models":[]},"acquisition_file":"fl-4300726314.webp","source_html_file":"/Users/atincakcayoz/corteqs/output/bakersfield-production-20261023/flickr-source-pages/4300726314.html","original_file_url":"https://live.staticflickr.com/4058/4300726314_43bb7f8238_4k.jpg","proposed_identity":"Jastro Park","source_html_sha256":"e3f0c1e48016c0f95bf959f42eeb03cadf911c3171f4c7b8326ea241a56d58b4","third_party_rights_review":{"basis":"Kaynakta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dönüştürüldü.","original_file_url":"https://live.staticflickr.com/4058/4300726314_43bb7f8238_4k.jpg"},"metadata_reviewed_on":"2026-10-24","metadata_review_status":"verified"}}</x:v>
      </x:c>
    </x:row>
    <x:row r="284" ht="300" customHeight="1">
      <x:c r="A284" s="29" t="str">
        <x:v>bakersfield:evidence:venue-22249</x:v>
      </x:c>
      <x:c r="B284" s="29" t="str">
        <x:v>bakersfield</x:v>
      </x:c>
      <x:c r="C284" s="29" t="str">
        <x:v>bakersfield:photo:venue-22249</x:v>
      </x:c>
      <x:c r="D284" s="29" t="str">
        <x:v>https://www.flickr.com/photos/49025781@N00/2375477975/</x:v>
      </x:c>
      <x:c r="E284" s="29" t="str">
        <x:v>Oleander–Sunset / Eye Street çevresi · 2008 tarihli fotoğraf</x:v>
      </x:c>
      <x:c r="F284" s="29" t="str">
        <x:v>David Steele</x:v>
      </x:c>
      <x:c r="G284" s="29" t="str">
        <x:v>CC BY 2.0</x:v>
      </x:c>
      <x:c r="H284" s="29" t="str">
        <x:v>https://creativecommons.org/licenses/by/2.0/</x:v>
      </x:c>
      <x:c r="I284" s="29" t="str">
        <x:v>CC BY 2.0</x:v>
      </x:c>
      <x:c r="J284" s="29" t="str">
        <x:v>Oleander–Sunset / Eye Street çevresi · 2008 tarihli fotoğraf · David Steele · CC BY 2.0 · https://www.flickr.com/photos/49025781@N00/2375477975/</x:v>
      </x:c>
      <x:c r="K28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4" s="31" t="d">
        <x:v>2026-10-24T00:00:00.000Z</x:v>
      </x:c>
      <x:c r="M284" s="29" t="str">
        <x:v>Doğrulandı</x:v>
      </x:c>
      <x:c r="N284" s="29" t="str">
        <x:v>Doğrulandı</x:v>
      </x:c>
      <x:c r="O284" s="29" t="str">
        <x:v>Fotoğraflar/bk-bbadd314ba659b58029982cb.webp</x:v>
      </x:c>
      <x:c r="P284" s="29" t="str">
        <x:v>Oleander–Sunset / Eye Street çevresi · 2008 tarihli fotoğraf · İndirilen kare temas sayfasında görüldü; kaynak mekân kimliğiyle eşleştirildi. Seçim kaydı final-pixel-review.json.</x:v>
      </x:c>
      <x:c r="Q284" s="29" t="str">
        <x:v>Bu kare için uygun</x:v>
      </x:c>
      <x:c r="R28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4" s="29" t="str">
        <x:v>Lisans kanıtları/bk-bbadd314ba659b58029982cb.source-evidence.json</x:v>
      </x:c>
      <x:c r="T284" s="29" t="str">
        <x:v>62d05920f7ea7445c3bb720d2b41767f14e50e6697ca5013b2a8faacc9d2e18c</x:v>
      </x:c>
      <x:c r="U284" s="29" t="str">
        <x:v>Lisans kanıtları/bk-bbadd314ba659b58029982cb.license-record.json</x:v>
      </x:c>
      <x:c r="V284" s="29" t="str">
        <x:v>be6943f2d2d9b4fcd8a5a90907603d96fd284c71f7985ecc5e78247e6aca9bca</x:v>
      </x:c>
      <x:c r="W284" s="29" t="str">
        <x:v>{"file":"bk-bbadd314ba659b58029982cb.webp","width":1023,"author":"David Steele","height":699,"sha256":"bbadd314ba659b58029982cba5ee2bbe0221cc42df5151fb978d91c18f66d628","status":"reviewed-selected","license":"CC BY 2.0","provider":"Flickr","review_id":"E46","source_id":"2375477975","author_url":"https://www.flickr.com/photos/49025781@N00/","date_texts":["Uploaded on March 31, 2008 Taken on February 18, 2008","Taken on February 18, 2008","Uploaded on March 31, 2008 Taken on February 18, 2008","Taken on February 18, 2008"],"source_url":"https://www.flickr.com/photos/49025781@N00/2375477975/","description":"It looks like a dive, but OMG, the ice cream and candy chews are unbelievable!","license_url":"https://creativecommons.org/licenses/by/2.0/","review_note":"Original shop facade; compare against previous production source IDs.","reviewed_on":"2026-10-24","source_text":"Dewar's - Bakersfield, California | It looks like a dive, bu…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Steele hombre de Steele Dewar's - Bakersfield, California It looks like a dive, but OMG, the ice cream and candy chews are unbelievable! Done 501 views 0 faves 3 comments Uploaded on March 31, 2008 Taken on February 18, 2008 David Steele By: David Steele Dewar's - Bakersfield, California It looks like a dive, but OMG, the ice cream and candy chews are unbelievable! Done 501 views 0 faves 3 comments Uploaded on March 31, 2008 Taken on February 18, 2008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photography.","capture_date":"2008-02-18","download_url":"https://live.staticflickr.com/3004/2375477975_35102b8390_b.jpg","original_url":"https://live.staticflickr.com/3004/2375477975_9bd607e72b_o.jpg","pixel_review":{"method":"İndirilen kare temas sayfasında görüldü; kaynak mekân kimliğiyle eşleştirildi. Seçim kaydı final-pixel-review.json.","status":"verified","caption":"Oleander–Sunset / Eye Street çevresi · 2008 tarihli fotoğraf","reviewer":"Codex (AI)","review_id":"E46"},"source_title":"Dewar's - Bakersfield, California","downloaded_at":"2026-10-23T19:50:34.239939+00:00","download_sha256":"ca514684f40910a5d41c8235e7735153fa048c2067ca5a46f78be174952e2cca","downloaded_file":"downloads/ca514684f40910a5d41c8235e7735153fa048c2067ca5a46f78be174952e2cca.jpg","public_metadata":{"photo-models":[{"data":{"id":"2375477975","owner":{"data":{"id":"49025781@N00","isPro":true,"newFlow":true,"isAdFree":false,"location":"Palmdale, California, United States of America","proBadge":"legacy","realname":"David Steele","segments":{"data":[],"exportMetaType":"array"},"username":"hombre de Steele","buddyicon":{"data":{"large":"//farm66.staticflickr.com/65535/buddyicons/49025781@N00_l.jpg?1614900151#49025781@N00","small":"//farm66.staticflickr.com/65535/buddyicons/49025781@N00_s.jpg?1614900151#49025781@N00","medium":"//farm66.staticflickr.com/65535/buddyicons/49025781@N00_m.jpg?1614900151#49025781@N00","retina":"//farm66.staticflickr.com/65535/buddyicons/49025781@N00_r.jpg?1614900151#49025781@N00","default":"//farm66.staticflickr.com/65535/buddyicons/49025781@N00.jpg?1614900151#49025781@N00"},"exportMetaType":"pojo"},"pathAlias":"hombredesteele","dateCreated":{"data":"1137267001","exportMetaType":"serializeFunction"},"subscription":{"data":{"isPro":false,"isClosed":false,"isPastDue":false},"exportMetaType":"pojo"},"eligibleGifts":{"data":["year","month","week"],"exportMetaType":"array"},"isEligibleForGifts":true,"_flickrModelRegistry":"person-models"},"exportMetaType":"model"},"sizes":{"data":{"c":{"data":{"url":"//live.staticflickr.com/3004/2375477975_35102b8390_c.jpg","width":800,"height":546,"displayUrl":"//live.staticflickr.com/3004/2375477975_35102b8390_c.jpg"},"exportMetaType":"pojo"},"h":{"data":{"url":"//live.staticflickr.com/3004/2375477975_ceff59dbf8_h.jpg","width":1600,"height":1093,"displayUrl":"//live.staticflickr.com/3004/2375477975_ceff59dbf8_h.jpg"},"exportMetaType":"pojo"},"k":{"data":{"url":"//live.staticflickr.com/3004/2375477975_6072c0325c_k.jpg","width":2048,"height":1399,"displayUrl":"//live.staticflickr.com/3004/2375477975_6072c0325c_k.jpg"},"exportMetaType":"pojo"},"l":{"data":{"url":"//live.staticflickr.com/3004/2375477975_35102b8390_b.jpg","width":1024,"height":699,"displayUrl":"//live.staticflickr.com/3004/2375477975_35102b8390_b.jpg"},"exportMetaType":"pojo"},"m":{"data":{"url":"//live.staticflickr.com/3004/2375477975_35102b8390.jpg","width":500,"height":342,"displayUrl":"//live.staticflickr.com/3004/2375477975_35102b8390.jpg"},"exportMetaType":"pojo"},"n":{"data":{"url":"//live.staticflickr.com/3004/2375477975_35102b8390_n.jpg","width":320,"height":219,"displayUrl":"//live.staticflickr.com/3004/2375477975_35102b8390_n.jpg"},"exportMetaType":"pojo"},"o":{"data":{"url":"//live.staticflickr.com/3004/2375477975_9bd607e72b_o.jpg","width":2265,"height":1547,"displayUrl":"//live.staticflickr.com/3004/2375477975_9bd607e72b_o.jpg"},"exportMetaType":"pojo"},"q":{"data":{"url":"//live.staticflickr.com/3004/2375477975_35102b8390_q.jpg","width":150,"height":150,"displayUrl":"//live.staticflickr.com/3004/2375477975_35102b8390_q.jpg"},"exportMetaType":"pojo"},"s":{"data":{"url":"//live.staticflickr.com/3004/2375477975_35102b8390_m.jpg","width":240,"height":164,"displayUrl":"//live.staticflickr.com/3004/2375477975_35102b8390_m.jpg"},"exportMetaType":"pojo"},"t":{"data":{"url":"//live.staticflickr.com/3004/2375477975_35102b8390_t.jpg","width":100,"height":68,"displayUrl":"//live.staticflickr.com/3004/2375477975_35102b8390_t.jpg"},"exportMetaType":"pojo"},"w":{"data":{"url":"//live.staticflickr.com/3004/2375477975_35102b8390_w.jpg","width":400,"height":273,"displayUrl":"//live.staticflickr.com/3004/2375477975_35102b8390_w.jpg"},"exportMetaType":"pojo"},"z":{"data":{"url":"//live.staticflickr.com/3004/2375477975_35102b8390_z.jpg","width":640,"height":437,"displayUrl":"//live.staticflickr.com/3004/2375477975_35102b8390_z.jpg"},"exportMetaType":"pojo"},"sq":{"data":{"url":"//live.staticflickr.com/3004/2375477975_35102b8390_s.jpg","width":75,"height":75,"displayUrl":"//live.staticflickr.com/3004/2375477975_35102b8390_s.jpg"},"exportMetaType":"pojo"}},"exportMetaType":"pojo"},"title":"Dewar's - Bakersfield, California","oWidth":2265,"secret":"35102b8390","license":4,"oHeight":1547,"rotation":0,"canAddMeta":false,"canComment":false,"engagement":{"data":{"id":"2375477975","canShare":true,"ownerNsid":"49025781@N00","reactions":{"data":{"like":{"data":{"id":"like","count":5,"canReact":true,"didViewerReact":true},"exportMetaType":"pojo"},"someOtherReaction":{"data":{"id":"someOtherReaction","count":3,"canReact":true,"didViewerReact":false},"exportMetaType":"pojo"}},"exportMetaType":"pojo"},"viewCount":501,"canDownload":true,"commentCount":3,"_flickrModelRegistry":"photo-engagement-models"},"exportMetaType":"model"},"description":"It looks like a dive, but OMG, the ice cream and candy chews are unbelievable!","safetyLevel":0,"upgradeSizes":{"data":[],"exportMetaType":"array"},"adEligibility":{"data":{"lane":1,"labels":{"data":["ProOwner"],"exportMetaType":"array"},"isAdEligible":false,"highScoreLabels":{"data":["ProOwner"],"exportMetaType":"array"}},"exportMetaType":"pojo"},"canPublicComment":true,"_flickrModelRegistry":"photo-models"},"exportMetaType":"model"}],"photo-geo-models":[{"data":{"id":"2375477975","hasGeo":true,"accuracy":14,"isPublic":true,"latitude":35.367915,"longitude":-119.01987,"_flickrModelRegistry":"photo-geo-models"},"exportMetaType":"model"}],"photo-location-models":[{"data":{"id":"2375477975","geo":{"data":"~2","exportMetaType":"model"},"text":"Kayandee, California, United States","levels":{"data":{"county":{"data":{"name":"Kern","woeId":12587684},"exportMetaType":"pojo"},"region":{"data":{"name":"California","woeId":2347563},"exportMetaType":"pojo"},"country":{"data":{"name":"United States","woeId":23424977},"exportMetaType":"pojo"},"locality":{"data":{"name":"Kayandee","woeId":2430890},"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2375477975","title":"Dewar's - Bakersfield, California","og:url":"https://www.flickr.com/photos/hombredesteele/2375477975/","og:type":"article","og:image":"https://live.staticflickr.com/3004/2375477975_35102b8390_b.jpg","og:title":"Dewar's - Bakersfield, California","twitter:card":"summary_large_image","twitter:image":"https://live.staticflickr.com/3004/2375477975_35102b8390_b.jpg","og:description":"It looks like a dive, but OMG, the ice cream and candy chews are unbelievable!","og:image:width":1024,"og:image:height":699,"twitter:description":"It looks like a dive, but OMG, the ice cream and candy chews are unbelievable!","_flickrModelRegistry":"photo-head-meta-models","twitter:app:url:ipad":"flickr://flickr.com/photos/hombredesteele/2375477975/","twitter:app:url:iphone":"flickr://flickr.com/photos/hombredesteele/2375477975/","twitter:app:url:googleplay":"https://www.flickr.com/photos/hombredesteele/2375477975/"},"exportMetaType":"model"}],"photo-license-history-models":[]},"acquisition_file":"fl-2375477975.webp","source_html_file":"/Users/atincakcayoz/corteqs/output/bakersfield-production-20261023/flickr-source-pages/2375477975.html","original_file_url":"https://live.staticflickr.com/3004/2375477975_9bd607e72b_o.jpg","proposed_identity":"Dewar’s Eye Street","source_html_sha256":"de1abe0de1ed0f94226a2e6e5ec5a7b1df87a63e222be6809d2a83fd5c81ba55","third_party_rights_review":{"basis":"Kaynakta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dönüştürüldü.","photo_attribution":{"author_url":"https://www.flickr.com/photos/49025781@N00/","modifications":"EXIF yönü uygulandı; boyut küçültülüp WebP biçimine dönüştürüldü.","original_file_url":"https://live.staticflickr.com/3004/2375477975_9bd607e72b_o.jpg"},"metadata_reviewed_on":"2026-10-24","metadata_review_status":"verified"}}</x:v>
      </x:c>
    </x:row>
    <x:row r="285" ht="300" customHeight="1">
      <x:c r="A285" s="29" t="str">
        <x:v>bakersfield:evidence:venue-22250</x:v>
      </x:c>
      <x:c r="B285" s="29" t="str">
        <x:v>bakersfield</x:v>
      </x:c>
      <x:c r="C285" s="29" t="str">
        <x:v>bakersfield:photo:venue-22250</x:v>
      </x:c>
      <x:c r="D285" s="29" t="str">
        <x:v>https://commons.wikimedia.org/wiki/File:2009-0726-CA-Bakersfield-BakerLib.jpg</x:v>
      </x:c>
      <x:c r="E285" s="29" t="str">
        <x:v>2009-0726-CA-Bakersfield-BakerLib.jpg</x:v>
      </x:c>
      <x:c r="F285" s="29" t="str">
        <x:v>Bobak Ha'Eri</x:v>
      </x:c>
      <x:c r="G285" s="29" t="str">
        <x:v>CC BY 3.0</x:v>
      </x:c>
      <x:c r="H285" s="29" t="str">
        <x:v>https://creativecommons.org/licenses/by/3.0</x:v>
      </x:c>
      <x:c r="I285" s="29" t="str">
        <x:v>Creative Commons Attribution 3.0</x:v>
      </x:c>
      <x:c r="J285" s="29" t="str">
        <x:v>2009-0726-CA-Bakersfield-BakerLib.jpg · Bobak Ha'Eri · CC BY 3.0 · https://commons.wikimedia.org/wiki/File:2009-0726-CA-Bakersfield-BakerLib.jpg</x:v>
      </x:c>
      <x:c r="K28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5" s="31" t="d">
        <x:v>2026-10-24T00:00:00.000Z</x:v>
      </x:c>
      <x:c r="M285" s="29" t="str">
        <x:v>Doğrulandı</x:v>
      </x:c>
      <x:c r="N285" s="29" t="str">
        <x:v>Doğrulandı</x:v>
      </x:c>
      <x:c r="O285" s="29" t="str">
        <x:v>Fotoğraflar/bk-442f904e6392375df25c9f64.webp</x:v>
      </x:c>
      <x:c r="P285" s="29" t="str">
        <x:v>Old Town Kern / Baker Street · 2009 tarihli fotoğraf · İndirilen kare temas sayfasında görüldü; kaynak mekân kimliğiyle eşleştirildi. Seçim kaydı final-pixel-review.json.</x:v>
      </x:c>
      <x:c r="Q285" s="29" t="str">
        <x:v>Bu kare için uygun</x:v>
      </x:c>
      <x:c r="R28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5" s="29" t="str">
        <x:v>Lisans kanıtları/bk-442f904e6392375df25c9f64.source-evidence.json</x:v>
      </x:c>
      <x:c r="T285" s="29" t="str">
        <x:v>9b52b58303d372134a9c34ae28c85ed1f843cd7dcdb9535fa086f8a5b3f13984</x:v>
      </x:c>
      <x:c r="U285" s="29" t="str">
        <x:v>Lisans kanıtları/bk-442f904e6392375df25c9f64.license-record.json</x:v>
      </x:c>
      <x:c r="V285" s="29" t="str">
        <x:v>194e58fc52ff0b7ebaec725510f2ecc814e2f1fac7b617e8f5ccd22b58b525a8</x:v>
      </x:c>
      <x:c r="W285" s="29" t="str">
        <x:v>{"file":"bk-442f904e6392375df25c9f64.webp","width":1280,"author":"Bobak Ha'Eri","height":907,"sha256":"442f904e6392375df25c9f64f63c3572737da260b01510df7934e17eecc33408","license":"CC BY 3.0","imageinfo":{"url":"https://upload.wikimedia.org/wikipedia/commons/d/d4/2009-0726-CA-Bakersfield-BakerLib.jpg?utm_source=commons.wikimedia.org&amp;utm_campaign=imageinfo&amp;utm_content=original","mime":"image/jpeg","sha1":"8240406fdcb76749a70818e7a511b7cc51e017ff","size":3399875,"width":2726,"height":1932,"pageid":7513007,"thumburl":"https://thumb.wikimedia.org/wikipedia/commons/thumb/d/d4/2009-0726-CA-Bakersfield-BakerLib.jpg/1280px-2009-0726-CA-Bakersfield-BakerLib.jpg?utm_source=commons.wikimedia.org&amp;utm_campaign=imageinfo&amp;utm_content=thumbnail","timestamp":"2009-08-08T21:43:30Z","thumbwidth":1280,"extmetadata":{"Artist":{"value":"&lt;a href=\"https://en.wikipedia.org/wiki/User:Bobak\" class=\"extiw\" title=\"en:User:Bobak\"&gt;Bobak Ha'Eri&lt;/a&gt;","source":"commons-desc-page"},"Credit":{"value":"&lt;span class=\"int-own-work\" lang=\"en\"&gt;Own work&lt;/span&gt;","source":"commons-desc-page"},"License":{"value":"cc-by-3.0","hidden":"","source":"commons-templates"},"DateTime":{"value":"2009-08-08 21:43:30","hidden":"","source":"mediawiki-metadata"},"Categories":{"value":"Taken with Panasonic Lumix DMC-TZ7|Kern County Library|National Register of Historic Places in Kern County, California|Neoclassical architecture in California|Libraries on the National Register of Historic Places in California|Built in California in 1915|Self-published work|National Register of Historic Places with known IDs|Files by User:Bobak","hidden":"","source":"commons-categories"},"LicenseUrl":{"value":"https://creativecommons.org/licenses/by/3.0","source":"commons-desc-page"},"ObjectName":{"value":"2009-0726-CA-Bakersfield-BakerLib","source":"mediawiki-metadata"},"Permission":{"value":"CC-By-SA-3.0","hidden":"","source":"commons-desc-page"},"UsageTerms":{"value":"Creative Commons Attribution 3.0","source":"commons-desc-page"},"Assessments":{"value":"","hidden":"","source":"commons-categories"},"Copyrighted":{"value":"True","hidden":"","source":"commons-desc-page"},"GPSLatitude":{"value":"35.383611","source":"commons-desc-page"},"GPSMapDatum":{"value":"WGS-84","hidden":"","source":"commons-desc-page"},"GPSLongitude":{"value":"-118.990000","source":"commons-desc-page"},"Restrictions":{"value":"","hidden":"","source":"commons-desc-page"},"DateTimeOriginal":{"value":"2009-07-26","source":"commons-desc-page"},"ImageDescription":{"value":"&lt;b&gt;&lt;a href=\"https://en.wikipedia.org/wiki/Kern_Branch,_Beale_Memorial_Library\" class=\"extiw\" title=\"w:Kern Branch, Beale Memorial Library\"&gt;Kern Branch, Beale Memorial Library&lt;/a&gt;&lt;/b&gt; (Baker Street Branch Library) — part of of the Kern County Library system, located in &lt;a href=\"//commons.wikimedia.org/wiki/Category:Bakersfield,_California\" title=\"Category:Bakersfield, California\"&gt;Bakersfield&lt;/a&gt;, &lt;a href=\"//commons.wikimedia.org/wiki/Category:California\" title=\"Category:California\"&gt;California&lt;/a&gt;.","source":"commons-desc-page"},"LicenseShortName":{"value":"CC BY 3.0","hidden":"","source":"commons-desc-page"},"AttributionRequired":{"value":"true","hidden":"","source":"commons-desc-page"},"CommonsMetadataExtension":{"value":1.2,"hidden":"","source":"extension"}},"thumbheight":907,"thumbattribs":{"src":"https://thumb.wikimedia.org/wikipedia/commons/thumb/d/d4/2009-0726-CA-Bakersfield-BakerLib.jpg/1280px-2009-0726-CA-Bakersfield-BakerLib.jpg?utm_source=commons.wikimedia.org&amp;utm_campaign=imageinfo&amp;utm_content=thumbnail","width":1280,"height":907,"srcset":"https://upload.wikimedia.org/wikipedia/commons/d/d4/2009-0726-CA-Bakersfield-BakerLib.jpg?utm_source=commons.wikimedia.org&amp;utm_campaign=imageinfo&amp;utm_content=thumbnail_unscaled 2x","loading":"lazy","decoding":"async"},"descriptionurl":"https://commons.wikimedia.org/wiki/File:2009-0726-CA-Bakersfield-BakerLib.jpg","responsiveUrls":{"2":"https://upload.wikimedia.org/wikipedia/commons/d/d4/2009-0726-CA-Bakersfield-BakerLib.jpg?utm_source=commons.wikimedia.org&amp;utm_campaign=imageinfo&amp;utm_content=thumbnail_unscaled"},"descriptionshorturl":"https://commons.wikimedia.org/w/index.php?curid=7513007"},"selection":{"qid":"pending","kind":"candidate","title":"Bakersfield local buildings"},"author_url":"https://en.wikipedia.org/wiki/User:Bobak","derivative":"Wikimedia thumbnail decoded; EXIF orientation applied; converted to WebP quality 86; no generated pixels, no cropping.","source_url":"https://commons.wikimedia.org/wiki/File:2009-0726-CA-Bakersfield-BakerLib.jpg","author_urls":["https://en.wikipedia.org/wiki/User:Bobak"],"description":"Kern Branch, Beale Memorial Library (Baker Street Branch Library) — part of of the Kern County Library system, located in Bakersfield, California.","license_url":"https://creativecommons.org/licenses/by/3.0","reviewed_on":"2026-10-24","capture_date":"2009-07-26","download_url":"https://thumb.wikimedia.org/wikipedia/commons/thumb/d/d4/2009-0726-CA-Bakersfield-BakerLib.jpg/1280px-2009-0726-CA-Bakersfield-BakerLib.jpg?utm_source=commons.wikimedia.org&amp;utm_campaign=imageinfo&amp;utm_content=thumbnail","original_url":"https://upload.wikimedia.org/wikipedia/commons/d/d4/2009-0726-CA-Bakersfield-BakerLib.jpg?utm_source=commons.wikimedia.org&amp;utm_campaign=imageinfo&amp;utm_content=original","pixel_review":{"method":"İndirilen kare temas sayfasında görüldü; kaynak mekân kimliğiyle eşleştirildi. Seçim kaydı final-pixel-review.json.","status":"verified","caption":"Old Town Kern / Baker Street · 2009 tarihli fotoğraf","reviewer":"Codex (AI)","review_id":"C13"},"downloaded_at":"2026-10-23T19:07:54.534635+00:00","download_sha256":"6fbf43cd45c6cc754c69ccd32479ffec980ccbf59dc8b48efaf9f6cf8f864f85","downloaded_file":"downloads/6fbf43cd45c6cc754c69ccd32479ffec980ccbf59dc8b48efaf9f6cf8f864f85.jpg","acquisition_file":"37b6c6a1536c93210e631c8f.webp","commons_filename":"2009-0726-CA-Bakersfield-BakerLib.jpg","original_file_url":"https://upload.wikimedia.org/wikipedia/commons/d/d4/2009-0726-CA-Bakersfield-BakerLib.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dönüştürüldü.","photo_attribution":{"author_url":"https://en.wikipedia.org/wiki/User:Bobak","modifications":"EXIF yönü uygulandı; boyut küçültülüp WebP biçimine dönüştürüldü.","original_file_url":"https://upload.wikimedia.org/wikipedia/commons/d/d4/2009-0726-CA-Bakersfield-BakerLib.jpg?utm_source=commons.wikimedia.org&amp;utm_campaign=imageinfo&amp;utm_content=original"},"metadata_reviewed_on":"2026-10-24","metadata_review_status":"verified"}}</x:v>
      </x:c>
    </x:row>
    <x:row r="286" ht="300" customHeight="1">
      <x:c r="A286" s="29" t="str">
        <x:v>bakersfield:evidence:venue-22251</x:v>
      </x:c>
      <x:c r="B286" s="29" t="str">
        <x:v>bakersfield</x:v>
      </x:c>
      <x:c r="C286" s="29" t="str">
        <x:v>bakersfield:photo:venue-22251</x:v>
      </x:c>
      <x:c r="D286" s="29" t="str">
        <x:v>https://commons.wikimedia.org/wiki/File:01-2007-BakersfieldCollege.jpg</x:v>
      </x:c>
      <x:c r="E286" s="29" t="str">
        <x:v>01-2007-BakersfieldCollege.jpg</x:v>
      </x:c>
      <x:c r="F286" s="29" t="str">
        <x:v>Bobak Ha'Eri</x:v>
      </x:c>
      <x:c r="G286" s="29" t="str">
        <x:v>CC BY-SA 2.5</x:v>
      </x:c>
      <x:c r="H286" s="29" t="str">
        <x:v>https://creativecommons.org/licenses/by-sa/2.5</x:v>
      </x:c>
      <x:c r="I286" s="29" t="str">
        <x:v>Creative Commons Attribution-Share Alike 2.5</x:v>
      </x:c>
      <x:c r="J286" s="29" t="str">
        <x:v>01-2007-BakersfieldCollege.jpg · Bobak Ha'Eri · CC BY-SA 2.5 · https://commons.wikimedia.org/wiki/File:01-2007-BakersfieldCollege.jpg</x:v>
      </x:c>
      <x:c r="K28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6" s="31" t="d">
        <x:v>2026-10-24T00:00:00.000Z</x:v>
      </x:c>
      <x:c r="M286" s="29" t="str">
        <x:v>Doğrulandı</x:v>
      </x:c>
      <x:c r="N286" s="29" t="str">
        <x:v>Doğrulandı</x:v>
      </x:c>
      <x:c r="O286" s="29" t="str">
        <x:v>Fotoğraflar/bk-c056d8a64da5e705aef2f3c7.webp</x:v>
      </x:c>
      <x:c r="P286" s="29" t="str">
        <x:v>Bakersfield College / Panorama çevresi · 2007 tarihli fotoğraf · İndirilen kare temas sayfasında görüldü; kaynak mekân kimliğiyle eşleştirildi. Seçim kaydı final-pixel-review.json.</x:v>
      </x:c>
      <x:c r="Q286" s="29" t="str">
        <x:v>Bu kare için uygun</x:v>
      </x:c>
      <x:c r="R28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6" s="29" t="str">
        <x:v>Lisans kanıtları/bk-c056d8a64da5e705aef2f3c7.source-evidence.json</x:v>
      </x:c>
      <x:c r="T286" s="29" t="str">
        <x:v>cec4041fbbdaf448712c9bdee022b7d4ee24dbab6089cb95ee68ff0489094fb0</x:v>
      </x:c>
      <x:c r="U286" s="29" t="str">
        <x:v>Lisans kanıtları/bk-c056d8a64da5e705aef2f3c7.license-record.json</x:v>
      </x:c>
      <x:c r="V286" s="29" t="str">
        <x:v>fa2f27aaff4d3eca20fac8c789cbbe586a59adcc1275e6a3f40fb332bdf27585</x:v>
      </x:c>
      <x:c r="W286" s="29" t="str">
        <x:v>{"file":"bk-c056d8a64da5e705aef2f3c7.webp","width":1280,"author":"Bobak Ha'Eri","height":948,"sha256":"c056d8a64da5e705aef2f3c71cbd4a628f00a0d1dbed356db88eb292847ec202","license":"CC BY-SA 2.5","imageinfo":{"url":"https://upload.wikimedia.org/wikipedia/commons/5/55/01-2007-BakersfieldCollege.jpg?utm_source=commons.wikimedia.org&amp;utm_campaign=imageinfo&amp;utm_content=original","mime":"image/jpeg","sha1":"ab76832a0cf0ca67ab03735db938fd4df329f987","size":524522,"width":2085,"height":1545,"pageid":1544318,"thumburl":"https://thumb.wikimedia.org/wikipedia/commons/thumb/5/55/01-2007-BakersfieldCollege.jpg/1280px-01-2007-BakersfieldCollege.jpg?utm_source=commons.wikimedia.org&amp;utm_campaign=imageinfo&amp;utm_content=thumbnail","timestamp":"2007-01-08T19:44:22Z","thumbwidth":1280,"extmetadata":{"Artist":{"value":"&lt;a href=\"//commons.wikimedia.org/wiki/User:Bobak\" title=\"User:Bobak\"&gt;Bobak Ha'Eri&lt;/a&gt;","source":"commons-desc-page"},"Credit":{"value":"&lt;span class=\"int-own-work\" lang=\"en\"&gt;Own work&lt;/span&gt;","source":"commons-desc-page"},"License":{"value":"cc-by-sa-2.5","hidden":"","source":"commons-templates"},"DateTime":{"value":"2007-01-08 19:44:22","hidden":"","source":"mediawiki-metadata"},"Categories":{"value":"Taken with Sony DSC-T10|California Community Colleges System|January 2007 in California|2007 in Bakersfield, California|Photographs taken on 2007-01-04|January in Bakersfield, California|Bakersfield College|Files by User:Bobak","hidden":"","source":"commons-categories"},"LicenseUrl":{"value":"https://creativecommons.org/licenses/by-sa/2.5","source":"commons-desc-page"},"ObjectName":{"value":"01-2007-BakersfieldCollege","source":"mediawiki-metadata"},"Permission":{"value":"CC-By-SA-3.0","hidden":"","source":"commons-desc-page"},"UsageTerms":{"value":"Creative Commons Attribution-Share Alike 2.5","source":"commons-desc-page"},"Assessments":{"value":"","hidden":"","source":"commons-categories"},"Copyrighted":{"value":"True","hidden":"","source":"commons-desc-page"},"Restrictions":{"value":"","hidden":"","source":"commons-desc-page"},"DateTimeOriginal":{"value":"2007-01-04","source":"commons-desc-page"},"ImageDescription":{"value":"Administration Building and main entrance of &lt;a href=\"//commons.wikimedia.org/w/index.php?title=Bakersfield_College&amp;amp;action=edit&amp;amp;redlink=1\" class=\"new\" title=\"Bakersfield College (page does not exist)\"&gt;Bakersfield College&lt;/a&gt;.","source":"commons-desc-page"},"LicenseShortName":{"value":"CC BY-SA 2.5","hidden":"","source":"commons-desc-page"},"AttributionRequired":{"value":"true","hidden":"","source":"commons-desc-page"},"CommonsMetadataExtension":{"value":1.2,"hidden":"","source":"extension"}},"thumbheight":948,"thumbattribs":{"src":"https://thumb.wikimedia.org/wikipedia/commons/thumb/5/55/01-2007-BakersfieldCollege.jpg/1280px-01-2007-BakersfieldCollege.jpg?utm_source=commons.wikimedia.org&amp;utm_campaign=imageinfo&amp;utm_content=thumbnail","width":1280,"height":948,"srcset":"https://upload.wikimedia.org/wikipedia/commons/5/55/01-2007-BakersfieldCollege.jpg?utm_source=commons.wikimedia.org&amp;utm_campaign=imageinfo&amp;utm_content=thumbnail_unscaled 2x","loading":"lazy","decoding":"async"},"descriptionurl":"https://commons.wikimedia.org/wiki/File:01-2007-BakersfieldCollege.jpg","responsiveUrls":{"2":"https://upload.wikimedia.org/wikipedia/commons/5/55/01-2007-BakersfieldCollege.jpg?utm_source=commons.wikimedia.org&amp;utm_campaign=imageinfo&amp;utm_content=thumbnail_unscaled"},"descriptionshorturl":"https://commons.wikimedia.org/w/index.php?curid=1544318"},"selection":{"qid":"pending","kind":"candidate","title":"Bakersfield local buildings"},"author_url":"https://commons.wikimedia.org/wiki/User:Bobak","derivative":"Wikimedia thumbnail decoded; EXIF orientation applied; converted to WebP quality 86; no generated pixels, no cropping.","source_url":"https://commons.wikimedia.org/wiki/File:01-2007-BakersfieldCollege.jpg","author_urls":["https://commons.wikimedia.org/wiki/User:Bobak"],"description":"Administration Building and main entrance of Bakersfield College.","license_url":"https://creativecommons.org/licenses/by-sa/2.5","reviewed_on":"2026-10-24","capture_date":"2007-01-04","download_url":"https://thumb.wikimedia.org/wikipedia/commons/thumb/5/55/01-2007-BakersfieldCollege.jpg/1280px-01-2007-BakersfieldCollege.jpg?utm_source=commons.wikimedia.org&amp;utm_campaign=imageinfo&amp;utm_content=thumbnail","original_url":"https://upload.wikimedia.org/wikipedia/commons/5/55/01-2007-BakersfieldCollege.jpg?utm_source=commons.wikimedia.org&amp;utm_campaign=imageinfo&amp;utm_content=original","pixel_review":{"method":"İndirilen kare temas sayfasında görüldü; kaynak mekân kimliğiyle eşleştirildi. Seçim kaydı final-pixel-review.json.","status":"verified","caption":"Bakersfield College / Panorama çevresi · 2007 tarihli fotoğraf","reviewer":"Codex (AI)","review_id":"C0"},"downloaded_at":"2026-10-23T19:07:52.596881+00:00","download_sha256":"f3de87100ea81e06112880240512837655bd01f20295bdef3526dcde72378c32","downloaded_file":"downloads/f3de87100ea81e06112880240512837655bd01f20295bdef3526dcde72378c32.jpg","acquisition_file":"58635ef7bda23af6a7873b69.webp","commons_filename":"01-2007-BakersfieldCollege.jpg","original_file_url":"https://upload.wikimedia.org/wikipedia/commons/5/55/01-2007-BakersfieldColleg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dönüştürüldü.","photo_attribution":{"author_url":"https://commons.wikimedia.org/wiki/User:Bobak","modifications":"EXIF yönü uygulandı; boyut küçültülüp WebP biçimine dönüştürüldü.","original_file_url":"https://upload.wikimedia.org/wikipedia/commons/5/55/01-2007-BakersfieldCollege.jpg?utm_source=commons.wikimedia.org&amp;utm_campaign=imageinfo&amp;utm_content=original"},"metadata_reviewed_on":"2026-10-24","metadata_review_status":"verified"}}</x:v>
      </x:c>
    </x:row>
    <x:row r="287" ht="300" customHeight="1">
      <x:c r="A287" s="29" t="str">
        <x:v>bakersfield:evidence:venue-22252</x:v>
      </x:c>
      <x:c r="B287" s="29" t="str">
        <x:v>bakersfield</x:v>
      </x:c>
      <x:c r="C287" s="29" t="str">
        <x:v>bakersfield:photo:venue-22252</x:v>
      </x:c>
      <x:c r="D287" s="29" t="str">
        <x:v>https://commons.wikimedia.org/wiki/File:Kern_County_Basque_Club_Bajersfield_-_Kern_County_Basque_Club_(Bakersfield,_California)_-_Tagzania_-_1779647739991.jpg</x:v>
      </x:c>
      <x:c r="E287" s="29" t="str">
        <x:v>Kern County Basque Club Bajersfield - Kern County Basque Club (Bakersfield, California) - Tagzania - 1779647739991.jpg</x:v>
      </x:c>
      <x:c r="F287" s="29" t="str">
        <x:v>Etor (Tagzania user ID: 11653)</x:v>
      </x:c>
      <x:c r="G287" s="29" t="str">
        <x:v>CC BY-SA 4.0</x:v>
      </x:c>
      <x:c r="H287" s="29" t="str">
        <x:v>https://creativecommons.org/licenses/by-sa/4.0</x:v>
      </x:c>
      <x:c r="I287" s="29" t="str">
        <x:v>Creative Commons Attribution-Share Alike 4.0</x:v>
      </x:c>
      <x:c r="J287" s="29" t="str">
        <x:v>Kern County Basque Club Bajersfield - Kern County Basque Club (Bakersfield, California) - Tagzania - 1779647739991.jpg · Etor (Tagzania user ID: 11653) · CC BY-SA 4.0 · https://commons.wikimedia.org/wiki/File:Kern_County_Basque_Club_Bajersfield_-_Kern_County_Basque_Club_(Bakersfield,_California)_-_Tagzania_-_1779647739991.jpg</x:v>
      </x:c>
      <x:c r="K28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7" s="31" t="d">
        <x:v>2026-10-24T00:00:00.000Z</x:v>
      </x:c>
      <x:c r="M287" s="29" t="str">
        <x:v>Doğrulandı</x:v>
      </x:c>
      <x:c r="N287" s="29" t="str">
        <x:v>Doğrulandı</x:v>
      </x:c>
      <x:c r="O287" s="29" t="str">
        <x:v>Fotoğraflar/bk-2427fa95ade7fdbb056aeb27.webp</x:v>
      </x:c>
      <x:c r="P287" s="29" t="str">
        <x:v>South Bakersfield / Union çevresi · 2026 tarihli fotoğraf · İndirilen kare temas sayfasında görüldü; kaynak mekân kimliğiyle eşleştirildi. Seçim kaydı final-pixel-review.json.</x:v>
      </x:c>
      <x:c r="Q287" s="29" t="str">
        <x:v>Bu kare için uygun</x:v>
      </x:c>
      <x:c r="R28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7" s="29" t="str">
        <x:v>Lisans kanıtları/bk-2427fa95ade7fdbb056aeb27.source-evidence.json</x:v>
      </x:c>
      <x:c r="T287" s="29" t="str">
        <x:v>9ab79a9d5962f1b8a4881295d7e1ff5726301ad23465fada01591f6cc74e069d</x:v>
      </x:c>
      <x:c r="U287" s="29" t="str">
        <x:v>Lisans kanıtları/bk-2427fa95ade7fdbb056aeb27.license-record.json</x:v>
      </x:c>
      <x:c r="V287" s="29" t="str">
        <x:v>860ec36c73346072a96fa82e52a96d481d756081ea2d457ee22c45e76d431fe7</x:v>
      </x:c>
      <x:c r="W287" s="29" t="str">
        <x:v>{"file":"bk-2427fa95ade7fdbb056aeb27.webp","width":1080,"author":"Etor (Tagzania user ID: 11653)","height":1440,"sha256":"2427fa95ade7fdbb056aeb27012457256a3d065fd84b333803411ceaa6892b08","license":"CC BY-SA 4.0","imageinfo":{"url":"https://upload.wikimedia.org/wikipedia/commons/5/50/Kern_County_Basque_Club_Bajersfield_-_Kern_County_Basque_Club_%28Bakersfield%2C_California%29_-_Tagzania_-_1779647739991.jpg?utm_source=commons.wikimedia.org&amp;utm_campaign=imageinfo&amp;utm_content=original","mime":"image/jpeg","sha1":"b28d12a42dd90511156a3ca14cfb5ad164ff9e4c","size":715749,"width":1773,"height":2364,"pageid":195924931,"thumburl":"https://thumb.wikimedia.org/wikipedia/commons/thumb/5/50/Kern_County_Basque_Club_Bajersfield_-_Kern_County_Basque_Club_%28Bakersfield%2C_California%29_-_Tagzania_-_1779647739991.jpg/1280px-Kern_County_Basque_Club_Bajersfield_-_Kern_County_Basque_Club_%28Bakersfield%2C_California%29_-_Tagzania_-_1779647739991.jpg?utm_source=commons.wikimedia.org&amp;utm_campaign=imageinfo&amp;utm_content=thumbnail","timestamp":"2026-07-20T05:53:18Z","thumbwidth":1280,"extmetadata":{"Artist":{"value":"Etor (Tagzania user ID: 11653)","source":"commons-desc-page"},"Credit":{"value":"&lt;a rel=\"nofollow\" class=\"external free\" href=\"https://tagzania.com/user-places/4c94e57d-01c2-46f8-889c-c37cfa926c26\"&gt;https://tagzania.com/user-places/4c94e57d-01c2-46f8-889c-c37cfa926c26&lt;/a&gt;","source":"commons-desc-page"},"License":{"value":"cc-by-sa-4.0","hidden":"","source":"commons-templates"},"DateTime":{"value":"2026-07-20 05:53:18","hidden":"","source":"mediawiki-metadata"},"Categories":{"value":"Files with coordinates missing SDC location of creation|Photos from Tagzania|Photos from Tagzania by user ID 11653|Kern County Basque Club (Bakersfield, California)","hidden":"","source":"commons-categories"},"LicenseUrl":{"value":"https://creativecommons.org/licenses/by-sa/4.0","source":"commons-desc-page"},"ObjectName":{"value":"Kern County Basque Club Bajersfield - Kern County Basque Club (Bakersfield, California) - Tagzania - 1779647739991","source":"mediawiki-metadata"},"UsageTerms":{"value":"Creative Commons Attribution-Share Alike 4.0","source":"commons-desc-page"},"Assessments":{"value":"","hidden":"","source":"commons-categories"},"Copyrighted":{"value":"True","hidden":"","source":"commons-desc-page"},"GPSLatitude":{"value":"35.322975","source":"commons-desc-page"},"GPSMapDatum":{"value":"WGS-84","hidden":"","source":"commons-desc-page"},"GPSLongitude":{"value":"-119.004100","source":"commons-desc-page"},"Restrictions":{"value":"","hidden":"","source":"commons-desc-page"},"DateTimeOriginal":{"value":"2026-05-24","source":"commons-desc-page"},"ImageDescription":{"value":"This photo has been uploaded using TagzaniaBot, and taken using the Tagzania game app.","source":"commons-desc-page"},"LicenseShortName":{"value":"CC BY-SA 4.0","hidden":"","source":"commons-desc-page"},"AttributionRequired":{"value":"true","hidden":"","source":"commons-desc-page"},"CommonsMetadataExtension":{"value":1.2,"hidden":"","source":"extension"}},"thumbheight":1707,"thumbattribs":{"src":"https://thumb.wikimedia.org/wikipedia/commons/thumb/5/50/Kern_County_Basque_Club_Bajersfield_-_Kern_County_Basque_Club_%28Bakersfield%2C_California%29_-_Tagzania_-_1779647739991.jpg/1280px-Kern_County_Basque_Club_Bajersfield_-_Kern_County_Basque_Club_%28Bakersfield%2C_California%29_-_Tagzania_-_1779647739991.jpg?utm_source=commons.wikimedia.org&amp;utm_campaign=imageinfo&amp;utm_content=thumbnail","width":1280,"height":1707,"srcset":"https://upload.wikimedia.org/wikipedia/commons/5/50/Kern_County_Basque_Club_Bajersfield_-_Kern_County_Basque_Club_%28Bakersfield%2C_California%29_-_Tagzania_-_1779647739991.jpg?utm_source=commons.wikimedia.org&amp;utm_campaign=imageinfo&amp;utm_content=thumbnail_unscaled 2x","loading":"lazy","decoding":"async"},"descriptionurl":"https://commons.wikimedia.org/wiki/File:Kern_County_Basque_Club_Bajersfield_-_Kern_County_Basque_Club_(Bakersfield,_California)_-_Tagzania_-_1779647739991.jpg","responsiveUrls":{"2":"https://upload.wikimedia.org/wikipedia/commons/5/50/Kern_County_Basque_Club_Bajersfield_-_Kern_County_Basque_Club_%28Bakersfield%2C_California%29_-_Tagzania_-_1779647739991.jpg?utm_source=commons.wikimedia.org&amp;utm_campaign=imageinfo&amp;utm_content=thumbnail_unscaled"},"descriptionshorturl":"https://commons.wikimedia.org/w/index.php?curid=195924931"},"selection":{"qid":"pending","kind":"candidate","title":"Kern County Basque Club (Bakersfield, California)"},"author_url":"","derivative":"Wikimedia thumbnail decoded; EXIF orientation applied; converted to WebP quality 86; no generated pixels, no cropping.","source_url":"https://commons.wikimedia.org/wiki/File:Kern_County_Basque_Club_Bajersfield_-_Kern_County_Basque_Club_(Bakersfield,_California)_-_Tagzania_-_1779647739991.jpg","author_urls":[],"description":"This photo has been uploaded using TagzaniaBot, and taken using the Tagzania game app.","license_url":"https://creativecommons.org/licenses/by-sa/4.0","reviewed_on":"2026-10-24","capture_date":"2026-05-24","download_url":"https://thumb.wikimedia.org/wikipedia/commons/thumb/5/50/Kern_County_Basque_Club_Bajersfield_-_Kern_County_Basque_Club_%28Bakersfield%2C_California%29_-_Tagzania_-_1779647739991.jpg/1280px-Kern_County_Basque_Club_Bajersfield_-_Kern_County_Basque_Club_%28Bakersfield%2C_California%29_-_Tagzania_-_1779647739991.jpg?utm_source=commons.wikimedia.org&amp;utm_campaign=imageinfo&amp;utm_content=thumbnail","original_url":"https://upload.wikimedia.org/wikipedia/commons/5/50/Kern_County_Basque_Club_Bajersfield_-_Kern_County_Basque_Club_%28Bakersfield%2C_California%29_-_Tagzania_-_1779647739991.jpg?utm_source=commons.wikimedia.org&amp;utm_campaign=imageinfo&amp;utm_content=original","pixel_review":{"method":"İndirilen kare temas sayfasında görüldü; kaynak mekân kimliğiyle eşleştirildi. Seçim kaydı final-pixel-review.json.","status":"verified","caption":"South Bakersfield / Union çevresi · 2026 tarihli fotoğraf","reviewer":"Codex (AI)","review_id":"C161"},"downloaded_at":"2026-10-23T19:09:45.491018+00:00","download_sha256":"5c8a5700e655f79ee792e83f7ad598318575951e0bee528f69d94dc4550dd03e","downloaded_file":"downloads/5c8a5700e655f79ee792e83f7ad598318575951e0bee528f69d94dc4550dd03e.jpg","acquisition_file":"53a33a2465fd58def38fb83e.webp","commons_filename":"Kern County Basque Club Bajersfield - Kern County Basque Club (Bakersfield, California) - Tagzania - 1779647739991.jpg","original_file_url":"https://upload.wikimedia.org/wikipedia/commons/5/50/Kern_County_Basque_Club_Bajersfield_-_Kern_County_Basque_Club_%28Bakersfield%2C_California%29_-_Tagzania_-_1779647739991.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5/50/Kern_County_Basque_Club_Bajersfield_-_Kern_County_Basque_Club_%28Bakersfield%2C_California%29_-_Tagzania_-_1779647739991.jpg?utm_source=commons.wikimedia.org&amp;utm_campaign=imageinfo&amp;utm_content=original"},"metadata_reviewed_on":"2026-10-24","metadata_review_status":"verified"}}</x:v>
      </x:c>
    </x:row>
    <x:row r="288" ht="300" customHeight="1">
      <x:c r="A288" s="29" t="str">
        <x:v>bakersfield:evidence:venue-22253</x:v>
      </x:c>
      <x:c r="B288" s="29" t="str">
        <x:v>bakersfield</x:v>
      </x:c>
      <x:c r="C288" s="29" t="str">
        <x:v>bakersfield:photo:venue-22253</x:v>
      </x:c>
      <x:c r="D288" s="29" t="str">
        <x:v>https://commons.wikimedia.org/wiki/File:Valley_Plaza_Mall.jpg</x:v>
      </x:c>
      <x:c r="E288" s="29" t="str">
        <x:v>Valley Plaza Mall.jpg</x:v>
      </x:c>
      <x:c r="F288" s="29" t="str">
        <x:v>LittleT889</x:v>
      </x:c>
      <x:c r="G288" s="29" t="str">
        <x:v>CC BY-SA 4.0</x:v>
      </x:c>
      <x:c r="H288" s="29" t="str">
        <x:v>https://creativecommons.org/licenses/by-sa/4.0</x:v>
      </x:c>
      <x:c r="I288" s="29" t="str">
        <x:v>Creative Commons Attribution-Share Alike 4.0</x:v>
      </x:c>
      <x:c r="J288" s="29" t="str">
        <x:v>Valley Plaza Mall.jpg · LittleT889 · CC BY-SA 4.0 · https://commons.wikimedia.org/wiki/File:Valley_Plaza_Mall.jpg</x:v>
      </x:c>
      <x:c r="K28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8" s="31" t="d">
        <x:v>2026-10-24T00:00:00.000Z</x:v>
      </x:c>
      <x:c r="M288" s="29" t="str">
        <x:v>Doğrulandı</x:v>
      </x:c>
      <x:c r="N288" s="29" t="str">
        <x:v>Doğrulandı</x:v>
      </x:c>
      <x:c r="O288" s="29" t="str">
        <x:v>Fotoğraflar/bk-b9955a4588121278551bc8d8.webp</x:v>
      </x:c>
      <x:c r="P288" s="29" t="str">
        <x:v>Ming Avenue / Valley Plaza çevresi · 2021 tarihli fotoğraf · İndirilen kare temas sayfasında görüldü; kaynak mekân kimliğiyle eşleştirildi. Seçim kaydı final-pixel-review.json.</x:v>
      </x:c>
      <x:c r="Q288" s="29" t="str">
        <x:v>Bu kare için uygun</x:v>
      </x:c>
      <x:c r="R28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8" s="29" t="str">
        <x:v>Lisans kanıtları/bk-b9955a4588121278551bc8d8.source-evidence.json</x:v>
      </x:c>
      <x:c r="T288" s="29" t="str">
        <x:v>c69b7c886f5fb99f7b83bbdcc4d6ec8abc5bf2df4506dcf33e10aecb5f4c0996</x:v>
      </x:c>
      <x:c r="U288" s="29" t="str">
        <x:v>Lisans kanıtları/bk-b9955a4588121278551bc8d8.license-record.json</x:v>
      </x:c>
      <x:c r="V288" s="29" t="str">
        <x:v>4267c5f9a869454ea56d78d456fb133de7c75cf2c1b24701cfe2f52c62ba9ead</x:v>
      </x:c>
      <x:c r="W288" s="29" t="str">
        <x:v>{"file":"bk-b9955a4588121278551bc8d8.webp","width":1280,"author":"LittleT889","height":960,"sha256":"b9955a4588121278551bc8d8848bd79834e07099cac85dea46410dd2ab0bb36e","license":"CC BY-SA 4.0","imageinfo":{"url":"https://upload.wikimedia.org/wikipedia/commons/8/84/Valley_Plaza_Mall.jpg?utm_source=commons.wikimedia.org&amp;utm_campaign=imageinfo&amp;utm_content=original","mime":"image/jpeg","sha1":"b9a99047916277d9735561cf60550e78014f5619","size":4183755,"width":4032,"height":3024,"pageid":109658208,"thumburl":"https://thumb.wikimedia.org/wikipedia/commons/thumb/8/84/Valley_Plaza_Mall.jpg/1280px-Valley_Plaza_Mall.jpg?utm_source=commons.wikimedia.org&amp;utm_campaign=imageinfo&amp;utm_content=thumbnail","timestamp":"2021-09-03T22:29:55Z","thumbwidth":1280,"extmetadata":{"Artist":{"value":"&lt;a href=\"//commons.wikimedia.org/w/index.php?title=User:LittleT889&amp;amp;action=edit&amp;amp;redlink=1\" class=\"new\" title=\"User:LittleT889 (page does not exist)\"&gt;LittleT889&lt;/a&gt;","source":"commons-desc-page"},"Credit":{"value":"&lt;span class=\"int-own-work\" lang=\"en\"&gt;Own work&lt;/span&gt;","source":"commons-desc-page"},"License":{"value":"cc-by-sa-4.0","hidden":"","source":"commons-templates"},"DateTime":{"value":"2021-09-03 22:29:55","hidden":"","source":"mediawiki-metadata"},"Categories":{"value":"Shopping malls in California|Self-published work|Buildings in Bakersfield, California|Files with coordinates missing SDC location of creation","hidden":"","source":"commons-categories"},"LicenseUrl":{"value":"https://creativecommons.org/licenses/by-sa/4.0","source":"commons-desc-page"},"ObjectName":{"value":"Valley Plaza Mall","source":"mediawiki-metadata"},"UsageTerms":{"value":"Creative Commons Attribution-Share Alike 4.0","source":"commons-desc-page"},"Assessments":{"value":"","hidden":"","source":"commons-categories"},"Copyrighted":{"value":"True","hidden":"","source":"commons-desc-page"},"GPSLatitude":{"value":"35.337158","source":"commons-desc-page"},"GPSMapDatum":{"value":"WGS-84","hidden":"","source":"commons-desc-page"},"GPSLongitude":{"value":"-119.034897","source":"commons-desc-page"},"Restrictions":{"value":"","hidden":"","source":"commons-desc-page"},"DateTimeOriginal":{"value":"2021-09-03 15:25:18","source":"commons-desc-page"},"ImageDescription":{"value":"Valley Plaza Mall","source":"commons-desc-page"},"LicenseShortName":{"value":"CC BY-SA 4.0","hidden":"","source":"commons-desc-page"},"AttributionRequired":{"value":"true","hidden":"","source":"commons-desc-page"},"CommonsMetadataExtension":{"value":1.2,"hidden":"","source":"extension"}},"thumbheight":960,"thumbattribs":{"src":"https://thumb.wikimedia.org/wikipedia/commons/thumb/8/84/Valley_Plaza_Mall.jpg/1280px-Valley_Plaza_Mall.jpg?utm_source=commons.wikimedia.org&amp;utm_campaign=imageinfo&amp;utm_content=thumbnail","width":1280,"height":960,"srcset":"https://thumb.wikimedia.org/wikipedia/commons/thumb/8/84/Valley_Plaza_Mall.jpg/3840px-Valley_Plaza_Mall.jpg?utm_source=commons.wikimedia.org&amp;utm_campaign=imageinfo&amp;utm_content=thumbnail 2x","loading":"lazy","decoding":"async"},"descriptionurl":"https://commons.wikimedia.org/wiki/File:Valley_Plaza_Mall.jpg","responsiveUrls":{"2":"https://thumb.wikimedia.org/wikipedia/commons/thumb/8/84/Valley_Plaza_Mall.jpg/3840px-Valley_Plaza_Mall.jpg?utm_source=commons.wikimedia.org&amp;utm_campaign=imageinfo&amp;utm_content=thumbnail"},"descriptionshorturl":"https://commons.wikimedia.org/w/index.php?curid=109658208"},"selection":{"qid":"pending","kind":"candidate","title":"Bakersfield local buildings"},"author_url":"","derivative":"Wikimedia thumbnail decoded; EXIF orientation applied; converted to WebP quality 86; no generated pixels, no cropping.","source_url":"https://commons.wikimedia.org/wiki/File:Valley_Plaza_Mall.jpg","author_urls":[],"description":"Valley Plaza Mall","license_url":"https://creativecommons.org/licenses/by-sa/4.0","reviewed_on":"2026-10-24","capture_date":"2021-09-03 15:25:18","download_url":"https://thumb.wikimedia.org/wikipedia/commons/thumb/8/84/Valley_Plaza_Mall.jpg/1280px-Valley_Plaza_Mall.jpg?utm_source=commons.wikimedia.org&amp;utm_campaign=imageinfo&amp;utm_content=thumbnail","original_url":"https://upload.wikimedia.org/wikipedia/commons/8/84/Valley_Plaza_Mall.jpg?utm_source=commons.wikimedia.org&amp;utm_campaign=imageinfo&amp;utm_content=original","pixel_review":{"method":"İndirilen kare temas sayfasında görüldü; kaynak mekân kimliğiyle eşleştirildi. Seçim kaydı final-pixel-review.json.","status":"verified","caption":"Ming Avenue / Valley Plaza çevresi · 2021 tarihli fotoğraf","reviewer":"Codex (AI)","review_id":"C254"},"downloaded_at":"2026-10-23T19:09:05.000436+00:00","download_sha256":"a1e14c22538f40b42926b61bad185cb9a0e63b457735e6ff223deacc5a06ed79","downloaded_file":"downloads/a1e14c22538f40b42926b61bad185cb9a0e63b457735e6ff223deacc5a06ed79.jpg","acquisition_file":"92eaa9cca638f33ac447a157.webp","commons_filename":"Valley Plaza Mall.jpg","original_file_url":"https://upload.wikimedia.org/wikipedia/commons/8/84/Valley_Plaza_Mall.jpg?utm_source=commons.wikimedia.org&amp;utm_campaign=imageinfo&amp;utm_content=original","pixel_review_status":"pending","third_party_rights_review":{"basis":"Kaynakta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dönüştürüldü.","original_file_url":"https://upload.wikimedia.org/wikipedia/commons/8/84/Valley_Plaza_Mall.jpg?utm_source=commons.wikimedia.org&amp;utm_campaign=imageinfo&amp;utm_content=original"},"metadata_reviewed_on":"2026-10-24","metadata_review_status":"verified"}}</x:v>
      </x:c>
    </x:row>
    <x:row r="289" ht="300" customHeight="1">
      <x:c r="A289" s="29" t="str">
        <x:v>bakersfield:evidence:venue-22254</x:v>
      </x:c>
      <x:c r="B289" s="29" t="str">
        <x:v>bakersfield</x:v>
      </x:c>
      <x:c r="C289" s="29" t="str">
        <x:v>bakersfield:photo:venue-22254</x:v>
      </x:c>
      <x:c r="D289" s="29" t="str">
        <x:v>https://commons.wikimedia.org/wiki/File:The_Marketplace_shopping_center_Bakersfield.jpg</x:v>
      </x:c>
      <x:c r="E289" s="29" t="str">
        <x:v>The Marketplace shopping center Bakersfield.jpg</x:v>
      </x:c>
      <x:c r="F289" s="29" t="str">
        <x:v>Pf1127</x:v>
      </x:c>
      <x:c r="G289" s="29" t="str">
        <x:v>CC BY-SA 4.0</x:v>
      </x:c>
      <x:c r="H289" s="29" t="str">
        <x:v>https://creativecommons.org/licenses/by-sa/4.0</x:v>
      </x:c>
      <x:c r="I289" s="29" t="str">
        <x:v>Creative Commons Attribution-Share Alike 4.0</x:v>
      </x:c>
      <x:c r="J289" s="29" t="str">
        <x:v>The Marketplace shopping center Bakersfield.jpg · Pf1127 · CC BY-SA 4.0 · https://commons.wikimedia.org/wiki/File:The_Marketplace_shopping_center_Bakersfield.jpg</x:v>
      </x:c>
      <x:c r="K28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89" s="31" t="d">
        <x:v>2026-10-24T00:00:00.000Z</x:v>
      </x:c>
      <x:c r="M289" s="29" t="str">
        <x:v>Doğrulandı</x:v>
      </x:c>
      <x:c r="N289" s="29" t="str">
        <x:v>Doğrulandı</x:v>
      </x:c>
      <x:c r="O289" s="29" t="str">
        <x:v>Fotoğraflar/bk-95164e559e7b6eb56eebaee7.webp</x:v>
      </x:c>
      <x:c r="P289" s="29" t="str">
        <x:v>Haggin Oaks / Marketplace çevresi · 2020 tarihli fotoğraf · İndirilen kare temas sayfasında görüldü; kaynak mekân kimliğiyle eşleştirildi. Seçim kaydı final-pixel-review.json.</x:v>
      </x:c>
      <x:c r="Q289" s="29" t="str">
        <x:v>Bu kare için uygun</x:v>
      </x:c>
      <x:c r="R28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89" s="29" t="str">
        <x:v>Lisans kanıtları/bk-95164e559e7b6eb56eebaee7.source-evidence.json</x:v>
      </x:c>
      <x:c r="T289" s="29" t="str">
        <x:v>8cdb7f7510e9e284440a5f6e759dc6809fbc2cf4e47ab4f3b090b9df54cc9a2b</x:v>
      </x:c>
      <x:c r="U289" s="29" t="str">
        <x:v>Lisans kanıtları/bk-95164e559e7b6eb56eebaee7.license-record.json</x:v>
      </x:c>
      <x:c r="V289" s="29" t="str">
        <x:v>f55b5fe62e7c772381700011cb0a7b631939e1ac450f4fc310bf52149a5364f5</x:v>
      </x:c>
      <x:c r="W289" s="29" t="str">
        <x:v>{"file":"bk-95164e559e7b6eb56eebaee7.webp","width":1226,"author":"Pf1127","height":1440,"sha256":"95164e559e7b6eb56eebaee76338b22c00472ead7581fe177b9382d911207b55","license":"CC BY-SA 4.0","imageinfo":{"url":"https://upload.wikimedia.org/wikipedia/commons/5/56/The_Marketplace_shopping_center_Bakersfield.jpg?utm_source=commons.wikimedia.org&amp;utm_campaign=imageinfo&amp;utm_content=original","mime":"image/jpeg","sha1":"9bc96070216ebd9e66c5d24fd707316ee80a22f6","size":2126390,"width":2630,"height":3089,"pageid":122230886,"thumburl":"https://thumb.wikimedia.org/wikipedia/commons/thumb/5/56/The_Marketplace_shopping_center_Bakersfield.jpg/1280px-The_Marketplace_shopping_center_Bakersfield.jpg?utm_source=commons.wikimedia.org&amp;utm_campaign=imageinfo&amp;utm_content=thumbnail","timestamp":"2022-08-23T03:40:17Z","thumbwidth":1280,"extmetadata":{"Artist":{"value":"&lt;a href=\"//commons.wikimedia.org/wiki/User:Pf1127\" title=\"User:Pf1127\"&gt;Pf1127&lt;/a&gt;","source":"commons-desc-page"},"Credit":{"value":"&lt;span class=\"int-own-work\" lang=\"en\"&gt;Own work&lt;/span&gt;","source":"commons-desc-page"},"License":{"value":"cc-by-sa-4.0","hidden":"","source":"commons-templates"},"DateTime":{"value":"2022-08-23 03:40:17","hidden":"","source":"mediawiki-metadata"},"Categories":{"value":"Self-published work|Buildings in Bakersfield, California|Shops in Kern County, California|Files with coordinates missing SDC location of creation","hidden":"","source":"commons-categories"},"LicenseUrl":{"value":"https://creativecommons.org/licenses/by-sa/4.0","source":"commons-desc-page"},"ObjectName":{"value":"The Marketplace shopping center Bakersfield","source":"mediawiki-metadata"},"UsageTerms":{"value":"Creative Commons Attribution-Share Alike 4.0","source":"commons-desc-page"},"Assessments":{"value":"","hidden":"","source":"commons-categories"},"Copyrighted":{"value":"True","hidden":"","source":"commons-desc-page"},"GPSLatitude":{"value":"35.341536","source":"commons-desc-page"},"GPSMapDatum":{"value":"WGS-84","hidden":"","source":"commons-desc-page"},"GPSLongitude":{"value":"-119.104089","source":"commons-desc-page"},"Restrictions":{"value":"","hidden":"","source":"commons-desc-page"},"DateTimeOriginal":{"value":"2020-07-24 12:33:26","source":"commons-desc-page"},"ImageDescription":{"value":"This is an outdoor corridor at The Marketplace shopping center in Bakersfield, California.","source":"commons-desc-page"},"LicenseShortName":{"value":"CC BY-SA 4.0","hidden":"","source":"commons-desc-page"},"AttributionRequired":{"value":"true","hidden":"","source":"commons-desc-page"},"CommonsMetadataExtension":{"value":1.2,"hidden":"","source":"extension"}},"thumbheight":1503,"thumbattribs":{"src":"https://thumb.wikimedia.org/wikipedia/commons/thumb/5/56/The_Marketplace_shopping_center_Bakersfield.jpg/1280px-The_Marketplace_shopping_center_Bakersfield.jpg?utm_source=commons.wikimedia.org&amp;utm_campaign=imageinfo&amp;utm_content=thumbnail","width":1280,"height":1503,"srcset":"https://upload.wikimedia.org/wikipedia/commons/5/56/The_Marketplace_shopping_center_Bakersfield.jpg?utm_source=commons.wikimedia.org&amp;utm_campaign=imageinfo&amp;utm_content=thumbnail_unscaled 2x","loading":"lazy","decoding":"async"},"descriptionurl":"https://commons.wikimedia.org/wiki/File:The_Marketplace_shopping_center_Bakersfield.jpg","responsiveUrls":{"2":"https://upload.wikimedia.org/wikipedia/commons/5/56/The_Marketplace_shopping_center_Bakersfield.jpg?utm_source=commons.wikimedia.org&amp;utm_campaign=imageinfo&amp;utm_content=thumbnail_unscaled"},"descriptionshorturl":"https://commons.wikimedia.org/w/index.php?curid=122230886"},"selection":{"qid":"pending","kind":"candidate","title":"Bakersfield local buildings"},"author_url":"https://commons.wikimedia.org/wiki/User:Pf1127","derivative":"Wikimedia thumbnail decoded; EXIF orientation applied; converted to WebP quality 86; no generated pixels, no cropping.","source_url":"https://commons.wikimedia.org/wiki/File:The_Marketplace_shopping_center_Bakersfield.jpg","author_urls":["https://commons.wikimedia.org/wiki/User:Pf1127"],"description":"This is an outdoor corridor at The Marketplace shopping center in Bakersfield, California.","license_url":"https://creativecommons.org/licenses/by-sa/4.0","reviewed_on":"2026-10-24","capture_date":"2020-07-24 12:33:26","download_url":"https://thumb.wikimedia.org/wikipedia/commons/thumb/5/56/The_Marketplace_shopping_center_Bakersfield.jpg/1280px-The_Marketplace_shopping_center_Bakersfield.jpg?utm_source=commons.wikimedia.org&amp;utm_campaign=imageinfo&amp;utm_content=thumbnail","original_url":"https://upload.wikimedia.org/wikipedia/commons/5/56/The_Marketplace_shopping_center_Bakersfield.jpg?utm_source=commons.wikimedia.org&amp;utm_campaign=imageinfo&amp;utm_content=original","pixel_review":{"method":"İndirilen kare temas sayfasında görüldü; kaynak mekân kimliğiyle eşleştirildi. Seçim kaydı final-pixel-review.json.","status":"verified","caption":"Haggin Oaks / Marketplace çevresi · 2020 tarihli fotoğraf","reviewer":"Codex (AI)","review_id":"C242"},"downloaded_at":"2026-10-23T19:09:00.977307+00:00","download_sha256":"7d1d54cb29be629c860d9b9d34a4111ce7b76c83ffc5e438ff364bcbe9954d10","downloaded_file":"downloads/7d1d54cb29be629c860d9b9d34a4111ce7b76c83ffc5e438ff364bcbe9954d10.jpg","acquisition_file":"10d51d7366b610390b6381ee.webp","commons_filename":"The Marketplace shopping center Bakersfield.jpg","original_file_url":"https://upload.wikimedia.org/wikipedia/commons/5/56/The_Marketplace_shopping_center_Bakersfield.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dönüştürüldü.","photo_attribution":{"author_url":"https://commons.wikimedia.org/wiki/User:Pf1127","modifications":"EXIF yönü uygulandı; boyut küçültülüp WebP biçimine dönüştürüldü.","original_file_url":"https://upload.wikimedia.org/wikipedia/commons/5/56/The_Marketplace_shopping_center_Bakersfield.jpg?utm_source=commons.wikimedia.org&amp;utm_campaign=imageinfo&amp;utm_content=original"},"metadata_reviewed_on":"2026-10-24","metadata_review_status":"verified"}}</x:v>
      </x:c>
    </x:row>
    <x:row r="290" ht="300" customHeight="1">
      <x:c r="A290" s="29" t="str">
        <x:v>bakersfield:evidence:venue-22255</x:v>
      </x:c>
      <x:c r="B290" s="29" t="str">
        <x:v>bakersfield</x:v>
      </x:c>
      <x:c r="C290" s="29" t="str">
        <x:v>bakersfield:photo:venue-22255</x:v>
      </x:c>
      <x:c r="D290" s="29" t="str">
        <x:v>https://commons.wikimedia.org/wiki/File:Main_Soccer_Field_(Cal_State_Bakersfield).jpg</x:v>
      </x:c>
      <x:c r="E290" s="29" t="str">
        <x:v>Main Soccer Field (Cal State Bakersfield).jpg</x:v>
      </x:c>
      <x:c r="F290" s="29" t="str">
        <x:v>Spatms</x:v>
      </x:c>
      <x:c r="G290" s="29" t="str">
        <x:v>CC BY-SA 4.0</x:v>
      </x:c>
      <x:c r="H290" s="29" t="str">
        <x:v>https://creativecommons.org/licenses/by-sa/4.0</x:v>
      </x:c>
      <x:c r="I290" s="29" t="str">
        <x:v>Creative Commons Attribution-Share Alike 4.0</x:v>
      </x:c>
      <x:c r="J290" s="29" t="str">
        <x:v>Main Soccer Field (Cal State Bakersfield).jpg · Spatms · CC BY-SA 4.0 · https://commons.wikimedia.org/wiki/File:Main_Soccer_Field_(Cal_State_Bakersfield).jpg</x:v>
      </x:c>
      <x:c r="K29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0" s="31" t="d">
        <x:v>2026-10-24T00:00:00.000Z</x:v>
      </x:c>
      <x:c r="M290" s="29" t="str">
        <x:v>Doğrulandı</x:v>
      </x:c>
      <x:c r="N290" s="29" t="str">
        <x:v>Doğrulandı</x:v>
      </x:c>
      <x:c r="O290" s="29" t="str">
        <x:v>Fotoğraflar/bk-79e1270a75034ce8a665e869.webp</x:v>
      </x:c>
      <x:c r="P290" s="29" t="str">
        <x:v>Stockdale / CSU Bakersfield çevresi · 2017 tarihli fotoğraf · İndirilen kare temas sayfasında görüldü; kaynak mekân kimliğiyle eşleştirildi. Seçim kaydı final-pixel-review.json.</x:v>
      </x:c>
      <x:c r="Q290" s="29" t="str">
        <x:v>Bu kare için uygun</x:v>
      </x:c>
      <x:c r="R29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0" s="29" t="str">
        <x:v>Lisans kanıtları/bk-79e1270a75034ce8a665e869.source-evidence.json</x:v>
      </x:c>
      <x:c r="T290" s="29" t="str">
        <x:v>6aa6985e531ff1f2057e5d8d315bb1785f6c9783d71cead984831841fe3f44ef</x:v>
      </x:c>
      <x:c r="U290" s="29" t="str">
        <x:v>Lisans kanıtları/bk-79e1270a75034ce8a665e869.license-record.json</x:v>
      </x:c>
      <x:c r="V290" s="29" t="str">
        <x:v>f60444f3738db594208423fffb4f82c207facde577000d773b3529607d1cdd3d</x:v>
      </x:c>
      <x:c r="W290" s="29" t="str">
        <x:v>{"file":"bk-79e1270a75034ce8a665e869.webp","width":1280,"author":"Spatms","height":720,"sha256":"79e1270a75034ce8a665e8698ca20de46fd1f43d8aa01087cb4a2065752e42db","license":"CC BY-SA 4.0","imageinfo":{"url":"https://upload.wikimedia.org/wikipedia/commons/a/a7/Main_Soccer_Field_%28Cal_State_Bakersfield%29.jpg?utm_source=commons.wikimedia.org&amp;utm_campaign=imageinfo&amp;utm_content=original","mime":"image/jpeg","sha1":"6077d84520f2485cf6ba2443259ddd99f80c59ae","size":3421994,"width":5245,"height":2949,"pageid":63457831,"thumburl":"https://thumb.wikimedia.org/wikipedia/commons/thumb/a/a7/Main_Soccer_Field_%28Cal_State_Bakersfield%29.jpg/1280px-Main_Soccer_Field_%28Cal_State_Bakersfield%29.jpg?utm_source=commons.wikimedia.org&amp;utm_campaign=imageinfo&amp;utm_content=thumbnail","timestamp":"2017-10-19T04:12:03Z","thumbwidth":1280,"extmetadata":{"Artist":{"value":"&lt;a href=\"//commons.wikimedia.org/wiki/User:Spatms\" title=\"User:Spatms\"&gt;Spatms&lt;/a&gt;","source":"commons-desc-page"},"Credit":{"value":"&lt;span class=\"int-own-work\" lang=\"en\"&gt;Own work&lt;/span&gt;","source":"commons-desc-page"},"License":{"value":"cc-by-sa-4.0","hidden":"","source":"commons-templates"},"DateTime":{"value":"2017-10-19 04:12:03","hidden":"","source":"mediawiki-metadata"},"Categories":{"value":"Association football venues in California|College soccer venues in the United States|Association football in the United States in 2017|Self-published work|Cal State Bakersfield Roadrunners men's soccer|California State University, Bakersfield sports venues|Cal State Bakersfield Roadrunners women's soccer","hidden":"","source":"commons-categories"},"LicenseUrl":{"value":"https://creativecommons.org/licenses/by-sa/4.0","source":"commons-desc-page"},"ObjectName":{"value":"Main Soccer Field (Cal State Bakersfield)","source":"mediawiki-metadata"},"UsageTerms":{"value":"Creative Commons Attribution-Share Alike 4.0","source":"commons-desc-page"},"Assessments":{"value":"","hidden":"","source":"commons-categories"},"Copyrighted":{"value":"True","hidden":"","source":"commons-desc-page"},"Restrictions":{"value":"","hidden":"","source":"commons-desc-page"},"DateTimeOriginal":{"value":"2017-10-14 15:30:04","source":"commons-desc-page"},"ImageDescription":{"value":"Main Soccer Field (Cal State Bakersfield)","source":"commons-desc-page"},"LicenseShortName":{"value":"CC BY-SA 4.0","hidden":"","source":"commons-desc-page"},"AttributionRequired":{"value":"true","hidden":"","source":"commons-desc-page"},"CommonsMetadataExtension":{"value":1.2,"hidden":"","source":"extension"}},"thumbheight":720,"thumbattribs":{"src":"https://thumb.wikimedia.org/wikipedia/commons/thumb/a/a7/Main_Soccer_Field_%28Cal_State_Bakersfield%29.jpg/1280px-Main_Soccer_Field_%28Cal_State_Bakersfield%29.jpg?utm_source=commons.wikimedia.org&amp;utm_campaign=imageinfo&amp;utm_content=thumbnail","width":1280,"height":720,"srcset":"https://thumb.wikimedia.org/wikipedia/commons/thumb/a/a7/Main_Soccer_Field_%28Cal_State_Bakersfield%29.jpg/3840px-Main_Soccer_Field_%28Cal_State_Bakersfield%29.jpg?utm_source=commons.wikimedia.org&amp;utm_campaign=imageinfo&amp;utm_content=thumbnail 2x","loading":"lazy","decoding":"async"},"descriptionurl":"https://commons.wikimedia.org/wiki/File:Main_Soccer_Field_(Cal_State_Bakersfield).jpg","responsiveUrls":{"2":"https://thumb.wikimedia.org/wikipedia/commons/thumb/a/a7/Main_Soccer_Field_%28Cal_State_Bakersfield%29.jpg/3840px-Main_Soccer_Field_%28Cal_State_Bakersfield%29.jpg?utm_source=commons.wikimedia.org&amp;utm_campaign=imageinfo&amp;utm_content=thumbnail"},"descriptionshorturl":"https://commons.wikimedia.org/w/index.php?curid=63457831"},"selection":{"qid":"pending","kind":"candidate","title":"Bakersfield local buildings"},"author_url":"https://commons.wikimedia.org/wiki/User:Spatms","derivative":"Wikimedia thumbnail decoded; EXIF orientation applied; converted to WebP quality 86; no generated pixels, no cropping.","source_url":"https://commons.wikimedia.org/wiki/File:Main_Soccer_Field_(Cal_State_Bakersfield).jpg","author_urls":["https://commons.wikimedia.org/wiki/User:Spatms"],"description":"Main Soccer Field (Cal State Bakersfield)","license_url":"https://creativecommons.org/licenses/by-sa/4.0","reviewed_on":"2026-10-24","capture_date":"2017-10-14 15:30:04","download_url":"https://thumb.wikimedia.org/wikipedia/commons/thumb/a/a7/Main_Soccer_Field_%28Cal_State_Bakersfield%29.jpg/1280px-Main_Soccer_Field_%28Cal_State_Bakersfield%29.jpg?utm_source=commons.wikimedia.org&amp;utm_campaign=imageinfo&amp;utm_content=thumbnail","original_url":"https://upload.wikimedia.org/wikipedia/commons/a/a7/Main_Soccer_Field_%28Cal_State_Bakersfield%29.jpg?utm_source=commons.wikimedia.org&amp;utm_campaign=imageinfo&amp;utm_content=original","pixel_review":{"method":"İndirilen kare temas sayfasında görüldü; kaynak mekân kimliğiyle eşleştirildi. Seçim kaydı final-pixel-review.json.","status":"verified","caption":"Stockdale / CSU Bakersfield çevresi · 2017 tarihli fotoğraf","reviewer":"Codex (AI)","review_id":"C199"},"downloaded_at":"2026-10-23T19:08:47.303721+00:00","download_sha256":"9bd36051dc603f036f9a03bd8d1e7a96586472125ab567d71cc3853c31f7defa","downloaded_file":"downloads/9bd36051dc603f036f9a03bd8d1e7a96586472125ab567d71cc3853c31f7defa.jpg","acquisition_file":"6a5d0400d483f12b884175dd.webp","commons_filename":"Main Soccer Field (Cal State Bakersfield).jpg","original_file_url":"https://upload.wikimedia.org/wikipedia/commons/a/a7/Main_Soccer_Field_%28Cal_State_Bakersfield%29.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dönüştürüldü.","photo_attribution":{"author_url":"https://commons.wikimedia.org/wiki/User:Spatms","modifications":"EXIF yönü uygulandı; boyut küçültülüp WebP biçimine dönüştürüldü.","original_file_url":"https://upload.wikimedia.org/wikipedia/commons/a/a7/Main_Soccer_Field_%28Cal_State_Bakersfield%29.jpg?utm_source=commons.wikimedia.org&amp;utm_campaign=imageinfo&amp;utm_content=original"},"metadata_reviewed_on":"2026-10-24","metadata_review_status":"verified"}}</x:v>
      </x:c>
    </x:row>
    <x:row r="291" ht="300" customHeight="1">
      <x:c r="A291" s="29" t="str">
        <x:v>bakersfield:evidence:venue-22256</x:v>
      </x:c>
      <x:c r="B291" s="29" t="str">
        <x:v>bakersfield</x:v>
      </x:c>
      <x:c r="C291" s="29" t="str">
        <x:v>bakersfield:photo:venue-22256</x:v>
      </x:c>
      <x:c r="D291" s="29" t="str">
        <x:v>https://www.flickr.com/photos/59834630@N07/7624837100/</x:v>
      </x:c>
      <x:c r="E291" s="29" t="str">
        <x:v>River Walk çevresi · 2012 tarihli fotoğraf</x:v>
      </x:c>
      <x:c r="F291" s="29" t="str">
        <x:v>Randall Degges</x:v>
      </x:c>
      <x:c r="G291" s="29" t="str">
        <x:v>CC BY 2.0</x:v>
      </x:c>
      <x:c r="H291" s="29" t="str">
        <x:v>https://creativecommons.org/licenses/by/2.0/</x:v>
      </x:c>
      <x:c r="I291" s="29" t="str">
        <x:v>CC BY 2.0</x:v>
      </x:c>
      <x:c r="J291" s="29" t="str">
        <x:v>River Walk çevresi · 2012 tarihli fotoğraf · Randall Degges · CC BY 2.0 · https://www.flickr.com/photos/59834630@N07/7624837100/</x:v>
      </x:c>
      <x:c r="K29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1" s="31" t="d">
        <x:v>2026-10-24T00:00:00.000Z</x:v>
      </x:c>
      <x:c r="M291" s="29" t="str">
        <x:v>Doğrulandı</x:v>
      </x:c>
      <x:c r="N291" s="29" t="str">
        <x:v>Doğrulandı</x:v>
      </x:c>
      <x:c r="O291" s="29" t="str">
        <x:v>Fotoğraflar/bk-aca55bc144d639c8a693bc38.webp</x:v>
      </x:c>
      <x:c r="P291" s="29" t="str">
        <x:v>River Walk çevresi · 2012 tarihli fotoğraf · İndirilen kare temas sayfasında görüldü; kaynak mekân kimliğiyle eşleştirildi. Seçim kaydı final-pixel-review.json.</x:v>
      </x:c>
      <x:c r="Q291" s="29" t="str">
        <x:v>Bu kare için uygun</x:v>
      </x:c>
      <x:c r="R29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1" s="29" t="str">
        <x:v>Lisans kanıtları/bk-aca55bc144d639c8a693bc38.source-evidence.json</x:v>
      </x:c>
      <x:c r="T291" s="29" t="str">
        <x:v>f6601b8e6b278cbba6c1eeb9d1eb8a3819e8773139da4873c641c6ca09921bc8</x:v>
      </x:c>
      <x:c r="U291" s="29" t="str">
        <x:v>Lisans kanıtları/bk-aca55bc144d639c8a693bc38.license-record.json</x:v>
      </x:c>
      <x:c r="V291" s="29" t="str">
        <x:v>220db2b724f06aba380516750afd9f5969ce92f5762b9233ed354b11b2f012de</x:v>
      </x:c>
      <x:c r="W291" s="29" t="str">
        <x:v>{"file":"bk-aca55bc144d639c8a693bc38.webp","width":1024,"author":"Randall Degges","height":683,"sha256":"aca55bc144d639c8a693bc387604d6c8894122ba63d80c932fd6d9e03326520f","status":"reviewed-selected","license":"CC BY 2.0","provider":"Flickr","review_id":"F121","source_id":"7624837100","author_url":"https://www.flickr.com/photos/59834630@N07/","date_texts":["Uploaded on July 22, 2012 Taken on June 28, 2012","Taken on June 28, 2012","Uploaded on July 22, 2012 Taken on June 28, 2012","Taken on June 28, 2012"],"source_url":"https://www.flickr.com/photos/59834630@N07/7624837100/","description":"The creek in front of the amphitheater with current turned off. ","license_url":"https://creativecommons.org/licenses/by/2.0/","review_note":"Dere ve amfitiyatro çevresi genel görünüm.","reviewed_on":"2026-10-24","source_text":"Picture 017 | The creek in front of the amphitheater with cu…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017 The creek in front of the amphitheater with current turned off. Done 321 views 0 faves 0 comments Uploaded on July 22, 2012 Taken on June 28, 2012 Randall Degges By: Randall Degges Picture 017 The creek in front of the amphitheater with current turned off. Done 321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photography.","capture_date":"2012-06-28","download_url":"https://live.staticflickr.com/8142/7624837100_f5d3591039_b.jpg","original_url":"https://live.staticflickr.com/8142/7624837100_360db06fcc_o.jpg","pixel_review":{"method":"İndirilen kare temas sayfasında görüldü; kaynak mekân kimliğiyle eşleştirildi. Seçim kaydı final-pixel-review.json.","status":"verified","caption":"River Walk çevresi · 2012 tarihli fotoğraf","reviewer":"Codex (AI)","review_id":"F121"},"source_title":"Picture 017","downloaded_at":"2026-10-23T19:50:08.767244+00:00","download_sha256":"8ee799ec3fbfe9cd55e675f17c5ebcefa7af52b19ecb3ddfe381ff89a2d5e90b","downloaded_file":"downloads/8ee799ec3fbfe9cd55e675f17c5ebcefa7af52b19ecb3ddfe381ff89a2d5e90b.jpg","public_metadata":{"photo-models":[{"data":{"id":"7624837100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8142/7624837100_f5d3591039_c.jpg","width":800,"height":533,"displayUrl":"//live.staticflickr.com/8142/7624837100_f5d3591039_c.jpg"},"exportMetaType":"pojo"},"h":{"data":{"url":"//live.staticflickr.com/8142/7624837100_ac9c806eba_h.jpg","width":1600,"height":1067,"displayUrl":"//live.staticflickr.com/8142/7624837100_ac9c806eba_h.jpg"},"exportMetaType":"pojo"},"k":{"data":{"url":"//live.staticflickr.com/8142/7624837100_18491f7b60_k.jpg","width":2048,"height":1365,"displayUrl":"//live.staticflickr.com/8142/7624837100_18491f7b60_k.jpg"},"exportMetaType":"pojo"},"l":{"data":{"url":"//live.staticflickr.com/8142/7624837100_f5d3591039_b.jpg","width":1024,"height":683,"displayUrl":"//live.staticflickr.com/8142/7624837100_f5d3591039_b.jpg"},"exportMetaType":"pojo"},"m":{"data":{"url":"//live.staticflickr.com/8142/7624837100_f5d3591039.jpg","width":500,"height":333,"displayUrl":"//live.staticflickr.com/8142/7624837100_f5d3591039.jpg"},"exportMetaType":"pojo"},"n":{"data":{"url":"//live.staticflickr.com/8142/7624837100_f5d3591039_n.jpg","width":320,"height":213,"displayUrl":"//live.staticflickr.com/8142/7624837100_f5d3591039_n.jpg"},"exportMetaType":"pojo"},"o":{"data":{"url":"//live.staticflickr.com/8142/7624837100_360db06fcc_o.jpg","width":5616,"height":3744,"displayUrl":"//live.staticflickr.com/8142/7624837100_360db06fcc_o.jpg"},"exportMetaType":"pojo"},"q":{"data":{"url":"//live.staticflickr.com/8142/7624837100_f5d3591039_q.jpg","width":150,"height":150,"displayUrl":"//live.staticflickr.com/8142/7624837100_f5d3591039_q.jpg"},"exportMetaType":"pojo"},"s":{"data":{"url":"//live.staticflickr.com/8142/7624837100_f5d3591039_m.jpg","width":240,"height":160,"displayUrl":"//live.staticflickr.com/8142/7624837100_f5d3591039_m.jpg"},"exportMetaType":"pojo"},"t":{"data":{"url":"//live.staticflickr.com/8142/7624837100_f5d3591039_t.jpg","width":100,"height":67,"displayUrl":"//live.staticflickr.com/8142/7624837100_f5d3591039_t.jpg"},"exportMetaType":"pojo"},"w":{"data":{"url":"//live.staticflickr.com/8142/7624837100_f5d3591039_w.jpg","width":400,"height":267,"displayUrl":"//live.staticflickr.com/8142/7624837100_f5d3591039_w.jpg"},"exportMetaType":"pojo"},"z":{"data":{"url":"//live.staticflickr.com/8142/7624837100_f5d3591039_z.jpg","width":640,"height":427,"displayUrl":"//live.staticflickr.com/8142/7624837100_f5d3591039_z.jpg"},"exportMetaType":"pojo"},"sq":{"data":{"url":"//live.staticflickr.com/8142/7624837100_f5d3591039_s.jpg","width":75,"height":75,"displayUrl":"//live.staticflickr.com/8142/7624837100_f5d3591039_s.jpg"},"exportMetaType":"pojo"}},"exportMetaType":"pojo"},"title":"Picture 017","oWidth":5616,"secret":"f5d3591039","license":4,"oHeight":3744,"rotation":0,"canAddMeta":false,"canComment":false,"engagement":{"data":{"id":"7624837100","canShare":true,"ownerNsid":"59834630@N07","reactions":{"data":{"like":{"data":{"id":"like","count":5,"canReact":true,"didViewerReact":true},"exportMetaType":"pojo"},"someOtherReaction":{"data":{"id":"someOtherReaction","count":3,"canReact":true,"didViewerReact":false},"exportMetaType":"pojo"}},"exportMetaType":"pojo"},"viewCount":321,"canDownload":true,"_flickrModelRegistry":"photo-engagement-models"},"exportMetaType":"model"},"description":"The creek in front of the amphitheater with current turned off. ","safetyLevel":0,"upgradeSizes":{"data":[],"exportMetaType":"array"},"adEligibility":{"data":{"lane":1,"labels":{"data":[],"exportMetaType":"array"},"isAdEligible":true,"highScoreLabels":{"data":[],"exportMetaType":"array"}},"exportMetaType":"pojo"},"canPublicComment":true,"_flickrModelRegistry":"photo-models"},"exportMetaType":"model"}],"photo-geo-models":[{"data":{"id":"7624837100","_flickrModelRegistry":"photo-geo-models"},"exportMetaType":"model"}],"photo-location-models":[{"data":{"id":"7624837100","geo":{"data":"~2","exportMetaType":"model"},"text":"","levels":{"data":{},"exportMetaType":"pojo"},"staticMaps":{"data":{},"exportMetaType":"pojo"},"_flickrModelRegistry":"photo-location-models"},"exportMetaType":"model"}],"photo-head-meta-models":[{"data":{"id":"7624837100","title":"Picture 017","og:url":"https://www.flickr.com/photos/randalldegges/7624837100/","og:type":"article","keywords":"creek, riverwalk, bakersfieldcalifornia","og:image":"https://live.staticflickr.com/8142/7624837100_f5d3591039_b.jpg","og:title":"Picture 017","twitter:card":"summary_large_image","twitter:image":"https://live.staticflickr.com/8142/7624837100_f5d3591039_b.jpg","og:description":"The creek in front of the amphitheater with current turned off. ","og:image:width":1024,"og:image:height":683,"twitter:creator":"@rdegges","twitter:description":"The creek in front of the amphitheater with current turned off. ","_flickrModelRegistry":"photo-head-meta-models","twitter:app:url:ipad":"flickr://flickr.com/photos/randalldegges/7624837100/","twitter:app:url:iphone":"flickr://flickr.com/photos/randalldegges/7624837100/","twitter:app:url:googleplay":"https://www.flickr.com/photos/randalldegges/7624837100/"},"exportMetaType":"model"}],"photo-license-history-models":[]},"acquisition_file":"fl-7624837100.webp","source_html_file":"/Users/atincakcayoz/corteqs/output/bakersfield-production-20261023/flickr-source-pages/7624837100.html","original_file_url":"https://live.staticflickr.com/8142/7624837100_360db06fcc_o.jpg","proposed_identity":"The Park at River Walk","source_html_sha256":"a09302c267d38beadebc4bd61046af473b344526ddd90a27690405d2ed76b49e","third_party_rights_review":{"basis":"Kaynakta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dönüştürüldü.","original_file_url":"https://live.staticflickr.com/8142/7624837100_360db06fcc_o.jpg"},"metadata_reviewed_on":"2026-10-24","metadata_review_status":"verified"}}</x:v>
      </x:c>
    </x:row>
    <x:row r="292" ht="300" customHeight="1">
      <x:c r="A292" s="29" t="str">
        <x:v>bakersfield:evidence:venue-22257</x:v>
      </x:c>
      <x:c r="B292" s="29" t="str">
        <x:v>bakersfield</x:v>
      </x:c>
      <x:c r="C292" s="29" t="str">
        <x:v>bakersfield:photo:venue-22257</x:v>
      </x:c>
      <x:c r="D292" s="29" t="str">
        <x:v>https://commons.wikimedia.org/wiki/File:Silver_Creek_Park.jpg</x:v>
      </x:c>
      <x:c r="E292" s="29" t="str">
        <x:v>Silver Creek Park.jpg</x:v>
      </x:c>
      <x:c r="F292" s="29" t="str">
        <x:v>Mx. Granger</x:v>
      </x:c>
      <x:c r="G292" s="29" t="str">
        <x:v>CC0 1.0</x:v>
      </x:c>
      <x:c r="H292" s="29" t="str">
        <x:v>https://creativecommons.org/publicdomain/zero/1.0/</x:v>
      </x:c>
      <x:c r="I292" s="29" t="str">
        <x:v>Creative Commons Zero, Public Domain Dedication</x:v>
      </x:c>
      <x:c r="J292" s="29" t="str">
        <x:v>Silver Creek Park.jpg · Mx. Granger · CC0 1.0 · https://commons.wikimedia.org/wiki/File:Silver_Creek_Park.jpg</x:v>
      </x:c>
      <x:c r="K29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2" s="31" t="d">
        <x:v>2026-10-24T00:00:00.000Z</x:v>
      </x:c>
      <x:c r="M292" s="29" t="str">
        <x:v>Doğrulandı</x:v>
      </x:c>
      <x:c r="N292" s="29" t="str">
        <x:v>Doğrulandı</x:v>
      </x:c>
      <x:c r="O292" s="29" t="str">
        <x:v>Fotoğraflar/bk-4b4bc408d7f04182d9e5252c.webp</x:v>
      </x:c>
      <x:c r="P292" s="29" t="str">
        <x:v>Silver Creek · 2021 tarihli fotoğraf · İndirilen kare temas sayfasında görüldü; kaynak mekân kimliğiyle eşleştirildi. Seçim kaydı final-pixel-review.json.</x:v>
      </x:c>
      <x:c r="Q292" s="29" t="str">
        <x:v>Bu kare için uygun</x:v>
      </x:c>
      <x:c r="R29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2" s="29" t="str">
        <x:v>Lisans kanıtları/bk-4b4bc408d7f04182d9e5252c.source-evidence.json</x:v>
      </x:c>
      <x:c r="T292" s="29" t="str">
        <x:v>ec719358d07bb760acb77e25a2ba37d90fe3cb69ba49b55cfc8188ba0d9ad8d3</x:v>
      </x:c>
      <x:c r="U292" s="29" t="str">
        <x:v>Lisans kanıtları/bk-4b4bc408d7f04182d9e5252c.license-record.json</x:v>
      </x:c>
      <x:c r="V292" s="29" t="str">
        <x:v>09b5fe452b908e3e3827a597e9b6efb051af8f256a8d887e957d68927bb1fa19</x:v>
      </x:c>
      <x:c r="W292" s="29" t="str">
        <x:v>{"file":"bk-4b4bc408d7f04182d9e5252c.webp","width":1280,"author":"Mx. Granger","height":960,"sha256":"4b4bc408d7f04182d9e5252cd916ef5c1f28d7df4681aae75240f568bf0668ec","license":"CC0 1.0","imageinfo":{"url":"https://upload.wikimedia.org/wikipedia/commons/3/33/Silver_Creek_Park.jpg?utm_source=commons.wikimedia.org&amp;utm_campaign=imageinfo&amp;utm_content=original","mime":"image/jpeg","sha1":"b95baccb90fa4545c5079e3317ea40ed2e8472ba","size":4698900,"width":4096,"height":3072,"pageid":113523748,"thumburl":"https://thumb.wikimedia.org/wikipedia/commons/thumb/3/33/Silver_Creek_Park.jpg/1280px-Silver_Creek_Park.jpg?utm_source=commons.wikimedia.org&amp;utm_campaign=imageinfo&amp;utm_content=thumbnail","timestamp":"2021-12-20T21:28:15Z","thumbwidth":1280,"extmetadata":{"Artist":{"value":"&lt;a href=\"//commons.wikimedia.org/wiki/User:Mx._Granger\" title=\"User:Mx. Granger\"&gt;Mx. Granger&lt;/a&gt;","source":"commons-desc-page"},"Credit":{"value":"&lt;span class=\"int-own-work\" lang=\"en\"&gt;Own work&lt;/span&gt;","source":"commons-desc-page"},"License":{"value":"cc0","hidden":"","source":"commons-templates"},"DateTime":{"value":"2021-12-20 21:28:15","hidden":"","source":"mediawiki-metadata"},"Categories":{"value":"CC-Zero|Parks in Kern County, California|Picnic tables in California|Self-published work|Buildings in Bakersfield, California|Nature of Bakersfield, California|Files with coordinates missing SDC location of creation","hidden":"","source":"commons-categories"},"LicenseUrl":{"value":"http://creativecommons.org/publicdomain/zero/1.0/deed.en","source":"commons-desc-page"},"ObjectName":{"value":"Silver Creek Park","source":"mediawiki-metadata"},"UsageTerms":{"value":"Creative Commons Zero, Public Domain Dedication","source":"commons-desc-page"},"Assessments":{"value":"","hidden":"","source":"commons-categories"},"Copyrighted":{"value":"True","hidden":"","source":"commons-desc-page"},"GPSLatitude":{"value":"35.304106","source":"commons-desc-page"},"GPSMapDatum":{"value":"WGS-84","hidden":"","source":"commons-desc-page"},"GPSLongitude":{"value":"-119.081891","source":"commons-desc-page"},"Restrictions":{"value":"","hidden":"","source":"commons-desc-page"},"DateTimeOriginal":{"value":"2021-12-13 07:58:05","source":"commons-desc-page"},"ImageDescription":{"value":"Silver Creek Park in Bakersfield.","source":"commons-desc-page"},"LicenseShortName":{"value":"CC0","hidden":"","source":"commons-desc-page"},"AttributionRequired":{"value":"false","hidden":"","source":"commons-desc-page"},"CommonsMetadataExtension":{"value":1.2,"hidden":"","source":"extension"}},"thumbheight":960,"thumbattribs":{"src":"https://thumb.wikimedia.org/wikipedia/commons/thumb/3/33/Silver_Creek_Park.jpg/1280px-Silver_Creek_Park.jpg?utm_source=commons.wikimedia.org&amp;utm_campaign=imageinfo&amp;utm_content=thumbnail","width":1280,"height":960,"srcset":"https://thumb.wikimedia.org/wikipedia/commons/thumb/3/33/Silver_Creek_Park.jpg/3840px-Silver_Creek_Park.jpg?utm_source=commons.wikimedia.org&amp;utm_campaign=imageinfo&amp;utm_content=thumbnail 2x","loading":"lazy","decoding":"async"},"descriptionurl":"https://commons.wikimedia.org/wiki/File:Silver_Creek_Park.jpg","responsiveUrls":{"2":"https://thumb.wikimedia.org/wikipedia/commons/thumb/3/33/Silver_Creek_Park.jpg/3840px-Silver_Creek_Park.jpg?utm_source=commons.wikimedia.org&amp;utm_campaign=imageinfo&amp;utm_content=thumbnail"},"descriptionshorturl":"https://commons.wikimedia.org/w/index.php?curid=113523748"},"selection":{"qid":"pending","kind":"candidate","title":"Bakersfield local buildings"},"author_url":"https://commons.wikimedia.org/wiki/User:Mx._Granger","derivative":"Wikimedia thumbnail decoded; EXIF orientation applied; converted to WebP quality 86; no generated pixels, no cropping.","source_url":"https://commons.wikimedia.org/wiki/File:Silver_Creek_Park.jpg","author_urls":["https://commons.wikimedia.org/wiki/User:Mx._Granger"],"description":"Silver Creek Park in Bakersfield.","license_url":"https://creativecommons.org/publicdomain/zero/1.0/","reviewed_on":"2026-10-24","capture_date":"2021-12-13 07:58:05","download_url":"https://thumb.wikimedia.org/wikipedia/commons/thumb/3/33/Silver_Creek_Park.jpg/1280px-Silver_Creek_Park.jpg?utm_source=commons.wikimedia.org&amp;utm_campaign=imageinfo&amp;utm_content=thumbnail","original_url":"https://upload.wikimedia.org/wikipedia/commons/3/33/Silver_Creek_Park.jpg?utm_source=commons.wikimedia.org&amp;utm_campaign=imageinfo&amp;utm_content=original","pixel_review":{"method":"İndirilen kare temas sayfasında görüldü; kaynak mekân kimliğiyle eşleştirildi. Seçim kaydı final-pixel-review.json.","status":"verified","caption":"Silver Creek · 2021 tarihli fotoğraf","reviewer":"Codex (AI)","review_id":"C233"},"downloaded_at":"2026-10-23T19:08:55.870928+00:00","download_sha256":"e9d8b45ae55f4554e26874c1e24b797705a52ccb4ad487ad35637fb67477bf48","downloaded_file":"downloads/e9d8b45ae55f4554e26874c1e24b797705a52ccb4ad487ad35637fb67477bf48.jpg","acquisition_file":"fe6ed95e5868da559c50a1dc.webp","commons_filename":"Silver Creek Park.jpg","original_file_url":"https://upload.wikimedia.org/wikipedia/commons/3/33/Silver_Creek_Park.jpg?utm_source=commons.wikimedia.org&amp;utm_campaign=imageinfo&amp;utm_content=original","pixel_review_status":"pending","third_party_rights_review":{"basis":"Kaynakta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dönüştürüldü.","photo_attribution":{"author_url":"https://commons.wikimedia.org/wiki/User:Mx._Granger","modifications":"EXIF yönü uygulandı; boyut küçültülüp WebP biçimine dönüştürüldü.","original_file_url":"https://upload.wikimedia.org/wikipedia/commons/3/33/Silver_Creek_Park.jpg?utm_source=commons.wikimedia.org&amp;utm_campaign=imageinfo&amp;utm_content=original"},"metadata_reviewed_on":"2026-10-24","metadata_review_status":"verified"}}</x:v>
      </x:c>
    </x:row>
    <x:row r="293" ht="300" customHeight="1">
      <x:c r="A293" s="29" t="str">
        <x:v>bakersfield:evidence:venue-22258</x:v>
      </x:c>
      <x:c r="B293" s="29" t="str">
        <x:v>bakersfield</x:v>
      </x:c>
      <x:c r="C293" s="29" t="str">
        <x:v>bakersfield:photo:venue-22258</x:v>
      </x:c>
      <x:c r="D293" s="29" t="str">
        <x:v>https://commons.wikimedia.org/wiki/File:Rio_Bravo_Country_Club.jpg</x:v>
      </x:c>
      <x:c r="E293" s="29" t="str">
        <x:v>Rio Bravo Country Club.jpg</x:v>
      </x:c>
      <x:c r="F293" s="29" t="str">
        <x:v>Jey0h (talk)</x:v>
      </x:c>
      <x:c r="G293" s="29" t="str">
        <x:v>Public domain</x:v>
      </x:c>
      <x:c r="H293" s="29" t="str">
        <x:v>https://commons.wikimedia.org/wiki/File:Rio_Bravo_Country_Club.jpg#Licensing</x:v>
      </x:c>
      <x:c r="I293" s="29" t="str">
        <x:v>Public domain</x:v>
      </x:c>
      <x:c r="J293" s="29" t="str">
        <x:v>Rio Bravo Country Club.jpg · Jey0h (talk) · Public domain · https://commons.wikimedia.org/wiki/File:Rio_Bravo_Country_Club.jpg</x:v>
      </x:c>
      <x:c r="K29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3" s="31" t="d">
        <x:v>2026-10-24T00:00:00.000Z</x:v>
      </x:c>
      <x:c r="M293" s="29" t="str">
        <x:v>Doğrulandı</x:v>
      </x:c>
      <x:c r="N293" s="29" t="str">
        <x:v>Doğrulandı</x:v>
      </x:c>
      <x:c r="O293" s="29" t="str">
        <x:v>Fotoğraflar/bk-9c7a306f1ae9ef4d33bb8c64.webp</x:v>
      </x:c>
      <x:c r="P293" s="29" t="str">
        <x:v>Rio Bravo çevresindeki golf alanı ve doğu etekleri · İndirilen kare temas sayfasında görüldü; kaynak mekân kimliğiyle eşleştirildi. Seçim kaydı final-pixel-review.json.</x:v>
      </x:c>
      <x:c r="Q293" s="29" t="str">
        <x:v>Bu kare için uygun</x:v>
      </x:c>
      <x:c r="R29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3" s="29" t="str">
        <x:v>Lisans kanıtları/bk-9c7a306f1ae9ef4d33bb8c64.source-evidence.json</x:v>
      </x:c>
      <x:c r="T293" s="29" t="str">
        <x:v>c1f5ee04a1186fb11fbfd5a693b2bcda3106acdde16b006a0b59dd91506d3718</x:v>
      </x:c>
      <x:c r="U293" s="29" t="str">
        <x:v>Lisans kanıtları/bk-9c7a306f1ae9ef4d33bb8c64.license-record.json</x:v>
      </x:c>
      <x:c r="V293" s="29" t="str">
        <x:v>65b09fcb02a289c38b20945be82325b8f730fea9544a6382f79f3061eae27a35</x:v>
      </x:c>
      <x:c r="W293" s="29" t="str">
        <x:v>{"file":"bk-9c7a306f1ae9ef4d33bb8c64.webp","width":1280,"author":"Jey0h (talk)","height":960,"sha256":"9c7a306f1ae9ef4d33bb8c6452b510adeda4bd0355c28187b3d12000d5b6dade","license":"Public domain","imageinfo":{"url":"https://upload.wikimedia.org/wikipedia/commons/7/70/Rio_Bravo_Country_Club.jpg?utm_source=commons.wikimedia.org&amp;utm_campaign=imageinfo&amp;utm_content=original","mime":"image/jpeg","sha1":"9d2e5f6a74acda0356adb82e104b72b3fad8fe20","size":4162665,"width":3264,"height":2448,"pageid":143535297,"thumburl":"https://thumb.wikimedia.org/wikipedia/commons/thumb/7/70/Rio_Bravo_Country_Club.jpg/1280px-Rio_Bravo_Country_Club.jpg?utm_source=commons.wikimedia.org&amp;utm_campaign=imageinfo&amp;utm_content=thumbnail","timestamp":"2008-02-03T09:32:31Z","thumbwidth":1280,"extmetadata":{"Artist":{"value":"&lt;a href=\"https://en.wikipedia.org/wiki/User:Jey0h\" class=\"extiw\" title=\"w:User:Jey0h\"&gt;Jey0h&lt;/a&gt; (&lt;a href=\"https://en.wikipedia.org/wiki/User_talk:Jey0h\" class=\"extiw\" title=\"w:User talk:Jey0h\"&gt;talk&lt;/a&gt;)","source":"commons-desc-page"},"Credit":{"value":"&lt;span class=\"int-own-work\" lang=\"en\"&gt;Own work&lt;/span&gt;","source":"commons-desc-page"},"License":{"value":"pd","hidden":"","source":"commons-templates"},"DateTime":{"value":"2008-02-03 09:32:31","hidden":"","source":"mediawiki-metadata"},"Categories":{"value":"Country clubs in California|Golf courses in California|Self-published work|PD-self|Signs in Bakersfield, California","hidden":"","source":"commons-categories"},"ObjectName":{"value":"Rio Bravo Country Club","source":"mediawiki-metadata"},"UsageTerms":{"value":"Public domain","source":"commons-desc-page"},"Assessments":{"value":"","hidden":"","source":"commons-categories"},"Copyrighted":{"value":"False","hidden":"","source":"commons-desc-page"},"Restrictions":{"value":"","hidden":"","source":"commons-desc-page"},"ImageDescription":{"value":"Rio Bravo, a community of Bakersfield","source":"commons-desc-page"},"LicenseShortName":{"value":"Public domain","hidden":"","source":"commons-desc-page"},"AttributionRequired":{"value":"false","hidden":"","source":"commons-desc-page"},"CommonsMetadataExtension":{"value":1.2,"hidden":"","source":"extension"}},"thumbheight":960,"thumbattribs":{"src":"https://thumb.wikimedia.org/wikipedia/commons/thumb/7/70/Rio_Bravo_Country_Club.jpg/1280px-Rio_Bravo_Country_Club.jpg?utm_source=commons.wikimedia.org&amp;utm_campaign=imageinfo&amp;utm_content=thumbnail","width":1280,"height":960,"srcset":"https://upload.wikimedia.org/wikipedia/commons/7/70/Rio_Bravo_Country_Club.jpg?utm_source=commons.wikimedia.org&amp;utm_campaign=imageinfo&amp;utm_content=thumbnail_unscaled 2x","loading":"lazy","decoding":"async"},"descriptionurl":"https://commons.wikimedia.org/wiki/File:Rio_Bravo_Country_Club.jpg","responsiveUrls":{"2":"https://upload.wikimedia.org/wikipedia/commons/7/70/Rio_Bravo_Country_Club.jpg?utm_source=commons.wikimedia.org&amp;utm_campaign=imageinfo&amp;utm_content=thumbnail_unscaled"},"descriptionshorturl":"https://commons.wikimedia.org/w/index.php?curid=143535297"},"selection":{"qid":"pending","kind":"candidate","title":"PD verified source candidates"},"author_url":"https://en.wikipedia.org/wiki/User:Jey0h","derivative":"Wikimedia thumbnail decoded; EXIF orientation applied; converted to WebP quality 86; no generated pixels, no cropping.","source_url":"https://commons.wikimedia.org/wiki/File:Rio_Bravo_Country_Club.jpg","author_urls":["https://en.wikipedia.org/wiki/User:Jey0h","https://en.wikipedia.org/wiki/User_talk:Jey0h"],"description":"Rio Bravo, a community of Bakersfield","license_url":"https://commons.wikimedia.org/wiki/File:Rio_Bravo_Country_Club.jpg#Licensing","reviewed_on":"2026-10-24","capture_date":"","download_url":"https://thumb.wikimedia.org/wikipedia/commons/thumb/7/70/Rio_Bravo_Country_Club.jpg/1280px-Rio_Bravo_Country_Club.jpg?utm_source=commons.wikimedia.org&amp;utm_campaign=imageinfo&amp;utm_content=thumbnail","original_url":"https://upload.wikimedia.org/wikipedia/commons/7/70/Rio_Bravo_Country_Club.jpg?utm_source=commons.wikimedia.org&amp;utm_campaign=imageinfo&amp;utm_content=original","pixel_review":{"method":"İndirilen kare temas sayfasında görüldü; kaynak mekân kimliğiyle eşleştirildi. Seçim kaydı final-pixel-review.json.","status":"verified","caption":"Rio Bravo çevresindeki golf alanı ve doğu etekleri","reviewer":"Codex (AI)","review_id":"P5"},"downloaded_at":"2026-10-23T20:11:37.808692+00:00","download_sha256":"e894c289294ae4164280be6498c64567669120f0a0f2b0f6be12421108cf5b6a","downloaded_file":"downloads/e894c289294ae4164280be6498c64567669120f0a0f2b0f6be12421108cf5b6a.jpg","acquisition_file":"a9202fa5c4282402a28d61e8.webp","commons_filename":"Rio Bravo Country Club.jpg","original_file_url":"https://upload.wikimedia.org/wikipedia/commons/7/70/Rio_Bravo_Country_Club.jpg?utm_source=commons.wikimedia.org&amp;utm_campaign=imageinfo&amp;utm_content=original","pixel_review_status":"pending","third_party_rights_review":{"basis":"Kaynakta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değil.","status":"reviewed","primary_law":"https://www.govinfo.gov/content/pkg/USCODE-2024-title17/html/USCODE-2024-title17-chap1-sec120.htm"},"public_domain_source_record":{"ns":6,"title":"File:Rio Bravo Country Club.jpg","pageid":143535297,"revisions":[{"slots":{"main":{"*":"&lt;!--This file was moved here using FileImporter from https://en.wikipedia.org/wiki/File:Rio_Bravo_Country_Club.jpg--&gt;\n== {{int:filedesc}} ==\n{{Information\n|Description= {{en|Rio Bravo, a community of Bakersfield}}\n|Source={{own}}\n|Date=\n|Location=\n|Author=[[:w:User:Jey0h|Jey0h]] ([[:w:User talk:Jey0h|talk]])\n|Permission=\n|other_versions=\n}}\n== {{int:license-header}} ==\n{{PD-self|date=February 2008}}\n\n[[Category:Golf courses in California]]\n[[Category:Country clubs in California]]\n[[Category:Signs in Bakersfield, California]]","contentmodel":"wikitext","contentformat":"text/x-wiki"}}}]},"public_domain_dedication_evidence":{"basis":"Photographer explicit public-domain dedication (PD-user-en or PD-self), not government-ownership inference.","wikitext":"&lt;!--This file was moved here using FileImporter from https://en.wikipedia.org/wiki/File:Rio_Bravo_Country_Club.jpg--&gt;\n== {{int:filedesc}} ==\n{{Information\n|Description= {{en|Rio Bravo, a community of Bakersfield}}\n|Source={{own}}\n|Date=\n|Location=\n|Author=[[:w:User:Jey0h|Jey0h]] ([[:w:User talk:Jey0h|talk]])\n|Permission=\n|other_versions=\n}}\n== {{int:license-header}} ==\n{{PD-self|date=February 2008}}\n\n[[Category:Golf courses in California]]\n[[Category:Country clubs in California]]\n[[Category:Signs in Bakersfield, California]]","source_url":"https://commons.wikimedia.org/wiki/File:Rio_Bravo_Country_Club.jpg"},"kind":"real-photograph","provenance":{"kind":"real-photograph","modifications":"EXIF yönü uygulandı; boyut küçültülüp WebP biçimine dönüştürüldü.","photo_attribution":{"author_url":"https://en.wikipedia.org/wiki/User:Jey0h","modifications":"EXIF yönü uygulandı; boyut küçültülüp WebP biçimine dönüştürüldü.","original_file_url":"https://upload.wikimedia.org/wikipedia/commons/7/70/Rio_Bravo_Country_Club.jpg?utm_source=commons.wikimedia.org&amp;utm_campaign=imageinfo&amp;utm_content=original"},"metadata_reviewed_on":"2026-10-24","metadata_review_status":"verified"}}</x:v>
      </x:c>
    </x:row>
    <x:row r="294" ht="300" customHeight="1">
      <x:c r="A294" s="29" t="str">
        <x:v>bakersfield:evidence:venue-22259</x:v>
      </x:c>
      <x:c r="B294" s="29" t="str">
        <x:v>bakersfield</x:v>
      </x:c>
      <x:c r="C294" s="29" t="str">
        <x:v>bakersfield:photo:venue-22259</x:v>
      </x:c>
      <x:c r="D294" s="29" t="str">
        <x:v>https://www.flickr.com/photos/30237618@N03/5285152841/</x:v>
      </x:c>
      <x:c r="E294" s="29" t="str">
        <x:v>Meadows Field / Airport çevresi · 2010 tarihli fotoğraf</x:v>
      </x:c>
      <x:c r="F294" s="29" t="str">
        <x:v>a.dombrowski</x:v>
      </x:c>
      <x:c r="G294" s="29" t="str">
        <x:v>CC BY-SA 2.0</x:v>
      </x:c>
      <x:c r="H294" s="29" t="str">
        <x:v>https://creativecommons.org/licenses/by-sa/2.0/</x:v>
      </x:c>
      <x:c r="I294" s="29" t="str">
        <x:v>CC BY-SA 2.0</x:v>
      </x:c>
      <x:c r="J294" s="29" t="str">
        <x:v>Meadows Field / Airport çevresi · 2010 tarihli fotoğraf · a.dombrowski · CC BY-SA 2.0 · https://www.flickr.com/photos/30237618@N03/5285152841/</x:v>
      </x:c>
      <x:c r="K29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4" s="31" t="d">
        <x:v>2026-10-24T00:00:00.000Z</x:v>
      </x:c>
      <x:c r="M294" s="29" t="str">
        <x:v>Doğrulandı</x:v>
      </x:c>
      <x:c r="N294" s="29" t="str">
        <x:v>Doğrulandı</x:v>
      </x:c>
      <x:c r="O294" s="29" t="str">
        <x:v>Fotoğraflar/bk-48aec186bb0d09acb369fc38.webp</x:v>
      </x:c>
      <x:c r="P294" s="29" t="str">
        <x:v>Meadows Field / Airport çevresi · 2010 tarihli fotoğraf · İndirilen kare temas sayfasında görüldü; kaynak mekân kimliğiyle eşleştirildi. Seçim kaydı final-pixel-review.json.</x:v>
      </x:c>
      <x:c r="Q294" s="29" t="str">
        <x:v>Bu kare için uygun</x:v>
      </x:c>
      <x:c r="R29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4" s="29" t="str">
        <x:v>Lisans kanıtları/bk-48aec186bb0d09acb369fc38.source-evidence.json</x:v>
      </x:c>
      <x:c r="T294" s="29" t="str">
        <x:v>c748c0fa41d94731c43af13ab899efc9d094669ec3f4ab2e80dfde2b2fd73f09</x:v>
      </x:c>
      <x:c r="U294" s="29" t="str">
        <x:v>Lisans kanıtları/bk-48aec186bb0d09acb369fc38.license-record.json</x:v>
      </x:c>
      <x:c r="V294" s="29" t="str">
        <x:v>f53dce1813ab5f15bdac92fd2b0ac54d949f171902d6916d36161248f157c3a6</x:v>
      </x:c>
      <x:c r="W294" s="29" t="str">
        <x:v>{"file":"bk-48aec186bb0d09acb369fc38.webp","width":683,"author":"a.dombrowski","height":1024,"sha256":"48aec186bb0d09acb369fc3894e31e713acd69443dcbd06cdc43ae98180625ca","status":"reviewed-selected","license":"CC BY-SA 2.0","provider":"Flickr","review_id":"D53","source_id":"5285152841","author_url":"https://www.flickr.com/photos/30237618@N03/","date_texts":["Uploaded on December 23, 2010 Taken on August 13, 2010","Taken on August 13, 2010","Uploaded on December 23, 2010 Taken on August 13, 2010","Taken on August 13, 2010"],"source_url":"https://www.flickr.com/photos/30237618@N03/5285152841/","description":"","license_url":"https://creativecommons.org/licenses/by-sa/2.0/","review_note":"Control tower; airport neighborhood or transport context.","reviewed_on":"2026-10-24","source_text":"Day 225: Bakersfield airport | a.dombrowski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a.dombrowski a.dombrowski Day 225: Bakersfield airport Done 231 views 1 fave 0 comments Uploaded on December 23, 2010 Taken on August 13, 2010 a.dombrowski By: a.dombrowski Day 225: Bakersfield airport Done 231 views 1 fave 0 comments Uploaded on December 23, 2010 Taken on August 13, 2010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photography.","capture_date":"2010-08-13","download_url":"https://live.staticflickr.com/5121/5285152841_916c8f5d14_b.jpg","original_url":"https://live.staticflickr.com/5121/5285152841_d5e0146f15_o.jpg","pixel_review":{"method":"İndirilen kare temas sayfasında görüldü; kaynak mekân kimliğiyle eşleştirildi. Seçim kaydı final-pixel-review.json.","status":"verified","caption":"Meadows Field / Airport çevresi · 2010 tarihli fotoğraf","reviewer":"Codex (AI)","review_id":"D53"},"source_title":"Day 225: Bakersfield airport","downloaded_at":"2026-10-23T19:52:13.560578+00:00","download_sha256":"78b2356e251951a89164ff01fcc4bd76c0aedd3f80e7f7cd467ddf877fc94bb5","downloaded_file":"downloads/78b2356e251951a89164ff01fcc4bd76c0aedd3f80e7f7cd467ddf877fc94bb5.jpg","public_metadata":{"photo-models":[{"data":{"id":"5285152841","owner":{"data":{"id":"30237618@N03","isPro":false,"newFlow":true,"isAdFree":false,"realname":"","segments":{"data":[],"exportMetaType":"array"},"username":"a.dombrowski","buddyicon":{"data":{"large":"//live.staticflickr.com/3223/buddyicons/30237618@N03_l.jpg?1220808356#30237618@N03","small":"//live.staticflickr.com/3223/buddyicons/30237618@N03_s.jpg?1220808356#30237618@N03","medium":"//live.staticflickr.com/3223/buddyicons/30237618@N03_m.jpg?1220808356#30237618@N03","retina":"//live.staticflickr.com/3223/buddyicons/30237618@N03_r.jpg?1220808356#30237618@N03","default":"//live.staticflickr.com/3223/buddyicons/30237618@N03.jpg?1220808356#30237618@N03"},"exportMetaType":"pojo"},"pathAlias":"adombrowski","dateCreated":{"data":"1220673421","exportMetaType":"serializeFunction"},"subscription":{"data":{"isPro":false,"isClosed":false,"isPastDue":false},"exportMetaType":"pojo"},"eligibleGifts":{"data":["year","month","week"],"exportMetaType":"array"},"isEligibleForGifts":true,"_flickrModelRegistry":"person-models"},"exportMetaType":"model"},"sizes":{"data":{"c":{"data":{"url":"//live.staticflickr.com/5121/5285152841_916c8f5d14_c.jpg","width":533,"height":800,"displayUrl":"//live.staticflickr.com/5121/5285152841_916c8f5d14_c.jpg"},"exportMetaType":"pojo"},"h":{"data":{"url":"//live.staticflickr.com/5121/5285152841_884b09e9f9_h.jpg","width":1067,"height":1600,"displayUrl":"//live.staticflickr.com/5121/5285152841_884b09e9f9_h.jpg"},"exportMetaType":"pojo"},"k":{"data":{"url":"//live.staticflickr.com/5121/5285152841_88de2e5bcb_k.jpg","width":1365,"height":2048,"displayUrl":"//live.staticflickr.com/5121/5285152841_88de2e5bcb_k.jpg"},"exportMetaType":"pojo"},"l":{"data":{"url":"//live.staticflickr.com/5121/5285152841_916c8f5d14_b.jpg","width":683,"height":1024,"displayUrl":"//live.staticflickr.com/5121/5285152841_916c8f5d14_b.jpg"},"exportMetaType":"pojo"},"m":{"data":{"url":"//live.staticflickr.com/5121/5285152841_916c8f5d14.jpg","width":333,"height":500,"displayUrl":"//live.staticflickr.com/5121/5285152841_916c8f5d14.jpg"},"exportMetaType":"pojo"},"n":{"data":{"url":"//live.staticflickr.com/5121/5285152841_916c8f5d14_n.jpg","width":213,"height":320,"displayUrl":"//live.staticflickr.com/5121/5285152841_916c8f5d14_n.jpg"},"exportMetaType":"pojo"},"o":{"data":{"url":"//live.staticflickr.com/5121/5285152841_d5e0146f15_o.jpg","width":2592,"height":3888,"displayUrl":"//live.staticflickr.com/5121/5285152841_d5e0146f15_o.jpg"},"exportMetaType":"pojo"},"q":{"data":{"url":"//live.staticflickr.com/5121/5285152841_916c8f5d14_q.jpg","width":150,"height":150,"displayUrl":"//live.staticflickr.com/5121/5285152841_916c8f5d14_q.jpg"},"exportMetaType":"pojo"},"s":{"data":{"url":"//live.staticflickr.com/5121/5285152841_916c8f5d14_m.jpg","width":160,"height":240,"displayUrl":"//live.staticflickr.com/5121/5285152841_916c8f5d14_m.jpg"},"exportMetaType":"pojo"},"t":{"data":{"url":"//live.staticflickr.com/5121/5285152841_916c8f5d14_t.jpg","width":67,"height":100,"displayUrl":"//live.staticflickr.com/5121/5285152841_916c8f5d14_t.jpg"},"exportMetaType":"pojo"},"w":{"data":{"url":"//live.staticflickr.com/5121/5285152841_916c8f5d14_w.jpg","width":267,"height":400,"displayUrl":"//live.staticflickr.com/5121/5285152841_916c8f5d14_w.jpg"},"exportMetaType":"pojo"},"z":{"data":{"url":"//live.staticflickr.com/5121/5285152841_916c8f5d14_z.jpg","width":427,"height":640,"displayUrl":"//live.staticflickr.com/5121/5285152841_916c8f5d14_z.jpg"},"exportMetaType":"pojo"},"sq":{"data":{"url":"//live.staticflickr.com/5121/5285152841_916c8f5d14_s.jpg","width":75,"height":75,"displayUrl":"//live.staticflickr.com/5121/5285152841_916c8f5d14_s.jpg"},"exportMetaType":"pojo"}},"exportMetaType":"pojo"},"title":"Day 225: Bakersfield airport","oWidth":2592,"secret":"916c8f5d14","license":5,"oHeight":3888,"rotation":0,"canAddMeta":false,"canComment":false,"engagement":{"data":{"id":"5285152841","canShare":true,"faveCount":1,"ownerNsid":"30237618@N03","reactions":{"data":{"like":{"data":{"id":"like","count":5,"canReact":true,"didViewerReact":true},"exportMetaType":"pojo"},"someOtherReaction":{"data":{"id":"someOtherReaction","count":3,"canReact":true,"didViewerReact":false},"exportMetaType":"pojo"}},"exportMetaType":"pojo"},"viewCount":231,"canDownload":true,"_flickrModelRegistry":"photo-engagement-models"},"exportMetaType":"model"},"safetyLevel":0,"upgradeSizes":{"data":[],"exportMetaType":"array"},"adEligibility":{"data":{"lane":1,"labels":{"data":[],"exportMetaType":"array"},"isAdEligible":true,"highScoreLabels":{"data":[],"exportMetaType":"array"}},"exportMetaType":"pojo"},"canPublicComment":true,"_flickrModelRegistry":"photo-models"},"exportMetaType":"model"}],"photo-geo-models":[{"data":{"id":"5285152841","_flickrModelRegistry":"photo-geo-models"},"exportMetaType":"model"}],"photo-location-models":[{"data":{"id":"5285152841","geo":{"data":"~2","exportMetaType":"model"},"text":"","levels":{"data":{},"exportMetaType":"pojo"},"staticMaps":{"data":{},"exportMetaType":"pojo"},"_flickrModelRegistry":"photo-location-models"},"exportMetaType":"model"}],"photo-head-meta-models":[{"data":{"id":"5285152841","title":"Day 225: Bakersfield airport","og:url":"https://www.flickr.com/photos/adombrowski/5285152841/","og:type":"article","keywords":"windows, sunset, glow, bakersfield, day225, aircontroltower, yip2010","og:image":"https://live.staticflickr.com/5121/5285152841_916c8f5d14_b.jpg","og:title":"Day 225: Bakersfield airport","twitter:card":"summary_large_image","twitter:image":"https://live.staticflickr.com/5121/5285152841_916c8f5d14_b.jpg","og:description":"","og:image:width":683,"og:image:height":1024,"twitter:description":"Explore a.dombrowski's 14270 photos on Flickr!","_flickrModelRegistry":"photo-head-meta-models","twitter:app:url:ipad":"flickr://flickr.com/photos/adombrowski/5285152841/","twitter:app:url:iphone":"flickr://flickr.com/photos/adombrowski/5285152841/","twitter:app:url:googleplay":"https://www.flickr.com/photos/adombrowski/5285152841/"},"exportMetaType":"model"}],"photo-license-history-models":[]},"acquisition_file":"fl-5285152841.webp","source_html_file":"/Users/atincakcayoz/corteqs/output/bakersfield-production-20261023/flickr-source-pages/5285152841.html","original_file_url":"https://live.staticflickr.com/5121/5285152841_d5e0146f15_o.jpg","proposed_identity":"Meadows Field Airport","source_html_sha256":"0572a165272e0aeda31ef198d4fdb63c293ada0469ff269f1a68a6f4ff8cbe81","third_party_rights_review":{"basis":"Kaynakta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dönüştürüldü.","photo_attribution":{"author_url":"https://www.flickr.com/photos/30237618@N03/","modifications":"EXIF yönü uygulandı; boyut küçültülüp WebP biçimine dönüştürüldü.","original_file_url":"https://live.staticflickr.com/5121/5285152841_d5e0146f15_o.jpg"},"metadata_reviewed_on":"2026-10-24","metadata_review_status":"verified"}}</x:v>
      </x:c>
    </x:row>
    <x:row r="295" ht="300" customHeight="1">
      <x:c r="A295" s="29" t="str">
        <x:v>bakersfield:evidence:venue-22260</x:v>
      </x:c>
      <x:c r="B295" s="29" t="str">
        <x:v>bakersfield</x:v>
      </x:c>
      <x:c r="C295" s="29" t="str">
        <x:v>bakersfield:photo:venue-22260</x:v>
      </x:c>
      <x:c r="D295" s="29" t="str">
        <x:v>https://www.flickr.com/photos/15923063@N00/824119067/</x:v>
      </x:c>
      <x:c r="E295" s="29" t="str">
        <x:v>Buck Owens Boulevard çevresi · 2007 tarihli fotoğraf</x:v>
      </x:c>
      <x:c r="F295" s="29" t="str">
        <x:v>David Goehring</x:v>
      </x:c>
      <x:c r="G295" s="29" t="str">
        <x:v>CC BY 2.0</x:v>
      </x:c>
      <x:c r="H295" s="29" t="str">
        <x:v>https://creativecommons.org/licenses/by/2.0/</x:v>
      </x:c>
      <x:c r="I295" s="29" t="str">
        <x:v>CC BY 2.0</x:v>
      </x:c>
      <x:c r="J295" s="29" t="str">
        <x:v>Buck Owens Boulevard çevresi · 2007 tarihli fotoğraf · David Goehring · CC BY 2.0 · https://www.flickr.com/photos/15923063@N00/824119067/</x:v>
      </x:c>
      <x:c r="K295"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5" s="31" t="d">
        <x:v>2026-10-24T00:00:00.000Z</x:v>
      </x:c>
      <x:c r="M295" s="29" t="str">
        <x:v>Doğrulandı</x:v>
      </x:c>
      <x:c r="N295" s="29" t="str">
        <x:v>Doğrulandı</x:v>
      </x:c>
      <x:c r="O295" s="29" t="str">
        <x:v>Fotoğraflar/bk-2f2bc4897c80a5d857be3cc2.webp</x:v>
      </x:c>
      <x:c r="P295" s="29" t="str">
        <x:v>Buck Owens Boulevard çevresi · 2007 tarihli fotoğraf · İndirilen kare temas sayfasında görüldü; kaynak mekân kimliğiyle eşleştirildi. Seçim kaydı final-pixel-review.json.</x:v>
      </x:c>
      <x:c r="Q295" s="29" t="str">
        <x:v>Bu kare için uygun</x:v>
      </x:c>
      <x:c r="R295"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5" s="29" t="str">
        <x:v>Lisans kanıtları/bk-2f2bc4897c80a5d857be3cc2.source-evidence.json</x:v>
      </x:c>
      <x:c r="T295" s="29" t="str">
        <x:v>a50ff0bbf3091445f47be372230d29c63e97c840aa81fa6c4c9111f34c4d725d</x:v>
      </x:c>
      <x:c r="U295" s="29" t="str">
        <x:v>Lisans kanıtları/bk-2f2bc4897c80a5d857be3cc2.license-record.json</x:v>
      </x:c>
      <x:c r="V295" s="29" t="str">
        <x:v>b9b847e3430cf9f511933caa03adbccabab0a77e40f5533bc9f9ab965b499e0b</x:v>
      </x:c>
      <x:c r="W295" s="29" t="str">
        <x:v>{"file":"bk-2f2bc4897c80a5d857be3cc2.webp","width":1024,"author":"David Goehring","height":681,"sha256":"2f2bc4897c80a5d857be3cc231606b8a0842ff27ce73db4d97b52647942f61e3","status":"reviewed-selected","license":"CC BY 2.0","provider":"Flickr","review_id":"D30","source_id":"824119067","author_url":"https://www.flickr.com/photos/15923063@N00/","date_texts":["Uploaded on July 16, 2007 Taken on July 15, 2007","Taken on July 15, 2007","Uploaded on July 16, 2007 Taken on July 15, 2007","Taken on July 15, 2007"],"source_url":"https://www.flickr.com/photos/15923063@N00/824119067/","description":"At the Buck Owens facilities.","license_url":"https://creativecommons.org/licenses/by/2.0/","review_note":"Daytime arch; exact source nonreuse check.","reviewed_on":"2026-10-24","source_text":"Bakersfield Arch | At the Buck Owens facilities. | David Goehring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Goehring CarbonNYC [in SF!] Bakersfield Arch At the Buck Owens facilities. Done 5,795 views 1 fave 2 comments Uploaded on July 16, 2007 Taken on July 15, 2007 David Goehring By: David Goehring Bakersfield Arch At the Buck Owens facilities. Done 5,795 views 1 fave 2 comments Uploaded on July 16, 2007 Taken on July 15, 2007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photography.","capture_date":"2007-07-15","download_url":"https://live.staticflickr.com/1018/824119067_1bd8e42e29_b.jpg","original_url":"https://live.staticflickr.com/1018/824119067_339da34742_3k.jpg","pixel_review":{"method":"İndirilen kare temas sayfasında görüldü; kaynak mekân kimliğiyle eşleştirildi. Seçim kaydı final-pixel-review.json.","status":"verified","caption":"Buck Owens Boulevard çevresi · 2007 tarihli fotoğraf","reviewer":"Codex (AI)","review_id":"D30"},"source_title":"Bakersfield Arch","downloaded_at":"2026-10-23T19:52:11.691322+00:00","download_sha256":"7adfa7d6b141b2ce3607a78db06594f24344960d8341e38bd043afb6b5984d87","downloaded_file":"downloads/7adfa7d6b141b2ce3607a78db06594f24344960d8341e38bd043afb6b5984d87.jpg","public_metadata":{"photo-models":[{"data":{"id":"824119067","owner":{"data":{"id":"15923063@N00","isPro":true,"newFlow":true,"isAdFree":false,"location":"San Francisco, CA, USA","proBadge":"standard","realname":"David Goehring","segments":{"data":[],"exportMetaType":"array"},"username":"CarbonNYC [in SF!]","buddyicon":{"data":{"large":"//live.staticflickr.com/3737/buddyicons/15923063@N00_l.jpg?1369116445#15923063@N00","small":"//live.staticflickr.com/3737/buddyicons/15923063@N00_s.jpg?1369116445#15923063@N00","medium":"//live.staticflickr.com/3737/buddyicons/15923063@N00_m.jpg?1369116445#15923063@N00","retina":"//live.staticflickr.com/3737/buddyicons/15923063@N00_r.jpg?1369116445#15923063@N00","default":"//live.staticflickr.com/3737/buddyicons/15923063@N00.jpg?1369116445#15923063@N00"},"exportMetaType":"pojo"},"pathAlias":"carbonnyc","dateCreated":{"data":"1116571193","exportMetaType":"serializeFunction"},"subscription":{"data":{"isPro":false,"isClosed":false,"isPastDue":false},"exportMetaType":"pojo"},"eligibleGifts":{"data":["year","month","week"],"exportMetaType":"array"},"isEligibleForGifts":true,"_flickrModelRegistry":"person-models"},"exportMetaType":"model"},"sizes":{"data":{"c":{"data":{"url":"//live.staticflickr.com/1018/824119067_1bd8e42e29_c.jpg","width":800,"height":532,"displayUrl":"//live.staticflickr.com/1018/824119067_1bd8e42e29_c.jpg"},"exportMetaType":"pojo"},"h":{"data":{"url":"//live.staticflickr.com/1018/824119067_e4ebf10318_h.jpg","width":1600,"height":1064,"displayUrl":"//live.staticflickr.com/1018/824119067_e4ebf10318_h.jpg"},"exportMetaType":"pojo"},"k":{"data":{"url":"//live.staticflickr.com/1018/824119067_809b8992b8_k.jpg","width":2048,"height":1362,"displayUrl":"//live.staticflickr.com/1018/824119067_809b8992b8_k.jpg"},"exportMetaType":"pojo"},"l":{"data":{"url":"//live.staticflickr.com/1018/824119067_1bd8e42e29_b.jpg","width":1024,"height":681,"displayUrl":"//live.staticflickr.com/1018/824119067_1bd8e42e29_b.jpg"},"exportMetaType":"pojo"},"m":{"data":{"url":"//live.staticflickr.com/1018/824119067_1bd8e42e29.jpg","width":500,"height":332,"displayUrl":"//live.staticflickr.com/1018/824119067_1bd8e42e29.jpg"},"exportMetaType":"pojo"},"n":{"data":{"url":"//live.staticflickr.com/1018/824119067_1bd8e42e29_n.jpg","width":320,"height":213,"displayUrl":"//live.staticflickr.com/1018/824119067_1bd8e42e29_n.jpg"},"exportMetaType":"pojo"},"o":{"data":{"url":"//live.staticflickr.com/1018/824119067_b40fca585b_o.jpg","width":3008,"height":2000,"displayUrl":"//live.staticflickr.com/1018/824119067_b40fca585b_o.jpg"},"exportMetaType":"pojo"},"q":{"data":{"url":"//live.staticflickr.com/1018/824119067_1bd8e42e29_q.jpg","width":150,"height":150,"displayUrl":"//live.staticflickr.com/1018/824119067_1bd8e42e29_q.jpg"},"exportMetaType":"pojo"},"s":{"data":{"url":"//live.staticflickr.com/1018/824119067_1bd8e42e29_m.jpg","width":240,"height":160,"displayUrl":"//live.staticflickr.com/1018/824119067_1bd8e42e29_m.jpg"},"exportMetaType":"pojo"},"t":{"data":{"url":"//live.staticflickr.com/1018/824119067_1bd8e42e29_t.jpg","width":100,"height":66,"displayUrl":"//live.staticflickr.com/1018/824119067_1bd8e42e29_t.jpg"},"exportMetaType":"pojo"},"w":{"data":{"url":"//live.staticflickr.com/1018/824119067_1bd8e42e29_w.jpg","width":400,"height":266,"displayUrl":"//live.staticflickr.com/1018/824119067_1bd8e42e29_w.jpg"},"exportMetaType":"pojo"},"z":{"data":{"url":"//live.staticflickr.com/1018/824119067_1bd8e42e29_z.jpg","width":640,"height":426,"displayUrl":"//live.staticflickr.com/1018/824119067_1bd8e42e29_z.jpg"},"exportMetaType":"pojo"},"3k":{"data":{"url":"//live.staticflickr.com/1018/824119067_339da34742_3k.jpg","width":3008,"height":2000,"displayUrl":"//live.staticflickr.com/1018/824119067_339da34742_3k.jpg"},"exportMetaType":"pojo"},"sq":{"data":{"url":"//live.staticflickr.com/1018/824119067_1bd8e42e29_s.jpg","width":75,"height":75,"displayUrl":"//live.staticflickr.com/1018/824119067_1bd8e42e29_s.jpg"},"exportMetaType":"pojo"}},"exportMetaType":"pojo"},"title":"Bakersfield Arch","oWidth":3008,"secret":"1bd8e42e29","license":4,"oHeight":2000,"rotation":0,"canAddMeta":false,"canComment":false,"engagement":{"data":{"id":"824119067","canShare":true,"faveCount":1,"ownerNsid":"15923063@N00","reactions":{"data":{"like":{"data":{"id":"like","count":5,"canReact":true,"didViewerReact":true},"exportMetaType":"pojo"},"someOtherReaction":{"data":{"id":"someOtherReaction","count":3,"canReact":true,"didViewerReact":false},"exportMetaType":"pojo"}},"exportMetaType":"pojo"},"viewCount":5795,"canDownload":true,"commentCount":2,"_flickrModelRegistry":"photo-engagement-models"},"exportMetaType":"model"},"description":"At the Buck Owens facilities.","safetyLevel":0,"upgradeSizes":{"data":[],"exportMetaType":"array"},"adEligibility":{"data":{"lane":1,"labels":{"data":["ProOwner"],"exportMetaType":"array"},"isAdEligible":false,"highScoreLabels":{"data":["ProOwner"],"exportMetaType":"array"}},"exportMetaType":"pojo"},"canPublicComment":true,"_flickrModelRegistry":"photo-models"},"exportMetaType":"model"}],"photo-geo-models":[{"data":{"id":"824119067","hasGeo":true,"accuracy":16,"isPublic":true,"latitude":35.386194,"longitude":-119.042519,"_flickrModelRegistry":"photo-geo-models"},"exportMetaType":"model"}],"photo-location-models":[{"data":{"id":"824119067","geo":{"data":"~2","exportMetaType":"model"},"text":"Landco, California, United States","levels":{"data":{"county":{"data":{"name":"Kern","woeId":12587684},"exportMetaType":"pojo"},"region":{"data":{"name":"California","woeId":2347563},"exportMetaType":"pojo"},"country":{"data":{"name":"United States","woeId":23424977},"exportMetaType":"pojo"},"locality":{"data":{"name":"Landco","woeId":2436139},"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824119067","title":"Bakersfield Arch","og:url":"https://www.flickr.com/photos/carbonnyc/824119067/","og:type":"article","keywords":"bakersfield, bakersfieldca, d70s, arch, bakersfieldarch, citysign, road, roadway, suv, sign, bakersfieldsign, text, yellow, blue, carbonnyc, carbonsf","og:image":"https://live.staticflickr.com/1018/824119067_1bd8e42e29_b.jpg","og:title":"Bakersfield Arch","twitter:card":"summary_large_image","twitter:image":"https://live.staticflickr.com/1018/824119067_1bd8e42e29_b.jpg","og:description":"At the Buck Owens facilities.","og:image:width":1024,"og:image:height":681,"twitter:creator":"@carbonnyc","twitter:description":"At the Buck Owens facilities.","_flickrModelRegistry":"photo-head-meta-models","twitter:app:url:ipad":"flickr://flickr.com/photos/carbonnyc/824119067/","twitter:app:url:iphone":"flickr://flickr.com/photos/carbonnyc/824119067/","twitter:app:url:googleplay":"https://www.flickr.com/photos/carbonnyc/824119067/"},"exportMetaType":"model"}],"photo-license-history-models":[]},"acquisition_file":"fl-824119067.webp","source_html_file":"/Users/atincakcayoz/corteqs/output/bakersfield-production-20261023/flickr-source-pages/824119067.html","original_file_url":"https://live.staticflickr.com/1018/824119067_339da34742_3k.jpg","proposed_identity":"Bakersfield Sign","source_html_sha256":"8a31982ec6b45cc58e414288926ac4614364779828b1cc2033449878e645f7ca","third_party_rights_review":{"basis":"Kaynakta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dönüştürüldü.","photo_attribution":{"author_url":"https://www.flickr.com/photos/15923063@N00/","modifications":"EXIF yönü uygulandı; boyut küçültülüp WebP biçimine dönüştürüldü.","original_file_url":"https://live.staticflickr.com/1018/824119067_339da34742_3k.jpg"},"metadata_reviewed_on":"2026-10-24","metadata_review_status":"verified"}}</x:v>
      </x:c>
    </x:row>
    <x:row r="296" ht="300" customHeight="1">
      <x:c r="A296" s="29" t="str">
        <x:v>bakersfield:evidence:venue-22261</x:v>
      </x:c>
      <x:c r="B296" s="29" t="str">
        <x:v>bakersfield</x:v>
      </x:c>
      <x:c r="C296" s="29" t="str">
        <x:v>bakersfield:photo:venue-22261</x:v>
      </x:c>
      <x:c r="D296" s="29" t="str">
        <x:v>https://www.flickr.com/photos/193771854@N06/52775718110/</x:v>
      </x:c>
      <x:c r="E296" s="29" t="str">
        <x:v>Northeast / Kern River County Park çevresi · 2023 tarihli fotoğraf</x:v>
      </x:c>
      <x:c r="F296" s="29" t="str">
        <x:v>Anon Anon</x:v>
      </x:c>
      <x:c r="G296" s="29" t="str">
        <x:v>CC0 1.0</x:v>
      </x:c>
      <x:c r="H296" s="29" t="str">
        <x:v>https://creativecommons.org/publicdomain/zero/1.0/</x:v>
      </x:c>
      <x:c r="I296" s="29" t="str">
        <x:v>CC0 1.0</x:v>
      </x:c>
      <x:c r="J296" s="29" t="str">
        <x:v>Northeast / Kern River County Park çevresi · 2023 tarihli fotoğraf · Anon Anon · CC0 1.0 · https://www.flickr.com/photos/193771854@N06/52775718110/</x:v>
      </x:c>
      <x:c r="K296"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6" s="31" t="d">
        <x:v>2026-10-24T00:00:00.000Z</x:v>
      </x:c>
      <x:c r="M296" s="29" t="str">
        <x:v>Doğrulandı</x:v>
      </x:c>
      <x:c r="N296" s="29" t="str">
        <x:v>Doğrulandı</x:v>
      </x:c>
      <x:c r="O296" s="29" t="str">
        <x:v>Fotoğraflar/bk-e84925a3bbd9f6cfeb517305.webp</x:v>
      </x:c>
      <x:c r="P296" s="29" t="str">
        <x:v>Northeast / Kern River County Park çevresi · 2023 tarihli fotoğraf · İndirilen kare temas sayfasında görüldü; kaynak mekân kimliğiyle eşleştirildi. Seçim kaydı final-pixel-review.json.</x:v>
      </x:c>
      <x:c r="Q296" s="29" t="str">
        <x:v>Bu kare için uygun</x:v>
      </x:c>
      <x:c r="R296"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6" s="29" t="str">
        <x:v>Lisans kanıtları/bk-e84925a3bbd9f6cfeb517305.source-evidence.json</x:v>
      </x:c>
      <x:c r="T296" s="29" t="str">
        <x:v>0d3fd0143c8f9c58333aaa951ceb473abc1bb22f3cc3d05a24c7ce28199be52e</x:v>
      </x:c>
      <x:c r="U296" s="29" t="str">
        <x:v>Lisans kanıtları/bk-e84925a3bbd9f6cfeb517305.license-record.json</x:v>
      </x:c>
      <x:c r="V296" s="29" t="str">
        <x:v>536a9b16b086dc56379a1c5fa00b56e07daffe5b9e7df18c9cf3d72d2cc33211</x:v>
      </x:c>
      <x:c r="W296" s="29" t="str">
        <x:v>{"file":"bk-e84925a3bbd9f6cfeb517305.webp","width":768,"author":"Anon Anon","height":1024,"sha256":"e84925a3bbd9f6cfeb517305ec63834d24cad831360cf0deea763d068e0c3923","status":"reviewed-selected","license":"CC0 1.0","provider":"Flickr","review_id":"G0","source_id":"52775718110","author_url":"https://www.flickr.com/photos/193771854@N06/","date_texts":["Uploaded on March 27, 2023 Taken on March 13, 2023","Taken on March 13, 2023","Uploaded on March 27, 2023 Taken on March 13, 2023","Taken on March 13, 2023"],"source_url":"https://www.flickr.com/photos/193771854@N06/52775718110/","description":"","license_url":"https://creativecommons.org/publicdomain/zero/1.0/","review_note":"New direct photo page; pixels and original description require review.","reviewed_on":"2026-10-24","source_text":"Hart Park, Bakersfield, CA Public Domain | Hart Park, Bakers…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Anon Anon anon4809 Hart Park, Bakersfield, CA Public Domain Hart Park, Bakersfield, CA Public Domain Done 15 views 0 faves 0 comments Uploaded on March 27, 2023 Taken on March 13, 2023 Anon Anon By: Anon Anon Hart Park, Bakersfield, CA Public Domain Hart Park, Bakersfield, CA Public Domain Done 15 views 0 faves 0 comments Uploaded on March 27, 2023 Taken on March 13, 2023 Public domain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photography.","capture_date":"2023-03-13","download_url":"https://live.staticflickr.com/65535/52775718110_d1b45828df_b.jpg","original_url":"https://live.staticflickr.com/65535/52775718110_df6b88c2f8_o.jpg","pixel_review":{"method":"İndirilen kare temas sayfasında görüldü; kaynak mekân kimliğiyle eşleştirildi. Seçim kaydı final-pixel-review.json.","status":"verified","caption":"Northeast / Kern River County Park çevresi · 2023 tarihli fotoğraf","reviewer":"Codex (AI)","review_id":"G0"},"source_title":"Hart Park, Bakersfield, CA Public Domain","downloaded_at":"2026-10-23T20:31:28.133830+00:00","download_sha256":"1635190f5d7ade0acf29c9a36b4f97b7fe95a1d134c4ee68c21db09b6b31ea9b","downloaded_file":"downloads/1635190f5d7ade0acf29c9a36b4f97b7fe95a1d134c4ee68c21db09b6b31ea9b.jpg","public_metadata":{"photo-models":[{"data":{"id":"52775718110","owner":{"data":{"id":"193771854@N06","isPro":false,"newFlow":true,"isAdFree":false,"location":null,"realname":"Anon Anon","segments":{"data":[],"exportMetaType":"array"},"username":"anon4809","buddyicon":{"data":{"large":"//combo.staticflickr.com/pw/images/bbuddyicon06_l.png#193771854@N06","small":"//combo.staticflickr.com/pw/images/bbuddyicon06_s.png#193771854@N06","medium":"//combo.staticflickr.com/pw/images/bbuddyicon06_m.png#193771854@N06","retina":"//combo.staticflickr.com/pw/images/bbuddyicon06_r.png#193771854@N06","default":"//combo.staticflickr.com/pw/images/bbuddyicon06.png#193771854@N06"},"exportMetaType":"pojo"},"dateCreated":{"data":"1629555095","exportMetaType":"serializeFunction"},"subscription":{"data":{"isPro":false,"isClosed":false,"isPastDue":false},"exportMetaType":"pojo"},"eligibleGifts":{"data":["year","month","week"],"exportMetaType":"array"},"isEligibleForGifts":true,"_flickrModelRegistry":"person-models"},"exportMetaType":"model"},"sizes":{"data":{"c":{"data":{"url":"//live.staticflickr.com/65535/52775718110_d1b45828df_c.jpg","width":600,"height":800,"displayUrl":"//live.staticflickr.com/65535/52775718110_d1b45828df_c.jpg"},"exportMetaType":"pojo"},"h":{"data":{"url":"//live.staticflickr.com/65535/52775718110_dd17923260_h.jpg","width":1200,"height":1600,"displayUrl":"//live.staticflickr.com/65535/52775718110_dd17923260_h.jpg"},"exportMetaType":"pojo"},"k":{"data":{"url":"//live.staticflickr.com/65535/52775718110_f71187e8c9_k.jpg","width":1536,"height":2048,"displayUrl":"//live.staticflickr.com/65535/52775718110_f71187e8c9_k.jpg"},"exportMetaType":"pojo"},"l":{"data":{"url":"//live.staticflickr.com/65535/52775718110_d1b45828df_b.jpg","width":768,"height":1024,"displayUrl":"//live.staticflickr.com/65535/52775718110_d1b45828df_b.jpg"},"exportMetaType":"pojo"},"m":{"data":{"url":"//live.staticflickr.com/65535/52775718110_d1b45828df.jpg","width":375,"height":500,"displayUrl":"//live.staticflickr.com/65535/52775718110_d1b45828df.jpg"},"exportMetaType":"pojo"},"n":{"data":{"url":"//live.staticflickr.com/65535/52775718110_d1b45828df_n.jpg","width":240,"height":320,"displayUrl":"//live.staticflickr.com/65535/52775718110_d1b45828df_n.jpg"},"exportMetaType":"pojo"},"o":{"data":{"url":"//live.staticflickr.com/65535/52775718110_df6b88c2f8_o.jpg","width":4032,"height":3024,"displayUrl":"//live.staticflickr.com/65535/52775718110_df6b88c2f8_o.jpg"},"exportMetaType":"pojo"},"q":{"data":{"url":"//live.staticflickr.com/65535/52775718110_d1b45828df_q.jpg","width":150,"height":150,"displayUrl":"//live.staticflickr.com/65535/52775718110_d1b45828df_q.jpg"},"exportMetaType":"pojo"},"s":{"data":{"url":"//live.staticflickr.com/65535/52775718110_d1b45828df_m.jpg","width":180,"height":240,"displayUrl":"//live.staticflickr.com/65535/52775718110_d1b45828df_m.jpg"},"exportMetaType":"pojo"},"t":{"data":{"url":"//live.staticflickr.com/65535/52775718110_d1b45828df_t.jpg","width":75,"height":100,"displayUrl":"//live.staticflickr.com/65535/52775718110_d1b45828df_t.jpg"},"exportMetaType":"pojo"},"w":{"data":{"url":"//live.staticflickr.com/65535/52775718110_d1b45828df_w.jpg","width":300,"height":400,"displayUrl":"//live.staticflickr.com/65535/52775718110_d1b45828df_w.jpg"},"exportMetaType":"pojo"},"z":{"data":{"url":"//live.staticflickr.com/65535/52775718110_d1b45828df_z.jpg","width":480,"height":640,"displayUrl":"//live.staticflickr.com/65535/52775718110_d1b45828df_z.jpg"},"exportMetaType":"pojo"},"sq":{"data":{"url":"//live.staticflickr.com/65535/52775718110_d1b45828df_s.jpg","width":75,"height":75,"displayUrl":"//live.staticflickr.com/65535/52775718110_d1b45828df_s.jpg"},"exportMetaType":"pojo"}},"exportMetaType":"pojo"},"title":"Hart Park, Bakersfield, CA Public Domain","oWidth":4032,"secret":"d1b45828df","license":9,"oHeight":3024,"rotation":90,"canAddMeta":false,"canComment":false,"engagement":{"data":{"id":"52775718110","canShare":true,"ownerNsid":"193771854@N06","reactions":{"data":{"like":{"data":{"id":"like","count":5,"canReact":true,"didViewerReact":true},"exportMetaType":"pojo"},"someOtherReaction":{"data":{"id":"someOtherReaction","count":3,"canReact":true,"didViewerReact":false},"exportMetaType":"pojo"}},"exportMetaType":"pojo"},"viewCount":15,"canDownload":true,"_flickrModelRegistry":"photo-engagement-models"},"exportMetaType":"model"},"description":"Hart Park, Bakersfield, CA Public Domain","safetyLevel":0,"upgradeSizes":{"data":[],"exportMetaType":"array"},"adEligibility":{"data":{"lane":1,"labels":{"data":[],"exportMetaType":"array"},"isAdEligible":true,"highScoreLabels":{"data":[],"exportMetaType":"array"}},"exportMetaType":"pojo"},"canPublicComment":true,"_flickrModelRegistry":"photo-models"},"exportMetaType":"model"}],"photo-geo-models":[{"data":{"id":"52775718110","hasGeo":true,"accuracy":12,"isPublic":true,"latitude":35.444901,"longitude":-118.910865,"_flickrModelRegistry":"photo-geo-models"},"exportMetaType":"model"}],"photo-location-models":[{"data":{"id":"52775718110","geo":{"data":"~2","exportMetaType":"model"},"text":"Oil City, California, United States","levels":{"data":{"county":{"data":{"name":"Kern","woeId":null},"exportMetaType":"pojo"},"region":{"data":{"name":"California","woeId":null},"exportMetaType":"pojo"},"country":{"data":{"name":"United States","woeId":null},"exportMetaType":"pojo"},"locality":{"data":{"name":"Oil City","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52775718110","title":"Hart Park, Bakersfield, CA Public Domain","og:url":"https://www.flickr.com/photos/193771854@N06/52775718110/","og:type":"article","og:image":"https://live.staticflickr.com/65535/52775718110_d1b45828df_b.jpg","og:title":"Hart Park, Bakersfield, CA Public Domain","twitter:card":"summary_large_image","twitter:image":"https://live.staticflickr.com/65535/52775718110_d1b45828df_b.jpg","og:description":"Hart Park, Bakersfield, CA Public Domain","og:image:width":768,"og:image:height":1024,"twitter:description":"Hart Park, Bakersfield, CA Public Domain","_flickrModelRegistry":"photo-head-meta-models","twitter:app:url:ipad":"flickr://flickr.com/photos/193771854@N06/52775718110/","twitter:app:url:iphone":"flickr://flickr.com/photos/193771854@N06/52775718110/","twitter:app:url:googleplay":"https://www.flickr.com/photos/193771854@N06/52775718110/"},"exportMetaType":"model"}],"photo-license-history-models":[]},"acquisition_file":"fl-52775718110.webp","source_html_file":"/Users/atincakcayoz/corteqs/output/bakersfield-production-20261023/flickr-source-pages/52775718110.html","original_file_url":"https://live.staticflickr.com/65535/52775718110_df6b88c2f8_o.jpg","proposed_identity":"Hart Park candidate","source_html_sha256":"c24cb360658dd7fb316e0ba8ed32070762fa4cd8692b09f3186da06691cba982","third_party_rights_review":{"basis":"Kaynakta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dönüştürüldü.","photo_attribution":{"author_url":"https://www.flickr.com/photos/193771854@N06/","modifications":"EXIF yönü uygulandı; boyut küçültülüp WebP biçimine dönüştürüldü.","original_file_url":"https://live.staticflickr.com/65535/52775718110_df6b88c2f8_o.jpg"},"metadata_reviewed_on":"2026-10-24","metadata_review_status":"verified"}}</x:v>
      </x:c>
    </x:row>
    <x:row r="297" ht="300" customHeight="1">
      <x:c r="A297" s="29" t="str">
        <x:v>bakersfield:evidence:hero-613</x:v>
      </x:c>
      <x:c r="B297" s="29" t="str">
        <x:v>bakersfield</x:v>
      </x:c>
      <x:c r="C297" s="29" t="str">
        <x:v>bakersfield:photo:hero-613</x:v>
      </x:c>
      <x:c r="D297" s="29" t="str">
        <x:v>https://commons.wikimedia.org/wiki/File:Fox_Theater_-_Bakersfield,_CA_-_DSC00462.jpg</x:v>
      </x:c>
      <x:c r="E297" s="29" t="str">
        <x:v>Fox Theater - Bakersfield, CA - DSC00462.jpg</x:v>
      </x:c>
      <x:c r="F297" s="29" t="str">
        <x:v>Daderot</x:v>
      </x:c>
      <x:c r="G297" s="29" t="str">
        <x:v>CC0 1.0</x:v>
      </x:c>
      <x:c r="H297" s="29" t="str">
        <x:v>https://creativecommons.org/publicdomain/zero/1.0/</x:v>
      </x:c>
      <x:c r="I297" s="29" t="str">
        <x:v>Creative Commons Zero, Public Domain Dedication</x:v>
      </x:c>
      <x:c r="J297" s="29" t="str">
        <x:v>Fox Theater - Bakersfield, CA - DSC00462.jpg · Daderot · CC0 1.0 · https://commons.wikimedia.org/wiki/File:Fox_Theater_-_Bakersfield,_CA_-_DSC00462.jpg</x:v>
      </x:c>
      <x:c r="K297"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7" s="31" t="d">
        <x:v>2026-10-24T00:00:00.000Z</x:v>
      </x:c>
      <x:c r="M297" s="29" t="str">
        <x:v>Doğrulandı</x:v>
      </x:c>
      <x:c r="N297" s="29" t="str">
        <x:v>Doğrulandı</x:v>
      </x:c>
      <x:c r="O297" s="29" t="str">
        <x:v>Fotoğraflar/bk-6349205a7e370536e7a3f979.webp</x:v>
      </x:c>
      <x:c r="P297" s="29" t="str">
        <x:v>Downtown · 2026 tarihli fotoğraf · İndirilen kare temas sayfasında görüldü; kaynak mekân kimliğiyle eşleştirildi. Seçim kaydı final-pixel-review.json.</x:v>
      </x:c>
      <x:c r="Q297" s="29" t="str">
        <x:v>Bu kare için uygun</x:v>
      </x:c>
      <x:c r="R297"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7" s="29" t="str">
        <x:v>Lisans kanıtları/bk-6349205a7e370536e7a3f979.source-evidence.json</x:v>
      </x:c>
      <x:c r="T297" s="29" t="str">
        <x:v>086db124fe8d973907a03b5a68dea45d3898cf1fc79bde26116a169ce7e8fa01</x:v>
      </x:c>
      <x:c r="U297" s="29" t="str">
        <x:v>Lisans kanıtları/bk-6349205a7e370536e7a3f979.license-record.json</x:v>
      </x:c>
      <x:c r="V297" s="29" t="str">
        <x:v>ee3991bb0ab6c3c50f76277d44a4bd600de685d97a45e6ee7356039496e43e92</x:v>
      </x:c>
      <x:c r="W297" s="29" t="str">
        <x:v>{"file":"bk-6349205a7e370536e7a3f979.webp","width":960,"author":"Daderot","height":1440,"sha256":"6349205a7e370536e7a3f97964462f0021b160d7f3a6e2e8d1d459a2e26335a8","license":"CC0 1.0","imageinfo":{"url":"https://upload.wikimedia.org/wikipedia/commons/b/b2/Fox_Theater_-_Bakersfield%2C_CA_-_DSC00462.jpg?utm_source=commons.wikimedia.org&amp;utm_campaign=imageinfo&amp;utm_content=original","mime":"image/jpeg","sha1":"eaadb8641aa1b9c22d4b24af4f10eb491efdafef","size":3065088,"width":3498,"height":5247,"pageid":196520545,"thumburl":"https://thumb.wikimedia.org/wikipedia/commons/thumb/b/b2/Fox_Theater_-_Bakersfield%2C_CA_-_DSC00462.jpg/1280px-Fox_Theater_-_Bakersfield%2C_CA_-_DSC00462.jpg?utm_source=commons.wikimedia.org&amp;utm_campaign=imageinfo&amp;utm_content=thumbnail","timestamp":"2026-07-30T14:34:04Z","thumbwidth":1280,"extmetadata":{"Artist":{"value":"&lt;a href=\"//commons.wikimedia.org/wiki/User:Daderot\" title=\"User:Daderot\"&gt;Daderot&lt;/a&gt;","source":"commons-desc-page"},"Credit":{"value":"&lt;span class=\"int-own-work\" lang=\"en\"&gt;Own work&lt;/span&gt;","source":"commons-desc-page"},"License":{"value":"cc0","hidden":"","source":"commons-templates"},"DateTime":{"value":"2026-07-30 14:34:04","hidden":"","source":"mediawiki-metadata"},"Categories":{"value":"CC-Zero|Fox Theater (Bakersfield, California)|Self-published work","hidden":"","source":"commons-categories"},"LicenseUrl":{"value":"http://creativecommons.org/publicdomain/zero/1.0/deed.en","source":"commons-desc-page"},"ObjectName":{"value":"Fox Theater - Bakersfield, CA - DSC00462","source":"mediawiki-metadata"},"UsageTerms":{"value":"Creative Commons Zero, Public Domain Dedication","source":"commons-desc-page"},"Assessments":{"value":"","hidden":"","source":"commons-categories"},"Copyrighted":{"value":"True","hidden":"","source":"commons-desc-page"},"Restrictions":{"value":"","hidden":"","source":"commons-desc-page"},"DateTimeOriginal":{"value":"2026-05-27 17:48:53","source":"commons-desc-page"},"ImageDescription":{"value":"Fox Theater - Bakersfield, California, USA.","source":"commons-desc-page"},"LicenseShortName":{"value":"CC0","hidden":"","source":"commons-desc-page"},"AttributionRequired":{"value":"false","hidden":"","source":"commons-desc-page"},"CommonsMetadataExtension":{"value":1.2,"hidden":"","source":"extension"}},"thumbheight":1920,"thumbattribs":{"src":"https://thumb.wikimedia.org/wikipedia/commons/thumb/b/b2/Fox_Theater_-_Bakersfield%2C_CA_-_DSC00462.jpg/1280px-Fox_Theater_-_Bakersfield%2C_CA_-_DSC00462.jpg?utm_source=commons.wikimedia.org&amp;utm_campaign=imageinfo&amp;utm_content=thumbnail","width":1280,"height":1920,"srcset":"https://upload.wikimedia.org/wikipedia/commons/b/b2/Fox_Theater_-_Bakersfield%2C_CA_-_DSC00462.jpg?utm_source=commons.wikimedia.org&amp;utm_campaign=imageinfo&amp;utm_content=thumbnail_unscaled 2x","loading":"lazy","decoding":"async"},"descriptionurl":"https://commons.wikimedia.org/wiki/File:Fox_Theater_-_Bakersfield,_CA_-_DSC00462.jpg","responsiveUrls":{"2":"https://upload.wikimedia.org/wikipedia/commons/b/b2/Fox_Theater_-_Bakersfield%2C_CA_-_DSC00462.jpg?utm_source=commons.wikimedia.org&amp;utm_campaign=imageinfo&amp;utm_content=thumbnail_unscaled"},"descriptionshorturl":"https://commons.wikimedia.org/w/index.php?curid=196520545"},"selection":{"qid":"pending","kind":"candidate","title":"Bakersfield local buildings"},"author_url":"https://commons.wikimedia.org/wiki/User:Daderot","derivative":"Wikimedia thumbnail decoded; EXIF orientation applied; converted to WebP quality 86; no generated pixels, no cropping.","source_url":"https://commons.wikimedia.org/wiki/File:Fox_Theater_-_Bakersfield,_CA_-_DSC00462.jpg","author_urls":["https://commons.wikimedia.org/wiki/User:Daderot"],"description":"Fox Theater - Bakersfield, California, USA.","license_url":"https://creativecommons.org/publicdomain/zero/1.0/","reviewed_on":"2026-10-24","capture_date":"2026-05-27 17:48:53","download_url":"https://thumb.wikimedia.org/wikipedia/commons/thumb/b/b2/Fox_Theater_-_Bakersfield%2C_CA_-_DSC00462.jpg/1280px-Fox_Theater_-_Bakersfield%2C_CA_-_DSC00462.jpg?utm_source=commons.wikimedia.org&amp;utm_campaign=imageinfo&amp;utm_content=thumbnail","original_url":"https://upload.wikimedia.org/wikipedia/commons/b/b2/Fox_Theater_-_Bakersfield%2C_CA_-_DSC00462.jpg?utm_source=commons.wikimedia.org&amp;utm_campaign=imageinfo&amp;utm_content=original","pixel_review":{"method":"İndirilen kare temas sayfasında görüldü; kaynak mekân kimliğiyle eşleştirildi. Seçim kaydı final-pixel-review.json.","status":"verified","caption":"Downtown · 2026 tarihli fotoğraf","reviewer":"Codex (AI)","review_id":"C129"},"downloaded_at":"2026-10-23T19:08:23.678890+00:00","download_sha256":"2ae9dc4cc51c1df8886464fb791e76ffb323516745d474f480de6140cf5a62f8","downloaded_file":"downloads/2ae9dc4cc51c1df8886464fb791e76ffb323516745d474f480de6140cf5a62f8.jpg","acquisition_file":"a5c14e2bc5ea508c25791f2f.webp","commons_filename":"Fox Theater - Bakersfield, CA - DSC00462.jpg","original_file_url":"https://upload.wikimedia.org/wikipedia/commons/b/b2/Fox_Theater_-_Bakersfield%2C_CA_-_DSC00462.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dönüştürüldü.","photo_attribution":{"author_url":"https://commons.wikimedia.org/wiki/User:Daderot","modifications":"EXIF yönü uygulandı; boyut küçültülüp WebP biçimine dönüştürüldü.","original_file_url":"https://upload.wikimedia.org/wikipedia/commons/b/b2/Fox_Theater_-_Bakersfield%2C_CA_-_DSC00462.jpg?utm_source=commons.wikimedia.org&amp;utm_campaign=imageinfo&amp;utm_content=original"},"metadata_reviewed_on":"2026-10-24","metadata_review_status":"verified"}}</x:v>
      </x:c>
    </x:row>
    <x:row r="298" ht="300" customHeight="1">
      <x:c r="A298" s="29" t="str">
        <x:v>bakersfield:evidence:hero-614</x:v>
      </x:c>
      <x:c r="B298" s="29" t="str">
        <x:v>bakersfield</x:v>
      </x:c>
      <x:c r="C298" s="29" t="str">
        <x:v>bakersfield:photo:hero-614</x:v>
      </x:c>
      <x:c r="D298" s="29" t="str">
        <x:v>https://www.flickr.com/photos/59834630@N07/7624837100/</x:v>
      </x:c>
      <x:c r="E298" s="29" t="str">
        <x:v>The Park at River Walk · 2012 tarihli fotoğraf</x:v>
      </x:c>
      <x:c r="F298" s="29" t="str">
        <x:v>Randall Degges</x:v>
      </x:c>
      <x:c r="G298" s="29" t="str">
        <x:v>CC BY 2.0</x:v>
      </x:c>
      <x:c r="H298" s="29" t="str">
        <x:v>https://creativecommons.org/licenses/by/2.0/</x:v>
      </x:c>
      <x:c r="I298" s="29" t="str">
        <x:v>CC BY 2.0</x:v>
      </x:c>
      <x:c r="J298" s="29" t="str">
        <x:v>The Park at River Walk · 2012 tarihli fotoğraf · Randall Degges · CC BY 2.0 · https://www.flickr.com/photos/59834630@N07/7624837100/</x:v>
      </x:c>
      <x:c r="K298"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8" s="31" t="d">
        <x:v>2026-10-24T00:00:00.000Z</x:v>
      </x:c>
      <x:c r="M298" s="29" t="str">
        <x:v>Doğrulandı</x:v>
      </x:c>
      <x:c r="N298" s="29" t="str">
        <x:v>Doğrulandı</x:v>
      </x:c>
      <x:c r="O298" s="29" t="str">
        <x:v>Fotoğraflar/bk-aca55bc144d639c8a693bc38.webp</x:v>
      </x:c>
      <x:c r="P298" s="29" t="str">
        <x:v>River Walk çevresi · 2012 tarihli fotoğraf · İndirilen kare temas sayfasında görüldü; kaynak mekân kimliğiyle eşleştirildi. Seçim kaydı final-pixel-review.json.</x:v>
      </x:c>
      <x:c r="Q298" s="29" t="str">
        <x:v>Bu kare için uygun</x:v>
      </x:c>
      <x:c r="R298"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8" s="29" t="str">
        <x:v>Lisans kanıtları/bk-aca55bc144d639c8a693bc38.source-evidence.json</x:v>
      </x:c>
      <x:c r="T298" s="29" t="str">
        <x:v>f6601b8e6b278cbba6c1eeb9d1eb8a3819e8773139da4873c641c6ca09921bc8</x:v>
      </x:c>
      <x:c r="U298" s="29" t="str">
        <x:v>Lisans kanıtları/bk-aca55bc144d639c8a693bc38.license-record.json</x:v>
      </x:c>
      <x:c r="V298" s="29" t="str">
        <x:v>220db2b724f06aba380516750afd9f5969ce92f5762b9233ed354b11b2f012de</x:v>
      </x:c>
      <x:c r="W298" s="29" t="str">
        <x:v>{"file":"bk-aca55bc144d639c8a693bc38.webp","width":1024,"author":"Randall Degges","height":683,"sha256":"aca55bc144d639c8a693bc387604d6c8894122ba63d80c932fd6d9e03326520f","status":"reviewed-selected","license":"CC BY 2.0","provider":"Flickr","review_id":"F121","source_id":"7624837100","author_url":"https://www.flickr.com/photos/59834630@N07/","date_texts":["Uploaded on July 22, 2012 Taken on June 28, 2012","Taken on June 28, 2012","Uploaded on July 22, 2012 Taken on June 28, 2012","Taken on June 28, 2012"],"source_url":"https://www.flickr.com/photos/59834630@N07/7624837100/","description":"The creek in front of the amphitheater with current turned off. ","license_url":"https://creativecommons.org/licenses/by/2.0/","review_note":"Dere ve amfitiyatro çevresi genel görünüm.","reviewed_on":"2026-10-24","source_text":"Picture 017 | The creek in front of the amphitheater with cu…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Randall Degges rdegges Picture 017 The creek in front of the amphitheater with current turned off. Done 321 views 0 faves 0 comments Uploaded on July 22, 2012 Taken on June 28, 2012 Randall Degges By: Randall Degges Picture 017 The creek in front of the amphitheater with current turned off. Done 321 views 0 faves 0 comments Uploaded on July 22, 2012 Taken on June 28,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photography.","capture_date":"2012-06-28","download_url":"https://live.staticflickr.com/8142/7624837100_f5d3591039_b.jpg","original_url":"https://live.staticflickr.com/8142/7624837100_360db06fcc_o.jpg","pixel_review":{"method":"İndirilen kare temas sayfasında görüldü; kaynak mekân kimliğiyle eşleştirildi. Seçim kaydı final-pixel-review.json.","status":"verified","caption":"River Walk çevresi · 2012 tarihli fotoğraf","reviewer":"Codex (AI)","review_id":"F121"},"source_title":"Picture 017","downloaded_at":"2026-10-23T19:50:08.767244+00:00","download_sha256":"8ee799ec3fbfe9cd55e675f17c5ebcefa7af52b19ecb3ddfe381ff89a2d5e90b","downloaded_file":"downloads/8ee799ec3fbfe9cd55e675f17c5ebcefa7af52b19ecb3ddfe381ff89a2d5e90b.jpg","public_metadata":{"photo-models":[{"data":{"id":"7624837100","owner":{"data":{"id":"59834630@N07","isPro":false,"newFlow":true,"isAdFree":false,"location":"Bakersfield, USA","realname":"Randall Degges","segments":{"data":[],"exportMetaType":"array"},"username":"rdegges","buddyicon":{"data":{"large":"//live.staticflickr.com/5017/buddyicons/59834630@N07_l.jpg?1298415364#59834630@N07","small":"//live.staticflickr.com/5017/buddyicons/59834630@N07_s.jpg?1298415364#59834630@N07","medium":"//live.staticflickr.com/5017/buddyicons/59834630@N07_m.jpg?1298415364#59834630@N07","retina":"//live.staticflickr.com/5017/buddyicons/59834630@N07_r.jpg?1298415364#59834630@N07","default":"//live.staticflickr.com/5017/buddyicons/59834630@N07.jpg?1298415364#59834630@N07"},"exportMetaType":"pojo"},"pathAlias":"randalldegges","dateCreated":{"data":"1298386523","exportMetaType":"serializeFunction"},"subscription":{"data":{"isPro":false,"isClosed":false,"isPastDue":false},"exportMetaType":"pojo"},"eligibleGifts":{"data":["year","month","week"],"exportMetaType":"array"},"isEligibleForGifts":true,"_flickrModelRegistry":"person-models"},"exportMetaType":"model"},"sizes":{"data":{"c":{"data":{"url":"//live.staticflickr.com/8142/7624837100_f5d3591039_c.jpg","width":800,"height":533,"displayUrl":"//live.staticflickr.com/8142/7624837100_f5d3591039_c.jpg"},"exportMetaType":"pojo"},"h":{"data":{"url":"//live.staticflickr.com/8142/7624837100_ac9c806eba_h.jpg","width":1600,"height":1067,"displayUrl":"//live.staticflickr.com/8142/7624837100_ac9c806eba_h.jpg"},"exportMetaType":"pojo"},"k":{"data":{"url":"//live.staticflickr.com/8142/7624837100_18491f7b60_k.jpg","width":2048,"height":1365,"displayUrl":"//live.staticflickr.com/8142/7624837100_18491f7b60_k.jpg"},"exportMetaType":"pojo"},"l":{"data":{"url":"//live.staticflickr.com/8142/7624837100_f5d3591039_b.jpg","width":1024,"height":683,"displayUrl":"//live.staticflickr.com/8142/7624837100_f5d3591039_b.jpg"},"exportMetaType":"pojo"},"m":{"data":{"url":"//live.staticflickr.com/8142/7624837100_f5d3591039.jpg","width":500,"height":333,"displayUrl":"//live.staticflickr.com/8142/7624837100_f5d3591039.jpg"},"exportMetaType":"pojo"},"n":{"data":{"url":"//live.staticflickr.com/8142/7624837100_f5d3591039_n.jpg","width":320,"height":213,"displayUrl":"//live.staticflickr.com/8142/7624837100_f5d3591039_n.jpg"},"exportMetaType":"pojo"},"o":{"data":{"url":"//live.staticflickr.com/8142/7624837100_360db06fcc_o.jpg","width":5616,"height":3744,"displayUrl":"//live.staticflickr.com/8142/7624837100_360db06fcc_o.jpg"},"exportMetaType":"pojo"},"q":{"data":{"url":"//live.staticflickr.com/8142/7624837100_f5d3591039_q.jpg","width":150,"height":150,"displayUrl":"//live.staticflickr.com/8142/7624837100_f5d3591039_q.jpg"},"exportMetaType":"pojo"},"s":{"data":{"url":"//live.staticflickr.com/8142/7624837100_f5d3591039_m.jpg","width":240,"height":160,"displayUrl":"//live.staticflickr.com/8142/7624837100_f5d3591039_m.jpg"},"exportMetaType":"pojo"},"t":{"data":{"url":"//live.staticflickr.com/8142/7624837100_f5d3591039_t.jpg","width":100,"height":67,"displayUrl":"//live.staticflickr.com/8142/7624837100_f5d3591039_t.jpg"},"exportMetaType":"pojo"},"w":{"data":{"url":"//live.staticflickr.com/8142/7624837100_f5d3591039_w.jpg","width":400,"height":267,"displayUrl":"//live.staticflickr.com/8142/7624837100_f5d3591039_w.jpg"},"exportMetaType":"pojo"},"z":{"data":{"url":"//live.staticflickr.com/8142/7624837100_f5d3591039_z.jpg","width":640,"height":427,"displayUrl":"//live.staticflickr.com/8142/7624837100_f5d3591039_z.jpg"},"exportMetaType":"pojo"},"sq":{"data":{"url":"//live.staticflickr.com/8142/7624837100_f5d3591039_s.jpg","width":75,"height":75,"displayUrl":"//live.staticflickr.com/8142/7624837100_f5d3591039_s.jpg"},"exportMetaType":"pojo"}},"exportMetaType":"pojo"},"title":"Picture 017","oWidth":5616,"secret":"f5d3591039","license":4,"oHeight":3744,"rotation":0,"canAddMeta":false,"canComment":false,"engagement":{"data":{"id":"7624837100","canShare":true,"ownerNsid":"59834630@N07","reactions":{"data":{"like":{"data":{"id":"like","count":5,"canReact":true,"didViewerReact":true},"exportMetaType":"pojo"},"someOtherReaction":{"data":{"id":"someOtherReaction","count":3,"canReact":true,"didViewerReact":false},"exportMetaType":"pojo"}},"exportMetaType":"pojo"},"viewCount":321,"canDownload":true,"_flickrModelRegistry":"photo-engagement-models"},"exportMetaType":"model"},"description":"The creek in front of the amphitheater with current turned off. ","safetyLevel":0,"upgradeSizes":{"data":[],"exportMetaType":"array"},"adEligibility":{"data":{"lane":1,"labels":{"data":[],"exportMetaType":"array"},"isAdEligible":true,"highScoreLabels":{"data":[],"exportMetaType":"array"}},"exportMetaType":"pojo"},"canPublicComment":true,"_flickrModelRegistry":"photo-models"},"exportMetaType":"model"}],"photo-geo-models":[{"data":{"id":"7624837100","_flickrModelRegistry":"photo-geo-models"},"exportMetaType":"model"}],"photo-location-models":[{"data":{"id":"7624837100","geo":{"data":"~2","exportMetaType":"model"},"text":"","levels":{"data":{},"exportMetaType":"pojo"},"staticMaps":{"data":{},"exportMetaType":"pojo"},"_flickrModelRegistry":"photo-location-models"},"exportMetaType":"model"}],"photo-head-meta-models":[{"data":{"id":"7624837100","title":"Picture 017","og:url":"https://www.flickr.com/photos/randalldegges/7624837100/","og:type":"article","keywords":"creek, riverwalk, bakersfieldcalifornia","og:image":"https://live.staticflickr.com/8142/7624837100_f5d3591039_b.jpg","og:title":"Picture 017","twitter:card":"summary_large_image","twitter:image":"https://live.staticflickr.com/8142/7624837100_f5d3591039_b.jpg","og:description":"The creek in front of the amphitheater with current turned off. ","og:image:width":1024,"og:image:height":683,"twitter:creator":"@rdegges","twitter:description":"The creek in front of the amphitheater with current turned off. ","_flickrModelRegistry":"photo-head-meta-models","twitter:app:url:ipad":"flickr://flickr.com/photos/randalldegges/7624837100/","twitter:app:url:iphone":"flickr://flickr.com/photos/randalldegges/7624837100/","twitter:app:url:googleplay":"https://www.flickr.com/photos/randalldegges/7624837100/"},"exportMetaType":"model"}],"photo-license-history-models":[]},"acquisition_file":"fl-7624837100.webp","source_html_file":"/Users/atincakcayoz/corteqs/output/bakersfield-production-20261023/flickr-source-pages/7624837100.html","original_file_url":"https://live.staticflickr.com/8142/7624837100_360db06fcc_o.jpg","proposed_identity":"The Park at River Walk","source_html_sha256":"a09302c267d38beadebc4bd61046af473b344526ddd90a27690405d2ed76b49e","third_party_rights_review":{"basis":"Kaynakta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dönüştürüldü.","photo_attribution":{"author_url":"https://www.flickr.com/photos/59834630@N07/","modifications":"EXIF yönü uygulandı; boyut küçültülüp WebP biçimine dönüştürüldü.","original_file_url":"https://live.staticflickr.com/8142/7624837100_360db06fcc_o.jpg"},"metadata_reviewed_on":"2026-10-24","metadata_review_status":"verified"}}</x:v>
      </x:c>
    </x:row>
    <x:row r="299" ht="300" customHeight="1">
      <x:c r="A299" s="29" t="str">
        <x:v>bakersfield:evidence:hero-615</x:v>
      </x:c>
      <x:c r="B299" s="29" t="str">
        <x:v>bakersfield</x:v>
      </x:c>
      <x:c r="C299" s="29" t="str">
        <x:v>bakersfield:photo:hero-615</x:v>
      </x:c>
      <x:c r="D299" s="29" t="str">
        <x:v>https://commons.wikimedia.org/wiki/File:Kern_County_Chamber_of_Commerce_Building_Facing_West.jpg</x:v>
      </x:c>
      <x:c r="E299" s="29" t="str">
        <x:v>Kern County Chamber of Commerce Building Facing West.jpg</x:v>
      </x:c>
      <x:c r="F299" s="29" t="str">
        <x:v>Skyman9999</x:v>
      </x:c>
      <x:c r="G299" s="29" t="str">
        <x:v>CC0 1.0</x:v>
      </x:c>
      <x:c r="H299" s="29" t="str">
        <x:v>https://creativecommons.org/publicdomain/zero/1.0/</x:v>
      </x:c>
      <x:c r="I299" s="29" t="str">
        <x:v>Creative Commons Zero, Public Domain Dedication</x:v>
      </x:c>
      <x:c r="J299" s="29" t="str">
        <x:v>Kern County Chamber of Commerce Building Facing West.jpg · Skyman9999 · CC0 1.0 · https://commons.wikimedia.org/wiki/File:Kern_County_Chamber_of_Commerce_Building_Facing_West.jpg</x:v>
      </x:c>
      <x:c r="K299"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299" s="31" t="d">
        <x:v>2026-10-24T00:00:00.000Z</x:v>
      </x:c>
      <x:c r="M299" s="29" t="str">
        <x:v>Doğrulandı</x:v>
      </x:c>
      <x:c r="N299" s="29" t="str">
        <x:v>Doğrulandı</x:v>
      </x:c>
      <x:c r="O299" s="29" t="str">
        <x:v>Fotoğraflar/bk-d384836a02f2593d26fc127f.webp</x:v>
      </x:c>
      <x:c r="P299" s="29" t="str">
        <x:v>Kern County Museum · 2011 tarihli fotoğraf · İndirilen kare temas sayfasında görüldü; kaynak mekân kimliğiyle eşleştirildi. Seçim kaydı final-pixel-review.json.</x:v>
      </x:c>
      <x:c r="Q299" s="29" t="str">
        <x:v>Bu kare için uygun</x:v>
      </x:c>
      <x:c r="R299"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299" s="29" t="str">
        <x:v>Lisans kanıtları/bk-d384836a02f2593d26fc127f.source-evidence.json</x:v>
      </x:c>
      <x:c r="T299" s="29" t="str">
        <x:v>7cc8bf698a2e1eadb8990ee3daa4ed73b8a2f21eb0c44714d0fc6f63ccc95e7d</x:v>
      </x:c>
      <x:c r="U299" s="29" t="str">
        <x:v>Lisans kanıtları/bk-d384836a02f2593d26fc127f.license-record.json</x:v>
      </x:c>
      <x:c r="V299" s="29" t="str">
        <x:v>13500b0eda4d976575cd3b9afbf6d62b75dad681d2d818c4b000d5fb3a7bc5f8</x:v>
      </x:c>
      <x:c r="W299" s="29" t="str">
        <x:v>{"file":"bk-d384836a02f2593d26fc127f.webp","width":1280,"author":"Skyman9999","height":851,"sha256":"d384836a02f2593d26fc127f1095201e1b445512ceb4b37e8c7c390802ad3923","license":"CC0 1.0","imageinfo":{"url":"https://upload.wikimedia.org/wikipedia/commons/e/ef/Kern_County_Chamber_of_Commerce_Building_Facing_West.jpg?utm_source=commons.wikimedia.org&amp;utm_campaign=imageinfo&amp;utm_content=original","mime":"image/jpeg","sha1":"00fc6ea51179d02f864247e988fb0c727cd54da5","size":3124834,"width":3008,"height":2000,"pageid":17185032,"thumburl":"https://thumb.wikimedia.org/wikipedia/commons/thumb/e/ef/Kern_County_Chamber_of_Commerce_Building_Facing_West.jpg/1280px-Kern_County_Chamber_of_Commerce_Building_Facing_West.jpg?utm_source=commons.wikimedia.org&amp;utm_campaign=imageinfo&amp;utm_content=thumbnail","timestamp":"2011-10-30T22:22:09Z","thumbwidth":1280,"extmetadata":{"Artist":{"value":"&lt;a href=\"//commons.wikimedia.org/wiki/User:Skyman9999\" title=\"User:Skyman9999\"&gt;Skyman9999&lt;/a&gt;","source":"commons-desc-page"},"Credit":{"value":"&lt;span class=\"int-own-work\" lang=\"en\"&gt;Own work&lt;/span&gt;","source":"commons-desc-page"},"License":{"value":"cc0","hidden":"","source":"commons-templates"},"DateTime":{"value":"2011-10-30 22:22:09","hidden":"","source":"mediawiki-metadata"},"Categories":{"value":"Taken with Nikon D50|CC-Zero|Kern County Museum|Self-published work","hidden":"","source":"commons-categories"},"LicenseUrl":{"value":"http://creativecommons.org/publicdomain/zero/1.0/deed.en","source":"commons-desc-page"},"ObjectName":{"value":"Kern County Chamber of Commerce Building Facing West","source":"mediawiki-metadata"},"UsageTerms":{"value":"Creative Commons Zero, Public Domain Dedication","source":"commons-desc-page"},"Assessments":{"value":"","hidden":"","source":"commons-categories"},"Copyrighted":{"value":"True","hidden":"","source":"commons-desc-page"},"Restrictions":{"value":"","hidden":"","source":"commons-desc-page"},"DateTimeOriginal":{"value":"2011-08-30","source":"commons-desc-page"},"ImageDescription":{"value":"The west side of the old Kern County Chamber of Commerce Building.","source":"commons-desc-page"},"LicenseShortName":{"value":"CC0","hidden":"","source":"commons-desc-page"},"AttributionRequired":{"value":"false","hidden":"","source":"commons-desc-page"},"CommonsMetadataExtension":{"value":1.2,"hidden":"","source":"extension"}},"thumbheight":851,"thumbattribs":{"src":"https://thumb.wikimedia.org/wikipedia/commons/thumb/e/ef/Kern_County_Chamber_of_Commerce_Building_Facing_West.jpg/1280px-Kern_County_Chamber_of_Commerce_Building_Facing_West.jpg?utm_source=commons.wikimedia.org&amp;utm_campaign=imageinfo&amp;utm_content=thumbnail","width":1280,"height":851,"srcset":"https://upload.wikimedia.org/wikipedia/commons/e/ef/Kern_County_Chamber_of_Commerce_Building_Facing_West.jpg?utm_source=commons.wikimedia.org&amp;utm_campaign=imageinfo&amp;utm_content=thumbnail_unscaled 2x","loading":"lazy","decoding":"async"},"descriptionurl":"https://commons.wikimedia.org/wiki/File:Kern_County_Chamber_of_Commerce_Building_Facing_West.jpg","responsiveUrls":{"2":"https://upload.wikimedia.org/wikipedia/commons/e/ef/Kern_County_Chamber_of_Commerce_Building_Facing_West.jpg?utm_source=commons.wikimedia.org&amp;utm_campaign=imageinfo&amp;utm_content=thumbnail_unscaled"},"descriptionshorturl":"https://commons.wikimedia.org/w/index.php?curid=17185032"},"selection":{"qid":"pending","kind":"candidate","title":"Bakersfield local buildings"},"author_url":"https://commons.wikimedia.org/wiki/User:Skyman9999","derivative":"Wikimedia thumbnail decoded; EXIF orientation applied; converted to WebP quality 86; no generated pixels, no cropping.","source_url":"https://commons.wikimedia.org/wiki/File:Kern_County_Chamber_of_Commerce_Building_Facing_West.jpg","author_urls":["https://commons.wikimedia.org/wiki/User:Skyman9999"],"description":"The west side of the old Kern County Chamber of Commerce Building.","license_url":"https://creativecommons.org/publicdomain/zero/1.0/","reviewed_on":"2026-10-24","capture_date":"2011-08-30","download_url":"https://thumb.wikimedia.org/wikipedia/commons/thumb/e/ef/Kern_County_Chamber_of_Commerce_Building_Facing_West.jpg/1280px-Kern_County_Chamber_of_Commerce_Building_Facing_West.jpg?utm_source=commons.wikimedia.org&amp;utm_campaign=imageinfo&amp;utm_content=thumbnail","original_url":"https://upload.wikimedia.org/wikipedia/commons/e/ef/Kern_County_Chamber_of_Commerce_Building_Facing_West.jpg?utm_source=commons.wikimedia.org&amp;utm_campaign=imageinfo&amp;utm_content=original","pixel_review":{"method":"İndirilen kare temas sayfasında görüldü; kaynak mekân kimliğiyle eşleştirildi. Seçim kaydı final-pixel-review.json.","status":"verified","caption":"Kern County Museum · 2011 tarihli fotoğraf","reviewer":"Codex (AI)","review_id":"C165"},"downloaded_at":"2026-10-23T19:08:35.769981+00:00","download_sha256":"8006701d90706537b5afdee7dda44fed3fd133242b84fedbdf32b55a0a20e440","downloaded_file":"downloads/8006701d90706537b5afdee7dda44fed3fd133242b84fedbdf32b55a0a20e440.jpg","acquisition_file":"7f64d29c5a3c608cd71bddba.webp","commons_filename":"Kern County Chamber of Commerce Building Facing West.jpg","original_file_url":"https://upload.wikimedia.org/wikipedia/commons/e/ef/Kern_County_Chamber_of_Commerce_Building_Facing_West.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dönüştürüldü.","photo_attribution":{"author_url":"https://commons.wikimedia.org/wiki/User:Skyman9999","modifications":"EXIF yönü uygulandı; boyut küçültülüp WebP biçimine dönüştürüldü.","original_file_url":"https://upload.wikimedia.org/wikipedia/commons/e/ef/Kern_County_Chamber_of_Commerce_Building_Facing_West.jpg?utm_source=commons.wikimedia.org&amp;utm_campaign=imageinfo&amp;utm_content=original"},"metadata_reviewed_on":"2026-10-24","metadata_review_status":"verified"}}</x:v>
      </x:c>
    </x:row>
    <x:row r="300" ht="300" customHeight="1">
      <x:c r="A300" s="29" t="str">
        <x:v>bakersfield:evidence:hero-616</x:v>
      </x:c>
      <x:c r="B300" s="29" t="str">
        <x:v>bakersfield</x:v>
      </x:c>
      <x:c r="C300" s="29" t="str">
        <x:v>bakersfield:photo:hero-616</x:v>
      </x:c>
      <x:c r="D300" s="29" t="str">
        <x:v>https://www.flickr.com/photos/98609821@N00/7137059327/</x:v>
      </x:c>
      <x:c r="E300" s="29" t="str">
        <x:v>Bakersfield Museum of Art · 2012 tarihli fotoğraf</x:v>
      </x:c>
      <x:c r="F300" s="29" t="str">
        <x:v>Julie Jordan Scott</x:v>
      </x:c>
      <x:c r="G300" s="29" t="str">
        <x:v>CC BY 2.0</x:v>
      </x:c>
      <x:c r="H300" s="29" t="str">
        <x:v>https://creativecommons.org/licenses/by/2.0/</x:v>
      </x:c>
      <x:c r="I300" s="29" t="str">
        <x:v>CC BY 2.0</x:v>
      </x:c>
      <x:c r="J300" s="29" t="str">
        <x:v>Bakersfield Museum of Art · 2012 tarihli fotoğraf · Julie Jordan Scott · CC BY 2.0 · https://www.flickr.com/photos/98609821@N00/7137059327/</x:v>
      </x:c>
      <x:c r="K300"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00" s="31" t="d">
        <x:v>2026-10-24T00:00:00.000Z</x:v>
      </x:c>
      <x:c r="M300" s="29" t="str">
        <x:v>Doğrulandı</x:v>
      </x:c>
      <x:c r="N300" s="29" t="str">
        <x:v>Doğrulandı</x:v>
      </x:c>
      <x:c r="O300" s="29" t="str">
        <x:v>Fotoğraflar/bk-1af73c7f3d448d09d27875de.webp</x:v>
      </x:c>
      <x:c r="P300" s="29" t="str">
        <x:v>Bakersfield Museum of Art · 2012 tarihli fotoğraf · İndirilen kare temas sayfasında görüldü; kaynak mekân kimliğiyle eşleştirildi. Seçim kaydı final-pixel-review.json.</x:v>
      </x:c>
      <x:c r="Q300" s="29" t="str">
        <x:v>Bu kare için uygun</x:v>
      </x:c>
      <x:c r="R300"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00" s="29" t="str">
        <x:v>Lisans kanıtları/bk-1af73c7f3d448d09d27875de.source-evidence.json</x:v>
      </x:c>
      <x:c r="T300" s="29" t="str">
        <x:v>5df19d5a06141a09cb991dea6e2e852e9c0d2ffedda5dcec154b7a42a05d8c51</x:v>
      </x:c>
      <x:c r="U300" s="29" t="str">
        <x:v>Lisans kanıtları/bk-1af73c7f3d448d09d27875de.license-record.json</x:v>
      </x:c>
      <x:c r="V300" s="29" t="str">
        <x:v>5152ca310c165b50a4d1d45499c58977860341964752878c6401ed471c9daab4</x:v>
      </x:c>
      <x:c r="W300" s="29" t="str">
        <x:v>{"file":"bk-1af73c7f3d448d09d27875de.webp","width":1024,"author":"Julie Jordan Scott","height":768,"sha256":"1af73c7f3d448d09d27875de669d7da9e30e04e85ed7b7b021d7b3cedbcfcb31","status":"reviewed-selected","license":"CC BY 2.0","provider":"Flickr","review_id":"F81","source_id":"7137059327","author_url":"https://www.flickr.com/photos/98609821@N00/","date_texts":["Uploaded on May 2, 2012 Taken on May 2, 2012","Taken on May 2, 2012","Uploaded on May 2, 2012 Taken on May 2, 2012","Taken on May 2, 2012"],"source_url":"https://www.flickr.com/photos/98609821@N00/7137059327/","description":"","license_url":"https://creativecommons.org/licenses/by/2.0/","review_note":"Müzenin giriş cephesi ve yazısı açıkça görünür.","reviewed_on":"2026-10-24","source_text":"BMOA | Julie Jordan Scott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Julie Jordan Scott juliejordanscott BMOA Done 456 views 0 faves 0 comments Uploaded on May 2, 2012 Taken on May 2, 2012 Julie Jordan Scott By: Julie Jordan Scott BMOA Done 456 views 0 faves 0 comments Uploaded on May 2, 2012 Taken on May 2, 2012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photography.","capture_date":"2012-05-02","download_url":"https://live.staticflickr.com/7176/7137059327_e9eaa89371_b.jpg","original_url":"https://live.staticflickr.com/7176/7137059327_96854e0e8d_k.jpg","pixel_review":{"method":"İndirilen kare temas sayfasında görüldü; kaynak mekân kimliğiyle eşleştirildi. Seçim kaydı final-pixel-review.json.","status":"verified","caption":"Bakersfield Museum of Art · 2012 tarihli fotoğraf","reviewer":"Codex (AI)","review_id":"F81"},"source_title":"BMOA","downloaded_at":"2026-10-23T19:50:07.648485+00:00","download_sha256":"74ad391eb2625ec9eced2f7b331d335a7fc06b6b296da1d70faa71e232f96ae8","downloaded_file":"downloads/74ad391eb2625ec9eced2f7b331d335a7fc06b6b296da1d70faa71e232f96ae8.jpg","public_metadata":{"photo-models":[{"data":{"id":"7137059327","owner":{"data":{"id":"98609821@N00","isPro":true,"newFlow":true,"isAdFree":false,"location":"Bakersfield, California, USA","proBadge":"standard","realname":"Julie Jordan Scott","segments":{"data":[],"exportMetaType":"array"},"username":"juliejordanscott","buddyicon":{"data":{"large":"//live.staticflickr.com/1260/buddyicons/98609821@N00_l.jpg?1229099173#98609821@N00","small":"//live.staticflickr.com/1260/buddyicons/98609821@N00_s.jpg?1229099173#98609821@N00","medium":"//live.staticflickr.com/1260/buddyicons/98609821@N00_m.jpg?1229099173#98609821@N00","retina":"//live.staticflickr.com/1260/buddyicons/98609821@N00_r.jpg?1229099173#98609821@N00","default":"//live.staticflickr.com/1260/buddyicons/98609821@N00.jpg?1229099173#98609821@N00"},"exportMetaType":"pojo"},"pathAlias":"juliejordanscott","dateCreated":{"data":"1143545712","exportMetaType":"serializeFunction"},"subscription":{"data":{"isPro":false,"isClosed":false,"isPastDue":false},"exportMetaType":"pojo"},"eligibleGifts":{"data":["year","month","week"],"exportMetaType":"array"},"isEligibleForGifts":true,"_flickrModelRegistry":"person-models"},"exportMetaType":"model"},"sizes":{"data":{"c":{"data":{"url":"//live.staticflickr.com/7176/7137059327_e9eaa89371_c.jpg","width":800,"height":600,"displayUrl":"//live.staticflickr.com/7176/7137059327_e9eaa89371_c.jpg"},"exportMetaType":"pojo"},"h":{"data":{"url":"//live.staticflickr.com/7176/7137059327_454a6738b3_h.jpg","width":1600,"height":1200,"displayUrl":"//live.staticflickr.com/7176/7137059327_454a6738b3_h.jpg"},"exportMetaType":"pojo"},"k":{"data":{"url":"//live.staticflickr.com/7176/7137059327_96854e0e8d_k.jpg","width":2048,"height":1536,"displayUrl":"//live.staticflickr.com/7176/7137059327_96854e0e8d_k.jpg"},"exportMetaType":"pojo"},"l":{"data":{"url":"//live.staticflickr.com/7176/7137059327_e9eaa89371_b.jpg","width":1024,"height":768,"displayUrl":"//live.staticflickr.com/7176/7137059327_e9eaa89371_b.jpg"},"exportMetaType":"pojo"},"m":{"data":{"url":"//live.staticflickr.com/7176/7137059327_e9eaa89371.jpg","width":500,"height":375,"displayUrl":"//live.staticflickr.com/7176/7137059327_e9eaa89371.jpg"},"exportMetaType":"pojo"},"n":{"data":{"url":"//live.staticflickr.com/7176/7137059327_e9eaa89371_n.jpg","width":320,"height":240,"displayUrl":"//live.staticflickr.com/7176/7137059327_e9eaa89371_n.jpg"},"exportMetaType":"pojo"},"o":{"data":{"url":"//live.staticflickr.com/7176/7137059327_607f5dfb45_o.jpg","width":2048,"height":1536,"displayUrl":"//live.staticflickr.com/7176/7137059327_607f5dfb45_o.jpg"},"exportMetaType":"pojo"},"q":{"data":{"url":"//live.staticflickr.com/7176/7137059327_e9eaa89371_q.jpg","width":150,"height":150,"displayUrl":"//live.staticflickr.com/7176/7137059327_e9eaa89371_q.jpg"},"exportMetaType":"pojo"},"s":{"data":{"url":"//live.staticflickr.com/7176/7137059327_e9eaa89371_m.jpg","width":240,"height":180,"displayUrl":"//live.staticflickr.com/7176/7137059327_e9eaa89371_m.jpg"},"exportMetaType":"pojo"},"t":{"data":{"url":"//live.staticflickr.com/7176/7137059327_e9eaa89371_t.jpg","width":100,"height":75,"displayUrl":"//live.staticflickr.com/7176/7137059327_e9eaa89371_t.jpg"},"exportMetaType":"pojo"},"w":{"data":{"url":"//live.staticflickr.com/7176/7137059327_e9eaa89371_w.jpg","width":400,"height":300,"displayUrl":"//live.staticflickr.com/7176/7137059327_e9eaa89371_w.jpg"},"exportMetaType":"pojo"},"z":{"data":{"url":"//live.staticflickr.com/7176/7137059327_e9eaa89371_z.jpg","width":640,"height":480,"displayUrl":"//live.staticflickr.com/7176/7137059327_e9eaa89371_z.jpg"},"exportMetaType":"pojo"},"sq":{"data":{"url":"//live.staticflickr.com/7176/7137059327_e9eaa89371_s.jpg","width":75,"height":75,"displayUrl":"//live.staticflickr.com/7176/7137059327_e9eaa89371_s.jpg"},"exportMetaType":"pojo"}},"exportMetaType":"pojo"},"title":"BMOA","oWidth":2048,"secret":"e9eaa89371","license":4,"oHeight":1536,"rotation":0,"canAddMeta":false,"canComment":false,"engagement":{"data":{"id":"7137059327","canShare":true,"ownerNsid":"98609821@N00","reactions":{"data":{"like":{"data":{"id":"like","count":5,"canReact":true,"didViewerReact":true},"exportMetaType":"pojo"},"someOtherReaction":{"data":{"id":"someOtherReaction","count":3,"canReact":true,"didViewerReact":false},"exportMetaType":"pojo"}},"exportMetaType":"pojo"},"viewCount":456,"canDownload":true,"_flickrModelRegistry":"photo-engagement-models"},"exportMetaType":"model"},"safetyLevel":0,"upgradeSizes":{"data":[],"exportMetaType":"array"},"adEligibility":{"data":{"lane":1,"labels":{"data":["ProOwner"],"exportMetaType":"array"},"isAdEligible":false,"highScoreLabels":{"data":["ProOwner"],"exportMetaType":"array"}},"exportMetaType":"pojo"},"canPublicComment":true,"_flickrModelRegistry":"photo-models"},"exportMetaType":"model"}],"photo-geo-models":[{"data":{"id":"7137059327","_flickrModelRegistry":"photo-geo-models"},"exportMetaType":"model"}],"photo-location-models":[{"data":{"id":"7137059327","geo":{"data":"~2","exportMetaType":"model"},"text":"","levels":{"data":{},"exportMetaType":"pojo"},"staticMaps":{"data":{},"exportMetaType":"pojo"},"_flickrModelRegistry":"photo-location-models"},"exportMetaType":"model"}],"photo-head-meta-models":[{"data":{"id":"7137059327","title":"BMOA","og:url":"https://www.flickr.com/photos/juliejordanscott/7137059327/","og:type":"article","keywords":"haiku, firstwednesday, bakersfieldmuseumofart","og:image":"https://live.staticflickr.com/7176/7137059327_e9eaa89371_b.jpg","og:title":"BMOA","twitter:card":"summary_large_image","twitter:image":"https://live.staticflickr.com/7176/7137059327_e9eaa89371_b.jpg","og:description":"","og:image:width":1024,"og:image:height":768,"twitter:creator":"@juliejordanscot","twitter:description":"Explore juliejordanscott's 67408 photos on Flickr!","_flickrModelRegistry":"photo-head-meta-models","twitter:app:url:ipad":"flickr://flickr.com/photos/juliejordanscott/7137059327/","twitter:app:url:iphone":"flickr://flickr.com/photos/juliejordanscott/7137059327/","twitter:app:url:googleplay":"https://www.flickr.com/photos/juliejordanscott/7137059327/"},"exportMetaType":"model"}],"photo-license-history-models":[]},"acquisition_file":"fl-7137059327.webp","source_html_file":"/Users/atincakcayoz/corteqs/output/bakersfield-production-20261023/flickr-source-pages/7137059327.html","original_file_url":"https://live.staticflickr.com/7176/7137059327_96854e0e8d_k.jpg","proposed_identity":"Bakersfield Museum of Art","source_html_sha256":"be08132dafe1960ce1035c66b3bd4b755031fe1956b942d00816cc9bca831acf","third_party_rights_review":{"basis":"Kaynakta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dönüştürüldü.","photo_attribution":{"author_url":"https://www.flickr.com/photos/98609821@N00/","modifications":"EXIF yönü uygulandı; boyut küçültülüp WebP biçimine dönüştürüldü.","original_file_url":"https://live.staticflickr.com/7176/7137059327_96854e0e8d_k.jpg"},"metadata_reviewed_on":"2026-10-24","metadata_review_status":"verified"}}</x:v>
      </x:c>
    </x:row>
    <x:row r="301" ht="300" customHeight="1">
      <x:c r="A301" s="29" t="str">
        <x:v>bakersfield:evidence:hero-617</x:v>
      </x:c>
      <x:c r="B301" s="29" t="str">
        <x:v>bakersfield</x:v>
      </x:c>
      <x:c r="C301" s="29" t="str">
        <x:v>bakersfield:photo:hero-617</x:v>
      </x:c>
      <x:c r="D301" s="29" t="str">
        <x:v>https://www.flickr.com/photos/16069488@N00/7359702674/</x:v>
      </x:c>
      <x:c r="E301" s="29" t="str">
        <x:v>The Padre Hotel · 2011 tarihli fotoğraf</x:v>
      </x:c>
      <x:c r="F301" s="29" t="str">
        <x:v>David Brossard</x:v>
      </x:c>
      <x:c r="G301" s="29" t="str">
        <x:v>CC BY-SA 2.0</x:v>
      </x:c>
      <x:c r="H301" s="29" t="str">
        <x:v>https://creativecommons.org/licenses/by-sa/2.0/</x:v>
      </x:c>
      <x:c r="I301" s="29" t="str">
        <x:v>CC BY-SA 2.0</x:v>
      </x:c>
      <x:c r="J301" s="29" t="str">
        <x:v>The Padre Hotel · 2011 tarihli fotoğraf · David Brossard · CC BY-SA 2.0 · https://www.flickr.com/photos/16069488@N00/7359702674/</x:v>
      </x:c>
      <x:c r="K301"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01" s="31" t="d">
        <x:v>2026-10-24T00:00:00.000Z</x:v>
      </x:c>
      <x:c r="M301" s="29" t="str">
        <x:v>Doğrulandı</x:v>
      </x:c>
      <x:c r="N301" s="29" t="str">
        <x:v>Doğrulandı</x:v>
      </x:c>
      <x:c r="O301" s="29" t="str">
        <x:v>Fotoğraflar/bk-1d09279412ce5af775910e7b.webp</x:v>
      </x:c>
      <x:c r="P301" s="29" t="str">
        <x:v>The Padre Hotel · 2011 tarihli fotoğraf · İndirilen kare temas sayfasında görüldü; kaynak mekân kimliğiyle eşleştirildi. Seçim kaydı final-pixel-review.json.</x:v>
      </x:c>
      <x:c r="Q301" s="29" t="str">
        <x:v>Bu kare için uygun</x:v>
      </x:c>
      <x:c r="R301"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01" s="29" t="str">
        <x:v>Lisans kanıtları/bk-1d09279412ce5af775910e7b.source-evidence.json</x:v>
      </x:c>
      <x:c r="T301" s="29" t="str">
        <x:v>48c347b42e869ae379343bdd76652ab231601f1302a24859145a5052aee713a2</x:v>
      </x:c>
      <x:c r="U301" s="29" t="str">
        <x:v>Lisans kanıtları/bk-1d09279412ce5af775910e7b.license-record.json</x:v>
      </x:c>
      <x:c r="V301" s="29" t="str">
        <x:v>fd606476acfbae7d48330e07b625446eceba09cd2c765ce1e2951ecc36cc8e29</x:v>
      </x:c>
      <x:c r="W301" s="29" t="str">
        <x:v>{"file":"bk-1d09279412ce5af775910e7b.webp","width":683,"author":"David Brossard","height":1024,"sha256":"1d09279412ce5af775910e7bb1c5292062308bf2db295b39660300f5e29f4387","status":"reviewed-selected","license":"CC BY-SA 2.0","provider":"Flickr","review_id":"F183","source_id":"7359702674","author_url":"https://www.flickr.com/photos/16069488@N00/","date_texts":["Uploaded on June 11, 2012 Taken on March 4, 2011","Taken on March 4, 2011","Uploaded on June 11, 2012 Taken on March 4, 2011","Taken on March 4, 2011"],"source_url":"https://www.flickr.com/photos/16069488@N00/7359702674/","description":"I stayed in the Padre Hotel which is a really wonderful renovation that just reopened a couple of years before.  The rooms were very neat, and reasonably priced, and the hotel had a cool bar and restaurant.","license_url":"https://creativecommons.org/licenses/by-sa/2.0/","review_note":"Gündüz dış cephe.","reviewed_on":"2026-10-24","source_text":"Padre Hotel - Bakersfield | I stayed in the Padre Hotel whic…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David Brossard string_bass_dave Padre Hotel - Bakersfield I stayed in the Padre Hotel which is a really wonderful renovation that just reopened a couple of years before.  The rooms were very neat, and reasonably priced, and the hotel had a cool bar and restaurant. Done 696 views 0 faves 1 comment Uploaded on June 11, 2012 Taken on March 4, 2011 David Brossard By: David Brossard Padre Hotel - Bakersfield I stayed in the Padre Hotel which is a really wonderful renovation that just reopened a couple of years before.  The rooms were very neat, and reasonably priced, and the hotel had a cool bar and restaurant. Done 696 views 0 faves 1 comment Uploaded on June 11, 2012 Taken on March 4, 2011 Some rights reserved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photography.","capture_date":"2011-03-04","download_url":"https://live.staticflickr.com/7238/7359702674_17fc86c3c3_b.jpg","original_url":"https://live.staticflickr.com/7238/7359702674_e23f9f003c_o.jpg","pixel_review":{"method":"İndirilen kare temas sayfasında görüldü; kaynak mekân kimliğiyle eşleştirildi. Seçim kaydı final-pixel-review.json.","status":"verified","caption":"The Padre Hotel · 2011 tarihli fotoğraf","reviewer":"Codex (AI)","review_id":"F183"},"source_title":"Padre Hotel - Bakersfield","downloaded_at":"2026-10-23T19:50:14.800355+00:00","download_sha256":"f00787fd40fb51144f29ad46299757017f48a38ad61f5b4b3cf6ee87900cd1ee","downloaded_file":"downloads/f00787fd40fb51144f29ad46299757017f48a38ad61f5b4b3cf6ee87900cd1ee.jpg","public_metadata":{"photo-models":[{"data":{"id":"7359702674","owner":{"data":{"id":"16069488@N00","isPro":true,"newFlow":true,"isAdFree":false,"proBadge":"standard","realname":"David Brossard","segments":{"data":[],"exportMetaType":"array"},"username":"string_bass_dave","buddyicon":{"data":{"large":"//live.staticflickr.com/3785/buddyicons/16069488@N00_l.jpg?1371495505#16069488@N00","small":"//live.staticflickr.com/3785/buddyicons/16069488@N00_s.jpg?1371495505#16069488@N00","medium":"//live.staticflickr.com/3785/buddyicons/16069488@N00_m.jpg?1371495505#16069488@N00","retina":"//live.staticflickr.com/3785/buddyicons/16069488@N00_r.jpg?1371495505#16069488@N00","default":"//live.staticflickr.com/3785/buddyicons/16069488@N00.jpg?1371495505#16069488@N00"},"exportMetaType":"pojo"},"pathAlias":"string_bass_dave","dateCreated":{"data":"1144493470","exportMetaType":"serializeFunction"},"subscription":{"data":{"isPro":false,"isClosed":false,"isPastDue":false},"exportMetaType":"pojo"},"eligibleGifts":{"data":["year","month","week"],"exportMetaType":"array"},"isEligibleForGifts":true,"_flickrModelRegistry":"person-models"},"exportMetaType":"model"},"sizes":{"data":{"c":{"data":{"url":"//live.staticflickr.com/7238/7359702674_17fc86c3c3_c.jpg","width":533,"height":800,"displayUrl":"//live.staticflickr.com/7238/7359702674_17fc86c3c3_c.jpg"},"exportMetaType":"pojo"},"h":{"data":{"url":"//live.staticflickr.com/7238/7359702674_62d1ca96c6_h.jpg","width":1067,"height":1600,"displayUrl":"//live.staticflickr.com/7238/7359702674_62d1ca96c6_h.jpg"},"exportMetaType":"pojo"},"k":{"data":{"url":"//live.staticflickr.com/7238/7359702674_bde5f84b3d_k.jpg","width":1365,"height":2048,"displayUrl":"//live.staticflickr.com/7238/7359702674_bde5f84b3d_k.jpg"},"exportMetaType":"pojo"},"l":{"data":{"url":"//live.staticflickr.com/7238/7359702674_17fc86c3c3_b.jpg","width":683,"height":1024,"displayUrl":"//live.staticflickr.com/7238/7359702674_17fc86c3c3_b.jpg"},"exportMetaType":"pojo"},"m":{"data":{"url":"//live.staticflickr.com/7238/7359702674_17fc86c3c3.jpg","width":333,"height":500,"displayUrl":"//live.staticflickr.com/7238/7359702674_17fc86c3c3.jpg"},"exportMetaType":"pojo"},"n":{"data":{"url":"//live.staticflickr.com/7238/7359702674_17fc86c3c3_n.jpg","width":213,"height":320,"displayUrl":"//live.staticflickr.com/7238/7359702674_17fc86c3c3_n.jpg"},"exportMetaType":"pojo"},"o":{"data":{"url":"//live.staticflickr.com/7238/7359702674_e23f9f003c_o.jpg","width":3744,"height":5616,"displayUrl":"//live.staticflickr.com/7238/7359702674_e23f9f003c_o.jpg"},"exportMetaType":"pojo"},"q":{"data":{"url":"//live.staticflickr.com/7238/7359702674_17fc86c3c3_q.jpg","width":150,"height":150,"displayUrl":"//live.staticflickr.com/7238/7359702674_17fc86c3c3_q.jpg"},"exportMetaType":"pojo"},"s":{"data":{"url":"//live.staticflickr.com/7238/7359702674_17fc86c3c3_m.jpg","width":160,"height":240,"displayUrl":"//live.staticflickr.com/7238/7359702674_17fc86c3c3_m.jpg"},"exportMetaType":"pojo"},"t":{"data":{"url":"//live.staticflickr.com/7238/7359702674_17fc86c3c3_t.jpg","width":67,"height":100,"displayUrl":"//live.staticflickr.com/7238/7359702674_17fc86c3c3_t.jpg"},"exportMetaType":"pojo"},"w":{"data":{"url":"//live.staticflickr.com/7238/7359702674_17fc86c3c3_w.jpg","width":267,"height":400,"displayUrl":"//live.staticflickr.com/7238/7359702674_17fc86c3c3_w.jpg"},"exportMetaType":"pojo"},"z":{"data":{"url":"//live.staticflickr.com/7238/7359702674_17fc86c3c3_z.jpg","width":427,"height":640,"displayUrl":"//live.staticflickr.com/7238/7359702674_17fc86c3c3_z.jpg"},"exportMetaType":"pojo"},"3k":{"data":{"url":"//live.staticflickr.com/7238/7359702674_2c9bed0c18_3k.jpg","width":2048,"height":3072,"displayUrl":"//live.staticflickr.com/7238/7359702674_2c9bed0c18_3k.jpg"},"exportMetaType":"pojo"},"4k":{"data":{"url":"//live.staticflickr.com/7238/7359702674_1823c8800a_4k.jpg","width":2731,"height":4096,"displayUrl":"//live.staticflickr.com/7238/7359702674_1823c8800a_4k.jpg"},"exportMetaType":"pojo"},"5k":{"data":{"url":"//live.staticflickr.com/7238/7359702674_ab0a760739_5k.jpg","width":3413,"height":5120,"displayUrl":"//live.staticflickr.com/7238/7359702674_ab0a760739_5k.jpg"},"exportMetaType":"pojo"},"sq":{"data":{"url":"//live.staticflickr.com/7238/7359702674_17fc86c3c3_s.jpg","width":75,"height":75,"displayUrl":"//live.staticflickr.com/7238/7359702674_17fc86c3c3_s.jpg"},"exportMetaType":"pojo"}},"exportMetaType":"pojo"},"title":"Padre Hotel - Bakersfield","oWidth":3744,"secret":"17fc86c3c3","license":5,"oHeight":5616,"rotation":0,"canAddMeta":false,"canComment":false,"engagement":{"data":{"id":"7359702674","canShare":true,"ownerNsid":"16069488@N00","reactions":{"data":{"like":{"data":{"id":"like","count":5,"canReact":true,"didViewerReact":true},"exportMetaType":"pojo"},"someOtherReaction":{"data":{"id":"someOtherReaction","count":3,"canReact":true,"didViewerReact":false},"exportMetaType":"pojo"}},"exportMetaType":"pojo"},"viewCount":696,"canDownload":true,"commentCount":1,"_flickrModelRegistry":"photo-engagement-models"},"exportMetaType":"model"},"description":"I stayed in the Padre Hotel which is a really wonderful renovation that just reopened a couple of years before.  The rooms were very neat, and reasonably priced, and the hotel had a cool bar and restaurant.","safetyLevel":0,"upgradeSizes":{"data":[],"exportMetaType":"array"},"adEligibility":{"data":{"lane":1,"labels":{"data":["ProOwner"],"exportMetaType":"array"},"isAdEligible":false,"highScoreLabels":{"data":["ProOwner"],"exportMetaType":"array"}},"exportMetaType":"pojo"},"canPublicComment":true,"_flickrModelRegistry":"photo-models"},"exportMetaType":"model"}],"photo-geo-models":[{"data":{"id":"7359702674","hasGeo":true,"accuracy":16,"isPublic":true,"latitude":35.375316,"longitude":-119.021402,"_flickrModelRegistry":"photo-geo-models"},"exportMetaType":"model"}],"photo-location-models":[{"data":{"id":"7359702674","geo":{"data":"~2","exportMetaType":"model"},"text":"Downtown, Bakersfield, California","levels":{"data":{"county":{"data":{"name":"Kern","woeId":12587684},"exportMetaType":"pojo"},"region":{"data":{"name":"California","woeId":2347563},"exportMetaType":"pojo"},"country":{"data":{"name":"United States","woeId":23424977},"exportMetaType":"pojo"},"locality":{"data":{"name":"Bakersfield","woeId":2358492},"exportMetaType":"pojo"},"neighbourhood":{"data":{"name":"Downtown","woeId":55857901},"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7359702674","title":"Padre Hotel - Bakersfield","og:url":"https://www.flickr.com/photos/string_bass_dave/7359702674/","og:type":"article","keywords":"california, unitedstates, bakersfield, tse24mmf35l","og:image":"https://live.staticflickr.com/7238/7359702674_17fc86c3c3_b.jpg","og:title":"Padre Hotel - Bakersfield","twitter:card":"summary_large_image","twitter:image":"https://live.staticflickr.com/7238/7359702674_17fc86c3c3_b.jpg","og:description":"I stayed in the Padre Hotel which is a really wonderful renovation that just reopened a couple of years before.  The rooms were very neat, and reasonably priced, and the hotel had a cool bar and restaurant.","og:image:width":683,"og:image:height":1024,"twitter:description":"I stayed in the Padre Hotel which is a really wonderful renovation that just reopened a couple of years before.  The rooms were very neat, and reasonably priced, and the hotel had a cool bar and restaurant.","_flickrModelRegistry":"photo-head-meta-models","twitter:app:url:ipad":"flickr://flickr.com/photos/string_bass_dave/7359702674/","twitter:app:url:iphone":"flickr://flickr.com/photos/string_bass_dave/7359702674/","twitter:app:url:googleplay":"https://www.flickr.com/photos/string_bass_dave/7359702674/"},"exportMetaType":"model"}],"photo-license-history-models":[]},"acquisition_file":"fl-7359702674.webp","source_html_file":"/Users/atincakcayoz/corteqs/output/bakersfield-production-20261023/flickr-source-pages/7359702674.html","original_file_url":"https://live.staticflickr.com/7238/7359702674_e23f9f003c_o.jpg","proposed_identity":"The Padre Hotel","source_html_sha256":"0bf31e529470e291cd82756b11ff05f95b912f001e68775c300e1c34293315d3","third_party_rights_review":{"basis":"Kaynakta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dönüştürüldü.","photo_attribution":{"author_url":"https://www.flickr.com/photos/16069488@N00/","modifications":"EXIF yönü uygulandı; boyut küçültülüp WebP biçimine dönüştürüldü.","original_file_url":"https://live.staticflickr.com/7238/7359702674_e23f9f003c_o.jpg"},"metadata_reviewed_on":"2026-10-24","metadata_review_status":"verified"}}</x:v>
      </x:c>
    </x:row>
    <x:row r="302" ht="300" customHeight="1">
      <x:c r="A302" s="29" t="str">
        <x:v>bakersfield:evidence:hero-618</x:v>
      </x:c>
      <x:c r="B302" s="29" t="str">
        <x:v>bakersfield</x:v>
      </x:c>
      <x:c r="C302" s="29" t="str">
        <x:v>bakersfield:photo:hero-618</x:v>
      </x:c>
      <x:c r="D302" s="29" t="str">
        <x:v>https://www.flickr.com/photos/193771854@N06/52775718110/</x:v>
      </x:c>
      <x:c r="E302" s="29" t="str">
        <x:v>Hart Memorial Park · 2023 tarihli fotoğraf</x:v>
      </x:c>
      <x:c r="F302" s="29" t="str">
        <x:v>Anon Anon</x:v>
      </x:c>
      <x:c r="G302" s="29" t="str">
        <x:v>CC0 1.0</x:v>
      </x:c>
      <x:c r="H302" s="29" t="str">
        <x:v>https://creativecommons.org/publicdomain/zero/1.0/</x:v>
      </x:c>
      <x:c r="I302" s="29" t="str">
        <x:v>CC0 1.0</x:v>
      </x:c>
      <x:c r="J302" s="29" t="str">
        <x:v>Hart Memorial Park · 2023 tarihli fotoğraf · Anon Anon · CC0 1.0 · https://www.flickr.com/photos/193771854@N06/52775718110/</x:v>
      </x:c>
      <x:c r="K302"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02" s="31" t="d">
        <x:v>2026-10-24T00:00:00.000Z</x:v>
      </x:c>
      <x:c r="M302" s="29" t="str">
        <x:v>Doğrulandı</x:v>
      </x:c>
      <x:c r="N302" s="29" t="str">
        <x:v>Doğrulandı</x:v>
      </x:c>
      <x:c r="O302" s="29" t="str">
        <x:v>Fotoğraflar/bk-e84925a3bbd9f6cfeb517305.webp</x:v>
      </x:c>
      <x:c r="P302" s="29" t="str">
        <x:v>Northeast / Kern River County Park çevresi · 2023 tarihli fotoğraf · İndirilen kare temas sayfasında görüldü; kaynak mekân kimliğiyle eşleştirildi. Seçim kaydı final-pixel-review.json.</x:v>
      </x:c>
      <x:c r="Q302" s="29" t="str">
        <x:v>Bu kare için uygun</x:v>
      </x:c>
      <x:c r="R302"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02" s="29" t="str">
        <x:v>Lisans kanıtları/bk-e84925a3bbd9f6cfeb517305.source-evidence.json</x:v>
      </x:c>
      <x:c r="T302" s="29" t="str">
        <x:v>0d3fd0143c8f9c58333aaa951ceb473abc1bb22f3cc3d05a24c7ce28199be52e</x:v>
      </x:c>
      <x:c r="U302" s="29" t="str">
        <x:v>Lisans kanıtları/bk-e84925a3bbd9f6cfeb517305.license-record.json</x:v>
      </x:c>
      <x:c r="V302" s="29" t="str">
        <x:v>536a9b16b086dc56379a1c5fa00b56e07daffe5b9e7df18c9cf3d72d2cc33211</x:v>
      </x:c>
      <x:c r="W302" s="29" t="str">
        <x:v>{"file":"bk-e84925a3bbd9f6cfeb517305.webp","width":768,"author":"Anon Anon","height":1024,"sha256":"e84925a3bbd9f6cfeb517305ec63834d24cad831360cf0deea763d068e0c3923","status":"reviewed-selected","license":"CC0 1.0","provider":"Flickr","review_id":"G0","source_id":"52775718110","author_url":"https://www.flickr.com/photos/193771854@N06/","date_texts":["Uploaded on March 27, 2023 Taken on March 13, 2023","Taken on March 13, 2023","Uploaded on March 27, 2023 Taken on March 13, 2023","Taken on March 13, 2023"],"source_url":"https://www.flickr.com/photos/193771854@N06/52775718110/","description":"","license_url":"https://creativecommons.org/publicdomain/zero/1.0/","review_note":"New direct photo page; pixels and original description require review.","reviewed_on":"2026-10-24","source_text":"Hart Park, Bakersfield, CA Public Domain | Hart Park, Bakers… | Flickr Explore What’s New Recent Photos Trending Events The Commons Flickr Galleries World Map Camera Finder Flickr Blog ✨ Get Pro Log In Sign Up ✨ Get Pro Log In Explore What’s New Camera Finder Trending Events The Commons Flickr Galleries Flickr Blog About Jobs Blog Advertise Developers Guidelines Help Privacy Legal Terms Cookies English ← → Back to photostream Anon Anon anon4809 Hart Park, Bakersfield, CA Public Domain Hart Park, Bakersfield, CA Public Domain Done 15 views 0 faves 0 comments Uploaded on March 27, 2023 Taken on March 13, 2023 Anon Anon By: Anon Anon Hart Park, Bakersfield, CA Public Domain Hart Park, Bakersfield, CA Public Domain Done 15 views 0 faves 0 comments Uploaded on March 27, 2023 Taken on March 13, 2023 Public domain About Jobs Blog Advertise Developers Cookies Guidelines Privacy Terms Help Report abuse English Legal Privacy Terms Connecting people through photography. About Jobs Blog Advertise Developers Cookies Guidelines Report abuse Privacy Terms English Legal Privacy Terms Connecting people through photography.","capture_date":"2023-03-13","download_url":"https://live.staticflickr.com/65535/52775718110_d1b45828df_b.jpg","original_url":"https://live.staticflickr.com/65535/52775718110_df6b88c2f8_o.jpg","pixel_review":{"method":"İndirilen kare temas sayfasında görüldü; kaynak mekân kimliğiyle eşleştirildi. Seçim kaydı final-pixel-review.json.","status":"verified","caption":"Northeast / Kern River County Park çevresi · 2023 tarihli fotoğraf","reviewer":"Codex (AI)","review_id":"G0"},"source_title":"Hart Park, Bakersfield, CA Public Domain","downloaded_at":"2026-10-23T20:31:28.133830+00:00","download_sha256":"1635190f5d7ade0acf29c9a36b4f97b7fe95a1d134c4ee68c21db09b6b31ea9b","downloaded_file":"downloads/1635190f5d7ade0acf29c9a36b4f97b7fe95a1d134c4ee68c21db09b6b31ea9b.jpg","public_metadata":{"photo-models":[{"data":{"id":"52775718110","owner":{"data":{"id":"193771854@N06","isPro":false,"newFlow":true,"isAdFree":false,"location":null,"realname":"Anon Anon","segments":{"data":[],"exportMetaType":"array"},"username":"anon4809","buddyicon":{"data":{"large":"//combo.staticflickr.com/pw/images/bbuddyicon06_l.png#193771854@N06","small":"//combo.staticflickr.com/pw/images/bbuddyicon06_s.png#193771854@N06","medium":"//combo.staticflickr.com/pw/images/bbuddyicon06_m.png#193771854@N06","retina":"//combo.staticflickr.com/pw/images/bbuddyicon06_r.png#193771854@N06","default":"//combo.staticflickr.com/pw/images/bbuddyicon06.png#193771854@N06"},"exportMetaType":"pojo"},"dateCreated":{"data":"1629555095","exportMetaType":"serializeFunction"},"subscription":{"data":{"isPro":false,"isClosed":false,"isPastDue":false},"exportMetaType":"pojo"},"eligibleGifts":{"data":["year","month","week"],"exportMetaType":"array"},"isEligibleForGifts":true,"_flickrModelRegistry":"person-models"},"exportMetaType":"model"},"sizes":{"data":{"c":{"data":{"url":"//live.staticflickr.com/65535/52775718110_d1b45828df_c.jpg","width":600,"height":800,"displayUrl":"//live.staticflickr.com/65535/52775718110_d1b45828df_c.jpg"},"exportMetaType":"pojo"},"h":{"data":{"url":"//live.staticflickr.com/65535/52775718110_dd17923260_h.jpg","width":1200,"height":1600,"displayUrl":"//live.staticflickr.com/65535/52775718110_dd17923260_h.jpg"},"exportMetaType":"pojo"},"k":{"data":{"url":"//live.staticflickr.com/65535/52775718110_f71187e8c9_k.jpg","width":1536,"height":2048,"displayUrl":"//live.staticflickr.com/65535/52775718110_f71187e8c9_k.jpg"},"exportMetaType":"pojo"},"l":{"data":{"url":"//live.staticflickr.com/65535/52775718110_d1b45828df_b.jpg","width":768,"height":1024,"displayUrl":"//live.staticflickr.com/65535/52775718110_d1b45828df_b.jpg"},"exportMetaType":"pojo"},"m":{"data":{"url":"//live.staticflickr.com/65535/52775718110_d1b45828df.jpg","width":375,"height":500,"displayUrl":"//live.staticflickr.com/65535/52775718110_d1b45828df.jpg"},"exportMetaType":"pojo"},"n":{"data":{"url":"//live.staticflickr.com/65535/52775718110_d1b45828df_n.jpg","width":240,"height":320,"displayUrl":"//live.staticflickr.com/65535/52775718110_d1b45828df_n.jpg"},"exportMetaType":"pojo"},"o":{"data":{"url":"//live.staticflickr.com/65535/52775718110_df6b88c2f8_o.jpg","width":4032,"height":3024,"displayUrl":"//live.staticflickr.com/65535/52775718110_df6b88c2f8_o.jpg"},"exportMetaType":"pojo"},"q":{"data":{"url":"//live.staticflickr.com/65535/52775718110_d1b45828df_q.jpg","width":150,"height":150,"displayUrl":"//live.staticflickr.com/65535/52775718110_d1b45828df_q.jpg"},"exportMetaType":"pojo"},"s":{"data":{"url":"//live.staticflickr.com/65535/52775718110_d1b45828df_m.jpg","width":180,"height":240,"displayUrl":"//live.staticflickr.com/65535/52775718110_d1b45828df_m.jpg"},"exportMetaType":"pojo"},"t":{"data":{"url":"//live.staticflickr.com/65535/52775718110_d1b45828df_t.jpg","width":75,"height":100,"displayUrl":"//live.staticflickr.com/65535/52775718110_d1b45828df_t.jpg"},"exportMetaType":"pojo"},"w":{"data":{"url":"//live.staticflickr.com/65535/52775718110_d1b45828df_w.jpg","width":300,"height":400,"displayUrl":"//live.staticflickr.com/65535/52775718110_d1b45828df_w.jpg"},"exportMetaType":"pojo"},"z":{"data":{"url":"//live.staticflickr.com/65535/52775718110_d1b45828df_z.jpg","width":480,"height":640,"displayUrl":"//live.staticflickr.com/65535/52775718110_d1b45828df_z.jpg"},"exportMetaType":"pojo"},"sq":{"data":{"url":"//live.staticflickr.com/65535/52775718110_d1b45828df_s.jpg","width":75,"height":75,"displayUrl":"//live.staticflickr.com/65535/52775718110_d1b45828df_s.jpg"},"exportMetaType":"pojo"}},"exportMetaType":"pojo"},"title":"Hart Park, Bakersfield, CA Public Domain","oWidth":4032,"secret":"d1b45828df","license":9,"oHeight":3024,"rotation":90,"canAddMeta":false,"canComment":false,"engagement":{"data":{"id":"52775718110","canShare":true,"ownerNsid":"193771854@N06","reactions":{"data":{"like":{"data":{"id":"like","count":5,"canReact":true,"didViewerReact":true},"exportMetaType":"pojo"},"someOtherReaction":{"data":{"id":"someOtherReaction","count":3,"canReact":true,"didViewerReact":false},"exportMetaType":"pojo"}},"exportMetaType":"pojo"},"viewCount":15,"canDownload":true,"_flickrModelRegistry":"photo-engagement-models"},"exportMetaType":"model"},"description":"Hart Park, Bakersfield, CA Public Domain","safetyLevel":0,"upgradeSizes":{"data":[],"exportMetaType":"array"},"adEligibility":{"data":{"lane":1,"labels":{"data":[],"exportMetaType":"array"},"isAdEligible":true,"highScoreLabels":{"data":[],"exportMetaType":"array"}},"exportMetaType":"pojo"},"canPublicComment":true,"_flickrModelRegistry":"photo-models"},"exportMetaType":"model"}],"photo-geo-models":[{"data":{"id":"52775718110","hasGeo":true,"accuracy":12,"isPublic":true,"latitude":35.444901,"longitude":-118.910865,"_flickrModelRegistry":"photo-geo-models"},"exportMetaType":"model"}],"photo-location-models":[{"data":{"id":"52775718110","geo":{"data":"~2","exportMetaType":"model"},"text":"Oil City, California, United States","levels":{"data":{"county":{"data":{"name":"Kern","woeId":null},"exportMetaType":"pojo"},"region":{"data":{"name":"California","woeId":null},"exportMetaType":"pojo"},"country":{"data":{"name":"United States","woeId":null},"exportMetaType":"pojo"},"locality":{"data":{"name":"Oil City","woeId":null},"exportMetaType":"pojo"},"neighbourhood":{"data":{"name":null,"woeId":null},"exportMetaType":"pojo"}},"exportMetaType":"pojo"},"staticMaps":{"data":{"zoom3":{"data":{"src":"","zoom":"3","width":304,"height":128,"retinaSrc":""},"exportMetaType":"pojo"},"zoom6":{"data":{"src":"","zoom":"6","width":304,"height":128,"retinaSrc":""},"exportMetaType":"pojo"},"zoom14":{"data":{"src":"","zoom":"14","width":304,"height":128,"retinaSrc":""},"exportMetaType":"pojo"}},"exportMetaType":"pojo"},"_flickrModelRegistry":"photo-location-models"},"exportMetaType":"model"}],"photo-head-meta-models":[{"data":{"id":"52775718110","title":"Hart Park, Bakersfield, CA Public Domain","og:url":"https://www.flickr.com/photos/193771854@N06/52775718110/","og:type":"article","og:image":"https://live.staticflickr.com/65535/52775718110_d1b45828df_b.jpg","og:title":"Hart Park, Bakersfield, CA Public Domain","twitter:card":"summary_large_image","twitter:image":"https://live.staticflickr.com/65535/52775718110_d1b45828df_b.jpg","og:description":"Hart Park, Bakersfield, CA Public Domain","og:image:width":768,"og:image:height":1024,"twitter:description":"Hart Park, Bakersfield, CA Public Domain","_flickrModelRegistry":"photo-head-meta-models","twitter:app:url:ipad":"flickr://flickr.com/photos/193771854@N06/52775718110/","twitter:app:url:iphone":"flickr://flickr.com/photos/193771854@N06/52775718110/","twitter:app:url:googleplay":"https://www.flickr.com/photos/193771854@N06/52775718110/"},"exportMetaType":"model"}],"photo-license-history-models":[]},"acquisition_file":"fl-52775718110.webp","source_html_file":"/Users/atincakcayoz/corteqs/output/bakersfield-production-20261023/flickr-source-pages/52775718110.html","original_file_url":"https://live.staticflickr.com/65535/52775718110_df6b88c2f8_o.jpg","proposed_identity":"Hart Park candidate","source_html_sha256":"c24cb360658dd7fb316e0ba8ed32070762fa4cd8692b09f3186da06691cba982","third_party_rights_review":{"basis":"Kaynakta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dönüştürüldü.","photo_attribution":{"author_url":"https://www.flickr.com/photos/193771854@N06/","modifications":"EXIF yönü uygulandı; boyut küçültülüp WebP biçimine dönüştürüldü.","original_file_url":"https://live.staticflickr.com/65535/52775718110_df6b88c2f8_o.jpg"},"metadata_reviewed_on":"2026-10-24","metadata_review_status":"verified"}}</x:v>
      </x:c>
    </x:row>
    <x:row r="303" ht="300" customHeight="1">
      <x:c r="A303" s="29" t="str">
        <x:v>bakersfield:evidence:hero-619</x:v>
      </x:c>
      <x:c r="B303" s="29" t="str">
        <x:v>bakersfield</x:v>
      </x:c>
      <x:c r="C303" s="29" t="str">
        <x:v>bakersfield:photo:hero-619</x:v>
      </x:c>
      <x:c r="D303" s="29" t="str">
        <x:v>https://commons.wikimedia.org/wiki/File:Wind_Wolves_entrance_gate.jpg</x:v>
      </x:c>
      <x:c r="E303" s="29" t="str">
        <x:v>Wind Wolves entrance gate.jpg</x:v>
      </x:c>
      <x:c r="F303" s="29" t="str">
        <x:v>BookOfDisquiet</x:v>
      </x:c>
      <x:c r="G303" s="29" t="str">
        <x:v>CC BY 4.0</x:v>
      </x:c>
      <x:c r="H303" s="29" t="str">
        <x:v>https://creativecommons.org/licenses/by/4.0</x:v>
      </x:c>
      <x:c r="I303" s="29" t="str">
        <x:v>Creative Commons Attribution 4.0</x:v>
      </x:c>
      <x:c r="J303" s="29" t="str">
        <x:v>Wind Wolves entrance gate.jpg · BookOfDisquiet · CC BY 4.0 · https://commons.wikimedia.org/wiki/File:Wind_Wolves_entrance_gate.jpg</x:v>
      </x:c>
      <x:c r="K303"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03" s="31" t="d">
        <x:v>2026-10-24T00:00:00.000Z</x:v>
      </x:c>
      <x:c r="M303" s="29" t="str">
        <x:v>Doğrulandı</x:v>
      </x:c>
      <x:c r="N303" s="29" t="str">
        <x:v>Doğrulandı</x:v>
      </x:c>
      <x:c r="O303" s="29" t="str">
        <x:v>Fotoğraflar/bk-8b560d5736be7c7c7e0337b3.webp</x:v>
      </x:c>
      <x:c r="P303" s="29" t="str">
        <x:v>Wind Wolves Preserve · 2022 tarihli fotoğraf · İndirilen kare temas sayfasında görüldü; kaynak mekân kimliğiyle eşleştirildi. Seçim kaydı final-pixel-review.json.</x:v>
      </x:c>
      <x:c r="Q303" s="29" t="str">
        <x:v>Bu kare için uygun</x:v>
      </x:c>
      <x:c r="R303"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03" s="29" t="str">
        <x:v>Lisans kanıtları/bk-8b560d5736be7c7c7e0337b3.source-evidence.json</x:v>
      </x:c>
      <x:c r="T303" s="29" t="str">
        <x:v>df11337c73bf8096cba28140aaecfdb2a0704fc0eba2aa3771603c3c6ce7b8d3</x:v>
      </x:c>
      <x:c r="U303" s="29" t="str">
        <x:v>Lisans kanıtları/bk-8b560d5736be7c7c7e0337b3.license-record.json</x:v>
      </x:c>
      <x:c r="V303" s="29" t="str">
        <x:v>c71493cf5e5b8902e5a4517b18b669b207f3e06b955718f8c15d2d81156332f6</x:v>
      </x:c>
      <x:c r="W303" s="29" t="str">
        <x:v>{"file":"bk-8b560d5736be7c7c7e0337b3.webp","width":1280,"author":"BookOfDisquiet","height":960,"sha256":"8b560d5736be7c7c7e0337b37cc43b2d9c385f4c2032964a7d64f6f39591d19d","license":"CC BY 4.0","imageinfo":{"url":"https://upload.wikimedia.org/wikipedia/commons/4/43/Wind_Wolves_entrance_gate.jpg?utm_source=commons.wikimedia.org&amp;utm_campaign=imageinfo&amp;utm_content=original","mime":"image/jpeg","sha1":"84d725d00368708933c5f0b16957b0c2c2923a10","size":1861042,"width":4032,"height":3024,"pageid":181087477,"thumburl":"https://thumb.wikimedia.org/wikipedia/commons/thumb/4/43/Wind_Wolves_entrance_gate.jpg/1280px-Wind_Wolves_entrance_gate.jpg?utm_source=commons.wikimedia.org&amp;utm_campaign=imageinfo&amp;utm_content=thumbnail","timestamp":"2026-01-02T02:22:31Z","thumbwidth":1280,"extmetadata":{"Artist":{"value":"&lt;a href=\"//commons.wikimedia.org/w/index.php?title=User:BookOfDisquiet&amp;amp;action=edit&amp;amp;redlink=1\" class=\"new\" title=\"User:BookOfDisquiet (page does not exist)\"&gt;BookOfDisquiet&lt;/a&gt;","source":"commons-desc-page"},"Credit":{"value":"&lt;span class=\"int-own-work\" lang=\"en\"&gt;Own work&lt;/span&gt;","source":"commons-desc-page"},"License":{"value":"cc-by-4.0","hidden":"","source":"commons-templates"},"DateTime":{"value":"2026-01-02 02:22:31","hidden":"","source":"mediawiki-metadata"},"Categories":{"value":"Self-published work|Files with coordinates missing SDC location of creation|Wind Wolves Preserve","hidden":"","source":"commons-categories"},"LicenseUrl":{"value":"https://creativecommons.org/licenses/by/4.0","source":"commons-desc-page"},"ObjectName":{"value":"Wind Wolves entrance gate","source":"mediawiki-metadata"},"UsageTerms":{"value":"Creative Commons Attribution 4.0","source":"commons-desc-page"},"Assessments":{"value":"","hidden":"","source":"commons-categories"},"Copyrighted":{"value":"True","hidden":"","source":"commons-desc-page"},"GPSLatitude":{"value":"35.015194","source":"commons-desc-page"},"GPSMapDatum":{"value":"WGS-84","hidden":"","source":"commons-desc-page"},"GPSLongitude":{"value":"-119.170242","source":"commons-desc-page"},"Restrictions":{"value":"","hidden":"","source":"commons-desc-page"},"DateTimeOriginal":{"value":"2022-03-05 09:52:01","source":"commons-desc-page"},"ImageDescription":{"value":"The entrance gate near the mouth of San Emigdio Canyon at Wind Wolves Preserve, managed by The Wildlands Conservancy.","source":"commons-desc-page"},"LicenseShortName":{"value":"CC BY 4.0","hidden":"","source":"commons-desc-page"},"AttributionRequired":{"value":"true","hidden":"","source":"commons-desc-page"},"CommonsMetadataExtension":{"value":1.2,"hidden":"","source":"extension"}},"thumbheight":960,"thumbattribs":{"src":"https://thumb.wikimedia.org/wikipedia/commons/thumb/4/43/Wind_Wolves_entrance_gate.jpg/1280px-Wind_Wolves_entrance_gate.jpg?utm_source=commons.wikimedia.org&amp;utm_campaign=imageinfo&amp;utm_content=thumbnail","width":1280,"height":960,"srcset":"https://thumb.wikimedia.org/wikipedia/commons/thumb/4/43/Wind_Wolves_entrance_gate.jpg/3840px-Wind_Wolves_entrance_gate.jpg?utm_source=commons.wikimedia.org&amp;utm_campaign=imageinfo&amp;utm_content=thumbnail 2x","loading":"lazy","decoding":"async"},"descriptionurl":"https://commons.wikimedia.org/wiki/File:Wind_Wolves_entrance_gate.jpg","responsiveUrls":{"2":"https://thumb.wikimedia.org/wikipedia/commons/thumb/4/43/Wind_Wolves_entrance_gate.jpg/3840px-Wind_Wolves_entrance_gate.jpg?utm_source=commons.wikimedia.org&amp;utm_campaign=imageinfo&amp;utm_content=thumbnail"},"descriptionshorturl":"https://commons.wikimedia.org/w/index.php?curid=181087477"},"selection":{"qid":"pending","kind":"candidate","title":"Wind Wolves Preserve"},"author_url":"","derivative":"Wikimedia thumbnail decoded; EXIF orientation applied; converted to WebP quality 86; no generated pixels, no cropping.","source_url":"https://commons.wikimedia.org/wiki/File:Wind_Wolves_entrance_gate.jpg","author_urls":[],"description":"The entrance gate near the mouth of San Emigdio Canyon at Wind Wolves Preserve, managed by The Wildlands Conservancy.","license_url":"https://creativecommons.org/licenses/by/4.0","reviewed_on":"2026-10-24","capture_date":"2022-03-05 09:52:01","download_url":"https://thumb.wikimedia.org/wikipedia/commons/thumb/4/43/Wind_Wolves_entrance_gate.jpg/1280px-Wind_Wolves_entrance_gate.jpg?utm_source=commons.wikimedia.org&amp;utm_campaign=imageinfo&amp;utm_content=thumbnail","original_url":"https://upload.wikimedia.org/wikipedia/commons/4/43/Wind_Wolves_entrance_gate.jpg?utm_source=commons.wikimedia.org&amp;utm_campaign=imageinfo&amp;utm_content=original","pixel_review":{"method":"İndirilen kare temas sayfasında görüldü; kaynak mekân kimliğiyle eşleştirildi. Seçim kaydı final-pixel-review.json.","status":"verified","caption":"Wind Wolves Preserve · 2022 tarihli fotoğraf","reviewer":"Codex (AI)","review_id":"C259"},"downloaded_at":"2026-10-23T19:09:21.785570+00:00","download_sha256":"1f2d64957a80f3d650ee4be69524fd90abf9f1d98073bcfbfe6db6dff8ed43db","downloaded_file":"downloads/1f2d64957a80f3d650ee4be69524fd90abf9f1d98073bcfbfe6db6dff8ed43db.jpg","acquisition_file":"2295afa99623b44fd88858a2.webp","commons_filename":"Wind Wolves entrance gate.jpg","original_file_url":"https://upload.wikimedia.org/wikipedia/commons/4/43/Wind_Wolves_entrance_gate.jpg?utm_source=commons.wikimedia.org&amp;utm_campaign=imageinfo&amp;utm_content=original","pixel_review_status":"pending","third_party_rights_review":{"basis":"Kaynakta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değil.","status":"reviewed","primary_law":"https://www.govinfo.gov/content/pkg/USCODE-2024-title17/html/USCODE-2024-title17-chap1-sec120.htm"},"kind":"real-photograph","provenance":{"kind":"real-photograph","modifications":"EXIF yönü uygulandı; boyut küçültülüp WebP biçimine dönüştürüldü.","photo_attribution":{"author_url":"","modifications":"EXIF yönü uygulandı; boyut küçültülüp WebP biçimine dönüştürüldü.","original_file_url":"https://upload.wikimedia.org/wikipedia/commons/4/43/Wind_Wolves_entrance_gate.jpg?utm_source=commons.wikimedia.org&amp;utm_campaign=imageinfo&amp;utm_content=original"},"metadata_reviewed_on":"2026-10-24","metadata_review_status":"verified"}}</x:v>
      </x:c>
    </x:row>
    <x:row r="304" ht="300" customHeight="1">
      <x:c r="A304" s="29" t="str">
        <x:v>bakersfield:evidence:hero-620</x:v>
      </x:c>
      <x:c r="B304" s="29" t="str">
        <x:v>bakersfield</x:v>
      </x:c>
      <x:c r="C304" s="29" t="str">
        <x:v>bakersfield:photo:hero-620</x:v>
      </x:c>
      <x:c r="D304" s="29" t="str">
        <x:v>https://commons.wikimedia.org/wiki/File:Fort_Tejon_Barracks_from_CO_Qtrs.JPG</x:v>
      </x:c>
      <x:c r="E304" s="29" t="str">
        <x:v>Fort Tejon Barracks from CO Qtrs.JPG</x:v>
      </x:c>
      <x:c r="F304" s="29" t="str">
        <x:v>Yellowute at English Wikipedia</x:v>
      </x:c>
      <x:c r="G304" s="29" t="str">
        <x:v>Public domain</x:v>
      </x:c>
      <x:c r="H304" s="29" t="str">
        <x:v>https://commons.wikimedia.org/wiki/File:Fort_Tejon_Barracks_from_CO_Qtrs.JPG#Licensing</x:v>
      </x:c>
      <x:c r="I304" s="29" t="str">
        <x:v>Public domain</x:v>
      </x:c>
      <x:c r="J304" s="29" t="str">
        <x:v>Fort Tejon Barracks from CO Qtrs.JPG · Yellowute at English Wikipedia · Public domain · https://commons.wikimedia.org/wiki/File:Fort_Tejon_Barracks_from_CO_Qtrs.JPG</x:v>
      </x:c>
      <x:c r="K304" s="29" t="str">
        <x:v>{"basis": "Kaynakta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 "scope": "Kaynaklı şehir rehberinde mekân anlatımı; reklam veya destek beyanı değil.", "status": "reviewed", "primary_law": "https://www.govinfo.gov/content/pkg/USCODE-2024-title17/html/USCODE-2024-title17-chap1-sec120.htm"}</x:v>
      </x:c>
      <x:c r="L304" s="31" t="d">
        <x:v>2026-10-24T00:00:00.000Z</x:v>
      </x:c>
      <x:c r="M304" s="29" t="str">
        <x:v>Doğrulandı</x:v>
      </x:c>
      <x:c r="N304" s="29" t="str">
        <x:v>Doğrulandı</x:v>
      </x:c>
      <x:c r="O304" s="29" t="str">
        <x:v>Fotoğraflar/bk-8c5c05633be89f0803989c78.webp</x:v>
      </x:c>
      <x:c r="P304" s="29" t="str">
        <x:v>Fort Tejon State Historic Park · 2007 tarihli fotoğraf · İndirilen kare temas sayfasında görüldü; kaynak mekân kimliğiyle eşleştirildi. Seçim kaydı final-pixel-review.json.</x:v>
      </x:c>
      <x:c r="Q304" s="29" t="str">
        <x:v>Bu kare için uygun</x:v>
      </x:c>
      <x:c r="R304" s="29" t="str">
        <x:v>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x:v>
      </x:c>
      <x:c r="S304" s="29" t="str">
        <x:v>Lisans kanıtları/bk-8c5c05633be89f0803989c78.source-evidence.json</x:v>
      </x:c>
      <x:c r="T304" s="29" t="str">
        <x:v>08b05865df3a38880c47bafc590bb6e94be10d1549e4fbbcca11caafb3145a9a</x:v>
      </x:c>
      <x:c r="U304" s="29" t="str">
        <x:v>Lisans kanıtları/bk-8c5c05633be89f0803989c78.license-record.json</x:v>
      </x:c>
      <x:c r="V304" s="29" t="str">
        <x:v>2160ef07250ce2e8e992623807ea369b0d23b9bb3c21bdfd7d85137f34c91ef4</x:v>
      </x:c>
      <x:c r="W304" s="29" t="str">
        <x:v>{"file":"bk-8c5c05633be89f0803989c78.webp","width":1280,"author":"Yellowute at English Wikipedia","height":960,"sha256":"8c5c05633be89f0803989c78522c96157ed19c7e5c6bb036a4766cc03f910247","license":"Public domain","imageinfo":{"url":"https://upload.wikimedia.org/wikipedia/commons/b/bd/Fort_Tejon_Barracks_from_CO_Qtrs.JPG?utm_source=commons.wikimedia.org&amp;utm_campaign=imageinfo&amp;utm_content=original","mime":"image/jpeg","sha1":"16dc0e284f57222a8e3a8729ed0532fba7b6419f","size":621813,"width":2272,"height":1704,"pageid":10404362,"thumburl":"https://thumb.wikimedia.org/wikipedia/commons/thumb/b/bd/Fort_Tejon_Barracks_from_CO_Qtrs.JPG/1280px-Fort_Tejon_Barracks_from_CO_Qtrs.JPG?utm_source=commons.wikimedia.org&amp;utm_campaign=imageinfo&amp;utm_content=thumbnail","timestamp":"2010-05-23T11:07:45Z","thumbwidth":1280,"extmetadata":{"Artist":{"value":"&lt;a href=\"https://en.wikipedia.org/wiki/User:Yellowute\" class=\"extiw\" title=\"wikipedia:User:Yellowute\"&gt;Yellowute&lt;/a&gt; at &lt;a href=\"https://en.wikipedia.org/wiki/\" class=\"extiw\" title=\"wikipedia:\"&gt;English Wikipedia&lt;/a&gt;","source":"commons-desc-page"},"Credit":{"value":"&lt;bdi lang=\"en\" dir=\"ltr\"&gt;Transferred from &lt;span class=\"plainlinks\"&gt;&lt;a class=\"external text\" data-mw-original-href=\"//en.wikipedia.org\" href=\"https://en.wikipedia.org\"&gt;en.wikipedia&lt;/a&gt;&lt;/span&gt; to Commons.&lt;/bdi&gt;","source":"commons-desc-page"},"License":{"value":"pd","hidden":"","source":"commons-templates"},"DateTime":{"value":"2010-05-23 11:07:45","hidden":"","source":"mediawiki-metadata"},"Categories":{"value":"Tehachapi Mountains|PD-user|Fort Tejon State Historic Park|National Register of Historic Places in Kern County, California|Adobe buildings in California|Parks in Kern County, California|Military facilities on the National Register of Historic Places in California|National Register of Historic Places with known IDs|California Historical Landmarks with known IDs|Barracks in California","hidden":"","source":"commons-categories"},"ObjectName":{"value":"Fort Tejon Barracks from CO Qtrs","source":"mediawiki-metadata"},"UsageTerms":{"value":"Public domain","source":"commons-desc-page"},"Assessments":{"value":"","hidden":"","source":"commons-categories"},"Copyrighted":{"value":"False","hidden":"","source":"commons-desc-page"},"GPSLatitude":{"value":"34.873056","source":"commons-desc-page"},"GPSMapDatum":{"value":"WGS-84","hidden":"","source":"commons-desc-page"},"GPSLongitude":{"value":"-118.895833","source":"commons-desc-page"},"Restrictions":{"value":"","hidden":"","source":"commons-desc-page"},"DateTimeOriginal":{"value":"2007-06-25","source":"commons-desc-page"},"ImageDescription":{"value":"1840s adobe Barracks No. 1 of &lt;a href=\"https://en.wikipedia.org/wiki/Fort_Tejon\" class=\"extiw\" title=\"w:Fort Tejon\"&gt;Fort Tejon&lt;/a&gt; — in &lt;b&gt;&lt;a href=\"//commons.wikimedia.org/wiki/Category:Fort_Tejon_State_Historic_Park\" title=\"Category:Fort Tejon State Historic Park\"&gt;Fort Tejon State Historic Park&lt;/a&gt;&lt;/b&gt; with the &lt;a href=\"//commons.wikimedia.org/wiki/Category:Tehachapi_Mountains\" title=\"Category:Tehachapi Mountains\"&gt;Tehachapi Mountains&lt;/a&gt; beyond, in Southern California. \n&lt;ul&gt;&lt;li&gt;At &lt;a href=\"https://en.wikipedia.org/wiki/Tejon_Pass\" class=\"extiw\" title=\"w:Tejon Pass\"&gt;Tejon Pass&lt;/a&gt; on &lt;a href=\"//commons.wikimedia.org/wiki/Category:Interstate_5_in_California\" title=\"Category:Interstate 5 in California\"&gt;I−5&lt;/a&gt; (old Hwy 99), in southern &lt;a href=\"//commons.wikimedia.org/wiki/Category:Kern_County,_California\" title=\"Category:Kern County, California\"&gt;Kern County&lt;/a&gt;.&lt;/li&gt;&lt;/ul&gt;","source":"commons-desc-page"},"LicenseShortName":{"value":"Public domain","hidden":"","source":"commons-desc-page"},"AttributionRequired":{"value":"false","hidden":"","source":"commons-desc-page"},"CommonsMetadataExtension":{"value":1.2,"hidden":"","source":"extension"}},"thumbheight":960,"thumbattribs":{"src":"https://thumb.wikimedia.org/wikipedia/commons/thumb/b/bd/Fort_Tejon_Barracks_from_CO_Qtrs.JPG/1280px-Fort_Tejon_Barracks_from_CO_Qtrs.JPG?utm_source=commons.wikimedia.org&amp;utm_campaign=imageinfo&amp;utm_content=thumbnail","width":1280,"height":960,"srcset":"https://upload.wikimedia.org/wikipedia/commons/b/bd/Fort_Tejon_Barracks_from_CO_Qtrs.JPG?utm_source=commons.wikimedia.org&amp;utm_campaign=imageinfo&amp;utm_content=thumbnail_unscaled 2x","loading":"lazy","decoding":"async"},"descriptionurl":"https://commons.wikimedia.org/wiki/File:Fort_Tejon_Barracks_from_CO_Qtrs.JPG","responsiveUrls":{"2":"https://upload.wikimedia.org/wikipedia/commons/b/bd/Fort_Tejon_Barracks_from_CO_Qtrs.JPG?utm_source=commons.wikimedia.org&amp;utm_campaign=imageinfo&amp;utm_content=thumbnail_unscaled"},"descriptionshorturl":"https://commons.wikimedia.org/w/index.php?curid=10404362"},"selection":{"qid":"pending","kind":"candidate","title":"PD verified source candidates"},"author_url":"https://en.wikipedia.org/wiki/User:Yellowute","derivative":"Wikimedia thumbnail decoded; EXIF orientation applied; converted to WebP quality 86; no generated pixels, no cropping.","source_url":"https://commons.wikimedia.org/wiki/File:Fort_Tejon_Barracks_from_CO_Qtrs.JPG","author_urls":["https://en.wikipedia.org/wiki/User:Yellowute","https://en.wikipedia.org/wiki/"],"description":"1840s adobe Barracks No. 1 of Fort Tejon — in Fort Tejon State Historic Park with the Tehachapi Mountains beyond, in Southern California. \nAt Tejon Pass on I−5 (old Hwy 99), in southern Kern County.","license_url":"https://commons.wikimedia.org/wiki/File:Fort_Tejon_Barracks_from_CO_Qtrs.JPG#Licensing","reviewed_on":"2026-10-24","capture_date":"2007-06-25","download_url":"https://thumb.wikimedia.org/wikipedia/commons/thumb/b/bd/Fort_Tejon_Barracks_from_CO_Qtrs.JPG/1280px-Fort_Tejon_Barracks_from_CO_Qtrs.JPG?utm_source=commons.wikimedia.org&amp;utm_campaign=imageinfo&amp;utm_content=thumbnail","original_url":"https://upload.wikimedia.org/wikipedia/commons/b/bd/Fort_Tejon_Barracks_from_CO_Qtrs.JPG?utm_source=commons.wikimedia.org&amp;utm_campaign=imageinfo&amp;utm_content=original","pixel_review":{"method":"İndirilen kare temas sayfasında görüldü; kaynak mekân kimliğiyle eşleştirildi. Seçim kaydı final-pixel-review.json.","status":"verified","caption":"Fort Tejon State Historic Park · 2007 tarihli fotoğraf","reviewer":"Codex (AI)","review_id":"P0"},"downloaded_at":"2026-10-23T20:11:32.763805+00:00","download_sha256":"ad47aee70d92294b5af0d94cc93b0f6ce5f559e01f6165ad74ac0a064b6ccfe3","downloaded_file":"downloads/ad47aee70d92294b5af0d94cc93b0f6ce5f559e01f6165ad74ac0a064b6ccfe3.jpg","acquisition_file":"76c2000bdbd2a1bc050764ea.webp","commons_filename":"Fort Tejon Barracks from CO Qtrs.JPG","original_file_url":"https://upload.wikimedia.org/wikipedia/commons/b/bd/Fort_Tejon_Barracks_from_CO_Qtrs.JPG?utm_source=commons.wikimedia.org&amp;utm_campaign=imageinfo&amp;utm_content=original","pixel_review_status":"pending","third_party_rights_review":{"basis":"Kaynakta CC BY, CC BY-SA, CC0 veya fotoğrafçıya ait public-domain beyanı; lisans ve atıf kayıtları dosya SHA-256 ile bağlandı. Kareler mekân, mimari, açık alan ve kurum bağlamında incelendi; belirgin portreler ve bağımsız sanat eseri ağırlıklı belirsiz kareler seçilmedi. Fotoğraf lisansı genel mülk veya model izni iddiası değildir.","scope":"Kaynaklı şehir rehberinde mekân anlatımı; reklam veya destek beyanı değil.","status":"reviewed","primary_law":"https://www.govinfo.gov/content/pkg/USCODE-2024-title17/html/USCODE-2024-title17-chap1-sec120.htm"},"public_domain_source_record":{"ns":6,"title":"File:Fort Tejon Barracks from CO Qtrs.JPG","pageid":10404362,"revisions":[{"slots":{"main":{"*":"== {{int:filedesc}} ==\n{{NRHP|71000140}}\n{{US-CHL|129}}\n{{Information\n|Description={{en|1840s adobe Barracks No. 1 of {{w|Fort Tejon}} — in '''{{C|Fort Tejon State Historic Park}}''' with the {{C|Tehachapi Mountains}} beyond, in Southern California. \n* At {{w|Tejon Pass}} on {{C|Interstate 5 in California|I−5}} (old Hwy 99), in southern {{C|Kern County, California|Kern County}}.}}\n|Source={{transferred from|en.wikipedia|}}\n|Date=2007-06-25\n|Author={{user at project|Yellowute|wikipedia|en}}\n|Permission=\n|other_versions=\n}}\n{{Object location dec|34.873056|-118.895833|region:US_type:landmark_scale:1500}}&lt;!-- Location from http://en.wikipedia.org/w/index.php?title=National_Register_of_Historic_Places_listings_in_Kern_County,_California&amp;redirect=no&amp;useskin=monobook&amp;oldid=510941186 --&gt;\n\n== {{int:license-header}} ==\n{{PD-user-en|Yellowute}}\n\n== {{Original upload log}} ==\n{{original description page|en.wikipedia|Fort_Tejon_Barracks_from_CO_Qtrs.JPG}}\n* 2007-06-25 04:57 [[:en:User:Yellowute|Yellowute]] 2272×1704× (621813 bytes) ''&lt;nowiki&gt;&lt;/nowiki&gt;''\n\n[[Category:Fort Tejon State Historic Park|Tejon Barracks2]]\n[[Category:Tehachapi Mountains|view]]\n[[Category:Adobe buildings in California|Tejon Barracks2]]\n[[Category:Barracks in California|Tejon Barracks2]]\n[[Category:Parks in Kern County, California]]\n[[Category:Military facilities on the National Register of Historic Places in California|Tejon Barracks2]]\n[[Category:National Register of Historic Places in Kern County, California|Tejon Barracks2]]","contentmodel":"wikitext","contentformat":"text/x-wiki"}}}]},"public_domain_dedication_evidence":{"basis":"Photographer explicit public-domain dedication (PD-user-en or PD-self), not government-ownership inference.","wikitext":"== {{int:filedesc}} ==\n{{NRHP|71000140}}\n{{US-CHL|129}}\n{{Information\n|Description={{en|1840s adobe Barracks No. 1 of {{w|Fort Tejon}} — in '''{{C|Fort Tejon State Historic Park}}''' with the {{C|Tehachapi Mountains}} beyond, in Southern California. \n* At {{w|Tejon Pass}} on {{C|Interstate 5 in California|I−5}} (old Hwy 99), in southern {{C|Kern County, California|Kern County}}.}}\n|Source={{transferred from|en.wikipedia|}}\n|Date=2007-06-25\n|Author={{user at project|Yellowute|wikipedia|en}}\n|Permission=\n|other_versions=\n}}\n{{Object location dec|34.873056|-118.895833|region:US_type:landmark_scale:1500}}&lt;!-- Location from http://en.wikipedia.org/w/index.php?title=National_Register_of_Historic_Places_listings_in_Kern_County,_California&amp;redirect=no&amp;useskin=monobook&amp;oldid=510941186 --&gt;\n\n== {{int:license-header}} ==\n{{PD-user-en|Yellowute}}\n\n== {{Original upload log}} ==\n{{original description page|en.wikipedia|Fort_Tejon_Barracks_from_CO_Qtrs.JPG}}\n* 2007-06-25 04:57 [[:en:User:Yellowute|Yellowute]] 2272×1704× (621813 bytes) ''&lt;nowiki&gt;&lt;/nowiki&gt;''\n\n[[Category:Fort Tejon State Historic Park|Tejon Barracks2]]\n[[Category:Tehachapi Mountains|view]]\n[[Category:Adobe buildings in California|Tejon Barracks2]]\n[[Category:Barracks in California|Tejon Barracks2]]\n[[Category:Parks in Kern County, California]]\n[[Category:Military facilities on the National Register of Historic Places in California|Tejon Barracks2]]\n[[Category:National Register of Historic Places in Kern County, California|Tejon Barracks2]]","source_url":"https://commons.wikimedia.org/wiki/File:Fort_Tejon_Barracks_from_CO_Qtrs.JPG"},"kind":"real-photograph","provenance":{"kind":"real-photograph","modifications":"EXIF yönü uygulandı; boyut küçültülüp WebP biçimine dönüştürüldü.","photo_attribution":{"author_url":"https://en.wikipedia.org/wiki/User:Yellowute","modifications":"EXIF yönü uygulandı; boyut küçültülüp WebP biçimine dönüştürüldü.","original_file_url":"https://upload.wikimedia.org/wikipedia/commons/b/bd/Fort_Tejon_Barracks_from_CO_Qtrs.JPG?utm_source=commons.wikimedia.org&amp;utm_campaign=imageinfo&amp;utm_content=original"},"metadata_reviewed_on":"2026-10-24","metadata_review_status":"verified"}}</x:v>
      </x:c>
    </x:row>
    <x:row r="305" ht="54" customHeight="1">
      <x:c r="A305" s="29"/>
      <x:c r="B305" s="29"/>
      <x:c r="C305" s="29"/>
      <x:c r="D305" s="29"/>
      <x:c r="E305" s="29"/>
      <x:c r="F305" s="29"/>
      <x:c r="G305" s="29"/>
      <x:c r="H305" s="29"/>
      <x:c r="I305" s="29"/>
      <x:c r="J305" s="29"/>
      <x:c r="K305" s="29"/>
      <x:c r="L305" s="31"/>
      <x:c r="M305" s="29"/>
      <x:c r="N305" s="29"/>
      <x:c r="O305" s="29"/>
      <x:c r="P305" s="29"/>
      <x:c r="Q305" s="29"/>
      <x:c r="R305" s="29"/>
      <x:c r="S305" s="29"/>
      <x:c r="T305" s="29"/>
      <x:c r="U305" s="29"/>
      <x:c r="V305" s="29"/>
      <x:c r="W305" s="29"/>
    </x:row>
    <x:row r="306" ht="54" customHeight="1">
      <x:c r="A306" s="29"/>
      <x:c r="B306" s="29"/>
      <x:c r="C306" s="29"/>
      <x:c r="D306" s="29"/>
      <x:c r="E306" s="29"/>
      <x:c r="F306" s="29"/>
      <x:c r="G306" s="29"/>
      <x:c r="H306" s="29"/>
      <x:c r="I306" s="29"/>
      <x:c r="J306" s="29"/>
      <x:c r="K306" s="29"/>
      <x:c r="L306" s="31"/>
      <x:c r="M306" s="29"/>
      <x:c r="N306" s="29"/>
      <x:c r="O306" s="29"/>
      <x:c r="P306" s="29"/>
      <x:c r="Q306" s="29"/>
      <x:c r="R306" s="29"/>
      <x:c r="S306" s="29"/>
      <x:c r="T306" s="29"/>
      <x:c r="U306" s="29"/>
      <x:c r="V306" s="29"/>
      <x:c r="W306" s="29"/>
    </x:row>
  </x:sheetData>
  <x:mergeCells>
    <x:mergeCell ref="A3:H3"/>
  </x:mergeCells>
  <x:conditionalFormatting sqref="A8:A306">
    <x:cfRule type="expression" dxfId="130" priority="1">
      <x:formula>AND($A8&lt;&gt;"",ISBLANK(A8))</x:formula>
    </x:cfRule>
  </x:conditionalFormatting>
  <x:conditionalFormatting sqref="B8:B306">
    <x:cfRule type="expression" dxfId="131" priority="2">
      <x:formula>AND($A8&lt;&gt;"",ISBLANK(B8))</x:formula>
    </x:cfRule>
  </x:conditionalFormatting>
  <x:conditionalFormatting sqref="C8:C306">
    <x:cfRule type="expression" dxfId="132" priority="3">
      <x:formula>AND($A8&lt;&gt;"",ISBLANK(C8))</x:formula>
    </x:cfRule>
  </x:conditionalFormatting>
  <x:conditionalFormatting sqref="D8:D306">
    <x:cfRule type="expression" dxfId="133" priority="4">
      <x:formula>AND($A8&lt;&gt;"",ISBLANK(D8))</x:formula>
    </x:cfRule>
  </x:conditionalFormatting>
  <x:conditionalFormatting sqref="E8:E306">
    <x:cfRule type="expression" dxfId="134" priority="5">
      <x:formula>AND($A8&lt;&gt;"",ISBLANK(E8))</x:formula>
    </x:cfRule>
  </x:conditionalFormatting>
  <x:conditionalFormatting sqref="F8:F306">
    <x:cfRule type="expression" dxfId="135" priority="6">
      <x:formula>AND($A8&lt;&gt;"",ISBLANK(F8))</x:formula>
    </x:cfRule>
  </x:conditionalFormatting>
  <x:conditionalFormatting sqref="G8:G306">
    <x:cfRule type="expression" dxfId="136" priority="7">
      <x:formula>AND($A8&lt;&gt;"",ISBLANK(G8))</x:formula>
    </x:cfRule>
  </x:conditionalFormatting>
  <x:conditionalFormatting sqref="H8:H306">
    <x:cfRule type="expression" dxfId="137" priority="8">
      <x:formula>AND($A8&lt;&gt;"",ISBLANK(H8))</x:formula>
    </x:cfRule>
  </x:conditionalFormatting>
  <x:conditionalFormatting sqref="I8:I306">
    <x:cfRule type="expression" dxfId="138" priority="9">
      <x:formula>AND($A8&lt;&gt;"",ISBLANK(I8))</x:formula>
    </x:cfRule>
  </x:conditionalFormatting>
  <x:conditionalFormatting sqref="L8:L306">
    <x:cfRule type="expression" dxfId="139" priority="10">
      <x:formula>AND($A8&lt;&gt;"",ISBLANK(L8))</x:formula>
    </x:cfRule>
  </x:conditionalFormatting>
  <x:conditionalFormatting sqref="M8:M306">
    <x:cfRule type="expression" dxfId="140" priority="11">
      <x:formula>AND($A8&lt;&gt;"",ISBLANK(M8))</x:formula>
    </x:cfRule>
  </x:conditionalFormatting>
  <x:conditionalFormatting sqref="N8:N306">
    <x:cfRule type="expression" dxfId="141" priority="12">
      <x:formula>AND($A8&lt;&gt;"",ISBLANK(N8))</x:formula>
    </x:cfRule>
  </x:conditionalFormatting>
  <x:conditionalFormatting sqref="Q8:Q306">
    <x:cfRule type="expression" dxfId="142" priority="13">
      <x:formula>AND($A8&lt;&gt;"",ISBLANK(Q8))</x:formula>
    </x:cfRule>
  </x:conditionalFormatting>
  <x:dataValidations count="3">
    <x:dataValidation type="list" sqref="M8:M306">
      <x:formula1>"Bekliyor,Doğrulandı"</x:formula1>
    </x:dataValidation>
    <x:dataValidation type="list" sqref="N8:N306">
      <x:formula1>"Bekliyor,Doğrulandı"</x:formula1>
    </x:dataValidation>
    <x:dataValidation type="list" sqref="Q8:Q306">
      <x:formula1>"Bekliyor,Bu kare için uygun"</x:formula1>
    </x:dataValidation>
  </x:dataValidations>
  <x:pageMargins left="0.7" right="0.7" top="0.75" bottom="0.75" header="0.3" footer="0.3"/>
  <x:tableParts count="1">
    <x:tablePart xmlns:r="http://schemas.openxmlformats.org/officeDocument/2006/relationships" r:id="R532f4808af0a443a"/>
  </x:tableParts>
</x:worksheet>
</file>

<file path=xl/worksheets/sheet1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0" hidden="0" customWidth="1"/>
  </x:cols>
  <x:sheetData>
    <x:row r="1" ht="30" customHeight="1">
      <x:c r="A1" s="2"/>
      <x:c r="B1" s="2"/>
      <x:c r="C1" s="2"/>
      <x:c r="D1" s="2"/>
      <x:c r="E1" s="2"/>
      <x:c r="F1" s="2"/>
      <x:c r="G1" s="2"/>
    </x:row>
    <x:row r="2" ht="30" customHeight="1">
      <x:c r="A2" s="19" t="str">
        <x:v>Corteqs · Sayfa metinleri ve ek yapılandırma</x:v>
      </x:c>
      <x:c r="B2" s="2"/>
      <x:c r="C2" s="2"/>
      <x:c r="D2" s="2"/>
      <x:c r="E2" s="2"/>
      <x:c r="F2" s="2"/>
      <x:c r="G2" s="2"/>
    </x:row>
    <x:row r="3" ht="36" customHeight="1">
      <x:c r="A3" s="20" t="str">
        <x:v>Türkçe başlığı okuyun; veriyi 8. satırdan yazın. 7. satırdaki alan adını ve sayfa adını değiştirmeyin.</x:v>
      </x:c>
      <x:c r="B3" s="20"/>
      <x:c r="C3" s="20"/>
      <x:c r="D3" s="20"/>
      <x:c r="E3" s="20"/>
      <x:c r="F3" s="20"/>
      <x:c r="G3" s="20"/>
    </x:row>
    <x:row r="4" ht="30" customHeight="1">
      <x:c r="A4" s="21"/>
      <x:c r="B4" s="21"/>
      <x:c r="C4" s="21"/>
      <x:c r="D4" s="21"/>
      <x:c r="E4" s="21"/>
      <x:c r="F4" s="21"/>
      <x:c r="G4" s="21"/>
    </x:row>
    <x:row r="5" ht="26" customHeight="1">
      <x:c r="A5" s="22" t="str">
        <x:v>Zorunlu</x:v>
      </x:c>
      <x:c r="B5" s="22" t="str">
        <x:v>Zorunlu</x:v>
      </x:c>
      <x:c r="C5" s="22" t="str">
        <x:v>Zorunlu</x:v>
      </x:c>
      <x:c r="D5" s="22" t="str">
        <x:v>Zorunlu</x:v>
      </x:c>
      <x:c r="E5" s="22" t="str">
        <x:v>Zorunlu</x:v>
      </x:c>
      <x:c r="F5" s="22" t="str">
        <x:v>Zorunlu</x:v>
      </x:c>
      <x:c r="G5" s="22" t="str">
        <x:v>Zorunlu · tarih</x:v>
      </x:c>
    </x:row>
    <x:row r="6" ht="44" customHeight="1">
      <x:c r="A6" s="25" t="str">
        <x:v>Alan kimliği</x:v>
      </x:c>
      <x:c r="B6" s="25" t="str">
        <x:v>Şehir kimliği</x:v>
      </x:c>
      <x:c r="C6" s="25" t="str">
        <x:v>Sayfa alanı anahtarı</x:v>
      </x:c>
      <x:c r="D6" s="25" t="str">
        <x:v>Türkçe alan açıklaması</x:v>
      </x:c>
      <x:c r="E6" s="25" t="str">
        <x:v>Değer türü</x:v>
      </x:c>
      <x:c r="F6" s="25" t="str">
        <x:v>Alan değeri</x:v>
      </x:c>
      <x:c r="G6" s="25" t="str">
        <x:v>Alan kontrol tarihi</x:v>
      </x:c>
    </x:row>
    <x:row r="7" ht="32" customHeight="1">
      <x:c r="A7" s="28" t="str">
        <x:v>field_id</x:v>
      </x:c>
      <x:c r="B7" s="28" t="str">
        <x:v>city_id</x:v>
      </x:c>
      <x:c r="C7" s="28" t="str">
        <x:v>key</x:v>
      </x:c>
      <x:c r="D7" s="28" t="str">
        <x:v>label</x:v>
      </x:c>
      <x:c r="E7" s="28" t="str">
        <x:v>value_type</x:v>
      </x:c>
      <x:c r="F7" s="28" t="str">
        <x:v>value</x:v>
      </x:c>
      <x:c r="G7" s="28" t="str">
        <x:v>reviewed_on</x:v>
      </x:c>
    </x:row>
    <x:row r="8" ht="54" customHeight="1">
      <x:c r="A8" s="29" t="str">
        <x:v>bakersfield:field:facts</x:v>
      </x:c>
      <x:c r="B8" s="29" t="str">
        <x:v>bakersfield</x:v>
      </x:c>
      <x:c r="C8" s="29" t="str">
        <x:v>facts</x:v>
      </x:c>
      <x:c r="D8" s="29" t="str">
        <x:v>Sayfa alanı: facts</x:v>
      </x:c>
      <x:c r="E8" s="29" t="str">
        <x:v>JSON</x:v>
      </x:c>
      <x:c r="F8" s="29" t="str">
        <x:v>[{"entry": "bakersfield-yetki-alani", "label": "Mahalleni ve günlük yolunu seç", "value": "16 bölge"}, {"entry": "aylik-butce", "label": "Aylık ve taşınma bütçen", "value": "USD"}, {"entry": "get-baslangic", "label": "Şehir içi otobüs bağlantıları", "value": "GET"}, {"entry": "acil-bakim", "label": "Hayati tehlikede acil yardım", "value": "911"}]</x:v>
      </x:c>
      <x:c r="G8" s="31" t="d">
        <x:v>2026-10-24T00:00:00.000Z</x:v>
      </x:c>
    </x:row>
    <x:row r="9" ht="54" customHeight="1">
      <x:c r="A9" s="29" t="str">
        <x:v>bakersfield:field:covers</x:v>
      </x:c>
      <x:c r="B9" s="29" t="str">
        <x:v>bakersfield</x:v>
      </x:c>
      <x:c r="C9" s="29" t="str">
        <x:v>covers</x:v>
      </x:c>
      <x:c r="D9" s="29" t="str">
        <x:v>Sayfa alanı: covers</x:v>
      </x:c>
      <x:c r="E9" s="29" t="str">
        <x:v>JSON</x:v>
      </x:c>
      <x:c r="F9" s="29" t="str">
        <x:v>["Historic Bakersfield Fox Theater", "The Park at River Walk", "Kern County Museum", "Bakersfield Museum of Art", "The Padre Hotel", "Hart Memorial Park", "Wind Wolves Preserve", "Fort Tejon State Historic Park"]</x:v>
      </x:c>
      <x:c r="G9" s="31" t="d">
        <x:v>2026-10-24T00:00:00.000Z</x:v>
      </x:c>
    </x:row>
    <x:row r="10" ht="54" customHeight="1">
      <x:c r="A10" s="29" t="str">
        <x:v>bakersfield:field:timeline</x:v>
      </x:c>
      <x:c r="B10" s="29" t="str">
        <x:v>bakersfield</x:v>
      </x:c>
      <x:c r="C10" s="29" t="str">
        <x:v>timeline</x:v>
      </x:c>
      <x:c r="D10" s="29" t="str">
        <x:v>Sayfa alanı: timeline</x:v>
      </x:c>
      <x:c r="E10" s="29" t="str">
        <x:v>JSON</x:v>
      </x:c>
      <x:c r="F10" s="29" t="str">
        <x:v>[{"note": "Aile üyelerinin giriş, statü ve çalışma belgelerini ayrı düzenle.", "entry": "calisma-yetkisi", "title": "Kalış ve çalışma koşullarını belirle", "offset": -60}, {"note": "Okul, sağlık, iş ve kimlik belgelerini alıcı kurumun istediği biçimde hazırla.", "entry": "ilk-belgeler", "title": "Belge dosyanı hazırla", "offset": -30}, {"note": "Kira, güvence bedeli, eşya ve abonelik açılışlarını aylık giderlerden ayır.", "entry": "ilk-ay-butcesi", "title": "Konut ve başlangıç bütçeni kur", "offset": -21}, {"note": "Okul bölgesini tam adresten bul; iş ve okul ulaşımını aynı takvimde dene.", "entry": "okul-bolgesi", "title": "Okul ve günlük yolu eşleştir", "offset": -14}, {"note": "Meadows Field transferini bagaj, çocuk koltuğu ve varış saatine göre seç.", "entry": "meadows-field", "title": "Varış adresine ulaş", "offset": 0}, {"note": "I-94, USCIS, USPS ve DMV kayıtlarını kendi kurallarına göre tamamla.", "entry": "i94-kaydi", "title": "Giriş ve adres kayıtlarını düzenle", "offset": 1}, {"note": "Hasarları ve donanımı fotoğraflandır; abonelikleri doğru sağlayıcı ve tarihle aç.", "entry": "giris-tutanagi", "title": "Ev teslimini kaydet", "offset": 3}, {"note": "Plan başlangıcı, hekim ağı ve ilaç devamını birlikte planla.", "entry": "saglik-plani", "title": "Sağlık kapsamını kur", "offset": 7}, {"note": "Kütüphane, park veya gönüllü programla haftalık rutin oluştur.", "entry": "kutuphane-topluluk", "title": "Mahallende düzenli bir etkinlik bul", "offset": 14}, {"note": "Gerçek enerji, ulaşım ve sağlık harcamalarını ilk tahmininle karşılaştır.", "entry": "aylik-butce", "title": "İlk ay bütçeni güncelle", "offset": 30}]</x:v>
      </x:c>
      <x:c r="G10" s="31" t="d">
        <x:v>2026-10-24T00:00:00.000Z</x:v>
      </x:c>
    </x:row>
    <x:row r="11" ht="54" customHeight="1">
      <x:c r="A11" s="29" t="str">
        <x:v>bakersfield:field:emergency</x:v>
      </x:c>
      <x:c r="B11" s="29" t="str">
        <x:v>bakersfield</x:v>
      </x:c>
      <x:c r="C11" s="29" t="str">
        <x:v>emergency</x:v>
      </x:c>
      <x:c r="D11" s="29" t="str">
        <x:v>Sayfa alanı: emergency</x:v>
      </x:c>
      <x:c r="E11" s="29" t="str">
        <x:v>JSON</x:v>
      </x:c>
      <x:c r="F11" s="29" t="str">
        <x:v>[{"tel": "911", "desc": "Hayati tehlike, ambulans, yangın veya acil polis müdahalesi", "label": "Acil yardım", "number": "911"}]</x:v>
      </x:c>
      <x:c r="G11" s="31" t="d">
        <x:v>2026-10-24T00:00:00.000Z</x:v>
      </x:c>
    </x:row>
    <x:row r="12" ht="54" customHeight="1">
      <x:c r="A12" s="29" t="str">
        <x:v>bakersfield:field:hero_note</x:v>
      </x:c>
      <x:c r="B12" s="29" t="str">
        <x:v>bakersfield</x:v>
      </x:c>
      <x:c r="C12" s="29" t="str">
        <x:v>hero_note</x:v>
      </x:c>
      <x:c r="D12" s="29" t="str">
        <x:v>Sayfa alanı: hero_note</x:v>
      </x:c>
      <x:c r="E12" s="29" t="str">
        <x:v>Metin</x:v>
      </x:c>
      <x:c r="F12" s="29" t="str">
        <x:v>California’da ev, iş, okul ve günlük yaşam; Bakersfield sokaklarından Kern County’nin dağlarına.</x:v>
      </x:c>
      <x:c r="G12" s="31" t="d">
        <x:v>2026-10-24T00:00:00.000Z</x:v>
      </x:c>
    </x:row>
    <x:row r="13" ht="54" customHeight="1">
      <x:c r="A13" s="29" t="str">
        <x:v>bakersfield:field:hero_accent</x:v>
      </x:c>
      <x:c r="B13" s="29" t="str">
        <x:v>bakersfield</x:v>
      </x:c>
      <x:c r="C13" s="29" t="str">
        <x:v>hero_accent</x:v>
      </x:c>
      <x:c r="D13" s="29" t="str">
        <x:v>Sayfa alanı: hero_accent</x:v>
      </x:c>
      <x:c r="E13" s="29" t="str">
        <x:v>Metin</x:v>
      </x:c>
      <x:c r="F13" s="29" t="str">
        <x:v>Vadinin ritminde kendi hayatını kur.</x:v>
      </x:c>
      <x:c r="G13" s="31" t="d">
        <x:v>2026-10-24T00:00:00.000Z</x:v>
      </x:c>
    </x:row>
    <x:row r="14" ht="54" customHeight="1">
      <x:c r="A14" s="29" t="str">
        <x:v>bakersfield:field:hero_kicker</x:v>
      </x:c>
      <x:c r="B14" s="29" t="str">
        <x:v>bakersfield</x:v>
      </x:c>
      <x:c r="C14" s="29" t="str">
        <x:v>hero_kicker</x:v>
      </x:c>
      <x:c r="D14" s="29" t="str">
        <x:v>Sayfa alanı: hero_kicker</x:v>
      </x:c>
      <x:c r="E14" s="29" t="str">
        <x:v>Metin</x:v>
      </x:c>
      <x:c r="F14" s="29" t="str">
        <x:v>ABD · BAKERSFIELD REHBERİ</x:v>
      </x:c>
      <x:c r="G14" s="31" t="d">
        <x:v>2026-10-24T00:00:00.000Z</x:v>
      </x:c>
    </x:row>
    <x:row r="15" ht="54" customHeight="1">
      <x:c r="A15" s="29" t="str">
        <x:v>bakersfield:field:quick_links</x:v>
      </x:c>
      <x:c r="B15" s="29" t="str">
        <x:v>bakersfield</x:v>
      </x:c>
      <x:c r="C15" s="29" t="str">
        <x:v>quick_links</x:v>
      </x:c>
      <x:c r="D15" s="29" t="str">
        <x:v>Sayfa alanı: quick_links</x:v>
      </x:c>
      <x:c r="E15" s="29" t="str">
        <x:v>JSON</x:v>
      </x:c>
      <x:c r="F15" s="29" t="str">
        <x:v>[{"entry": "ilk-belgeler", "label": "İlk belgeler"}, {"entry": "ev-bulma", "label": "Ev ve kira"}, {"entry": "saglik-plani", "label": "Sağlık kapsamı"}]</x:v>
      </x:c>
      <x:c r="G15" s="31" t="d">
        <x:v>2026-10-24T00:00:00.000Z</x:v>
      </x:c>
    </x:row>
    <x:row r="16" ht="68" customHeight="1">
      <x:c r="A16" s="29" t="str">
        <x:v>bakersfield:field:topic_intro</x:v>
      </x:c>
      <x:c r="B16" s="29" t="str">
        <x:v>bakersfield</x:v>
      </x:c>
      <x:c r="C16" s="29" t="str">
        <x:v>topic_intro</x:v>
      </x:c>
      <x:c r="D16" s="29" t="str">
        <x:v>Sayfa alanı: topic_intro</x:v>
      </x:c>
      <x:c r="E16" s="29" t="str">
        <x:v>Metin</x:v>
      </x:c>
      <x:c r="F16" s="29" t="str">
        <x:v>Federal işlemler, California kuralları ve Bakersfield hizmetleri bir arada. Posta adresi ile belediye, su sağlayıcısı ve okul bölgesinin sınırları aynı olmayabilir.</x:v>
      </x:c>
      <x:c r="G16" s="31" t="d">
        <x:v>2026-10-24T00:00:00.000Z</x:v>
      </x:c>
    </x:row>
    <x:row r="17" ht="54" customHeight="1">
      <x:c r="A17" s="29" t="str">
        <x:v>bakersfield:field:topic_title</x:v>
      </x:c>
      <x:c r="B17" s="29" t="str">
        <x:v>bakersfield</x:v>
      </x:c>
      <x:c r="C17" s="29" t="str">
        <x:v>topic_title</x:v>
      </x:c>
      <x:c r="D17" s="29" t="str">
        <x:v>Sayfa alanı: topic_title</x:v>
      </x:c>
      <x:c r="E17" s="29" t="str">
        <x:v>Metin</x:v>
      </x:c>
      <x:c r="F17" s="29" t="str">
        <x:v>Yeni şehir.
Günlük hayatın için sağlam bir başlangıç.</x:v>
      </x:c>
      <x:c r="G17" s="31" t="d">
        <x:v>2026-10-24T00:00:00.000Z</x:v>
      </x:c>
    </x:row>
    <x:row r="18" ht="54" customHeight="1">
      <x:c r="A18" s="29" t="str">
        <x:v>bakersfield:field:advice_entry</x:v>
      </x:c>
      <x:c r="B18" s="29" t="str">
        <x:v>bakersfield</x:v>
      </x:c>
      <x:c r="C18" s="29" t="str">
        <x:v>advice_entry</x:v>
      </x:c>
      <x:c r="D18" s="29" t="str">
        <x:v>Sayfa alanı: advice_entry</x:v>
      </x:c>
      <x:c r="E18" s="29" t="str">
        <x:v>Metin</x:v>
      </x:c>
      <x:c r="F18" s="29" t="str">
        <x:v>hukuk-yardimi</x:v>
      </x:c>
      <x:c r="G18" s="31" t="d">
        <x:v>2026-10-24T00:00:00.000Z</x:v>
      </x:c>
    </x:row>
    <x:row r="19" ht="54" customHeight="1">
      <x:c r="A19" s="29" t="str">
        <x:v>bakersfield:field:advice_label</x:v>
      </x:c>
      <x:c r="B19" s="29" t="str">
        <x:v>bakersfield</x:v>
      </x:c>
      <x:c r="C19" s="29" t="str">
        <x:v>advice_label</x:v>
      </x:c>
      <x:c r="D19" s="29" t="str">
        <x:v>Sayfa alanı: advice_label</x:v>
      </x:c>
      <x:c r="E19" s="29" t="str">
        <x:v>Metin</x:v>
      </x:c>
      <x:c r="F19" s="29" t="str">
        <x:v>Hukuki destek</x:v>
      </x:c>
      <x:c r="G19" s="31" t="d">
        <x:v>2026-10-24T00:00:00.000Z</x:v>
      </x:c>
    </x:row>
    <x:row r="20" ht="54" customHeight="1">
      <x:c r="A20" s="29" t="str">
        <x:v>bakersfield:field:arrival_note</x:v>
      </x:c>
      <x:c r="B20" s="29" t="str">
        <x:v>bakersfield</x:v>
      </x:c>
      <x:c r="C20" s="29" t="str">
        <x:v>arrival_note</x:v>
      </x:c>
      <x:c r="D20" s="29" t="str">
        <x:v>Sayfa alanı: arrival_note</x:v>
      </x:c>
      <x:c r="E20" s="29" t="str">
        <x:v>Metin</x:v>
      </x:c>
      <x:c r="F20" s="29" t="str">
        <x:v>Takvim kişisel hazırlık önerisidir; resmî başvuru süreleri ilgili işleme göre belirlenir.</x:v>
      </x:c>
      <x:c r="G20" s="31" t="d">
        <x:v>2026-10-24T00:00:00.000Z</x:v>
      </x:c>
    </x:row>
    <x:row r="21" ht="54" customHeight="1">
      <x:c r="A21" s="29" t="str">
        <x:v>bakersfield:field:pharmacy_url</x:v>
      </x:c>
      <x:c r="B21" s="29" t="str">
        <x:v>bakersfield</x:v>
      </x:c>
      <x:c r="C21" s="29" t="str">
        <x:v>pharmacy_url</x:v>
      </x:c>
      <x:c r="D21" s="29" t="str">
        <x:v>Sayfa alanı: pharmacy_url</x:v>
      </x:c>
      <x:c r="E21" s="29" t="str">
        <x:v>Metin</x:v>
      </x:c>
      <x:c r="F21" s="29" t="str">
        <x:v>https://www.pharmacy.ca.gov/about/verify_lic.shtml</x:v>
      </x:c>
      <x:c r="G21" s="31" t="d">
        <x:v>2026-10-24T00:00:00.000Z</x:v>
      </x:c>
    </x:row>
    <x:row r="22" ht="54" customHeight="1">
      <x:c r="A22" s="29" t="str">
        <x:v>bakersfield:field:photo_credit</x:v>
      </x:c>
      <x:c r="B22" s="29" t="str">
        <x:v>bakersfield</x:v>
      </x:c>
      <x:c r="C22" s="29" t="str">
        <x:v>photo_credit</x:v>
      </x:c>
      <x:c r="D22" s="29" t="str">
        <x:v>Sayfa alanı: photo_credit</x:v>
      </x:c>
      <x:c r="E22" s="29" t="str">
        <x:v>Metin</x:v>
      </x:c>
      <x:c r="F22" s="29" t="str">
        <x:v>Gerçek fotoğraflar kullanılır. Fotoğrafçı, kaynak ve kullanım lisansı görselin yanında yer alır.</x:v>
      </x:c>
      <x:c r="G22" s="31" t="d">
        <x:v>2026-10-24T00:00:00.000Z</x:v>
      </x:c>
    </x:row>
    <x:row r="23" ht="54" customHeight="1">
      <x:c r="A23" s="29" t="str">
        <x:v>bakersfield:field:place_groups</x:v>
      </x:c>
      <x:c r="B23" s="29" t="str">
        <x:v>bakersfield</x:v>
      </x:c>
      <x:c r="C23" s="29" t="str">
        <x:v>place_groups</x:v>
      </x:c>
      <x:c r="D23" s="29" t="str">
        <x:v>Sayfa alanı: place_groups</x:v>
      </x:c>
      <x:c r="E23" s="29" t="str">
        <x:v>JSON</x:v>
      </x:c>
      <x:c r="F23" s="29" t="str">
        <x:v>[{"key": "museum", "label": "Müzeler"}, {"key": "art", "label": "Sanat ve tasarım"}, {"key": "stage", "label": "Sahne ve müzik"}, {"key": "sport", "label": "Spor"}, {"key": "nature", "label": "Doğa ve açık hava"}, {"key": "family", "label": "Aile ve çocuk"}, {"key": "food", "label": "Yeme ve içme"}, {"key": "history", "label": "Tarih ve mimari"}, {"key": "shopping", "label": "Alışveriş ve pazarlar"}]</x:v>
      </x:c>
      <x:c r="G23" s="31" t="d">
        <x:v>2026-10-24T00:00:00.000Z</x:v>
      </x:c>
    </x:row>
    <x:row r="24" ht="54" customHeight="1">
      <x:c r="A24" s="29" t="str">
        <x:v>bakersfield:field:sources_note</x:v>
      </x:c>
      <x:c r="B24" s="29" t="str">
        <x:v>bakersfield</x:v>
      </x:c>
      <x:c r="C24" s="29" t="str">
        <x:v>sources_note</x:v>
      </x:c>
      <x:c r="D24" s="29" t="str">
        <x:v>Sayfa alanı: sources_note</x:v>
      </x:c>
      <x:c r="E24" s="29" t="str">
        <x:v>Metin</x:v>
      </x:c>
      <x:c r="F24" s="29" t="str">
        <x:v>Kaynak incelemesi: 24 Ekim 2026. Her kartta ilgili kurum ve işlem bağlantıları bulunur.</x:v>
      </x:c>
      <x:c r="G24" s="31" t="d">
        <x:v>2026-10-24T00:00:00.000Z</x:v>
      </x:c>
    </x:row>
    <x:row r="25" ht="54" customHeight="1">
      <x:c r="A25" s="29" t="str">
        <x:v>bakersfield:field:budget_fields</x:v>
      </x:c>
      <x:c r="B25" s="29" t="str">
        <x:v>bakersfield</x:v>
      </x:c>
      <x:c r="C25" s="29" t="str">
        <x:v>budget_fields</x:v>
      </x:c>
      <x:c r="D25" s="29" t="str">
        <x:v>Sayfa alanı: budget_fields</x:v>
      </x:c>
      <x:c r="E25" s="29" t="str">
        <x:v>JSON</x:v>
      </x:c>
      <x:c r="F25" s="29" t="str">
        <x:v>[{"key": "income", "label": "Aylık net gelir"}, {"key": "rent", "label": "Aylık kira"}, {"key": "bills", "label": "Elektrik, gaz, su, telefon ve internet"}, {"key": "food", "label": "Market ve yemek"}, {"key": "transport", "label": "GET, araç, sigorta, yakıt ve park"}, {"key": "health", "label": "Sigorta, ilaç ve hasta payı"}, {"key": "leisure", "label": "Kültür, spor ve sosyal yaşam"}, {"key": "other", "label": "Çocuk bakımı ve diğer aylık giderler"}, {"key": "deposit", "label": "Depozito ve peşin konut ödemeleri"}, {"key": "moving", "label": "Taşınma, eşya ve ilk kurulum"}]</x:v>
      </x:c>
      <x:c r="G25" s="31" t="d">
        <x:v>2026-10-24T00:00:00.000Z</x:v>
      </x:c>
    </x:row>
    <x:row r="26" ht="54" customHeight="1">
      <x:c r="A26" s="29" t="str">
        <x:v>bakersfield:field:emergency_url</x:v>
      </x:c>
      <x:c r="B26" s="29" t="str">
        <x:v>bakersfield</x:v>
      </x:c>
      <x:c r="C26" s="29" t="str">
        <x:v>emergency_url</x:v>
      </x:c>
      <x:c r="D26" s="29" t="str">
        <x:v>Sayfa alanı: emergency_url</x:v>
      </x:c>
      <x:c r="E26" s="29" t="str">
        <x:v>Metin</x:v>
      </x:c>
      <x:c r="F26" s="29" t="str">
        <x:v>https://www.readykern.com/</x:v>
      </x:c>
      <x:c r="G26" s="31" t="d">
        <x:v>2026-10-24T00:00:00.000Z</x:v>
      </x:c>
    </x:row>
    <x:row r="27" ht="82" customHeight="1">
      <x:c r="A27" s="29" t="str">
        <x:v>bakersfield:field:explore_intro</x:v>
      </x:c>
      <x:c r="B27" s="29" t="str">
        <x:v>bakersfield</x:v>
      </x:c>
      <x:c r="C27" s="29" t="str">
        <x:v>explore_intro</x:v>
      </x:c>
      <x:c r="D27" s="29" t="str">
        <x:v>Sayfa alanı: explore_intro</x:v>
      </x:c>
      <x:c r="E27" s="29" t="str">
        <x:v>Metin</x:v>
      </x:c>
      <x:c r="F27" s="29" t="str">
        <x:v>Bakersfield’ın müzeleri, sahneleri, parkları ve yemek durakları; çevre kasabalar ve dağlar için ayrı gezi seçenekleri. Her kartın konumunda şehir içi veya bölge gezisi ayrımı bulunur. Mojave, Ridgecrest, kuzey Tulare County ve yüksek dağ duraklarına ayrı gün ayır.</x:v>
      </x:c>
      <x:c r="G27" s="31" t="d">
        <x:v>2026-10-24T00:00:00.000Z</x:v>
      </x:c>
    </x:row>
    <x:row r="28" ht="54" customHeight="1">
      <x:c r="A28" s="29" t="str">
        <x:v>bakersfield:field:explore_title</x:v>
      </x:c>
      <x:c r="B28" s="29" t="str">
        <x:v>bakersfield</x:v>
      </x:c>
      <x:c r="C28" s="29" t="str">
        <x:v>explore_title</x:v>
      </x:c>
      <x:c r="D28" s="29" t="str">
        <x:v>Sayfa alanı: explore_title</x:v>
      </x:c>
      <x:c r="E28" s="29" t="str">
        <x:v>Metin</x:v>
      </x:c>
      <x:c r="F28" s="29" t="str">
        <x:v>Müzik, kent tarihi ve açık hava.
Bakersfield’ı yaşa.</x:v>
      </x:c>
      <x:c r="G28" s="31" t="d">
        <x:v>2026-10-24T00:00:00.000Z</x:v>
      </x:c>
    </x:row>
    <x:row r="29" ht="54" customHeight="1">
      <x:c r="A29" s="29" t="str">
        <x:v>bakersfield:field:journey_intro</x:v>
      </x:c>
      <x:c r="B29" s="29" t="str">
        <x:v>bakersfield</x:v>
      </x:c>
      <x:c r="C29" s="29" t="str">
        <x:v>journey_intro</x:v>
      </x:c>
      <x:c r="D29" s="29" t="str">
        <x:v>Sayfa alanı: journey_intro</x:v>
      </x:c>
      <x:c r="E29" s="29" t="str">
        <x:v>Metin</x:v>
      </x:c>
      <x:c r="F29" s="29" t="str">
        <x:v>Taşınma tarihine göre kişisel hazırlık planını oluştur; tamamladığın adımları işaretle.</x:v>
      </x:c>
      <x:c r="G29" s="31" t="d">
        <x:v>2026-10-24T00:00:00.000Z</x:v>
      </x:c>
    </x:row>
    <x:row r="30" ht="54" customHeight="1">
      <x:c r="A30" s="29" t="str">
        <x:v>bakersfield:field:journey_steps</x:v>
      </x:c>
      <x:c r="B30" s="29" t="str">
        <x:v>bakersfield</x:v>
      </x:c>
      <x:c r="C30" s="29" t="str">
        <x:v>journey_steps</x:v>
      </x:c>
      <x:c r="D30" s="29" t="str">
        <x:v>Sayfa alanı: journey_steps</x:v>
      </x:c>
      <x:c r="E30" s="29" t="str">
        <x:v>JSON</x:v>
      </x:c>
      <x:c r="F30" s="29" t="str">
        <x:v>[{"when": "Taşınmadan önce", "entry": "ilk-belgeler", "title": "Statünü ve belge dosyanı hazırla", "description": "Kimlik, giriş, aile, sağlık ve okul belgelerini kişi bazında düzenle."}, {"when": "İlk günlerinde", "entry": "i94-kaydi", "title": "Giriş ve adres kayıtlarını tamamla", "description": "I-94, USCIS, USPS ve DMV işlemlerini ayrı takip et."}, {"when": "İlk haftalarında", "entry": "saglik-plani", "title": "Ev ve sağlık düzenini kur", "description": "Sağlık kapsamını, ev hizmetlerini, okul kaydını ve işe gidişi birlikte planla."}, {"when": "Yerleşirken", "entry": "sehir-ilk-gezi", "title": "Şehre zaman ayır", "description": "Kütüphane, park, sahne veya topluluk programından düzenli bir buluşma seç."}]</x:v>
      </x:c>
      <x:c r="G30" s="31" t="d">
        <x:v>2026-10-24T00:00:00.000Z</x:v>
      </x:c>
    </x:row>
    <x:row r="31" ht="54" customHeight="1">
      <x:c r="A31" s="29" t="str">
        <x:v>bakersfield:field:journey_title</x:v>
      </x:c>
      <x:c r="B31" s="29" t="str">
        <x:v>bakersfield</x:v>
      </x:c>
      <x:c r="C31" s="29" t="str">
        <x:v>journey_title</x:v>
      </x:c>
      <x:c r="D31" s="29" t="str">
        <x:v>Sayfa alanı: journey_title</x:v>
      </x:c>
      <x:c r="E31" s="29" t="str">
        <x:v>Metin</x:v>
      </x:c>
      <x:c r="F31" s="29" t="str">
        <x:v>Varıştan günlük düzenine.
Adım adım Bakersfield.</x:v>
      </x:c>
      <x:c r="G31" s="31" t="d">
        <x:v>2026-10-24T00:00:00.000Z</x:v>
      </x:c>
    </x:row>
    <x:row r="32" ht="54" customHeight="1">
      <x:c r="A32" s="29" t="str">
        <x:v>bakersfield:field:local_preview</x:v>
      </x:c>
      <x:c r="B32" s="29" t="str">
        <x:v>bakersfield</x:v>
      </x:c>
      <x:c r="C32" s="29" t="str">
        <x:v>local_preview</x:v>
      </x:c>
      <x:c r="D32" s="29" t="str">
        <x:v>Sayfa alanı: local_preview</x:v>
      </x:c>
      <x:c r="E32" s="29" t="str">
        <x:v>JSON</x:v>
      </x:c>
      <x:c r="F32" s="29" t="str">
        <x:v>{"reason": "Kullanıcı yerel sitede güncel üretimi izliyor.", "enabled": true, "publication_approved": false}</x:v>
      </x:c>
      <x:c r="G32" s="31" t="d">
        <x:v>2026-10-24T00:00:00.000Z</x:v>
      </x:c>
    </x:row>
    <x:row r="33" ht="54" customHeight="1">
      <x:c r="A33" s="29" t="str">
        <x:v>bakersfield:field:pharmacy_label</x:v>
      </x:c>
      <x:c r="B33" s="29" t="str">
        <x:v>bakersfield</x:v>
      </x:c>
      <x:c r="C33" s="29" t="str">
        <x:v>pharmacy_label</x:v>
      </x:c>
      <x:c r="D33" s="29" t="str">
        <x:v>Sayfa alanı: pharmacy_label</x:v>
      </x:c>
      <x:c r="E33" s="29" t="str">
        <x:v>Metin</x:v>
      </x:c>
      <x:c r="F33" s="29" t="str">
        <x:v>California Eczacılık Kurulu ve ruhsat bilgisi</x:v>
      </x:c>
      <x:c r="G33" s="31" t="d">
        <x:v>2026-10-24T00:00:00.000Z</x:v>
      </x:c>
    </x:row>
    <x:row r="34" ht="54" customHeight="1">
      <x:c r="A34" s="29" t="str">
        <x:v>bakersfield:field:featured_entries</x:v>
      </x:c>
      <x:c r="B34" s="29" t="str">
        <x:v>bakersfield</x:v>
      </x:c>
      <x:c r="C34" s="29" t="str">
        <x:v>featured_entries</x:v>
      </x:c>
      <x:c r="D34" s="29" t="str">
        <x:v>Sayfa alanı: featured_entries</x:v>
      </x:c>
      <x:c r="E34" s="29" t="str">
        <x:v>JSON</x:v>
      </x:c>
      <x:c r="F34" s="29" t="str">
        <x:v>["ilk-belgeler", "i94-kaydi", "ssn-basvuru", "ev-bulma", "abonelik-saglayici", "banka-hesabi", "saglik-plani", "okul-bolgesi", "get-baslangic", "calisma-yetkisi", "aylik-butce", "readykern-kayit"]</x:v>
      </x:c>
      <x:c r="G34" s="31" t="d">
        <x:v>2026-10-24T00:00:00.000Z</x:v>
      </x:c>
    </x:row>
    <x:row r="35" ht="54" customHeight="1">
      <x:c r="A35" s="29" t="str">
        <x:v>bakersfield:field:editorial_workflow</x:v>
      </x:c>
      <x:c r="B35" s="29" t="str">
        <x:v>bakersfield</x:v>
      </x:c>
      <x:c r="C35" s="29" t="str">
        <x:v>editorial_workflow</x:v>
      </x:c>
      <x:c r="D35" s="29" t="str">
        <x:v>Sayfa alanı: editorial_workflow</x:v>
      </x:c>
      <x:c r="E35" s="29" t="str">
        <x:v>JSON</x:v>
      </x:c>
      <x:c r="F35" s="29" t="str">
        <x:v>{"reason": "Üretim ve AI öz denetimi tamamlandı; bağımsız insan yayın onayı bu işlemde verilmedi.", "status": "ai_reviewed", "reviewer": "Codex (AI)", "human_approved": false, "publication_ready": false, "production_complete": true}</x:v>
      </x:c>
      <x:c r="G35" s="31" t="d">
        <x:v>2026-10-24T00:00:00.000Z</x:v>
      </x:c>
    </x:row>
    <x:row r="36" ht="54" customHeight="1">
      <x:c r="A36" s="29" t="str">
        <x:v>bakersfield:field:neighborhood_intro</x:v>
      </x:c>
      <x:c r="B36" s="29" t="str">
        <x:v>bakersfield</x:v>
      </x:c>
      <x:c r="C36" s="29" t="str">
        <x:v>neighborhood_intro</x:v>
      </x:c>
      <x:c r="D36" s="29" t="str">
        <x:v>Sayfa alanı: neighborhood_intro</x:v>
      </x:c>
      <x:c r="E36" s="29" t="str">
        <x:v>Metin</x:v>
      </x:c>
      <x:c r="F36" s="29" t="str">
        <x:v>16 yaşam bölgesi; resmî mahalle veya okul sınırı listesi değildir. Ev, okul, iş yolu, sıcaklık ve afet haritalarını tam adres üzerinde birlikte değerlendir.</x:v>
      </x:c>
      <x:c r="G36" s="31" t="d">
        <x:v>2026-10-24T00:00:00.000Z</x:v>
      </x:c>
    </x:row>
    <x:row r="37" ht="54" customHeight="1">
      <x:c r="A37" s="29" t="str">
        <x:v>bakersfield:field:neighborhood_title</x:v>
      </x:c>
      <x:c r="B37" s="29" t="str">
        <x:v>bakersfield</x:v>
      </x:c>
      <x:c r="C37" s="29" t="str">
        <x:v>neighborhood_title</x:v>
      </x:c>
      <x:c r="D37" s="29" t="str">
        <x:v>Sayfa alanı: neighborhood_title</x:v>
      </x:c>
      <x:c r="E37" s="29" t="str">
        <x:v>Metin</x:v>
      </x:c>
      <x:c r="F37" s="29" t="str">
        <x:v>Merkez, kampüs ve nehir çevresi.
Kendine uygun bölgeyi bul.</x:v>
      </x:c>
      <x:c r="G37" s="31" t="d">
        <x:v>2026-10-24T00:00:00.000Z</x:v>
      </x:c>
    </x:row>
    <x:row r="38" ht="54" customHeight="1">
      <x:c r="A38" s="29" t="str">
        <x:v>bakersfield:field:topic_descriptions</x:v>
      </x:c>
      <x:c r="B38" s="29" t="str">
        <x:v>bakersfield</x:v>
      </x:c>
      <x:c r="C38" s="29" t="str">
        <x:v>topic_descriptions</x:v>
      </x:c>
      <x:c r="D38" s="29" t="str">
        <x:v>Sayfa alanı: topic_descriptions</x:v>
      </x:c>
      <x:c r="E38" s="29" t="str">
        <x:v>JSON</x:v>
      </x:c>
      <x:c r="F38" s="29" t="str">
        <x:v>{"ev": "California kiracılığı, başvuru ücreti, depozito, onarım ve ev teslimi.", "is": "Çalışma yetkisi, California ücret ve mola kuralları, EDD ve iş güvenliği.", "aile": "Okul bölgesi, kayıt, dil desteği, TK, çocuk bakımı ve aile programları.", "para": "Banka, kredi, federal ve California vergileri; aylık ve ilk ay bütçesi.", "resmi": "I-94, SSN, California kimliği, adres kayıtları ve kurum yetkileri.", "fatura": "Adrese göre elektrik, gaz, su ve internet sağlayıcısı; tarife ve destekler.", "gunluk": "Kütüphane, atık, evcil hayvanlar, ölçü birimleri ve ReadyKern.", "haklar": "Kiracı, çalışan ve tüketici başvuruları; mahkemeler ve erişilebilirlik.", "saglik": "Covered California, Medi-Cal, hekim ağı, ilaç devamı ve yerel sağlık koşulları.", "sosyal": "Country müzik, Bask kültürü, müzeler, kampüsler ve Kern County gezileri.", "ulasim": "GET, Kern Transit, Amtrak bağlantıları, Meadows Field, DMV ve araç işlemleri.", "turkiye": "Los Angeles Başkonsolosluğu, konsolosluk işlemleri, seyahat ve Türkiye bağlantıları."}</x:v>
      </x:c>
      <x:c r="G38" s="31" t="d">
        <x:v>2026-10-24T00:00:00.000Z</x:v>
      </x:c>
    </x:row>
    <x:row r="39" ht="54" customHeight="1">
      <x:c r="A39" s="29" t="str">
        <x:v>bakersfield:field:fresh_production_id</x:v>
      </x:c>
      <x:c r="B39" s="29" t="str">
        <x:v>bakersfield</x:v>
      </x:c>
      <x:c r="C39" s="29" t="str">
        <x:v>fresh_production_id</x:v>
      </x:c>
      <x:c r="D39" s="29" t="str">
        <x:v>Sayfa alanı: fresh_production_id</x:v>
      </x:c>
      <x:c r="E39" s="29" t="str">
        <x:v>Metin</x:v>
      </x:c>
      <x:c r="F39" s="29" t="str">
        <x:v>bakersfield-20261023-codex</x:v>
      </x:c>
      <x:c r="G39" s="31" t="d">
        <x:v>2026-10-24T00:00:00.000Z</x:v>
      </x:c>
    </x:row>
    <x:row r="40" ht="54" customHeight="1">
      <x:c r="A40" s="29" t="str">
        <x:v>bakersfield:field:world_guide_version</x:v>
      </x:c>
      <x:c r="B40" s="29" t="str">
        <x:v>bakersfield</x:v>
      </x:c>
      <x:c r="C40" s="29" t="str">
        <x:v>world_guide_version</x:v>
      </x:c>
      <x:c r="D40" s="29" t="str">
        <x:v>Sayfa alanı: world_guide_version</x:v>
      </x:c>
      <x:c r="E40" s="29" t="str">
        <x:v>Sayı</x:v>
      </x:c>
      <x:c r="F40" s="29" t="str">
        <x:v>1</x:v>
      </x:c>
      <x:c r="G40" s="31" t="d">
        <x:v>2026-10-24T00:00:00.000Z</x:v>
      </x:c>
    </x:row>
    <x:row r="41" ht="54" customHeight="1">
      <x:c r="A41" s="29" t="str">
        <x:v>bakersfield:field:neighborhood_sources</x:v>
      </x:c>
      <x:c r="B41" s="29" t="str">
        <x:v>bakersfield</x:v>
      </x:c>
      <x:c r="C41" s="29" t="str">
        <x:v>neighborhood_sources</x:v>
      </x:c>
      <x:c r="D41" s="29" t="str">
        <x:v>Sayfa alanı: neighborhood_sources</x:v>
      </x:c>
      <x:c r="E41" s="29" t="str">
        <x:v>JSON</x:v>
      </x:c>
      <x:c r="F41" s="29" t="str">
        <x:v>["city-map", "school-districts", "transit", "fema-map", "fire-map"]</x:v>
      </x:c>
      <x:c r="G41" s="31" t="d">
        <x:v>2026-10-24T00:00:00.000Z</x:v>
      </x:c>
    </x:row>
    <x:row r="42" ht="54" customHeight="1">
      <x:c r="A42" s="29"/>
      <x:c r="B42" s="29"/>
      <x:c r="C42" s="29"/>
      <x:c r="D42" s="29"/>
      <x:c r="E42" s="29"/>
      <x:c r="F42" s="29"/>
      <x:c r="G42" s="31"/>
    </x:row>
    <x:row r="43" ht="54" customHeight="1">
      <x:c r="A43" s="29"/>
      <x:c r="B43" s="29"/>
      <x:c r="C43" s="29"/>
      <x:c r="D43" s="29"/>
      <x:c r="E43" s="29"/>
      <x:c r="F43" s="29"/>
      <x:c r="G43" s="31"/>
    </x:row>
  </x:sheetData>
  <x:mergeCells>
    <x:mergeCell ref="A3:G3"/>
  </x:mergeCells>
  <x:conditionalFormatting sqref="A8:A43">
    <x:cfRule type="expression" dxfId="143" priority="1">
      <x:formula>AND($A8&lt;&gt;"",ISBLANK(A8))</x:formula>
    </x:cfRule>
  </x:conditionalFormatting>
  <x:conditionalFormatting sqref="B8:B43">
    <x:cfRule type="expression" dxfId="144" priority="2">
      <x:formula>AND($A8&lt;&gt;"",ISBLANK(B8))</x:formula>
    </x:cfRule>
  </x:conditionalFormatting>
  <x:conditionalFormatting sqref="C8:C43">
    <x:cfRule type="expression" dxfId="145" priority="3">
      <x:formula>AND($A8&lt;&gt;"",ISBLANK(C8))</x:formula>
    </x:cfRule>
  </x:conditionalFormatting>
  <x:conditionalFormatting sqref="D8:D43">
    <x:cfRule type="expression" dxfId="146" priority="4">
      <x:formula>AND($A8&lt;&gt;"",ISBLANK(D8))</x:formula>
    </x:cfRule>
  </x:conditionalFormatting>
  <x:conditionalFormatting sqref="E8:E43">
    <x:cfRule type="expression" dxfId="147" priority="5">
      <x:formula>AND($A8&lt;&gt;"",ISBLANK(E8))</x:formula>
    </x:cfRule>
  </x:conditionalFormatting>
  <x:conditionalFormatting sqref="F8:F43">
    <x:cfRule type="expression" dxfId="148" priority="6">
      <x:formula>AND($A8&lt;&gt;"",ISBLANK(F8))</x:formula>
    </x:cfRule>
  </x:conditionalFormatting>
  <x:conditionalFormatting sqref="G8:G43">
    <x:cfRule type="expression" dxfId="149" priority="7">
      <x:formula>AND($A8&lt;&gt;"",ISBLANK(G8))</x:formula>
    </x:cfRule>
  </x:conditionalFormatting>
  <x:dataValidations count="1">
    <x:dataValidation type="list" sqref="E8:E43">
      <x:formula1>"Metin,Sayı,Mantıksal,JSON"</x:formula1>
    </x:dataValidation>
  </x:dataValidations>
  <x:pageMargins left="0.7" right="0.7" top="0.75" bottom="0.75" header="0.3" footer="0.3"/>
  <x:tableParts count="1">
    <x:tablePart xmlns:r="http://schemas.openxmlformats.org/officeDocument/2006/relationships" r:id="R8ce945b159844035"/>
  </x:tableParts>
</x:worksheet>
</file>

<file path=xl/worksheets/sheet1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32" hidden="0" customWidth="1"/>
    <x:col min="5" max="5" width="28" hidden="0" customWidth="1"/>
    <x:col min="6" max="6" width="28" hidden="0" customWidth="1"/>
    <x:col min="7" max="7" width="58" hidden="0" customWidth="1"/>
  </x:cols>
  <x:sheetData>
    <x:row r="1" ht="30" customHeight="1">
      <x:c r="A1" s="2"/>
      <x:c r="B1" s="2"/>
      <x:c r="C1" s="2"/>
      <x:c r="D1" s="2"/>
      <x:c r="E1" s="2"/>
      <x:c r="F1" s="2"/>
      <x:c r="G1" s="2"/>
    </x:row>
    <x:row r="2" ht="30" customHeight="1">
      <x:c r="A2" s="19" t="str">
        <x:v>Corteqs · Ek kart alanları</x:v>
      </x:c>
      <x:c r="B2" s="2"/>
      <x:c r="C2" s="2"/>
      <x:c r="D2" s="2"/>
      <x:c r="E2" s="2"/>
      <x:c r="F2" s="2"/>
      <x:c r="G2" s="2"/>
    </x:row>
    <x:row r="3" ht="36" customHeight="1">
      <x:c r="A3" s="20" t="str">
        <x:v>Türkçe başlığı okuyun; veriyi 8. satırdan yazın. 7. satırdaki alan adını ve sayfa adını değiştirmeyin.</x:v>
      </x:c>
      <x:c r="B3" s="20"/>
      <x:c r="C3" s="20"/>
      <x:c r="D3" s="20"/>
      <x:c r="E3" s="20"/>
      <x:c r="F3" s="20"/>
      <x:c r="G3" s="20"/>
    </x:row>
    <x:row r="4" ht="30" customHeight="1">
      <x:c r="A4" s="21"/>
      <x:c r="B4" s="21"/>
      <x:c r="C4" s="21"/>
      <x:c r="D4" s="21"/>
      <x:c r="E4" s="21"/>
      <x:c r="F4" s="21"/>
      <x:c r="G4" s="21"/>
    </x:row>
    <x:row r="5" ht="26" customHeight="1">
      <x:c r="A5" s="22" t="str">
        <x:v>Zorunlu</x:v>
      </x:c>
      <x:c r="B5" s="22" t="str">
        <x:v>Zorunlu</x:v>
      </x:c>
      <x:c r="C5" s="22" t="str">
        <x:v>Zorunlu</x:v>
      </x:c>
      <x:c r="D5" s="22" t="str">
        <x:v>Zorunlu</x:v>
      </x:c>
      <x:c r="E5" s="22" t="str">
        <x:v>Zorunlu</x:v>
      </x:c>
      <x:c r="F5" s="22" t="str">
        <x:v>Zorunlu</x:v>
      </x:c>
      <x:c r="G5" s="22" t="str">
        <x:v>Zorunlu</x:v>
      </x:c>
    </x:row>
    <x:row r="6" ht="44" customHeight="1">
      <x:c r="A6" s="25" t="str">
        <x:v>Detay kimliği</x:v>
      </x:c>
      <x:c r="B6" s="25" t="str">
        <x:v>Şehir kimliği</x:v>
      </x:c>
      <x:c r="C6" s="25" t="str">
        <x:v>İçerik kimliği</x:v>
      </x:c>
      <x:c r="D6" s="25" t="str">
        <x:v>Detay anahtarı</x:v>
      </x:c>
      <x:c r="E6" s="25" t="str">
        <x:v>Türkçe alan açıklaması</x:v>
      </x:c>
      <x:c r="F6" s="25" t="str">
        <x:v>Değer türü</x:v>
      </x:c>
      <x:c r="G6" s="25" t="str">
        <x:v>Alan değeri</x:v>
      </x:c>
    </x:row>
    <x:row r="7" ht="32" customHeight="1">
      <x:c r="A7" s="28" t="str">
        <x:v>detail_id</x:v>
      </x:c>
      <x:c r="B7" s="28" t="str">
        <x:v>city_id</x:v>
      </x:c>
      <x:c r="C7" s="28" t="str">
        <x:v>entry_id</x:v>
      </x:c>
      <x:c r="D7" s="28" t="str">
        <x:v>key</x:v>
      </x:c>
      <x:c r="E7" s="28" t="str">
        <x:v>label</x:v>
      </x:c>
      <x:c r="F7" s="28" t="str">
        <x:v>value_type</x:v>
      </x:c>
      <x:c r="G7" s="28" t="str">
        <x:v>value</x:v>
      </x:c>
    </x:row>
    <x:row r="8" ht="54" customHeight="1">
      <x:c r="A8" s="29" t="str">
        <x:v>bakersfield:detail:ilk-belgeler-1</x:v>
      </x:c>
      <x:c r="B8" s="29" t="str">
        <x:v>bakersfield</x:v>
      </x:c>
      <x:c r="C8" s="29" t="str">
        <x:v>bakersfield:ilk-belgeler</x:v>
      </x:c>
      <x:c r="D8" s="29" t="str">
        <x:v>_db_entry_identity</x:v>
      </x:c>
      <x:c r="E8" s="29" t="str">
        <x:v>Kart alanı: _db_entry_identity</x:v>
      </x:c>
      <x:c r="F8" s="29" t="str">
        <x:v>JSON</x:v>
      </x:c>
      <x:c r="G8" s="29" t="str">
        <x:v>{"id": 30362, "guide_id": 82, "topic_id": 1007, "image_id": null, "published": true, "updated_at": "2026-10-23 21:55:17.919755+00:00"}</x:v>
      </x:c>
    </x:row>
    <x:row r="9" ht="54" customHeight="1">
      <x:c r="A9" s="29" t="str">
        <x:v>bakersfield:detail:i94-kaydi-2</x:v>
      </x:c>
      <x:c r="B9" s="29" t="str">
        <x:v>bakersfield</x:v>
      </x:c>
      <x:c r="C9" s="29" t="str">
        <x:v>bakersfield:i94-kaydi</x:v>
      </x:c>
      <x:c r="D9" s="29" t="str">
        <x:v>_db_entry_identity</x:v>
      </x:c>
      <x:c r="E9" s="29" t="str">
        <x:v>Kart alanı: _db_entry_identity</x:v>
      </x:c>
      <x:c r="F9" s="29" t="str">
        <x:v>JSON</x:v>
      </x:c>
      <x:c r="G9" s="29" t="str">
        <x:v>{"id": 30363, "guide_id": 82, "topic_id": 1007, "image_id": null, "published": true, "updated_at": "2026-10-23 21:55:17.921556+00:00"}</x:v>
      </x:c>
    </x:row>
    <x:row r="10" ht="54" customHeight="1">
      <x:c r="A10" s="29" t="str">
        <x:v>bakersfield:detail:vize-ve-statu-3</x:v>
      </x:c>
      <x:c r="B10" s="29" t="str">
        <x:v>bakersfield</x:v>
      </x:c>
      <x:c r="C10" s="29" t="str">
        <x:v>bakersfield:vize-ve-statu</x:v>
      </x:c>
      <x:c r="D10" s="29" t="str">
        <x:v>_db_entry_identity</x:v>
      </x:c>
      <x:c r="E10" s="29" t="str">
        <x:v>Kart alanı: _db_entry_identity</x:v>
      </x:c>
      <x:c r="F10" s="29" t="str">
        <x:v>JSON</x:v>
      </x:c>
      <x:c r="G10" s="29" t="str">
        <x:v>{"id": 30364, "guide_id": 82, "topic_id": 1007, "image_id": null, "published": true, "updated_at": "2026-10-23 21:55:17.922700+00:00"}</x:v>
      </x:c>
    </x:row>
    <x:row r="11" ht="54" customHeight="1">
      <x:c r="A11" s="29" t="str">
        <x:v>bakersfield:detail:kalista-ds-4</x:v>
      </x:c>
      <x:c r="B11" s="29" t="str">
        <x:v>bakersfield</x:v>
      </x:c>
      <x:c r="C11" s="29" t="str">
        <x:v>bakersfield:kalista-ds</x:v>
      </x:c>
      <x:c r="D11" s="29" t="str">
        <x:v>_db_entry_identity</x:v>
      </x:c>
      <x:c r="E11" s="29" t="str">
        <x:v>Kart alanı: _db_entry_identity</x:v>
      </x:c>
      <x:c r="F11" s="29" t="str">
        <x:v>JSON</x:v>
      </x:c>
      <x:c r="G11" s="29" t="str">
        <x:v>{"id": 30365, "guide_id": 82, "topic_id": 1007, "image_id": null, "published": true, "updated_at": "2026-10-23 21:55:17.923850+00:00"}</x:v>
      </x:c>
    </x:row>
    <x:row r="12" ht="54" customHeight="1">
      <x:c r="A12" s="29" t="str">
        <x:v>bakersfield:detail:aile-statusu-5</x:v>
      </x:c>
      <x:c r="B12" s="29" t="str">
        <x:v>bakersfield</x:v>
      </x:c>
      <x:c r="C12" s="29" t="str">
        <x:v>bakersfield:aile-statusu</x:v>
      </x:c>
      <x:c r="D12" s="29" t="str">
        <x:v>_db_entry_identity</x:v>
      </x:c>
      <x:c r="E12" s="29" t="str">
        <x:v>Kart alanı: _db_entry_identity</x:v>
      </x:c>
      <x:c r="F12" s="29" t="str">
        <x:v>JSON</x:v>
      </x:c>
      <x:c r="G12" s="29" t="str">
        <x:v>{"id": 30366, "guide_id": 82, "topic_id": 1007, "image_id": null, "published": true, "updated_at": "2026-10-23 21:55:17.925005+00:00"}</x:v>
      </x:c>
    </x:row>
    <x:row r="13" ht="54" customHeight="1">
      <x:c r="A13" s="29" t="str">
        <x:v>bakersfield:detail:ssn-basvuru-6</x:v>
      </x:c>
      <x:c r="B13" s="29" t="str">
        <x:v>bakersfield</x:v>
      </x:c>
      <x:c r="C13" s="29" t="str">
        <x:v>bakersfield:ssn-basvuru</x:v>
      </x:c>
      <x:c r="D13" s="29" t="str">
        <x:v>_db_entry_identity</x:v>
      </x:c>
      <x:c r="E13" s="29" t="str">
        <x:v>Kart alanı: _db_entry_identity</x:v>
      </x:c>
      <x:c r="F13" s="29" t="str">
        <x:v>JSON</x:v>
      </x:c>
      <x:c r="G13" s="29" t="str">
        <x:v>{"id": 30367, "guide_id": 82, "topic_id": 1007, "image_id": null, "published": true, "updated_at": "2026-10-23 21:55:17.926116+00:00"}</x:v>
      </x:c>
    </x:row>
    <x:row r="14" ht="54" customHeight="1">
      <x:c r="A14" s="29" t="str">
        <x:v>bakersfield:detail:ssn-kart-siniri-7</x:v>
      </x:c>
      <x:c r="B14" s="29" t="str">
        <x:v>bakersfield</x:v>
      </x:c>
      <x:c r="C14" s="29" t="str">
        <x:v>bakersfield:ssn-kart-siniri</x:v>
      </x:c>
      <x:c r="D14" s="29" t="str">
        <x:v>_db_entry_identity</x:v>
      </x:c>
      <x:c r="E14" s="29" t="str">
        <x:v>Kart alanı: _db_entry_identity</x:v>
      </x:c>
      <x:c r="F14" s="29" t="str">
        <x:v>JSON</x:v>
      </x:c>
      <x:c r="G14" s="29" t="str">
        <x:v>{"id": 30368, "guide_id": 82, "topic_id": 1007, "image_id": null, "published": true, "updated_at": "2026-10-23 21:55:17.927204+00:00"}</x:v>
      </x:c>
    </x:row>
    <x:row r="15" ht="54" customHeight="1">
      <x:c r="A15" s="29" t="str">
        <x:v>bakersfield:detail:itin-basvuru-8</x:v>
      </x:c>
      <x:c r="B15" s="29" t="str">
        <x:v>bakersfield</x:v>
      </x:c>
      <x:c r="C15" s="29" t="str">
        <x:v>bakersfield:itin-basvuru</x:v>
      </x:c>
      <x:c r="D15" s="29" t="str">
        <x:v>_db_entry_identity</x:v>
      </x:c>
      <x:c r="E15" s="29" t="str">
        <x:v>Kart alanı: _db_entry_identity</x:v>
      </x:c>
      <x:c r="F15" s="29" t="str">
        <x:v>JSON</x:v>
      </x:c>
      <x:c r="G15" s="29" t="str">
        <x:v>{"id": 30369, "guide_id": 82, "topic_id": 1007, "image_id": null, "published": true, "updated_at": "2026-10-23 21:55:17.928270+00:00"}</x:v>
      </x:c>
    </x:row>
    <x:row r="16" ht="54" customHeight="1">
      <x:c r="A16" s="29" t="str">
        <x:v>bakersfield:detail:california-kimlik-9</x:v>
      </x:c>
      <x:c r="B16" s="29" t="str">
        <x:v>bakersfield</x:v>
      </x:c>
      <x:c r="C16" s="29" t="str">
        <x:v>bakersfield:california-kimlik</x:v>
      </x:c>
      <x:c r="D16" s="29" t="str">
        <x:v>_db_entry_identity</x:v>
      </x:c>
      <x:c r="E16" s="29" t="str">
        <x:v>Kart alanı: _db_entry_identity</x:v>
      </x:c>
      <x:c r="F16" s="29" t="str">
        <x:v>JSON</x:v>
      </x:c>
      <x:c r="G16" s="29" t="str">
        <x:v>{"id": 30370, "guide_id": 82, "topic_id": 1007, "image_id": null, "published": true, "updated_at": "2026-10-23 21:55:17.929254+00:00"}</x:v>
      </x:c>
    </x:row>
    <x:row r="17" ht="54" customHeight="1">
      <x:c r="A17" s="29" t="str">
        <x:v>bakersfield:detail:real-id-10</x:v>
      </x:c>
      <x:c r="B17" s="29" t="str">
        <x:v>bakersfield</x:v>
      </x:c>
      <x:c r="C17" s="29" t="str">
        <x:v>bakersfield:real-id</x:v>
      </x:c>
      <x:c r="D17" s="29" t="str">
        <x:v>_db_entry_identity</x:v>
      </x:c>
      <x:c r="E17" s="29" t="str">
        <x:v>Kart alanı: _db_entry_identity</x:v>
      </x:c>
      <x:c r="F17" s="29" t="str">
        <x:v>JSON</x:v>
      </x:c>
      <x:c r="G17" s="29" t="str">
        <x:v>{"id": 30371, "guide_id": 82, "topic_id": 1007, "image_id": null, "published": true, "updated_at": "2026-10-23 21:55:17.930388+00:00"}</x:v>
      </x:c>
    </x:row>
    <x:row r="18" ht="54" customHeight="1">
      <x:c r="A18" s="29" t="str">
        <x:v>bakersfield:detail:ab60-11</x:v>
      </x:c>
      <x:c r="B18" s="29" t="str">
        <x:v>bakersfield</x:v>
      </x:c>
      <x:c r="C18" s="29" t="str">
        <x:v>bakersfield:ab60</x:v>
      </x:c>
      <x:c r="D18" s="29" t="str">
        <x:v>_db_entry_identity</x:v>
      </x:c>
      <x:c r="E18" s="29" t="str">
        <x:v>Kart alanı: _db_entry_identity</x:v>
      </x:c>
      <x:c r="F18" s="29" t="str">
        <x:v>JSON</x:v>
      </x:c>
      <x:c r="G18" s="29" t="str">
        <x:v>{"id": 30372, "guide_id": 82, "topic_id": 1007, "image_id": null, "published": true, "updated_at": "2026-10-23 21:55:17.931426+00:00"}</x:v>
      </x:c>
    </x:row>
    <x:row r="19" ht="54" customHeight="1">
      <x:c r="A19" s="29" t="str">
        <x:v>bakersfield:detail:uscis-adres-12</x:v>
      </x:c>
      <x:c r="B19" s="29" t="str">
        <x:v>bakersfield</x:v>
      </x:c>
      <x:c r="C19" s="29" t="str">
        <x:v>bakersfield:uscis-adres</x:v>
      </x:c>
      <x:c r="D19" s="29" t="str">
        <x:v>_db_entry_identity</x:v>
      </x:c>
      <x:c r="E19" s="29" t="str">
        <x:v>Kart alanı: _db_entry_identity</x:v>
      </x:c>
      <x:c r="F19" s="29" t="str">
        <x:v>JSON</x:v>
      </x:c>
      <x:c r="G19" s="29" t="str">
        <x:v>{"id": 30373, "guide_id": 82, "topic_id": 1007, "image_id": null, "published": true, "updated_at": "2026-10-23 21:55:17.932563+00:00"}</x:v>
      </x:c>
    </x:row>
    <x:row r="20" ht="54" customHeight="1">
      <x:c r="A20" s="29" t="str">
        <x:v>bakersfield:detail:posta-yonlendirme-13</x:v>
      </x:c>
      <x:c r="B20" s="29" t="str">
        <x:v>bakersfield</x:v>
      </x:c>
      <x:c r="C20" s="29" t="str">
        <x:v>bakersfield:posta-yonlendirme</x:v>
      </x:c>
      <x:c r="D20" s="29" t="str">
        <x:v>_db_entry_identity</x:v>
      </x:c>
      <x:c r="E20" s="29" t="str">
        <x:v>Kart alanı: _db_entry_identity</x:v>
      </x:c>
      <x:c r="F20" s="29" t="str">
        <x:v>JSON</x:v>
      </x:c>
      <x:c r="G20" s="29" t="str">
        <x:v>{"id": 30374, "guide_id": 82, "topic_id": 1007, "image_id": null, "published": true, "updated_at": "2026-10-23 21:55:17.933731+00:00"}</x:v>
      </x:c>
    </x:row>
    <x:row r="21" ht="54" customHeight="1">
      <x:c r="A21" s="29" t="str">
        <x:v>bakersfield:detail:dmv-adres-14</x:v>
      </x:c>
      <x:c r="B21" s="29" t="str">
        <x:v>bakersfield</x:v>
      </x:c>
      <x:c r="C21" s="29" t="str">
        <x:v>bakersfield:dmv-adres</x:v>
      </x:c>
      <x:c r="D21" s="29" t="str">
        <x:v>_db_entry_identity</x:v>
      </x:c>
      <x:c r="E21" s="29" t="str">
        <x:v>Kart alanı: _db_entry_identity</x:v>
      </x:c>
      <x:c r="F21" s="29" t="str">
        <x:v>JSON</x:v>
      </x:c>
      <x:c r="G21" s="29" t="str">
        <x:v>{"id": 30375, "guide_id": 82, "topic_id": 1007, "image_id": null, "published": true, "updated_at": "2026-10-23 21:55:17.934834+00:00"}</x:v>
      </x:c>
    </x:row>
    <x:row r="22" ht="54" customHeight="1">
      <x:c r="A22" s="29" t="str">
        <x:v>bakersfield:detail:tercume-15</x:v>
      </x:c>
      <x:c r="B22" s="29" t="str">
        <x:v>bakersfield</x:v>
      </x:c>
      <x:c r="C22" s="29" t="str">
        <x:v>bakersfield:tercume</x:v>
      </x:c>
      <x:c r="D22" s="29" t="str">
        <x:v>_db_entry_identity</x:v>
      </x:c>
      <x:c r="E22" s="29" t="str">
        <x:v>Kart alanı: _db_entry_identity</x:v>
      </x:c>
      <x:c r="F22" s="29" t="str">
        <x:v>JSON</x:v>
      </x:c>
      <x:c r="G22" s="29" t="str">
        <x:v>{"id": 30376, "guide_id": 82, "topic_id": 1007, "image_id": null, "published": true, "updated_at": "2026-10-23 21:55:17.935922+00:00"}</x:v>
      </x:c>
    </x:row>
    <x:row r="23" ht="54" customHeight="1">
      <x:c r="A23" s="29" t="str">
        <x:v>bakersfield:detail:apostil-16</x:v>
      </x:c>
      <x:c r="B23" s="29" t="str">
        <x:v>bakersfield</x:v>
      </x:c>
      <x:c r="C23" s="29" t="str">
        <x:v>bakersfield:apostil</x:v>
      </x:c>
      <x:c r="D23" s="29" t="str">
        <x:v>_db_entry_identity</x:v>
      </x:c>
      <x:c r="E23" s="29" t="str">
        <x:v>Kart alanı: _db_entry_identity</x:v>
      </x:c>
      <x:c r="F23" s="29" t="str">
        <x:v>JSON</x:v>
      </x:c>
      <x:c r="G23" s="29" t="str">
        <x:v>{"id": 30377, "guide_id": 82, "topic_id": 1007, "image_id": null, "published": true, "updated_at": "2026-10-23 21:55:17.936985+00:00"}</x:v>
      </x:c>
    </x:row>
    <x:row r="24" ht="54" customHeight="1">
      <x:c r="A24" s="29" t="str">
        <x:v>bakersfield:detail:bakersfield-yetki-alani-17</x:v>
      </x:c>
      <x:c r="B24" s="29" t="str">
        <x:v>bakersfield</x:v>
      </x:c>
      <x:c r="C24" s="29" t="str">
        <x:v>bakersfield:bakersfield-yetki-alani</x:v>
      </x:c>
      <x:c r="D24" s="29" t="str">
        <x:v>_db_entry_identity</x:v>
      </x:c>
      <x:c r="E24" s="29" t="str">
        <x:v>Kart alanı: _db_entry_identity</x:v>
      </x:c>
      <x:c r="F24" s="29" t="str">
        <x:v>JSON</x:v>
      </x:c>
      <x:c r="G24" s="29" t="str">
        <x:v>{"id": 30378, "guide_id": 82, "topic_id": 1007, "image_id": null, "published": true, "updated_at": "2026-10-23 21:55:17.938039+00:00"}</x:v>
      </x:c>
    </x:row>
    <x:row r="25" ht="54" customHeight="1">
      <x:c r="A25" s="29" t="str">
        <x:v>bakersfield:detail:basvuru-takibi-18</x:v>
      </x:c>
      <x:c r="B25" s="29" t="str">
        <x:v>bakersfield</x:v>
      </x:c>
      <x:c r="C25" s="29" t="str">
        <x:v>bakersfield:basvuru-takibi</x:v>
      </x:c>
      <x:c r="D25" s="29" t="str">
        <x:v>_db_entry_identity</x:v>
      </x:c>
      <x:c r="E25" s="29" t="str">
        <x:v>Kart alanı: _db_entry_identity</x:v>
      </x:c>
      <x:c r="F25" s="29" t="str">
        <x:v>JSON</x:v>
      </x:c>
      <x:c r="G25" s="29" t="str">
        <x:v>{"id": 30379, "guide_id": 82, "topic_id": 1007, "image_id": null, "published": true, "updated_at": "2026-10-23 21:55:17.939131+00:00"}</x:v>
      </x:c>
    </x:row>
    <x:row r="26" ht="54" customHeight="1">
      <x:c r="A26" s="29" t="str">
        <x:v>bakersfield:detail:ssn-ad-duzeltme-19</x:v>
      </x:c>
      <x:c r="B26" s="29" t="str">
        <x:v>bakersfield</x:v>
      </x:c>
      <x:c r="C26" s="29" t="str">
        <x:v>bakersfield:ssn-ad-duzeltme</x:v>
      </x:c>
      <x:c r="D26" s="29" t="str">
        <x:v>_db_entry_identity</x:v>
      </x:c>
      <x:c r="E26" s="29" t="str">
        <x:v>Kart alanı: _db_entry_identity</x:v>
      </x:c>
      <x:c r="F26" s="29" t="str">
        <x:v>JSON</x:v>
      </x:c>
      <x:c r="G26" s="29" t="str">
        <x:v>{"id": 30380, "guide_id": 82, "topic_id": 1007, "image_id": null, "published": true, "updated_at": "2026-10-23 21:55:17.940204+00:00"}</x:v>
      </x:c>
    </x:row>
    <x:row r="27" ht="54" customHeight="1">
      <x:c r="A27" s="29" t="str">
        <x:v>bakersfield:detail:belge-takvimi-20</x:v>
      </x:c>
      <x:c r="B27" s="29" t="str">
        <x:v>bakersfield</x:v>
      </x:c>
      <x:c r="C27" s="29" t="str">
        <x:v>bakersfield:belge-takvimi</x:v>
      </x:c>
      <x:c r="D27" s="29" t="str">
        <x:v>_db_entry_identity</x:v>
      </x:c>
      <x:c r="E27" s="29" t="str">
        <x:v>Kart alanı: _db_entry_identity</x:v>
      </x:c>
      <x:c r="F27" s="29" t="str">
        <x:v>JSON</x:v>
      </x:c>
      <x:c r="G27" s="29" t="str">
        <x:v>{"id": 30381, "guide_id": 82, "topic_id": 1007, "image_id": null, "published": true, "updated_at": "2026-10-23 21:55:17.941282+00:00"}</x:v>
      </x:c>
    </x:row>
    <x:row r="28" ht="54" customHeight="1">
      <x:c r="A28" s="29" t="str">
        <x:v>bakersfield:detail:ev-bulma-21</x:v>
      </x:c>
      <x:c r="B28" s="29" t="str">
        <x:v>bakersfield</x:v>
      </x:c>
      <x:c r="C28" s="29" t="str">
        <x:v>bakersfield:ev-bulma</x:v>
      </x:c>
      <x:c r="D28" s="29" t="str">
        <x:v>_db_entry_identity</x:v>
      </x:c>
      <x:c r="E28" s="29" t="str">
        <x:v>Kart alanı: _db_entry_identity</x:v>
      </x:c>
      <x:c r="F28" s="29" t="str">
        <x:v>JSON</x:v>
      </x:c>
      <x:c r="G28" s="29" t="str">
        <x:v>{"id": 30382, "guide_id": 82, "topic_id": 1008, "image_id": null, "published": true, "updated_at": "2026-10-23 21:55:17.942303+00:00"}</x:v>
      </x:c>
    </x:row>
    <x:row r="29" ht="54" customHeight="1">
      <x:c r="A29" s="29" t="str">
        <x:v>bakersfield:detail:kiralik-ilan-22</x:v>
      </x:c>
      <x:c r="B29" s="29" t="str">
        <x:v>bakersfield</x:v>
      </x:c>
      <x:c r="C29" s="29" t="str">
        <x:v>bakersfield:kiralik-ilan</x:v>
      </x:c>
      <x:c r="D29" s="29" t="str">
        <x:v>_db_entry_identity</x:v>
      </x:c>
      <x:c r="E29" s="29" t="str">
        <x:v>Kart alanı: _db_entry_identity</x:v>
      </x:c>
      <x:c r="F29" s="29" t="str">
        <x:v>JSON</x:v>
      </x:c>
      <x:c r="G29" s="29" t="str">
        <x:v>{"id": 30383, "guide_id": 82, "topic_id": 1008, "image_id": null, "published": true, "updated_at": "2026-10-23 21:55:17.943477+00:00"}</x:v>
      </x:c>
    </x:row>
    <x:row r="30" ht="54" customHeight="1">
      <x:c r="A30" s="29" t="str">
        <x:v>bakersfield:detail:kira-basvuru-23</x:v>
      </x:c>
      <x:c r="B30" s="29" t="str">
        <x:v>bakersfield</x:v>
      </x:c>
      <x:c r="C30" s="29" t="str">
        <x:v>bakersfield:kira-basvuru</x:v>
      </x:c>
      <x:c r="D30" s="29" t="str">
        <x:v>_db_entry_identity</x:v>
      </x:c>
      <x:c r="E30" s="29" t="str">
        <x:v>Kart alanı: _db_entry_identity</x:v>
      </x:c>
      <x:c r="F30" s="29" t="str">
        <x:v>JSON</x:v>
      </x:c>
      <x:c r="G30" s="29" t="str">
        <x:v>{"id": 30384, "guide_id": 82, "topic_id": 1008, "image_id": null, "published": true, "updated_at": "2026-10-23 21:55:17.944521+00:00"}</x:v>
      </x:c>
    </x:row>
    <x:row r="31" ht="54" customHeight="1">
      <x:c r="A31" s="29" t="str">
        <x:v>bakersfield:detail:basvuru-ucreti-24</x:v>
      </x:c>
      <x:c r="B31" s="29" t="str">
        <x:v>bakersfield</x:v>
      </x:c>
      <x:c r="C31" s="29" t="str">
        <x:v>bakersfield:basvuru-ucreti</x:v>
      </x:c>
      <x:c r="D31" s="29" t="str">
        <x:v>_db_entry_identity</x:v>
      </x:c>
      <x:c r="E31" s="29" t="str">
        <x:v>Kart alanı: _db_entry_identity</x:v>
      </x:c>
      <x:c r="F31" s="29" t="str">
        <x:v>JSON</x:v>
      </x:c>
      <x:c r="G31" s="29" t="str">
        <x:v>{"id": 30385, "guide_id": 82, "topic_id": 1008, "image_id": null, "published": true, "updated_at": "2026-10-23 21:55:17.945562+00:00"}</x:v>
      </x:c>
    </x:row>
    <x:row r="32" ht="54" customHeight="1">
      <x:c r="A32" s="29" t="str">
        <x:v>bakersfield:detail:sozlesme-25</x:v>
      </x:c>
      <x:c r="B32" s="29" t="str">
        <x:v>bakersfield</x:v>
      </x:c>
      <x:c r="C32" s="29" t="str">
        <x:v>bakersfield:sozlesme</x:v>
      </x:c>
      <x:c r="D32" s="29" t="str">
        <x:v>_db_entry_identity</x:v>
      </x:c>
      <x:c r="E32" s="29" t="str">
        <x:v>Kart alanı: _db_entry_identity</x:v>
      </x:c>
      <x:c r="F32" s="29" t="str">
        <x:v>JSON</x:v>
      </x:c>
      <x:c r="G32" s="29" t="str">
        <x:v>{"id": 30386, "guide_id": 82, "topic_id": 1008, "image_id": null, "published": true, "updated_at": "2026-10-23 21:55:17.946573+00:00"}</x:v>
      </x:c>
    </x:row>
    <x:row r="33" ht="54" customHeight="1">
      <x:c r="A33" s="29" t="str">
        <x:v>bakersfield:detail:depozito-siniri-26</x:v>
      </x:c>
      <x:c r="B33" s="29" t="str">
        <x:v>bakersfield</x:v>
      </x:c>
      <x:c r="C33" s="29" t="str">
        <x:v>bakersfield:depozito-siniri</x:v>
      </x:c>
      <x:c r="D33" s="29" t="str">
        <x:v>_db_entry_identity</x:v>
      </x:c>
      <x:c r="E33" s="29" t="str">
        <x:v>Kart alanı: _db_entry_identity</x:v>
      </x:c>
      <x:c r="F33" s="29" t="str">
        <x:v>JSON</x:v>
      </x:c>
      <x:c r="G33" s="29" t="str">
        <x:v>{"id": 30387, "guide_id": 82, "topic_id": 1008, "image_id": null, "published": true, "updated_at": "2026-10-23 21:55:17.947561+00:00"}</x:v>
      </x:c>
    </x:row>
    <x:row r="34" ht="54" customHeight="1">
      <x:c r="A34" s="29" t="str">
        <x:v>bakersfield:detail:giris-tutanagi-27</x:v>
      </x:c>
      <x:c r="B34" s="29" t="str">
        <x:v>bakersfield</x:v>
      </x:c>
      <x:c r="C34" s="29" t="str">
        <x:v>bakersfield:giris-tutanagi</x:v>
      </x:c>
      <x:c r="D34" s="29" t="str">
        <x:v>_db_entry_identity</x:v>
      </x:c>
      <x:c r="E34" s="29" t="str">
        <x:v>Kart alanı: _db_entry_identity</x:v>
      </x:c>
      <x:c r="F34" s="29" t="str">
        <x:v>JSON</x:v>
      </x:c>
      <x:c r="G34" s="29" t="str">
        <x:v>{"id": 30388, "guide_id": 82, "topic_id": 1008, "image_id": null, "published": true, "updated_at": "2026-10-23 21:55:17.948550+00:00"}</x:v>
      </x:c>
    </x:row>
    <x:row r="35" ht="54" customHeight="1">
      <x:c r="A35" s="29" t="str">
        <x:v>bakersfield:detail:evde-onarim-28</x:v>
      </x:c>
      <x:c r="B35" s="29" t="str">
        <x:v>bakersfield</x:v>
      </x:c>
      <x:c r="C35" s="29" t="str">
        <x:v>bakersfield:evde-onarim</x:v>
      </x:c>
      <x:c r="D35" s="29" t="str">
        <x:v>_db_entry_identity</x:v>
      </x:c>
      <x:c r="E35" s="29" t="str">
        <x:v>Kart alanı: _db_entry_identity</x:v>
      </x:c>
      <x:c r="F35" s="29" t="str">
        <x:v>JSON</x:v>
      </x:c>
      <x:c r="G35" s="29" t="str">
        <x:v>{"id": 30389, "guide_id": 82, "topic_id": 1008, "image_id": null, "published": true, "updated_at": "2026-10-23 21:55:17.949590+00:00"}</x:v>
      </x:c>
    </x:row>
    <x:row r="36" ht="54" customHeight="1">
      <x:c r="A36" s="29" t="str">
        <x:v>bakersfield:detail:ev-sogutma-29</x:v>
      </x:c>
      <x:c r="B36" s="29" t="str">
        <x:v>bakersfield</x:v>
      </x:c>
      <x:c r="C36" s="29" t="str">
        <x:v>bakersfield:ev-sogutma</x:v>
      </x:c>
      <x:c r="D36" s="29" t="str">
        <x:v>_db_entry_identity</x:v>
      </x:c>
      <x:c r="E36" s="29" t="str">
        <x:v>Kart alanı: _db_entry_identity</x:v>
      </x:c>
      <x:c r="F36" s="29" t="str">
        <x:v>JSON</x:v>
      </x:c>
      <x:c r="G36" s="29" t="str">
        <x:v>{"id": 30390, "guide_id": 82, "topic_id": 1008, "image_id": null, "published": true, "updated_at": "2026-10-23 21:55:17.950614+00:00"}</x:v>
      </x:c>
    </x:row>
    <x:row r="37" ht="54" customHeight="1">
      <x:c r="A37" s="29" t="str">
        <x:v>bakersfield:detail:ev-sayac-30</x:v>
      </x:c>
      <x:c r="B37" s="29" t="str">
        <x:v>bakersfield</x:v>
      </x:c>
      <x:c r="C37" s="29" t="str">
        <x:v>bakersfield:ev-sayac</x:v>
      </x:c>
      <x:c r="D37" s="29" t="str">
        <x:v>_db_entry_identity</x:v>
      </x:c>
      <x:c r="E37" s="29" t="str">
        <x:v>Kart alanı: _db_entry_identity</x:v>
      </x:c>
      <x:c r="F37" s="29" t="str">
        <x:v>JSON</x:v>
      </x:c>
      <x:c r="G37" s="29" t="str">
        <x:v>{"id": 30391, "guide_id": 82, "topic_id": 1008, "image_id": null, "published": true, "updated_at": "2026-10-23 21:55:17.951646+00:00"}</x:v>
      </x:c>
    </x:row>
    <x:row r="38" ht="54" customHeight="1">
      <x:c r="A38" s="29" t="str">
        <x:v>bakersfield:detail:ev-paylasimi-31</x:v>
      </x:c>
      <x:c r="B38" s="29" t="str">
        <x:v>bakersfield</x:v>
      </x:c>
      <x:c r="C38" s="29" t="str">
        <x:v>bakersfield:ev-paylasimi</x:v>
      </x:c>
      <x:c r="D38" s="29" t="str">
        <x:v>_db_entry_identity</x:v>
      </x:c>
      <x:c r="E38" s="29" t="str">
        <x:v>Kart alanı: _db_entry_identity</x:v>
      </x:c>
      <x:c r="F38" s="29" t="str">
        <x:v>JSON</x:v>
      </x:c>
      <x:c r="G38" s="29" t="str">
        <x:v>{"id": 30392, "guide_id": 82, "topic_id": 1008, "image_id": null, "published": true, "updated_at": "2026-10-23 21:55:17.952701+00:00"}</x:v>
      </x:c>
    </x:row>
    <x:row r="39" ht="54" customHeight="1">
      <x:c r="A39" s="29" t="str">
        <x:v>bakersfield:detail:kiraci-sigorta-32</x:v>
      </x:c>
      <x:c r="B39" s="29" t="str">
        <x:v>bakersfield</x:v>
      </x:c>
      <x:c r="C39" s="29" t="str">
        <x:v>bakersfield:kiraci-sigorta</x:v>
      </x:c>
      <x:c r="D39" s="29" t="str">
        <x:v>_db_entry_identity</x:v>
      </x:c>
      <x:c r="E39" s="29" t="str">
        <x:v>Kart alanı: _db_entry_identity</x:v>
      </x:c>
      <x:c r="F39" s="29" t="str">
        <x:v>JSON</x:v>
      </x:c>
      <x:c r="G39" s="29" t="str">
        <x:v>{"id": 30393, "guide_id": 82, "topic_id": 1008, "image_id": null, "published": true, "updated_at": "2026-10-23 21:55:17.953687+00:00"}</x:v>
      </x:c>
    </x:row>
    <x:row r="40" ht="54" customHeight="1">
      <x:c r="A40" s="29" t="str">
        <x:v>bakersfield:detail:evcil-hayvan-kira-33</x:v>
      </x:c>
      <x:c r="B40" s="29" t="str">
        <x:v>bakersfield</x:v>
      </x:c>
      <x:c r="C40" s="29" t="str">
        <x:v>bakersfield:evcil-hayvan-kira</x:v>
      </x:c>
      <x:c r="D40" s="29" t="str">
        <x:v>_db_entry_identity</x:v>
      </x:c>
      <x:c r="E40" s="29" t="str">
        <x:v>Kart alanı: _db_entry_identity</x:v>
      </x:c>
      <x:c r="F40" s="29" t="str">
        <x:v>JSON</x:v>
      </x:c>
      <x:c r="G40" s="29" t="str">
        <x:v>{"id": 30394, "guide_id": 82, "topic_id": 1008, "image_id": null, "published": true, "updated_at": "2026-10-23 21:55:17.954714+00:00"}</x:v>
      </x:c>
    </x:row>
    <x:row r="41" ht="54" customHeight="1">
      <x:c r="A41" s="29" t="str">
        <x:v>bakersfield:detail:ev-sel-yangin-34</x:v>
      </x:c>
      <x:c r="B41" s="29" t="str">
        <x:v>bakersfield</x:v>
      </x:c>
      <x:c r="C41" s="29" t="str">
        <x:v>bakersfield:ev-sel-yangin</x:v>
      </x:c>
      <x:c r="D41" s="29" t="str">
        <x:v>_db_entry_identity</x:v>
      </x:c>
      <x:c r="E41" s="29" t="str">
        <x:v>Kart alanı: _db_entry_identity</x:v>
      </x:c>
      <x:c r="F41" s="29" t="str">
        <x:v>JSON</x:v>
      </x:c>
      <x:c r="G41" s="29" t="str">
        <x:v>{"id": 30395, "guide_id": 82, "topic_id": 1008, "image_id": null, "published": true, "updated_at": "2026-10-23 21:55:17.955791+00:00"}</x:v>
      </x:c>
    </x:row>
    <x:row r="42" ht="54" customHeight="1">
      <x:c r="A42" s="29" t="str">
        <x:v>bakersfield:detail:kira-artisi-35</x:v>
      </x:c>
      <x:c r="B42" s="29" t="str">
        <x:v>bakersfield</x:v>
      </x:c>
      <x:c r="C42" s="29" t="str">
        <x:v>bakersfield:kira-artisi</x:v>
      </x:c>
      <x:c r="D42" s="29" t="str">
        <x:v>_db_entry_identity</x:v>
      </x:c>
      <x:c r="E42" s="29" t="str">
        <x:v>Kart alanı: _db_entry_identity</x:v>
      </x:c>
      <x:c r="F42" s="29" t="str">
        <x:v>JSON</x:v>
      </x:c>
      <x:c r="G42" s="29" t="str">
        <x:v>{"id": 30396, "guide_id": 82, "topic_id": 1008, "image_id": null, "published": true, "updated_at": "2026-10-23 21:55:17.956881+00:00"}</x:v>
      </x:c>
    </x:row>
    <x:row r="43" ht="54" customHeight="1">
      <x:c r="A43" s="29" t="str">
        <x:v>bakersfield:detail:ev-sahibi-girisi-36</x:v>
      </x:c>
      <x:c r="B43" s="29" t="str">
        <x:v>bakersfield</x:v>
      </x:c>
      <x:c r="C43" s="29" t="str">
        <x:v>bakersfield:ev-sahibi-girisi</x:v>
      </x:c>
      <x:c r="D43" s="29" t="str">
        <x:v>_db_entry_identity</x:v>
      </x:c>
      <x:c r="E43" s="29" t="str">
        <x:v>Kart alanı: _db_entry_identity</x:v>
      </x:c>
      <x:c r="F43" s="29" t="str">
        <x:v>JSON</x:v>
      </x:c>
      <x:c r="G43" s="29" t="str">
        <x:v>{"id": 30397, "guide_id": 82, "topic_id": 1008, "image_id": null, "published": true, "updated_at": "2026-10-23 21:55:17.958052+00:00"}</x:v>
      </x:c>
    </x:row>
    <x:row r="44" ht="54" customHeight="1">
      <x:c r="A44" s="29" t="str">
        <x:v>bakersfield:detail:evden-cikis-37</x:v>
      </x:c>
      <x:c r="B44" s="29" t="str">
        <x:v>bakersfield</x:v>
      </x:c>
      <x:c r="C44" s="29" t="str">
        <x:v>bakersfield:evden-cikis</x:v>
      </x:c>
      <x:c r="D44" s="29" t="str">
        <x:v>_db_entry_identity</x:v>
      </x:c>
      <x:c r="E44" s="29" t="str">
        <x:v>Kart alanı: _db_entry_identity</x:v>
      </x:c>
      <x:c r="F44" s="29" t="str">
        <x:v>JSON</x:v>
      </x:c>
      <x:c r="G44" s="29" t="str">
        <x:v>{"id": 30398, "guide_id": 82, "topic_id": 1008, "image_id": null, "published": true, "updated_at": "2026-10-23 21:55:17.959220+00:00"}</x:v>
      </x:c>
    </x:row>
    <x:row r="45" ht="54" customHeight="1">
      <x:c r="A45" s="29" t="str">
        <x:v>bakersfield:detail:depozito-iade-38</x:v>
      </x:c>
      <x:c r="B45" s="29" t="str">
        <x:v>bakersfield</x:v>
      </x:c>
      <x:c r="C45" s="29" t="str">
        <x:v>bakersfield:depozito-iade</x:v>
      </x:c>
      <x:c r="D45" s="29" t="str">
        <x:v>_db_entry_identity</x:v>
      </x:c>
      <x:c r="E45" s="29" t="str">
        <x:v>Kart alanı: _db_entry_identity</x:v>
      </x:c>
      <x:c r="F45" s="29" t="str">
        <x:v>JSON</x:v>
      </x:c>
      <x:c r="G45" s="29" t="str">
        <x:v>{"id": 30399, "guide_id": 82, "topic_id": 1008, "image_id": null, "published": true, "updated_at": "2026-10-23 21:55:17.960526+00:00"}</x:v>
      </x:c>
    </x:row>
    <x:row r="46" ht="54" customHeight="1">
      <x:c r="A46" s="29" t="str">
        <x:v>bakersfield:detail:tahliye-bildirimi-39</x:v>
      </x:c>
      <x:c r="B46" s="29" t="str">
        <x:v>bakersfield</x:v>
      </x:c>
      <x:c r="C46" s="29" t="str">
        <x:v>bakersfield:tahliye-bildirimi</x:v>
      </x:c>
      <x:c r="D46" s="29" t="str">
        <x:v>_db_entry_identity</x:v>
      </x:c>
      <x:c r="E46" s="29" t="str">
        <x:v>Kart alanı: _db_entry_identity</x:v>
      </x:c>
      <x:c r="F46" s="29" t="str">
        <x:v>JSON</x:v>
      </x:c>
      <x:c r="G46" s="29" t="str">
        <x:v>{"id": 30400, "guide_id": 82, "topic_id": 1008, "image_id": null, "published": true, "updated_at": "2026-10-23 21:55:17.961814+00:00"}</x:v>
      </x:c>
    </x:row>
    <x:row r="47" ht="54" customHeight="1">
      <x:c r="A47" s="29" t="str">
        <x:v>bakersfield:detail:adil-konut-40</x:v>
      </x:c>
      <x:c r="B47" s="29" t="str">
        <x:v>bakersfield</x:v>
      </x:c>
      <x:c r="C47" s="29" t="str">
        <x:v>bakersfield:adil-konut</x:v>
      </x:c>
      <x:c r="D47" s="29" t="str">
        <x:v>_db_entry_identity</x:v>
      </x:c>
      <x:c r="E47" s="29" t="str">
        <x:v>Kart alanı: _db_entry_identity</x:v>
      </x:c>
      <x:c r="F47" s="29" t="str">
        <x:v>JSON</x:v>
      </x:c>
      <x:c r="G47" s="29" t="str">
        <x:v>{"id": 30401, "guide_id": 82, "topic_id": 1008, "image_id": null, "published": true, "updated_at": "2026-10-23 21:55:17.962995+00:00"}</x:v>
      </x:c>
    </x:row>
    <x:row r="48" ht="54" customHeight="1">
      <x:c r="A48" s="29" t="str">
        <x:v>bakersfield:detail:abonelik-saglayici-41</x:v>
      </x:c>
      <x:c r="B48" s="29" t="str">
        <x:v>bakersfield</x:v>
      </x:c>
      <x:c r="C48" s="29" t="str">
        <x:v>bakersfield:abonelik-saglayici</x:v>
      </x:c>
      <x:c r="D48" s="29" t="str">
        <x:v>_db_entry_identity</x:v>
      </x:c>
      <x:c r="E48" s="29" t="str">
        <x:v>Kart alanı: _db_entry_identity</x:v>
      </x:c>
      <x:c r="F48" s="29" t="str">
        <x:v>JSON</x:v>
      </x:c>
      <x:c r="G48" s="29" t="str">
        <x:v>{"id": 30402, "guide_id": 82, "topic_id": 1009, "image_id": null, "published": true, "updated_at": "2026-10-23 21:55:17.963994+00:00"}</x:v>
      </x:c>
    </x:row>
    <x:row r="49" ht="54" customHeight="1">
      <x:c r="A49" s="29" t="str">
        <x:v>bakersfield:detail:elektrik-baslat-42</x:v>
      </x:c>
      <x:c r="B49" s="29" t="str">
        <x:v>bakersfield</x:v>
      </x:c>
      <x:c r="C49" s="29" t="str">
        <x:v>bakersfield:elektrik-baslat</x:v>
      </x:c>
      <x:c r="D49" s="29" t="str">
        <x:v>_db_entry_identity</x:v>
      </x:c>
      <x:c r="E49" s="29" t="str">
        <x:v>Kart alanı: _db_entry_identity</x:v>
      </x:c>
      <x:c r="F49" s="29" t="str">
        <x:v>JSON</x:v>
      </x:c>
      <x:c r="G49" s="29" t="str">
        <x:v>{"id": 30403, "guide_id": 82, "topic_id": 1009, "image_id": null, "published": true, "updated_at": "2026-10-23 21:55:17.964994+00:00"}</x:v>
      </x:c>
    </x:row>
    <x:row r="50" ht="54" customHeight="1">
      <x:c r="A50" s="29" t="str">
        <x:v>bakersfield:detail:enerji-tasima-43</x:v>
      </x:c>
      <x:c r="B50" s="29" t="str">
        <x:v>bakersfield</x:v>
      </x:c>
      <x:c r="C50" s="29" t="str">
        <x:v>bakersfield:enerji-tasima</x:v>
      </x:c>
      <x:c r="D50" s="29" t="str">
        <x:v>_db_entry_identity</x:v>
      </x:c>
      <x:c r="E50" s="29" t="str">
        <x:v>Kart alanı: _db_entry_identity</x:v>
      </x:c>
      <x:c r="F50" s="29" t="str">
        <x:v>JSON</x:v>
      </x:c>
      <x:c r="G50" s="29" t="str">
        <x:v>{"id": 30404, "guide_id": 82, "topic_id": 1009, "image_id": null, "published": true, "updated_at": "2026-10-23 21:55:17.965920+00:00"}</x:v>
      </x:c>
    </x:row>
    <x:row r="51" ht="54" customHeight="1">
      <x:c r="A51" s="29" t="str">
        <x:v>bakersfield:detail:elektrik-tarife-44</x:v>
      </x:c>
      <x:c r="B51" s="29" t="str">
        <x:v>bakersfield</x:v>
      </x:c>
      <x:c r="C51" s="29" t="str">
        <x:v>bakersfield:elektrik-tarife</x:v>
      </x:c>
      <x:c r="D51" s="29" t="str">
        <x:v>_db_entry_identity</x:v>
      </x:c>
      <x:c r="E51" s="29" t="str">
        <x:v>Kart alanı: _db_entry_identity</x:v>
      </x:c>
      <x:c r="F51" s="29" t="str">
        <x:v>JSON</x:v>
      </x:c>
      <x:c r="G51" s="29" t="str">
        <x:v>{"id": 30405, "guide_id": 82, "topic_id": 1009, "image_id": null, "published": true, "updated_at": "2026-10-23 21:55:17.966759+00:00"}</x:v>
      </x:c>
    </x:row>
    <x:row r="52" ht="54" customHeight="1">
      <x:c r="A52" s="29" t="str">
        <x:v>bakersfield:detail:yaz-elektrik-45</x:v>
      </x:c>
      <x:c r="B52" s="29" t="str">
        <x:v>bakersfield</x:v>
      </x:c>
      <x:c r="C52" s="29" t="str">
        <x:v>bakersfield:yaz-elektrik</x:v>
      </x:c>
      <x:c r="D52" s="29" t="str">
        <x:v>_db_entry_identity</x:v>
      </x:c>
      <x:c r="E52" s="29" t="str">
        <x:v>Kart alanı: _db_entry_identity</x:v>
      </x:c>
      <x:c r="F52" s="29" t="str">
        <x:v>JSON</x:v>
      </x:c>
      <x:c r="G52" s="29" t="str">
        <x:v>{"id": 30406, "guide_id": 82, "topic_id": 1009, "image_id": null, "published": true, "updated_at": "2026-10-23 21:55:17.967607+00:00"}</x:v>
      </x:c>
    </x:row>
    <x:row r="53" ht="54" customHeight="1">
      <x:c r="A53" s="29" t="str">
        <x:v>bakersfield:detail:care-46</x:v>
      </x:c>
      <x:c r="B53" s="29" t="str">
        <x:v>bakersfield</x:v>
      </x:c>
      <x:c r="C53" s="29" t="str">
        <x:v>bakersfield:care</x:v>
      </x:c>
      <x:c r="D53" s="29" t="str">
        <x:v>_db_entry_identity</x:v>
      </x:c>
      <x:c r="E53" s="29" t="str">
        <x:v>Kart alanı: _db_entry_identity</x:v>
      </x:c>
      <x:c r="F53" s="29" t="str">
        <x:v>JSON</x:v>
      </x:c>
      <x:c r="G53" s="29" t="str">
        <x:v>{"id": 30407, "guide_id": 82, "topic_id": 1009, "image_id": null, "published": true, "updated_at": "2026-10-23 21:55:17.968554+00:00"}</x:v>
      </x:c>
    </x:row>
    <x:row r="54" ht="54" customHeight="1">
      <x:c r="A54" s="29" t="str">
        <x:v>bakersfield:detail:medical-baseline-47</x:v>
      </x:c>
      <x:c r="B54" s="29" t="str">
        <x:v>bakersfield</x:v>
      </x:c>
      <x:c r="C54" s="29" t="str">
        <x:v>bakersfield:medical-baseline</x:v>
      </x:c>
      <x:c r="D54" s="29" t="str">
        <x:v>_db_entry_identity</x:v>
      </x:c>
      <x:c r="E54" s="29" t="str">
        <x:v>Kart alanı: _db_entry_identity</x:v>
      </x:c>
      <x:c r="F54" s="29" t="str">
        <x:v>JSON</x:v>
      </x:c>
      <x:c r="G54" s="29" t="str">
        <x:v>{"id": 30408, "guide_id": 82, "topic_id": 1009, "image_id": null, "published": true, "updated_at": "2026-10-23 21:55:17.969469+00:00"}</x:v>
      </x:c>
    </x:row>
    <x:row r="55" ht="54" customHeight="1">
      <x:c r="A55" s="29" t="str">
        <x:v>bakersfield:detail:enerji-kesintisi-48</x:v>
      </x:c>
      <x:c r="B55" s="29" t="str">
        <x:v>bakersfield</x:v>
      </x:c>
      <x:c r="C55" s="29" t="str">
        <x:v>bakersfield:enerji-kesintisi</x:v>
      </x:c>
      <x:c r="D55" s="29" t="str">
        <x:v>_db_entry_identity</x:v>
      </x:c>
      <x:c r="E55" s="29" t="str">
        <x:v>Kart alanı: _db_entry_identity</x:v>
      </x:c>
      <x:c r="F55" s="29" t="str">
        <x:v>JSON</x:v>
      </x:c>
      <x:c r="G55" s="29" t="str">
        <x:v>{"id": 30409, "guide_id": 82, "topic_id": 1009, "image_id": null, "published": true, "updated_at": "2026-10-23 21:55:17.970429+00:00"}</x:v>
      </x:c>
    </x:row>
    <x:row r="56" ht="54" customHeight="1">
      <x:c r="A56" s="29" t="str">
        <x:v>bakersfield:detail:dogalgaz-49</x:v>
      </x:c>
      <x:c r="B56" s="29" t="str">
        <x:v>bakersfield</x:v>
      </x:c>
      <x:c r="C56" s="29" t="str">
        <x:v>bakersfield:dogalgaz</x:v>
      </x:c>
      <x:c r="D56" s="29" t="str">
        <x:v>_db_entry_identity</x:v>
      </x:c>
      <x:c r="E56" s="29" t="str">
        <x:v>Kart alanı: _db_entry_identity</x:v>
      </x:c>
      <x:c r="F56" s="29" t="str">
        <x:v>JSON</x:v>
      </x:c>
      <x:c r="G56" s="29" t="str">
        <x:v>{"id": 30410, "guide_id": 82, "topic_id": 1009, "image_id": null, "published": true, "updated_at": "2026-10-23 21:55:17.971255+00:00"}</x:v>
      </x:c>
    </x:row>
    <x:row r="57" ht="54" customHeight="1">
      <x:c r="A57" s="29" t="str">
        <x:v>bakersfield:detail:su-baslat-50</x:v>
      </x:c>
      <x:c r="B57" s="29" t="str">
        <x:v>bakersfield</x:v>
      </x:c>
      <x:c r="C57" s="29" t="str">
        <x:v>bakersfield:su-baslat</x:v>
      </x:c>
      <x:c r="D57" s="29" t="str">
        <x:v>_db_entry_identity</x:v>
      </x:c>
      <x:c r="E57" s="29" t="str">
        <x:v>Kart alanı: _db_entry_identity</x:v>
      </x:c>
      <x:c r="F57" s="29" t="str">
        <x:v>JSON</x:v>
      </x:c>
      <x:c r="G57" s="29" t="str">
        <x:v>{"id": 30411, "guide_id": 82, "topic_id": 1009, "image_id": null, "published": true, "updated_at": "2026-10-23 21:55:17.972152+00:00"}</x:v>
      </x:c>
    </x:row>
    <x:row r="58" ht="54" customHeight="1">
      <x:c r="A58" s="29" t="str">
        <x:v>bakersfield:detail:su-kanallari-51</x:v>
      </x:c>
      <x:c r="B58" s="29" t="str">
        <x:v>bakersfield</x:v>
      </x:c>
      <x:c r="C58" s="29" t="str">
        <x:v>bakersfield:su-kanallari</x:v>
      </x:c>
      <x:c r="D58" s="29" t="str">
        <x:v>_db_entry_identity</x:v>
      </x:c>
      <x:c r="E58" s="29" t="str">
        <x:v>Kart alanı: _db_entry_identity</x:v>
      </x:c>
      <x:c r="F58" s="29" t="str">
        <x:v>JSON</x:v>
      </x:c>
      <x:c r="G58" s="29" t="str">
        <x:v>{"id": 30412, "guide_id": 82, "topic_id": 1009, "image_id": null, "published": true, "updated_at": "2026-10-23 21:55:17.973143+00:00"}</x:v>
      </x:c>
    </x:row>
    <x:row r="59" ht="54" customHeight="1">
      <x:c r="A59" s="29" t="str">
        <x:v>bakersfield:detail:su-kacak-52</x:v>
      </x:c>
      <x:c r="B59" s="29" t="str">
        <x:v>bakersfield</x:v>
      </x:c>
      <x:c r="C59" s="29" t="str">
        <x:v>bakersfield:su-kacak</x:v>
      </x:c>
      <x:c r="D59" s="29" t="str">
        <x:v>_db_entry_identity</x:v>
      </x:c>
      <x:c r="E59" s="29" t="str">
        <x:v>Kart alanı: _db_entry_identity</x:v>
      </x:c>
      <x:c r="F59" s="29" t="str">
        <x:v>JSON</x:v>
      </x:c>
      <x:c r="G59" s="29" t="str">
        <x:v>{"id": 30413, "guide_id": 82, "topic_id": 1009, "image_id": null, "published": true, "updated_at": "2026-10-23 21:55:17.974090+00:00"}</x:v>
      </x:c>
    </x:row>
    <x:row r="60" ht="54" customHeight="1">
      <x:c r="A60" s="29" t="str">
        <x:v>bakersfield:detail:su-destek-53</x:v>
      </x:c>
      <x:c r="B60" s="29" t="str">
        <x:v>bakersfield</x:v>
      </x:c>
      <x:c r="C60" s="29" t="str">
        <x:v>bakersfield:su-destek</x:v>
      </x:c>
      <x:c r="D60" s="29" t="str">
        <x:v>_db_entry_identity</x:v>
      </x:c>
      <x:c r="E60" s="29" t="str">
        <x:v>Kart alanı: _db_entry_identity</x:v>
      </x:c>
      <x:c r="F60" s="29" t="str">
        <x:v>JSON</x:v>
      </x:c>
      <x:c r="G60" s="29" t="str">
        <x:v>{"id": 30414, "guide_id": 82, "topic_id": 1009, "image_id": null, "published": true, "updated_at": "2026-10-23 21:55:17.975076+00:00"}</x:v>
      </x:c>
    </x:row>
    <x:row r="61" ht="54" customHeight="1">
      <x:c r="A61" s="29" t="str">
        <x:v>bakersfield:detail:internet-adres-54</x:v>
      </x:c>
      <x:c r="B61" s="29" t="str">
        <x:v>bakersfield</x:v>
      </x:c>
      <x:c r="C61" s="29" t="str">
        <x:v>bakersfield:internet-adres</x:v>
      </x:c>
      <x:c r="D61" s="29" t="str">
        <x:v>_db_entry_identity</x:v>
      </x:c>
      <x:c r="E61" s="29" t="str">
        <x:v>Kart alanı: _db_entry_identity</x:v>
      </x:c>
      <x:c r="F61" s="29" t="str">
        <x:v>JSON</x:v>
      </x:c>
      <x:c r="G61" s="29" t="str">
        <x:v>{"id": 30415, "guide_id": 82, "topic_id": 1009, "image_id": null, "published": true, "updated_at": "2026-10-23 21:55:17.976010+00:00"}</x:v>
      </x:c>
    </x:row>
    <x:row r="62" ht="54" customHeight="1">
      <x:c r="A62" s="29" t="str">
        <x:v>bakersfield:detail:internet-etiket-55</x:v>
      </x:c>
      <x:c r="B62" s="29" t="str">
        <x:v>bakersfield</x:v>
      </x:c>
      <x:c r="C62" s="29" t="str">
        <x:v>bakersfield:internet-etiket</x:v>
      </x:c>
      <x:c r="D62" s="29" t="str">
        <x:v>_db_entry_identity</x:v>
      </x:c>
      <x:c r="E62" s="29" t="str">
        <x:v>Kart alanı: _db_entry_identity</x:v>
      </x:c>
      <x:c r="F62" s="29" t="str">
        <x:v>JSON</x:v>
      </x:c>
      <x:c r="G62" s="29" t="str">
        <x:v>{"id": 30416, "guide_id": 82, "topic_id": 1009, "image_id": null, "published": true, "updated_at": "2026-10-23 21:55:17.977011+00:00"}</x:v>
      </x:c>
    </x:row>
    <x:row r="63" ht="54" customHeight="1">
      <x:c r="A63" s="29" t="str">
        <x:v>bakersfield:detail:telefon-tasima-56</x:v>
      </x:c>
      <x:c r="B63" s="29" t="str">
        <x:v>bakersfield</x:v>
      </x:c>
      <x:c r="C63" s="29" t="str">
        <x:v>bakersfield:telefon-tasima</x:v>
      </x:c>
      <x:c r="D63" s="29" t="str">
        <x:v>_db_entry_identity</x:v>
      </x:c>
      <x:c r="E63" s="29" t="str">
        <x:v>Kart alanı: _db_entry_identity</x:v>
      </x:c>
      <x:c r="F63" s="29" t="str">
        <x:v>JSON</x:v>
      </x:c>
      <x:c r="G63" s="29" t="str">
        <x:v>{"id": 30417, "guide_id": 82, "topic_id": 1009, "image_id": null, "published": true, "updated_at": "2026-10-23 21:55:17.977952+00:00"}</x:v>
      </x:c>
    </x:row>
    <x:row r="64" ht="54" customHeight="1">
      <x:c r="A64" s="29" t="str">
        <x:v>bakersfield:detail:lifeline-57</x:v>
      </x:c>
      <x:c r="B64" s="29" t="str">
        <x:v>bakersfield</x:v>
      </x:c>
      <x:c r="C64" s="29" t="str">
        <x:v>bakersfield:lifeline</x:v>
      </x:c>
      <x:c r="D64" s="29" t="str">
        <x:v>_db_entry_identity</x:v>
      </x:c>
      <x:c r="E64" s="29" t="str">
        <x:v>Kart alanı: _db_entry_identity</x:v>
      </x:c>
      <x:c r="F64" s="29" t="str">
        <x:v>JSON</x:v>
      </x:c>
      <x:c r="G64" s="29" t="str">
        <x:v>{"id": 30418, "guide_id": 82, "topic_id": 1009, "image_id": null, "published": true, "updated_at": "2026-10-23 21:55:17.978933+00:00"}</x:v>
      </x:c>
    </x:row>
    <x:row r="65" ht="54" customHeight="1">
      <x:c r="A65" s="29" t="str">
        <x:v>bakersfield:detail:otomatik-odeme-58</x:v>
      </x:c>
      <x:c r="B65" s="29" t="str">
        <x:v>bakersfield</x:v>
      </x:c>
      <x:c r="C65" s="29" t="str">
        <x:v>bakersfield:otomatik-odeme</x:v>
      </x:c>
      <x:c r="D65" s="29" t="str">
        <x:v>_db_entry_identity</x:v>
      </x:c>
      <x:c r="E65" s="29" t="str">
        <x:v>Kart alanı: _db_entry_identity</x:v>
      </x:c>
      <x:c r="F65" s="29" t="str">
        <x:v>JSON</x:v>
      </x:c>
      <x:c r="G65" s="29" t="str">
        <x:v>{"id": 30419, "guide_id": 82, "topic_id": 1009, "image_id": null, "published": true, "updated_at": "2026-10-23 21:55:17.979950+00:00"}</x:v>
      </x:c>
    </x:row>
    <x:row r="66" ht="54" customHeight="1">
      <x:c r="A66" s="29" t="str">
        <x:v>bakersfield:detail:fatura-itirazi-59</x:v>
      </x:c>
      <x:c r="B66" s="29" t="str">
        <x:v>bakersfield</x:v>
      </x:c>
      <x:c r="C66" s="29" t="str">
        <x:v>bakersfield:fatura-itirazi</x:v>
      </x:c>
      <x:c r="D66" s="29" t="str">
        <x:v>_db_entry_identity</x:v>
      </x:c>
      <x:c r="E66" s="29" t="str">
        <x:v>Kart alanı: _db_entry_identity</x:v>
      </x:c>
      <x:c r="F66" s="29" t="str">
        <x:v>JSON</x:v>
      </x:c>
      <x:c r="G66" s="29" t="str">
        <x:v>{"id": 30420, "guide_id": 82, "topic_id": 1009, "image_id": null, "published": true, "updated_at": "2026-10-23 21:55:17.980959+00:00"}</x:v>
      </x:c>
    </x:row>
    <x:row r="67" ht="54" customHeight="1">
      <x:c r="A67" s="29" t="str">
        <x:v>bakersfield:detail:zorunlu-internet-60</x:v>
      </x:c>
      <x:c r="B67" s="29" t="str">
        <x:v>bakersfield</x:v>
      </x:c>
      <x:c r="C67" s="29" t="str">
        <x:v>bakersfield:zorunlu-internet</x:v>
      </x:c>
      <x:c r="D67" s="29" t="str">
        <x:v>_db_entry_identity</x:v>
      </x:c>
      <x:c r="E67" s="29" t="str">
        <x:v>Kart alanı: _db_entry_identity</x:v>
      </x:c>
      <x:c r="F67" s="29" t="str">
        <x:v>JSON</x:v>
      </x:c>
      <x:c r="G67" s="29" t="str">
        <x:v>{"id": 30421, "guide_id": 82, "topic_id": 1009, "image_id": null, "published": true, "updated_at": "2026-10-23 21:55:17.981905+00:00"}</x:v>
      </x:c>
    </x:row>
    <x:row r="68" ht="54" customHeight="1">
      <x:c r="A68" s="29" t="str">
        <x:v>bakersfield:detail:banka-hesabi-61</x:v>
      </x:c>
      <x:c r="B68" s="29" t="str">
        <x:v>bakersfield</x:v>
      </x:c>
      <x:c r="C68" s="29" t="str">
        <x:v>bakersfield:banka-hesabi</x:v>
      </x:c>
      <x:c r="D68" s="29" t="str">
        <x:v>_db_entry_identity</x:v>
      </x:c>
      <x:c r="E68" s="29" t="str">
        <x:v>Kart alanı: _db_entry_identity</x:v>
      </x:c>
      <x:c r="F68" s="29" t="str">
        <x:v>JSON</x:v>
      </x:c>
      <x:c r="G68" s="29" t="str">
        <x:v>{"id": 30422, "guide_id": 82, "topic_id": 1010, "image_id": null, "published": true, "updated_at": "2026-10-23 21:55:17.982916+00:00"}</x:v>
      </x:c>
    </x:row>
    <x:row r="69" ht="54" customHeight="1">
      <x:c r="A69" s="29" t="str">
        <x:v>bakersfield:detail:banka-kartlari-62</x:v>
      </x:c>
      <x:c r="B69" s="29" t="str">
        <x:v>bakersfield</x:v>
      </x:c>
      <x:c r="C69" s="29" t="str">
        <x:v>bakersfield:banka-kartlari</x:v>
      </x:c>
      <x:c r="D69" s="29" t="str">
        <x:v>_db_entry_identity</x:v>
      </x:c>
      <x:c r="E69" s="29" t="str">
        <x:v>Kart alanı: _db_entry_identity</x:v>
      </x:c>
      <x:c r="F69" s="29" t="str">
        <x:v>JSON</x:v>
      </x:c>
      <x:c r="G69" s="29" t="str">
        <x:v>{"id": 30423, "guide_id": 82, "topic_id": 1010, "image_id": null, "published": true, "updated_at": "2026-10-23 21:55:17.984022+00:00"}</x:v>
      </x:c>
    </x:row>
    <x:row r="70" ht="54" customHeight="1">
      <x:c r="A70" s="29" t="str">
        <x:v>bakersfield:detail:mevduat-sigortasi-63</x:v>
      </x:c>
      <x:c r="B70" s="29" t="str">
        <x:v>bakersfield</x:v>
      </x:c>
      <x:c r="C70" s="29" t="str">
        <x:v>bakersfield:mevduat-sigortasi</x:v>
      </x:c>
      <x:c r="D70" s="29" t="str">
        <x:v>_db_entry_identity</x:v>
      </x:c>
      <x:c r="E70" s="29" t="str">
        <x:v>Kart alanı: _db_entry_identity</x:v>
      </x:c>
      <x:c r="F70" s="29" t="str">
        <x:v>JSON</x:v>
      </x:c>
      <x:c r="G70" s="29" t="str">
        <x:v>{"id": 30424, "guide_id": 82, "topic_id": 1010, "image_id": null, "published": true, "updated_at": "2026-10-23 21:55:17.985055+00:00"}</x:v>
      </x:c>
    </x:row>
    <x:row r="71" ht="54" customHeight="1">
      <x:c r="A71" s="29" t="str">
        <x:v>bakersfield:detail:ilk-kredi-64</x:v>
      </x:c>
      <x:c r="B71" s="29" t="str">
        <x:v>bakersfield</x:v>
      </x:c>
      <x:c r="C71" s="29" t="str">
        <x:v>bakersfield:ilk-kredi</x:v>
      </x:c>
      <x:c r="D71" s="29" t="str">
        <x:v>_db_entry_identity</x:v>
      </x:c>
      <x:c r="E71" s="29" t="str">
        <x:v>Kart alanı: _db_entry_identity</x:v>
      </x:c>
      <x:c r="F71" s="29" t="str">
        <x:v>JSON</x:v>
      </x:c>
      <x:c r="G71" s="29" t="str">
        <x:v>{"id": 30425, "guide_id": 82, "topic_id": 1010, "image_id": null, "published": true, "updated_at": "2026-10-23 21:55:17.986000+00:00"}</x:v>
      </x:c>
    </x:row>
    <x:row r="72" ht="54" customHeight="1">
      <x:c r="A72" s="29" t="str">
        <x:v>bakersfield:detail:kredi-raporu-65</x:v>
      </x:c>
      <x:c r="B72" s="29" t="str">
        <x:v>bakersfield</x:v>
      </x:c>
      <x:c r="C72" s="29" t="str">
        <x:v>bakersfield:kredi-raporu</x:v>
      </x:c>
      <x:c r="D72" s="29" t="str">
        <x:v>_db_entry_identity</x:v>
      </x:c>
      <x:c r="E72" s="29" t="str">
        <x:v>Kart alanı: _db_entry_identity</x:v>
      </x:c>
      <x:c r="F72" s="29" t="str">
        <x:v>JSON</x:v>
      </x:c>
      <x:c r="G72" s="29" t="str">
        <x:v>{"id": 30426, "guide_id": 82, "topic_id": 1010, "image_id": null, "published": true, "updated_at": "2026-10-23 21:55:17.986987+00:00"}</x:v>
      </x:c>
    </x:row>
    <x:row r="73" ht="54" customHeight="1">
      <x:c r="A73" s="29" t="str">
        <x:v>bakersfield:detail:kredi-dondurma-66</x:v>
      </x:c>
      <x:c r="B73" s="29" t="str">
        <x:v>bakersfield</x:v>
      </x:c>
      <x:c r="C73" s="29" t="str">
        <x:v>bakersfield:kredi-dondurma</x:v>
      </x:c>
      <x:c r="D73" s="29" t="str">
        <x:v>_db_entry_identity</x:v>
      </x:c>
      <x:c r="E73" s="29" t="str">
        <x:v>Kart alanı: _db_entry_identity</x:v>
      </x:c>
      <x:c r="F73" s="29" t="str">
        <x:v>JSON</x:v>
      </x:c>
      <x:c r="G73" s="29" t="str">
        <x:v>{"id": 30427, "guide_id": 82, "topic_id": 1010, "image_id": null, "published": true, "updated_at": "2026-10-23 21:55:17.987992+00:00"}</x:v>
      </x:c>
    </x:row>
    <x:row r="74" ht="54" customHeight="1">
      <x:c r="A74" s="29" t="str">
        <x:v>bakersfield:detail:overdraft-67</x:v>
      </x:c>
      <x:c r="B74" s="29" t="str">
        <x:v>bakersfield</x:v>
      </x:c>
      <x:c r="C74" s="29" t="str">
        <x:v>bakersfield:overdraft</x:v>
      </x:c>
      <x:c r="D74" s="29" t="str">
        <x:v>_db_entry_identity</x:v>
      </x:c>
      <x:c r="E74" s="29" t="str">
        <x:v>Kart alanı: _db_entry_identity</x:v>
      </x:c>
      <x:c r="F74" s="29" t="str">
        <x:v>JSON</x:v>
      </x:c>
      <x:c r="G74" s="29" t="str">
        <x:v>{"id": 30428, "guide_id": 82, "topic_id": 1010, "image_id": null, "published": true, "updated_at": "2026-10-23 21:55:17.988915+00:00"}</x:v>
      </x:c>
    </x:row>
    <x:row r="75" ht="54" customHeight="1">
      <x:c r="A75" s="29" t="str">
        <x:v>bakersfield:detail:para-transferi-68</x:v>
      </x:c>
      <x:c r="B75" s="29" t="str">
        <x:v>bakersfield</x:v>
      </x:c>
      <x:c r="C75" s="29" t="str">
        <x:v>bakersfield:para-transferi</x:v>
      </x:c>
      <x:c r="D75" s="29" t="str">
        <x:v>_db_entry_identity</x:v>
      </x:c>
      <x:c r="E75" s="29" t="str">
        <x:v>Kart alanı: _db_entry_identity</x:v>
      </x:c>
      <x:c r="F75" s="29" t="str">
        <x:v>JSON</x:v>
      </x:c>
      <x:c r="G75" s="29" t="str">
        <x:v>{"id": 30429, "guide_id": 82, "topic_id": 1010, "image_id": null, "published": true, "updated_at": "2026-10-23 21:55:17.989894+00:00"}</x:v>
      </x:c>
    </x:row>
    <x:row r="76" ht="54" customHeight="1">
      <x:c r="A76" s="29" t="str">
        <x:v>bakersfield:detail:vergi-mukimligi-69</x:v>
      </x:c>
      <x:c r="B76" s="29" t="str">
        <x:v>bakersfield</x:v>
      </x:c>
      <x:c r="C76" s="29" t="str">
        <x:v>bakersfield:vergi-mukimligi</x:v>
      </x:c>
      <x:c r="D76" s="29" t="str">
        <x:v>_db_entry_identity</x:v>
      </x:c>
      <x:c r="E76" s="29" t="str">
        <x:v>Kart alanı: _db_entry_identity</x:v>
      </x:c>
      <x:c r="F76" s="29" t="str">
        <x:v>JSON</x:v>
      </x:c>
      <x:c r="G76" s="29" t="str">
        <x:v>{"id": 30430, "guide_id": 82, "topic_id": 1010, "image_id": null, "published": true, "updated_at": "2026-10-23 21:55:17.990887+00:00"}</x:v>
      </x:c>
    </x:row>
    <x:row r="77" ht="54" customHeight="1">
      <x:c r="A77" s="29" t="str">
        <x:v>bakersfield:detail:federal-vergi-70</x:v>
      </x:c>
      <x:c r="B77" s="29" t="str">
        <x:v>bakersfield</x:v>
      </x:c>
      <x:c r="C77" s="29" t="str">
        <x:v>bakersfield:federal-vergi</x:v>
      </x:c>
      <x:c r="D77" s="29" t="str">
        <x:v>_db_entry_identity</x:v>
      </x:c>
      <x:c r="E77" s="29" t="str">
        <x:v>Kart alanı: _db_entry_identity</x:v>
      </x:c>
      <x:c r="F77" s="29" t="str">
        <x:v>JSON</x:v>
      </x:c>
      <x:c r="G77" s="29" t="str">
        <x:v>{"id": 30431, "guide_id": 82, "topic_id": 1010, "image_id": null, "published": true, "updated_at": "2026-10-23 21:55:17.991860+00:00"}</x:v>
      </x:c>
    </x:row>
    <x:row r="78" ht="54" customHeight="1">
      <x:c r="A78" s="29" t="str">
        <x:v>bakersfield:detail:california-vergi-71</x:v>
      </x:c>
      <x:c r="B78" s="29" t="str">
        <x:v>bakersfield</x:v>
      </x:c>
      <x:c r="C78" s="29" t="str">
        <x:v>bakersfield:california-vergi</x:v>
      </x:c>
      <x:c r="D78" s="29" t="str">
        <x:v>_db_entry_identity</x:v>
      </x:c>
      <x:c r="E78" s="29" t="str">
        <x:v>Kart alanı: _db_entry_identity</x:v>
      </x:c>
      <x:c r="F78" s="29" t="str">
        <x:v>JSON</x:v>
      </x:c>
      <x:c r="G78" s="29" t="str">
        <x:v>{"id": 30432, "guide_id": 82, "topic_id": 1010, "image_id": null, "published": true, "updated_at": "2026-10-23 21:55:17.992849+00:00"}</x:v>
      </x:c>
    </x:row>
    <x:row r="79" ht="54" customHeight="1">
      <x:c r="A79" s="29" t="str">
        <x:v>bakersfield:detail:w4-stopaj-72</x:v>
      </x:c>
      <x:c r="B79" s="29" t="str">
        <x:v>bakersfield</x:v>
      </x:c>
      <x:c r="C79" s="29" t="str">
        <x:v>bakersfield:w4-stopaj</x:v>
      </x:c>
      <x:c r="D79" s="29" t="str">
        <x:v>_db_entry_identity</x:v>
      </x:c>
      <x:c r="E79" s="29" t="str">
        <x:v>Kart alanı: _db_entry_identity</x:v>
      </x:c>
      <x:c r="F79" s="29" t="str">
        <x:v>JSON</x:v>
      </x:c>
      <x:c r="G79" s="29" t="str">
        <x:v>{"id": 30433, "guide_id": 82, "topic_id": 1010, "image_id": null, "published": true, "updated_at": "2026-10-23 21:55:17.993839+00:00"}</x:v>
      </x:c>
    </x:row>
    <x:row r="80" ht="54" customHeight="1">
      <x:c r="A80" s="29" t="str">
        <x:v>bakersfield:detail:serbest-calisma-vergi-73</x:v>
      </x:c>
      <x:c r="B80" s="29" t="str">
        <x:v>bakersfield</x:v>
      </x:c>
      <x:c r="C80" s="29" t="str">
        <x:v>bakersfield:serbest-calisma-vergi</x:v>
      </x:c>
      <x:c r="D80" s="29" t="str">
        <x:v>_db_entry_identity</x:v>
      </x:c>
      <x:c r="E80" s="29" t="str">
        <x:v>Kart alanı: _db_entry_identity</x:v>
      </x:c>
      <x:c r="F80" s="29" t="str">
        <x:v>JSON</x:v>
      </x:c>
      <x:c r="G80" s="29" t="str">
        <x:v>{"id": 30434, "guide_id": 82, "topic_id": 1010, "image_id": null, "published": true, "updated_at": "2026-10-23 21:55:17.995782+00:00"}</x:v>
      </x:c>
    </x:row>
    <x:row r="81" ht="54" customHeight="1">
      <x:c r="A81" s="29" t="str">
        <x:v>bakersfield:detail:yabanci-hesap-74</x:v>
      </x:c>
      <x:c r="B81" s="29" t="str">
        <x:v>bakersfield</x:v>
      </x:c>
      <x:c r="C81" s="29" t="str">
        <x:v>bakersfield:yabanci-hesap</x:v>
      </x:c>
      <x:c r="D81" s="29" t="str">
        <x:v>_db_entry_identity</x:v>
      </x:c>
      <x:c r="E81" s="29" t="str">
        <x:v>Kart alanı: _db_entry_identity</x:v>
      </x:c>
      <x:c r="F81" s="29" t="str">
        <x:v>JSON</x:v>
      </x:c>
      <x:c r="G81" s="29" t="str">
        <x:v>{"id": 30435, "guide_id": 82, "topic_id": 1010, "image_id": null, "published": true, "updated_at": "2026-10-23 21:55:17.996816+00:00"}</x:v>
      </x:c>
    </x:row>
    <x:row r="82" ht="54" customHeight="1">
      <x:c r="A82" s="29" t="str">
        <x:v>bakersfield:detail:vergi-anlasmasi-75</x:v>
      </x:c>
      <x:c r="B82" s="29" t="str">
        <x:v>bakersfield</x:v>
      </x:c>
      <x:c r="C82" s="29" t="str">
        <x:v>bakersfield:vergi-anlasmasi</x:v>
      </x:c>
      <x:c r="D82" s="29" t="str">
        <x:v>_db_entry_identity</x:v>
      </x:c>
      <x:c r="E82" s="29" t="str">
        <x:v>Kart alanı: _db_entry_identity</x:v>
      </x:c>
      <x:c r="F82" s="29" t="str">
        <x:v>JSON</x:v>
      </x:c>
      <x:c r="G82" s="29" t="str">
        <x:v>{"id": 30436, "guide_id": 82, "topic_id": 1010, "image_id": null, "published": true, "updated_at": "2026-10-23 21:55:17.997916+00:00"}</x:v>
      </x:c>
    </x:row>
    <x:row r="83" ht="54" customHeight="1">
      <x:c r="A83" s="29" t="str">
        <x:v>bakersfield:detail:satis-vergisi-76</x:v>
      </x:c>
      <x:c r="B83" s="29" t="str">
        <x:v>bakersfield</x:v>
      </x:c>
      <x:c r="C83" s="29" t="str">
        <x:v>bakersfield:satis-vergisi</x:v>
      </x:c>
      <x:c r="D83" s="29" t="str">
        <x:v>_db_entry_identity</x:v>
      </x:c>
      <x:c r="E83" s="29" t="str">
        <x:v>Kart alanı: _db_entry_identity</x:v>
      </x:c>
      <x:c r="F83" s="29" t="str">
        <x:v>JSON</x:v>
      </x:c>
      <x:c r="G83" s="29" t="str">
        <x:v>{"id": 30437, "guide_id": 82, "topic_id": 1010, "image_id": null, "published": true, "updated_at": "2026-10-23 21:55:17.998904+00:00"}</x:v>
      </x:c>
    </x:row>
    <x:row r="84" ht="54" customHeight="1">
      <x:c r="A84" s="29" t="str">
        <x:v>bakersfield:detail:ilk-ay-butcesi-77</x:v>
      </x:c>
      <x:c r="B84" s="29" t="str">
        <x:v>bakersfield</x:v>
      </x:c>
      <x:c r="C84" s="29" t="str">
        <x:v>bakersfield:ilk-ay-butcesi</x:v>
      </x:c>
      <x:c r="D84" s="29" t="str">
        <x:v>_db_entry_identity</x:v>
      </x:c>
      <x:c r="E84" s="29" t="str">
        <x:v>Kart alanı: _db_entry_identity</x:v>
      </x:c>
      <x:c r="F84" s="29" t="str">
        <x:v>JSON</x:v>
      </x:c>
      <x:c r="G84" s="29" t="str">
        <x:v>{"id": 30438, "guide_id": 82, "topic_id": 1010, "image_id": null, "published": true, "updated_at": "2026-10-23 21:55:17.999861+00:00"}</x:v>
      </x:c>
    </x:row>
    <x:row r="85" ht="54" customHeight="1">
      <x:c r="A85" s="29" t="str">
        <x:v>bakersfield:detail:aylik-butce-78</x:v>
      </x:c>
      <x:c r="B85" s="29" t="str">
        <x:v>bakersfield</x:v>
      </x:c>
      <x:c r="C85" s="29" t="str">
        <x:v>bakersfield:aylik-butce</x:v>
      </x:c>
      <x:c r="D85" s="29" t="str">
        <x:v>_db_entry_identity</x:v>
      </x:c>
      <x:c r="E85" s="29" t="str">
        <x:v>Kart alanı: _db_entry_identity</x:v>
      </x:c>
      <x:c r="F85" s="29" t="str">
        <x:v>JSON</x:v>
      </x:c>
      <x:c r="G85" s="29" t="str">
        <x:v>{"id": 30439, "guide_id": 82, "topic_id": 1010, "image_id": null, "published": true, "updated_at": "2026-10-23 21:55:18.000910+00:00"}</x:v>
      </x:c>
    </x:row>
    <x:row r="86" ht="54" customHeight="1">
      <x:c r="A86" s="29" t="str">
        <x:v>bakersfield:detail:calfresh-basvuru-79</x:v>
      </x:c>
      <x:c r="B86" s="29" t="str">
        <x:v>bakersfield</x:v>
      </x:c>
      <x:c r="C86" s="29" t="str">
        <x:v>bakersfield:calfresh-basvuru</x:v>
      </x:c>
      <x:c r="D86" s="29" t="str">
        <x:v>_db_entry_identity</x:v>
      </x:c>
      <x:c r="E86" s="29" t="str">
        <x:v>Kart alanı: _db_entry_identity</x:v>
      </x:c>
      <x:c r="F86" s="29" t="str">
        <x:v>JSON</x:v>
      </x:c>
      <x:c r="G86" s="29" t="str">
        <x:v>{"id": 30440, "guide_id": 82, "topic_id": 1010, "image_id": null, "published": true, "updated_at": "2026-10-23 21:55:18.001922+00:00"}</x:v>
      </x:c>
    </x:row>
    <x:row r="87" ht="54" customHeight="1">
      <x:c r="A87" s="29" t="str">
        <x:v>bakersfield:detail:sahipsiz-varlik-80</x:v>
      </x:c>
      <x:c r="B87" s="29" t="str">
        <x:v>bakersfield</x:v>
      </x:c>
      <x:c r="C87" s="29" t="str">
        <x:v>bakersfield:sahipsiz-varlik</x:v>
      </x:c>
      <x:c r="D87" s="29" t="str">
        <x:v>_db_entry_identity</x:v>
      </x:c>
      <x:c r="E87" s="29" t="str">
        <x:v>Kart alanı: _db_entry_identity</x:v>
      </x:c>
      <x:c r="F87" s="29" t="str">
        <x:v>JSON</x:v>
      </x:c>
      <x:c r="G87" s="29" t="str">
        <x:v>{"id": 30441, "guide_id": 82, "topic_id": 1010, "image_id": null, "published": true, "updated_at": "2026-10-23 21:55:18.003049+00:00"}</x:v>
      </x:c>
    </x:row>
    <x:row r="88" ht="54" customHeight="1">
      <x:c r="A88" s="29" t="str">
        <x:v>bakersfield:detail:saglik-plani-81</x:v>
      </x:c>
      <x:c r="B88" s="29" t="str">
        <x:v>bakersfield</x:v>
      </x:c>
      <x:c r="C88" s="29" t="str">
        <x:v>bakersfield:saglik-plani</x:v>
      </x:c>
      <x:c r="D88" s="29" t="str">
        <x:v>_db_entry_identity</x:v>
      </x:c>
      <x:c r="E88" s="29" t="str">
        <x:v>Kart alanı: _db_entry_identity</x:v>
      </x:c>
      <x:c r="F88" s="29" t="str">
        <x:v>JSON</x:v>
      </x:c>
      <x:c r="G88" s="29" t="str">
        <x:v>{"id": 30442, "guide_id": 82, "topic_id": 1011, "image_id": null, "published": true, "updated_at": "2026-10-23 21:55:18.004073+00:00"}</x:v>
      </x:c>
    </x:row>
    <x:row r="89" ht="54" customHeight="1">
      <x:c r="A89" s="29" t="str">
        <x:v>bakersfield:detail:covered-kayit-82</x:v>
      </x:c>
      <x:c r="B89" s="29" t="str">
        <x:v>bakersfield</x:v>
      </x:c>
      <x:c r="C89" s="29" t="str">
        <x:v>bakersfield:covered-kayit</x:v>
      </x:c>
      <x:c r="D89" s="29" t="str">
        <x:v>_db_entry_identity</x:v>
      </x:c>
      <x:c r="E89" s="29" t="str">
        <x:v>Kart alanı: _db_entry_identity</x:v>
      </x:c>
      <x:c r="F89" s="29" t="str">
        <x:v>JSON</x:v>
      </x:c>
      <x:c r="G89" s="29" t="str">
        <x:v>{"id": 30443, "guide_id": 82, "topic_id": 1011, "image_id": null, "published": true, "updated_at": "2026-10-23 21:55:18.005133+00:00"}</x:v>
      </x:c>
    </x:row>
    <x:row r="90" ht="54" customHeight="1">
      <x:c r="A90" s="29" t="str">
        <x:v>bakersfield:detail:medi-cal-2026-83</x:v>
      </x:c>
      <x:c r="B90" s="29" t="str">
        <x:v>bakersfield</x:v>
      </x:c>
      <x:c r="C90" s="29" t="str">
        <x:v>bakersfield:medi-cal-2026</x:v>
      </x:c>
      <x:c r="D90" s="29" t="str">
        <x:v>_db_entry_identity</x:v>
      </x:c>
      <x:c r="E90" s="29" t="str">
        <x:v>Kart alanı: _db_entry_identity</x:v>
      </x:c>
      <x:c r="F90" s="29" t="str">
        <x:v>JSON</x:v>
      </x:c>
      <x:c r="G90" s="29" t="str">
        <x:v>{"id": 30444, "guide_id": 82, "topic_id": 1011, "image_id": null, "published": true, "updated_at": "2026-10-23 21:55:18.006113+00:00"}</x:v>
      </x:c>
    </x:row>
    <x:row r="91" ht="54" customHeight="1">
      <x:c r="A91" s="29" t="str">
        <x:v>bakersfield:detail:medi-cal-yenileme-84</x:v>
      </x:c>
      <x:c r="B91" s="29" t="str">
        <x:v>bakersfield</x:v>
      </x:c>
      <x:c r="C91" s="29" t="str">
        <x:v>bakersfield:medi-cal-yenileme</x:v>
      </x:c>
      <x:c r="D91" s="29" t="str">
        <x:v>_db_entry_identity</x:v>
      </x:c>
      <x:c r="E91" s="29" t="str">
        <x:v>Kart alanı: _db_entry_identity</x:v>
      </x:c>
      <x:c r="F91" s="29" t="str">
        <x:v>JSON</x:v>
      </x:c>
      <x:c r="G91" s="29" t="str">
        <x:v>{"id": 30445, "guide_id": 82, "topic_id": 1011, "image_id": null, "published": true, "updated_at": "2026-10-23 21:55:18.007137+00:00"}</x:v>
      </x:c>
    </x:row>
    <x:row r="92" ht="54" customHeight="1">
      <x:c r="A92" s="29" t="str">
        <x:v>bakersfield:detail:medi-cal-sonraki-degisim-85</x:v>
      </x:c>
      <x:c r="B92" s="29" t="str">
        <x:v>bakersfield</x:v>
      </x:c>
      <x:c r="C92" s="29" t="str">
        <x:v>bakersfield:medi-cal-sonraki-degisim</x:v>
      </x:c>
      <x:c r="D92" s="29" t="str">
        <x:v>_db_entry_identity</x:v>
      </x:c>
      <x:c r="E92" s="29" t="str">
        <x:v>Kart alanı: _db_entry_identity</x:v>
      </x:c>
      <x:c r="F92" s="29" t="str">
        <x:v>JSON</x:v>
      </x:c>
      <x:c r="G92" s="29" t="str">
        <x:v>{"id": 30446, "guide_id": 82, "topic_id": 1011, "image_id": null, "published": true, "updated_at": "2026-10-23 21:55:18.008159+00:00"}</x:v>
      </x:c>
    </x:row>
    <x:row r="93" ht="54" customHeight="1">
      <x:c r="A93" s="29" t="str">
        <x:v>bakersfield:detail:plan-maliyeti-86</x:v>
      </x:c>
      <x:c r="B93" s="29" t="str">
        <x:v>bakersfield</x:v>
      </x:c>
      <x:c r="C93" s="29" t="str">
        <x:v>bakersfield:plan-maliyeti</x:v>
      </x:c>
      <x:c r="D93" s="29" t="str">
        <x:v>_db_entry_identity</x:v>
      </x:c>
      <x:c r="E93" s="29" t="str">
        <x:v>Kart alanı: _db_entry_identity</x:v>
      </x:c>
      <x:c r="F93" s="29" t="str">
        <x:v>JSON</x:v>
      </x:c>
      <x:c r="G93" s="29" t="str">
        <x:v>{"id": 30447, "guide_id": 82, "topic_id": 1011, "image_id": null, "published": true, "updated_at": "2026-10-23 21:55:18.009107+00:00"}</x:v>
      </x:c>
    </x:row>
    <x:row r="94" ht="54" customHeight="1">
      <x:c r="A94" s="29" t="str">
        <x:v>bakersfield:detail:hekim-agi-87</x:v>
      </x:c>
      <x:c r="B94" s="29" t="str">
        <x:v>bakersfield</x:v>
      </x:c>
      <x:c r="C94" s="29" t="str">
        <x:v>bakersfield:hekim-agi</x:v>
      </x:c>
      <x:c r="D94" s="29" t="str">
        <x:v>_db_entry_identity</x:v>
      </x:c>
      <x:c r="E94" s="29" t="str">
        <x:v>Kart alanı: _db_entry_identity</x:v>
      </x:c>
      <x:c r="F94" s="29" t="str">
        <x:v>JSON</x:v>
      </x:c>
      <x:c r="G94" s="29" t="str">
        <x:v>{"id": 30448, "guide_id": 82, "topic_id": 1011, "image_id": null, "published": true, "updated_at": "2026-10-23 21:55:18.010075+00:00"}</x:v>
      </x:c>
    </x:row>
    <x:row r="95" ht="54" customHeight="1">
      <x:c r="A95" s="29" t="str">
        <x:v>bakersfield:detail:birinci-basamak-88</x:v>
      </x:c>
      <x:c r="B95" s="29" t="str">
        <x:v>bakersfield</x:v>
      </x:c>
      <x:c r="C95" s="29" t="str">
        <x:v>bakersfield:birinci-basamak</x:v>
      </x:c>
      <x:c r="D95" s="29" t="str">
        <x:v>_db_entry_identity</x:v>
      </x:c>
      <x:c r="E95" s="29" t="str">
        <x:v>Kart alanı: _db_entry_identity</x:v>
      </x:c>
      <x:c r="F95" s="29" t="str">
        <x:v>JSON</x:v>
      </x:c>
      <x:c r="G95" s="29" t="str">
        <x:v>{"id": 30449, "guide_id": 82, "topic_id": 1011, "image_id": null, "published": true, "updated_at": "2026-10-23 21:55:18.011066+00:00"}</x:v>
      </x:c>
    </x:row>
    <x:row r="96" ht="54" customHeight="1">
      <x:c r="A96" s="29" t="str">
        <x:v>bakersfield:detail:acil-bakim-89</x:v>
      </x:c>
      <x:c r="B96" s="29" t="str">
        <x:v>bakersfield</x:v>
      </x:c>
      <x:c r="C96" s="29" t="str">
        <x:v>bakersfield:acil-bakim</x:v>
      </x:c>
      <x:c r="D96" s="29" t="str">
        <x:v>_db_entry_identity</x:v>
      </x:c>
      <x:c r="E96" s="29" t="str">
        <x:v>Kart alanı: _db_entry_identity</x:v>
      </x:c>
      <x:c r="F96" s="29" t="str">
        <x:v>JSON</x:v>
      </x:c>
      <x:c r="G96" s="29" t="str">
        <x:v>{"id": 30450, "guide_id": 82, "topic_id": 1011, "image_id": null, "published": true, "updated_at": "2026-10-23 21:55:18.012065+00:00"}</x:v>
      </x:c>
    </x:row>
    <x:row r="97" ht="54" customHeight="1">
      <x:c r="A97" s="29" t="str">
        <x:v>bakersfield:detail:klinik-erisim-90</x:v>
      </x:c>
      <x:c r="B97" s="29" t="str">
        <x:v>bakersfield</x:v>
      </x:c>
      <x:c r="C97" s="29" t="str">
        <x:v>bakersfield:klinik-erisim</x:v>
      </x:c>
      <x:c r="D97" s="29" t="str">
        <x:v>_db_entry_identity</x:v>
      </x:c>
      <x:c r="E97" s="29" t="str">
        <x:v>Kart alanı: _db_entry_identity</x:v>
      </x:c>
      <x:c r="F97" s="29" t="str">
        <x:v>JSON</x:v>
      </x:c>
      <x:c r="G97" s="29" t="str">
        <x:v>{"id": 30451, "guide_id": 82, "topic_id": 1011, "image_id": null, "published": true, "updated_at": "2026-10-23 21:55:18.013002+00:00"}</x:v>
      </x:c>
    </x:row>
    <x:row r="98" ht="54" customHeight="1">
      <x:c r="A98" s="29" t="str">
        <x:v>bakersfield:detail:sigorta-karti-91</x:v>
      </x:c>
      <x:c r="B98" s="29" t="str">
        <x:v>bakersfield</x:v>
      </x:c>
      <x:c r="C98" s="29" t="str">
        <x:v>bakersfield:sigorta-karti</x:v>
      </x:c>
      <x:c r="D98" s="29" t="str">
        <x:v>_db_entry_identity</x:v>
      </x:c>
      <x:c r="E98" s="29" t="str">
        <x:v>Kart alanı: _db_entry_identity</x:v>
      </x:c>
      <x:c r="F98" s="29" t="str">
        <x:v>JSON</x:v>
      </x:c>
      <x:c r="G98" s="29" t="str">
        <x:v>{"id": 30452, "guide_id": 82, "topic_id": 1011, "image_id": null, "published": true, "updated_at": "2026-10-23 21:55:18.014012+00:00"}</x:v>
      </x:c>
    </x:row>
    <x:row r="99" ht="54" customHeight="1">
      <x:c r="A99" s="29" t="str">
        <x:v>bakersfield:detail:ilac-devami-92</x:v>
      </x:c>
      <x:c r="B99" s="29" t="str">
        <x:v>bakersfield</x:v>
      </x:c>
      <x:c r="C99" s="29" t="str">
        <x:v>bakersfield:ilac-devami</x:v>
      </x:c>
      <x:c r="D99" s="29" t="str">
        <x:v>_db_entry_identity</x:v>
      </x:c>
      <x:c r="E99" s="29" t="str">
        <x:v>Kart alanı: _db_entry_identity</x:v>
      </x:c>
      <x:c r="F99" s="29" t="str">
        <x:v>JSON</x:v>
      </x:c>
      <x:c r="G99" s="29" t="str">
        <x:v>{"id": 30453, "guide_id": 82, "topic_id": 1011, "image_id": null, "published": true, "updated_at": "2026-10-23 21:55:18.015038+00:00"}</x:v>
      </x:c>
    </x:row>
    <x:row r="100" ht="54" customHeight="1">
      <x:c r="A100" s="29" t="str">
        <x:v>bakersfield:detail:eczane-secimi-93</x:v>
      </x:c>
      <x:c r="B100" s="29" t="str">
        <x:v>bakersfield</x:v>
      </x:c>
      <x:c r="C100" s="29" t="str">
        <x:v>bakersfield:eczane-secimi</x:v>
      </x:c>
      <x:c r="D100" s="29" t="str">
        <x:v>_db_entry_identity</x:v>
      </x:c>
      <x:c r="E100" s="29" t="str">
        <x:v>Kart alanı: _db_entry_identity</x:v>
      </x:c>
      <x:c r="F100" s="29" t="str">
        <x:v>JSON</x:v>
      </x:c>
      <x:c r="G100" s="29" t="str">
        <x:v>{"id": 30454, "guide_id": 82, "topic_id": 1011, "image_id": null, "published": true, "updated_at": "2026-10-23 21:55:18.016021+00:00"}</x:v>
      </x:c>
    </x:row>
    <x:row r="101" ht="54" customHeight="1">
      <x:c r="A101" s="29" t="str">
        <x:v>bakersfield:detail:yetiskin-asi-94</x:v>
      </x:c>
      <x:c r="B101" s="29" t="str">
        <x:v>bakersfield</x:v>
      </x:c>
      <x:c r="C101" s="29" t="str">
        <x:v>bakersfield:yetiskin-asi</x:v>
      </x:c>
      <x:c r="D101" s="29" t="str">
        <x:v>_db_entry_identity</x:v>
      </x:c>
      <x:c r="E101" s="29" t="str">
        <x:v>Kart alanı: _db_entry_identity</x:v>
      </x:c>
      <x:c r="F101" s="29" t="str">
        <x:v>JSON</x:v>
      </x:c>
      <x:c r="G101" s="29" t="str">
        <x:v>{"id": 30455, "guide_id": 82, "topic_id": 1011, "image_id": null, "published": true, "updated_at": "2026-10-23 21:55:18.017021+00:00"}</x:v>
      </x:c>
    </x:row>
    <x:row r="102" ht="54" customHeight="1">
      <x:c r="A102" s="29" t="str">
        <x:v>bakersfield:detail:cocuk-saglik-95</x:v>
      </x:c>
      <x:c r="B102" s="29" t="str">
        <x:v>bakersfield</x:v>
      </x:c>
      <x:c r="C102" s="29" t="str">
        <x:v>bakersfield:cocuk-saglik</x:v>
      </x:c>
      <x:c r="D102" s="29" t="str">
        <x:v>_db_entry_identity</x:v>
      </x:c>
      <x:c r="E102" s="29" t="str">
        <x:v>Kart alanı: _db_entry_identity</x:v>
      </x:c>
      <x:c r="F102" s="29" t="str">
        <x:v>JSON</x:v>
      </x:c>
      <x:c r="G102" s="29" t="str">
        <x:v>{"id": 30456, "guide_id": 82, "topic_id": 1011, "image_id": null, "published": true, "updated_at": "2026-10-23 21:55:18.018003+00:00"}</x:v>
      </x:c>
    </x:row>
    <x:row r="103" ht="54" customHeight="1">
      <x:c r="A103" s="29" t="str">
        <x:v>bakersfield:detail:dis-sagligi-96</x:v>
      </x:c>
      <x:c r="B103" s="29" t="str">
        <x:v>bakersfield</x:v>
      </x:c>
      <x:c r="C103" s="29" t="str">
        <x:v>bakersfield:dis-sagligi</x:v>
      </x:c>
      <x:c r="D103" s="29" t="str">
        <x:v>_db_entry_identity</x:v>
      </x:c>
      <x:c r="E103" s="29" t="str">
        <x:v>Kart alanı: _db_entry_identity</x:v>
      </x:c>
      <x:c r="F103" s="29" t="str">
        <x:v>JSON</x:v>
      </x:c>
      <x:c r="G103" s="29" t="str">
        <x:v>{"id": 30457, "guide_id": 82, "topic_id": 1011, "image_id": null, "published": true, "updated_at": "2026-10-23 21:55:18.019012+00:00"}</x:v>
      </x:c>
    </x:row>
    <x:row r="104" ht="54" customHeight="1">
      <x:c r="A104" s="29" t="str">
        <x:v>bakersfield:detail:saglik-faturasi-97</x:v>
      </x:c>
      <x:c r="B104" s="29" t="str">
        <x:v>bakersfield</x:v>
      </x:c>
      <x:c r="C104" s="29" t="str">
        <x:v>bakersfield:saglik-faturasi</x:v>
      </x:c>
      <x:c r="D104" s="29" t="str">
        <x:v>_db_entry_identity</x:v>
      </x:c>
      <x:c r="E104" s="29" t="str">
        <x:v>Kart alanı: _db_entry_identity</x:v>
      </x:c>
      <x:c r="F104" s="29" t="str">
        <x:v>JSON</x:v>
      </x:c>
      <x:c r="G104" s="29" t="str">
        <x:v>{"id": 30458, "guide_id": 82, "topic_id": 1011, "image_id": null, "published": true, "updated_at": "2026-10-23 21:55:18.020024+00:00"}</x:v>
      </x:c>
    </x:row>
    <x:row r="105" ht="54" customHeight="1">
      <x:c r="A105" s="29" t="str">
        <x:v>bakersfield:detail:saglik-itirazi-98</x:v>
      </x:c>
      <x:c r="B105" s="29" t="str">
        <x:v>bakersfield</x:v>
      </x:c>
      <x:c r="C105" s="29" t="str">
        <x:v>bakersfield:saglik-itirazi</x:v>
      </x:c>
      <x:c r="D105" s="29" t="str">
        <x:v>_db_entry_identity</x:v>
      </x:c>
      <x:c r="E105" s="29" t="str">
        <x:v>Kart alanı: _db_entry_identity</x:v>
      </x:c>
      <x:c r="F105" s="29" t="str">
        <x:v>JSON</x:v>
      </x:c>
      <x:c r="G105" s="29" t="str">
        <x:v>{"id": 30459, "guide_id": 82, "topic_id": 1011, "image_id": null, "published": true, "updated_at": "2026-10-23 21:55:18.021023+00:00"}</x:v>
      </x:c>
    </x:row>
    <x:row r="106" ht="54" customHeight="1">
      <x:c r="A106" s="29" t="str">
        <x:v>bakersfield:detail:valley-fever-99</x:v>
      </x:c>
      <x:c r="B106" s="29" t="str">
        <x:v>bakersfield</x:v>
      </x:c>
      <x:c r="C106" s="29" t="str">
        <x:v>bakersfield:valley-fever</x:v>
      </x:c>
      <x:c r="D106" s="29" t="str">
        <x:v>_db_entry_identity</x:v>
      </x:c>
      <x:c r="E106" s="29" t="str">
        <x:v>Kart alanı: _db_entry_identity</x:v>
      </x:c>
      <x:c r="F106" s="29" t="str">
        <x:v>JSON</x:v>
      </x:c>
      <x:c r="G106" s="29" t="str">
        <x:v>{"id": 30460, "guide_id": 82, "topic_id": 1011, "image_id": null, "published": true, "updated_at": "2026-10-23 21:55:18.022049+00:00"}</x:v>
      </x:c>
    </x:row>
    <x:row r="107" ht="54" customHeight="1">
      <x:c r="A107" s="29" t="str">
        <x:v>bakersfield:detail:hava-kalitesi-100</x:v>
      </x:c>
      <x:c r="B107" s="29" t="str">
        <x:v>bakersfield</x:v>
      </x:c>
      <x:c r="C107" s="29" t="str">
        <x:v>bakersfield:hava-kalitesi</x:v>
      </x:c>
      <x:c r="D107" s="29" t="str">
        <x:v>_db_entry_identity</x:v>
      </x:c>
      <x:c r="E107" s="29" t="str">
        <x:v>Kart alanı: _db_entry_identity</x:v>
      </x:c>
      <x:c r="F107" s="29" t="str">
        <x:v>JSON</x:v>
      </x:c>
      <x:c r="G107" s="29" t="str">
        <x:v>{"id": 30461, "guide_id": 82, "topic_id": 1011, "image_id": null, "published": true, "updated_at": "2026-10-23 21:55:18.023000+00:00"}</x:v>
      </x:c>
    </x:row>
    <x:row r="108" ht="54" customHeight="1">
      <x:c r="A108" s="29" t="str">
        <x:v>bakersfield:detail:calisma-yetkisi-101</x:v>
      </x:c>
      <x:c r="B108" s="29" t="str">
        <x:v>bakersfield</x:v>
      </x:c>
      <x:c r="C108" s="29" t="str">
        <x:v>bakersfield:calisma-yetkisi</x:v>
      </x:c>
      <x:c r="D108" s="29" t="str">
        <x:v>_db_entry_identity</x:v>
      </x:c>
      <x:c r="E108" s="29" t="str">
        <x:v>Kart alanı: _db_entry_identity</x:v>
      </x:c>
      <x:c r="F108" s="29" t="str">
        <x:v>JSON</x:v>
      </x:c>
      <x:c r="G108" s="29" t="str">
        <x:v>{"id": 30462, "guide_id": 82, "topic_id": 1012, "image_id": null, "published": true, "updated_at": "2026-10-23 21:55:18.023986+00:00"}</x:v>
      </x:c>
    </x:row>
    <x:row r="109" ht="54" customHeight="1">
      <x:c r="A109" s="29" t="str">
        <x:v>bakersfield:detail:is-arama-102</x:v>
      </x:c>
      <x:c r="B109" s="29" t="str">
        <x:v>bakersfield</x:v>
      </x:c>
      <x:c r="C109" s="29" t="str">
        <x:v>bakersfield:is-arama</x:v>
      </x:c>
      <x:c r="D109" s="29" t="str">
        <x:v>_db_entry_identity</x:v>
      </x:c>
      <x:c r="E109" s="29" t="str">
        <x:v>Kart alanı: _db_entry_identity</x:v>
      </x:c>
      <x:c r="F109" s="29" t="str">
        <x:v>JSON</x:v>
      </x:c>
      <x:c r="G109" s="29" t="str">
        <x:v>{"id": 30463, "guide_id": 82, "topic_id": 1012, "image_id": null, "published": true, "updated_at": "2026-10-23 21:55:18.024927+00:00"}</x:v>
      </x:c>
    </x:row>
    <x:row r="110" ht="54" customHeight="1">
      <x:c r="A110" s="29" t="str">
        <x:v>bakersfield:detail:ozgecmis-103</x:v>
      </x:c>
      <x:c r="B110" s="29" t="str">
        <x:v>bakersfield</x:v>
      </x:c>
      <x:c r="C110" s="29" t="str">
        <x:v>bakersfield:ozgecmis</x:v>
      </x:c>
      <x:c r="D110" s="29" t="str">
        <x:v>_db_entry_identity</x:v>
      </x:c>
      <x:c r="E110" s="29" t="str">
        <x:v>Kart alanı: _db_entry_identity</x:v>
      </x:c>
      <x:c r="F110" s="29" t="str">
        <x:v>JSON</x:v>
      </x:c>
      <x:c r="G110" s="29" t="str">
        <x:v>{"id": 30464, "guide_id": 82, "topic_id": 1012, "image_id": null, "published": true, "updated_at": "2026-10-23 21:55:18.025903+00:00"}</x:v>
      </x:c>
    </x:row>
    <x:row r="111" ht="54" customHeight="1">
      <x:c r="A111" s="29" t="str">
        <x:v>bakersfield:detail:is-teklifi-104</x:v>
      </x:c>
      <x:c r="B111" s="29" t="str">
        <x:v>bakersfield</x:v>
      </x:c>
      <x:c r="C111" s="29" t="str">
        <x:v>bakersfield:is-teklifi</x:v>
      </x:c>
      <x:c r="D111" s="29" t="str">
        <x:v>_db_entry_identity</x:v>
      </x:c>
      <x:c r="E111" s="29" t="str">
        <x:v>Kart alanı: _db_entry_identity</x:v>
      </x:c>
      <x:c r="F111" s="29" t="str">
        <x:v>JSON</x:v>
      </x:c>
      <x:c r="G111" s="29" t="str">
        <x:v>{"id": 30465, "guide_id": 82, "topic_id": 1012, "image_id": null, "published": true, "updated_at": "2026-10-23 21:55:18.026891+00:00"}</x:v>
      </x:c>
    </x:row>
    <x:row r="112" ht="54" customHeight="1">
      <x:c r="A112" s="29" t="str">
        <x:v>bakersfield:detail:asgari-ucret-105</x:v>
      </x:c>
      <x:c r="B112" s="29" t="str">
        <x:v>bakersfield</x:v>
      </x:c>
      <x:c r="C112" s="29" t="str">
        <x:v>bakersfield:asgari-ucret</x:v>
      </x:c>
      <x:c r="D112" s="29" t="str">
        <x:v>_db_entry_identity</x:v>
      </x:c>
      <x:c r="E112" s="29" t="str">
        <x:v>Kart alanı: _db_entry_identity</x:v>
      </x:c>
      <x:c r="F112" s="29" t="str">
        <x:v>JSON</x:v>
      </x:c>
      <x:c r="G112" s="29" t="str">
        <x:v>{"id": 30466, "guide_id": 82, "topic_id": 1012, "image_id": null, "published": true, "updated_at": "2026-10-23 21:55:18.027880+00:00"}</x:v>
      </x:c>
    </x:row>
    <x:row r="113" ht="54" customHeight="1">
      <x:c r="A113" s="29" t="str">
        <x:v>bakersfield:detail:fazla-mesai-106</x:v>
      </x:c>
      <x:c r="B113" s="29" t="str">
        <x:v>bakersfield</x:v>
      </x:c>
      <x:c r="C113" s="29" t="str">
        <x:v>bakersfield:fazla-mesai</x:v>
      </x:c>
      <x:c r="D113" s="29" t="str">
        <x:v>_db_entry_identity</x:v>
      </x:c>
      <x:c r="E113" s="29" t="str">
        <x:v>Kart alanı: _db_entry_identity</x:v>
      </x:c>
      <x:c r="F113" s="29" t="str">
        <x:v>JSON</x:v>
      </x:c>
      <x:c r="G113" s="29" t="str">
        <x:v>{"id": 30467, "guide_id": 82, "topic_id": 1012, "image_id": null, "published": true, "updated_at": "2026-10-23 21:55:18.028820+00:00"}</x:v>
      </x:c>
    </x:row>
    <x:row r="114" ht="54" customHeight="1">
      <x:c r="A114" s="29" t="str">
        <x:v>bakersfield:detail:yemek-molasi-107</x:v>
      </x:c>
      <x:c r="B114" s="29" t="str">
        <x:v>bakersfield</x:v>
      </x:c>
      <x:c r="C114" s="29" t="str">
        <x:v>bakersfield:yemek-molasi</x:v>
      </x:c>
      <x:c r="D114" s="29" t="str">
        <x:v>_db_entry_identity</x:v>
      </x:c>
      <x:c r="E114" s="29" t="str">
        <x:v>Kart alanı: _db_entry_identity</x:v>
      </x:c>
      <x:c r="F114" s="29" t="str">
        <x:v>JSON</x:v>
      </x:c>
      <x:c r="G114" s="29" t="str">
        <x:v>{"id": 30468, "guide_id": 82, "topic_id": 1012, "image_id": null, "published": true, "updated_at": "2026-10-23 21:55:18.029755+00:00"}</x:v>
      </x:c>
    </x:row>
    <x:row r="115" ht="54" customHeight="1">
      <x:c r="A115" s="29" t="str">
        <x:v>bakersfield:detail:dinlenme-molasi-108</x:v>
      </x:c>
      <x:c r="B115" s="29" t="str">
        <x:v>bakersfield</x:v>
      </x:c>
      <x:c r="C115" s="29" t="str">
        <x:v>bakersfield:dinlenme-molasi</x:v>
      </x:c>
      <x:c r="D115" s="29" t="str">
        <x:v>_db_entry_identity</x:v>
      </x:c>
      <x:c r="E115" s="29" t="str">
        <x:v>Kart alanı: _db_entry_identity</x:v>
      </x:c>
      <x:c r="F115" s="29" t="str">
        <x:v>JSON</x:v>
      </x:c>
      <x:c r="G115" s="29" t="str">
        <x:v>{"id": 30469, "guide_id": 82, "topic_id": 1012, "image_id": null, "published": true, "updated_at": "2026-10-23 21:55:18.030716+00:00"}</x:v>
      </x:c>
    </x:row>
    <x:row r="116" ht="54" customHeight="1">
      <x:c r="A116" s="29" t="str">
        <x:v>bakersfield:detail:hastalik-izni-109</x:v>
      </x:c>
      <x:c r="B116" s="29" t="str">
        <x:v>bakersfield</x:v>
      </x:c>
      <x:c r="C116" s="29" t="str">
        <x:v>bakersfield:hastalik-izni</x:v>
      </x:c>
      <x:c r="D116" s="29" t="str">
        <x:v>_db_entry_identity</x:v>
      </x:c>
      <x:c r="E116" s="29" t="str">
        <x:v>Kart alanı: _db_entry_identity</x:v>
      </x:c>
      <x:c r="F116" s="29" t="str">
        <x:v>JSON</x:v>
      </x:c>
      <x:c r="G116" s="29" t="str">
        <x:v>{"id": 30470, "guide_id": 82, "topic_id": 1012, "image_id": null, "published": true, "updated_at": "2026-10-23 21:55:18.031670+00:00"}</x:v>
      </x:c>
    </x:row>
    <x:row r="117" ht="54" customHeight="1">
      <x:c r="A117" s="29" t="str">
        <x:v>bakersfield:detail:bordro-110</x:v>
      </x:c>
      <x:c r="B117" s="29" t="str">
        <x:v>bakersfield</x:v>
      </x:c>
      <x:c r="C117" s="29" t="str">
        <x:v>bakersfield:bordro</x:v>
      </x:c>
      <x:c r="D117" s="29" t="str">
        <x:v>_db_entry_identity</x:v>
      </x:c>
      <x:c r="E117" s="29" t="str">
        <x:v>Kart alanı: _db_entry_identity</x:v>
      </x:c>
      <x:c r="F117" s="29" t="str">
        <x:v>JSON</x:v>
      </x:c>
      <x:c r="G117" s="29" t="str">
        <x:v>{"id": 30471, "guide_id": 82, "topic_id": 1012, "image_id": null, "published": true, "updated_at": "2026-10-23 21:55:18.032624+00:00"}</x:v>
      </x:c>
    </x:row>
    <x:row r="118" ht="54" customHeight="1">
      <x:c r="A118" s="29" t="str">
        <x:v>bakersfield:detail:son-maas-111</x:v>
      </x:c>
      <x:c r="B118" s="29" t="str">
        <x:v>bakersfield</x:v>
      </x:c>
      <x:c r="C118" s="29" t="str">
        <x:v>bakersfield:son-maas</x:v>
      </x:c>
      <x:c r="D118" s="29" t="str">
        <x:v>_db_entry_identity</x:v>
      </x:c>
      <x:c r="E118" s="29" t="str">
        <x:v>Kart alanı: _db_entry_identity</x:v>
      </x:c>
      <x:c r="F118" s="29" t="str">
        <x:v>JSON</x:v>
      </x:c>
      <x:c r="G118" s="29" t="str">
        <x:v>{"id": 30472, "guide_id": 82, "topic_id": 1012, "image_id": null, "published": true, "updated_at": "2026-10-23 21:55:18.033609+00:00"}</x:v>
      </x:c>
    </x:row>
    <x:row r="119" ht="54" customHeight="1">
      <x:c r="A119" s="29" t="str">
        <x:v>bakersfield:detail:ucret-alacagi-112</x:v>
      </x:c>
      <x:c r="B119" s="29" t="str">
        <x:v>bakersfield</x:v>
      </x:c>
      <x:c r="C119" s="29" t="str">
        <x:v>bakersfield:ucret-alacagi</x:v>
      </x:c>
      <x:c r="D119" s="29" t="str">
        <x:v>_db_entry_identity</x:v>
      </x:c>
      <x:c r="E119" s="29" t="str">
        <x:v>Kart alanı: _db_entry_identity</x:v>
      </x:c>
      <x:c r="F119" s="29" t="str">
        <x:v>JSON</x:v>
      </x:c>
      <x:c r="G119" s="29" t="str">
        <x:v>{"id": 30473, "guide_id": 82, "topic_id": 1012, "image_id": null, "published": true, "updated_at": "2026-10-23 21:55:18.034541+00:00"}</x:v>
      </x:c>
    </x:row>
    <x:row r="120" ht="54" customHeight="1">
      <x:c r="A120" s="29" t="str">
        <x:v>bakersfield:detail:calisan-yuklenici-113</x:v>
      </x:c>
      <x:c r="B120" s="29" t="str">
        <x:v>bakersfield</x:v>
      </x:c>
      <x:c r="C120" s="29" t="str">
        <x:v>bakersfield:calisan-yuklenici</x:v>
      </x:c>
      <x:c r="D120" s="29" t="str">
        <x:v>_db_entry_identity</x:v>
      </x:c>
      <x:c r="E120" s="29" t="str">
        <x:v>Kart alanı: _db_entry_identity</x:v>
      </x:c>
      <x:c r="F120" s="29" t="str">
        <x:v>JSON</x:v>
      </x:c>
      <x:c r="G120" s="29" t="str">
        <x:v>{"id": 30474, "guide_id": 82, "topic_id": 1012, "image_id": null, "published": true, "updated_at": "2026-10-23 21:55:18.035499+00:00"}</x:v>
      </x:c>
    </x:row>
    <x:row r="121" ht="54" customHeight="1">
      <x:c r="A121" s="29" t="str">
        <x:v>bakersfield:detail:issizlik-sigortasi-114</x:v>
      </x:c>
      <x:c r="B121" s="29" t="str">
        <x:v>bakersfield</x:v>
      </x:c>
      <x:c r="C121" s="29" t="str">
        <x:v>bakersfield:issizlik-sigortasi</x:v>
      </x:c>
      <x:c r="D121" s="29" t="str">
        <x:v>_db_entry_identity</x:v>
      </x:c>
      <x:c r="E121" s="29" t="str">
        <x:v>Kart alanı: _db_entry_identity</x:v>
      </x:c>
      <x:c r="F121" s="29" t="str">
        <x:v>JSON</x:v>
      </x:c>
      <x:c r="G121" s="29" t="str">
        <x:v>{"id": 30475, "guide_id": 82, "topic_id": 1012, "image_id": null, "published": true, "updated_at": "2026-10-23 21:55:18.036438+00:00"}</x:v>
      </x:c>
    </x:row>
    <x:row r="122" ht="54" customHeight="1">
      <x:c r="A122" s="29" t="str">
        <x:v>bakersfield:detail:sdi-115</x:v>
      </x:c>
      <x:c r="B122" s="29" t="str">
        <x:v>bakersfield</x:v>
      </x:c>
      <x:c r="C122" s="29" t="str">
        <x:v>bakersfield:sdi</x:v>
      </x:c>
      <x:c r="D122" s="29" t="str">
        <x:v>_db_entry_identity</x:v>
      </x:c>
      <x:c r="E122" s="29" t="str">
        <x:v>Kart alanı: _db_entry_identity</x:v>
      </x:c>
      <x:c r="F122" s="29" t="str">
        <x:v>JSON</x:v>
      </x:c>
      <x:c r="G122" s="29" t="str">
        <x:v>{"id": 30476, "guide_id": 82, "topic_id": 1012, "image_id": null, "published": true, "updated_at": "2026-10-23 21:55:18.037385+00:00"}</x:v>
      </x:c>
    </x:row>
    <x:row r="123" ht="54" customHeight="1">
      <x:c r="A123" s="29" t="str">
        <x:v>bakersfield:detail:paid-family-leave-116</x:v>
      </x:c>
      <x:c r="B123" s="29" t="str">
        <x:v>bakersfield</x:v>
      </x:c>
      <x:c r="C123" s="29" t="str">
        <x:v>bakersfield:paid-family-leave</x:v>
      </x:c>
      <x:c r="D123" s="29" t="str">
        <x:v>_db_entry_identity</x:v>
      </x:c>
      <x:c r="E123" s="29" t="str">
        <x:v>Kart alanı: _db_entry_identity</x:v>
      </x:c>
      <x:c r="F123" s="29" t="str">
        <x:v>JSON</x:v>
      </x:c>
      <x:c r="G123" s="29" t="str">
        <x:v>{"id": 30477, "guide_id": 82, "topic_id": 1012, "image_id": null, "published": true, "updated_at": "2026-10-23 21:55:18.038320+00:00"}</x:v>
      </x:c>
    </x:row>
    <x:row r="124" ht="54" customHeight="1">
      <x:c r="A124" s="29" t="str">
        <x:v>bakersfield:detail:is-kazasi-117</x:v>
      </x:c>
      <x:c r="B124" s="29" t="str">
        <x:v>bakersfield</x:v>
      </x:c>
      <x:c r="C124" s="29" t="str">
        <x:v>bakersfield:is-kazasi</x:v>
      </x:c>
      <x:c r="D124" s="29" t="str">
        <x:v>_db_entry_identity</x:v>
      </x:c>
      <x:c r="E124" s="29" t="str">
        <x:v>Kart alanı: _db_entry_identity</x:v>
      </x:c>
      <x:c r="F124" s="29" t="str">
        <x:v>JSON</x:v>
      </x:c>
      <x:c r="G124" s="29" t="str">
        <x:v>{"id": 30478, "guide_id": 82, "topic_id": 1012, "image_id": null, "published": true, "updated_at": "2026-10-23 21:55:18.039243+00:00"}</x:v>
      </x:c>
    </x:row>
    <x:row r="125" ht="54" customHeight="1">
      <x:c r="A125" s="29" t="str">
        <x:v>bakersfield:detail:iste-sicak-118</x:v>
      </x:c>
      <x:c r="B125" s="29" t="str">
        <x:v>bakersfield</x:v>
      </x:c>
      <x:c r="C125" s="29" t="str">
        <x:v>bakersfield:iste-sicak</x:v>
      </x:c>
      <x:c r="D125" s="29" t="str">
        <x:v>_db_entry_identity</x:v>
      </x:c>
      <x:c r="E125" s="29" t="str">
        <x:v>Kart alanı: _db_entry_identity</x:v>
      </x:c>
      <x:c r="F125" s="29" t="str">
        <x:v>JSON</x:v>
      </x:c>
      <x:c r="G125" s="29" t="str">
        <x:v>{"id": 30479, "guide_id": 82, "topic_id": 1012, "image_id": null, "published": true, "updated_at": "2026-10-23 21:55:18.040196+00:00"}</x:v>
      </x:c>
    </x:row>
    <x:row r="126" ht="54" customHeight="1">
      <x:c r="A126" s="29" t="str">
        <x:v>bakersfield:detail:meslek-ruhsati-119</x:v>
      </x:c>
      <x:c r="B126" s="29" t="str">
        <x:v>bakersfield</x:v>
      </x:c>
      <x:c r="C126" s="29" t="str">
        <x:v>bakersfield:meslek-ruhsati</x:v>
      </x:c>
      <x:c r="D126" s="29" t="str">
        <x:v>_db_entry_identity</x:v>
      </x:c>
      <x:c r="E126" s="29" t="str">
        <x:v>Kart alanı: _db_entry_identity</x:v>
      </x:c>
      <x:c r="F126" s="29" t="str">
        <x:v>JSON</x:v>
      </x:c>
      <x:c r="G126" s="29" t="str">
        <x:v>{"id": 30480, "guide_id": 82, "topic_id": 1012, "image_id": null, "published": true, "updated_at": "2026-10-23 21:55:18.041140+00:00"}</x:v>
      </x:c>
    </x:row>
    <x:row r="127" ht="54" customHeight="1">
      <x:c r="A127" s="29" t="str">
        <x:v>bakersfield:detail:is-ayrimciligi-120</x:v>
      </x:c>
      <x:c r="B127" s="29" t="str">
        <x:v>bakersfield</x:v>
      </x:c>
      <x:c r="C127" s="29" t="str">
        <x:v>bakersfield:is-ayrimciligi</x:v>
      </x:c>
      <x:c r="D127" s="29" t="str">
        <x:v>_db_entry_identity</x:v>
      </x:c>
      <x:c r="E127" s="29" t="str">
        <x:v>Kart alanı: _db_entry_identity</x:v>
      </x:c>
      <x:c r="F127" s="29" t="str">
        <x:v>JSON</x:v>
      </x:c>
      <x:c r="G127" s="29" t="str">
        <x:v>{"id": 30481, "guide_id": 82, "topic_id": 1012, "image_id": null, "published": true, "updated_at": "2026-10-23 21:55:18.042142+00:00"}</x:v>
      </x:c>
    </x:row>
    <x:row r="128" ht="54" customHeight="1">
      <x:c r="A128" s="29" t="str">
        <x:v>bakersfield:detail:okul-bolgesi-121</x:v>
      </x:c>
      <x:c r="B128" s="29" t="str">
        <x:v>bakersfield</x:v>
      </x:c>
      <x:c r="C128" s="29" t="str">
        <x:v>bakersfield:okul-bolgesi</x:v>
      </x:c>
      <x:c r="D128" s="29" t="str">
        <x:v>_db_entry_identity</x:v>
      </x:c>
      <x:c r="E128" s="29" t="str">
        <x:v>Kart alanı: _db_entry_identity</x:v>
      </x:c>
      <x:c r="F128" s="29" t="str">
        <x:v>JSON</x:v>
      </x:c>
      <x:c r="G128" s="29" t="str">
        <x:v>{"id": 30482, "guide_id": 82, "topic_id": 1013, "image_id": null, "published": true, "updated_at": "2026-10-23 21:55:18.043079+00:00"}</x:v>
      </x:c>
    </x:row>
    <x:row r="129" ht="54" customHeight="1">
      <x:c r="A129" s="29" t="str">
        <x:v>bakersfield:detail:okul-kayit-122</x:v>
      </x:c>
      <x:c r="B129" s="29" t="str">
        <x:v>bakersfield</x:v>
      </x:c>
      <x:c r="C129" s="29" t="str">
        <x:v>bakersfield:okul-kayit</x:v>
      </x:c>
      <x:c r="D129" s="29" t="str">
        <x:v>_db_entry_identity</x:v>
      </x:c>
      <x:c r="E129" s="29" t="str">
        <x:v>Kart alanı: _db_entry_identity</x:v>
      </x:c>
      <x:c r="F129" s="29" t="str">
        <x:v>JSON</x:v>
      </x:c>
      <x:c r="G129" s="29" t="str">
        <x:v>{"id": 30483, "guide_id": 82, "topic_id": 1013, "image_id": null, "published": true, "updated_at": "2026-10-23 21:55:18.044073+00:00"}</x:v>
      </x:c>
    </x:row>
    <x:row r="130" ht="54" customHeight="1">
      <x:c r="A130" s="29" t="str">
        <x:v>bakersfield:detail:tk-yasi-123</x:v>
      </x:c>
      <x:c r="B130" s="29" t="str">
        <x:v>bakersfield</x:v>
      </x:c>
      <x:c r="C130" s="29" t="str">
        <x:v>bakersfield:tk-yasi</x:v>
      </x:c>
      <x:c r="D130" s="29" t="str">
        <x:v>_db_entry_identity</x:v>
      </x:c>
      <x:c r="E130" s="29" t="str">
        <x:v>Kart alanı: _db_entry_identity</x:v>
      </x:c>
      <x:c r="F130" s="29" t="str">
        <x:v>JSON</x:v>
      </x:c>
      <x:c r="G130" s="29" t="str">
        <x:v>{"id": 30484, "guide_id": 82, "topic_id": 1013, "image_id": null, "published": true, "updated_at": "2026-10-23 21:55:18.045016+00:00"}</x:v>
      </x:c>
    </x:row>
    <x:row r="131" ht="54" customHeight="1">
      <x:c r="A131" s="29" t="str">
        <x:v>bakersfield:detail:kindergarten-124</x:v>
      </x:c>
      <x:c r="B131" s="29" t="str">
        <x:v>bakersfield</x:v>
      </x:c>
      <x:c r="C131" s="29" t="str">
        <x:v>bakersfield:kindergarten</x:v>
      </x:c>
      <x:c r="D131" s="29" t="str">
        <x:v>_db_entry_identity</x:v>
      </x:c>
      <x:c r="E131" s="29" t="str">
        <x:v>Kart alanı: _db_entry_identity</x:v>
      </x:c>
      <x:c r="F131" s="29" t="str">
        <x:v>JSON</x:v>
      </x:c>
      <x:c r="G131" s="29" t="str">
        <x:v>{"id": 30485, "guide_id": 82, "topic_id": 1013, "image_id": null, "published": true, "updated_at": "2026-10-23 21:55:18.046009+00:00"}</x:v>
      </x:c>
    </x:row>
    <x:row r="132" ht="54" customHeight="1">
      <x:c r="A132" s="29" t="str">
        <x:v>bakersfield:detail:okul-asisi-125</x:v>
      </x:c>
      <x:c r="B132" s="29" t="str">
        <x:v>bakersfield</x:v>
      </x:c>
      <x:c r="C132" s="29" t="str">
        <x:v>bakersfield:okul-asisi</x:v>
      </x:c>
      <x:c r="D132" s="29" t="str">
        <x:v>_db_entry_identity</x:v>
      </x:c>
      <x:c r="E132" s="29" t="str">
        <x:v>Kart alanı: _db_entry_identity</x:v>
      </x:c>
      <x:c r="F132" s="29" t="str">
        <x:v>JSON</x:v>
      </x:c>
      <x:c r="G132" s="29" t="str">
        <x:v>{"id": 30486, "guide_id": 82, "topic_id": 1013, "image_id": null, "published": true, "updated_at": "2026-10-23 21:55:18.046947+00:00"}</x:v>
      </x:c>
    </x:row>
    <x:row r="133" ht="54" customHeight="1">
      <x:c r="A133" s="29" t="str">
        <x:v>bakersfield:detail:okul-dil-126</x:v>
      </x:c>
      <x:c r="B133" s="29" t="str">
        <x:v>bakersfield</x:v>
      </x:c>
      <x:c r="C133" s="29" t="str">
        <x:v>bakersfield:okul-dil</x:v>
      </x:c>
      <x:c r="D133" s="29" t="str">
        <x:v>_db_entry_identity</x:v>
      </x:c>
      <x:c r="E133" s="29" t="str">
        <x:v>Kart alanı: _db_entry_identity</x:v>
      </x:c>
      <x:c r="F133" s="29" t="str">
        <x:v>JSON</x:v>
      </x:c>
      <x:c r="G133" s="29" t="str">
        <x:v>{"id": 30487, "guide_id": 82, "topic_id": 1013, "image_id": null, "published": true, "updated_at": "2026-10-23 21:55:18.047959+00:00"}</x:v>
      </x:c>
    </x:row>
    <x:row r="134" ht="54" customHeight="1">
      <x:c r="A134" s="29" t="str">
        <x:v>bakersfield:detail:okul-transfer-127</x:v>
      </x:c>
      <x:c r="B134" s="29" t="str">
        <x:v>bakersfield</x:v>
      </x:c>
      <x:c r="C134" s="29" t="str">
        <x:v>bakersfield:okul-transfer</x:v>
      </x:c>
      <x:c r="D134" s="29" t="str">
        <x:v>_db_entry_identity</x:v>
      </x:c>
      <x:c r="E134" s="29" t="str">
        <x:v>Kart alanı: _db_entry_identity</x:v>
      </x:c>
      <x:c r="F134" s="29" t="str">
        <x:v>JSON</x:v>
      </x:c>
      <x:c r="G134" s="29" t="str">
        <x:v>{"id": 30488, "guide_id": 82, "topic_id": 1013, "image_id": null, "published": true, "updated_at": "2026-10-23 21:55:18.049021+00:00"}</x:v>
      </x:c>
    </x:row>
    <x:row r="135" ht="54" customHeight="1">
      <x:c r="A135" s="29" t="str">
        <x:v>bakersfield:detail:okul-takvim-128</x:v>
      </x:c>
      <x:c r="B135" s="29" t="str">
        <x:v>bakersfield</x:v>
      </x:c>
      <x:c r="C135" s="29" t="str">
        <x:v>bakersfield:okul-takvim</x:v>
      </x:c>
      <x:c r="D135" s="29" t="str">
        <x:v>_db_entry_identity</x:v>
      </x:c>
      <x:c r="E135" s="29" t="str">
        <x:v>Kart alanı: _db_entry_identity</x:v>
      </x:c>
      <x:c r="F135" s="29" t="str">
        <x:v>JSON</x:v>
      </x:c>
      <x:c r="G135" s="29" t="str">
        <x:v>{"id": 30489, "guide_id": 82, "topic_id": 1013, "image_id": null, "published": true, "updated_at": "2026-10-23 21:55:18.049969+00:00"}</x:v>
      </x:c>
    </x:row>
    <x:row r="136" ht="54" customHeight="1">
      <x:c r="A136" s="29" t="str">
        <x:v>bakersfield:detail:okul-sonrasi-129</x:v>
      </x:c>
      <x:c r="B136" s="29" t="str">
        <x:v>bakersfield</x:v>
      </x:c>
      <x:c r="C136" s="29" t="str">
        <x:v>bakersfield:okul-sonrasi</x:v>
      </x:c>
      <x:c r="D136" s="29" t="str">
        <x:v>_db_entry_identity</x:v>
      </x:c>
      <x:c r="E136" s="29" t="str">
        <x:v>Kart alanı: _db_entry_identity</x:v>
      </x:c>
      <x:c r="F136" s="29" t="str">
        <x:v>JSON</x:v>
      </x:c>
      <x:c r="G136" s="29" t="str">
        <x:v>{"id": 30490, "guide_id": 82, "topic_id": 1013, "image_id": null, "published": true, "updated_at": "2026-10-23 21:55:18.051003+00:00"}</x:v>
      </x:c>
    </x:row>
    <x:row r="137" ht="54" customHeight="1">
      <x:c r="A137" s="29" t="str">
        <x:v>bakersfield:detail:ozel-egitim-130</x:v>
      </x:c>
      <x:c r="B137" s="29" t="str">
        <x:v>bakersfield</x:v>
      </x:c>
      <x:c r="C137" s="29" t="str">
        <x:v>bakersfield:ozel-egitim</x:v>
      </x:c>
      <x:c r="D137" s="29" t="str">
        <x:v>_db_entry_identity</x:v>
      </x:c>
      <x:c r="E137" s="29" t="str">
        <x:v>Kart alanı: _db_entry_identity</x:v>
      </x:c>
      <x:c r="F137" s="29" t="str">
        <x:v>JSON</x:v>
      </x:c>
      <x:c r="G137" s="29" t="str">
        <x:v>{"id": 30491, "guide_id": 82, "topic_id": 1013, "image_id": null, "published": true, "updated_at": "2026-10-23 21:55:18.051949+00:00"}</x:v>
      </x:c>
    </x:row>
    <x:row r="138" ht="54" customHeight="1">
      <x:c r="A138" s="29" t="str">
        <x:v>bakersfield:detail:veli-iletisimi-131</x:v>
      </x:c>
      <x:c r="B138" s="29" t="str">
        <x:v>bakersfield</x:v>
      </x:c>
      <x:c r="C138" s="29" t="str">
        <x:v>bakersfield:veli-iletisimi</x:v>
      </x:c>
      <x:c r="D138" s="29" t="str">
        <x:v>_db_entry_identity</x:v>
      </x:c>
      <x:c r="E138" s="29" t="str">
        <x:v>Kart alanı: _db_entry_identity</x:v>
      </x:c>
      <x:c r="F138" s="29" t="str">
        <x:v>JSON</x:v>
      </x:c>
      <x:c r="G138" s="29" t="str">
        <x:v>{"id": 30492, "guide_id": 82, "topic_id": 1013, "image_id": null, "published": true, "updated_at": "2026-10-23 21:55:18.052932+00:00"}</x:v>
      </x:c>
    </x:row>
    <x:row r="139" ht="54" customHeight="1">
      <x:c r="A139" s="29" t="str">
        <x:v>bakersfield:detail:lise-gecis-132</x:v>
      </x:c>
      <x:c r="B139" s="29" t="str">
        <x:v>bakersfield</x:v>
      </x:c>
      <x:c r="C139" s="29" t="str">
        <x:v>bakersfield:lise-gecis</x:v>
      </x:c>
      <x:c r="D139" s="29" t="str">
        <x:v>_db_entry_identity</x:v>
      </x:c>
      <x:c r="E139" s="29" t="str">
        <x:v>Kart alanı: _db_entry_identity</x:v>
      </x:c>
      <x:c r="F139" s="29" t="str">
        <x:v>JSON</x:v>
      </x:c>
      <x:c r="G139" s="29" t="str">
        <x:v>{"id": 30493, "guide_id": 82, "topic_id": 1013, "image_id": null, "published": true, "updated_at": "2026-10-23 21:55:18.053885+00:00"}</x:v>
      </x:c>
    </x:row>
    <x:row r="140" ht="54" customHeight="1">
      <x:c r="A140" s="29" t="str">
        <x:v>bakersfield:detail:bakim-bulma-133</x:v>
      </x:c>
      <x:c r="B140" s="29" t="str">
        <x:v>bakersfield</x:v>
      </x:c>
      <x:c r="C140" s="29" t="str">
        <x:v>bakersfield:bakim-bulma</x:v>
      </x:c>
      <x:c r="D140" s="29" t="str">
        <x:v>_db_entry_identity</x:v>
      </x:c>
      <x:c r="E140" s="29" t="str">
        <x:v>Kart alanı: _db_entry_identity</x:v>
      </x:c>
      <x:c r="F140" s="29" t="str">
        <x:v>JSON</x:v>
      </x:c>
      <x:c r="G140" s="29" t="str">
        <x:v>{"id": 30494, "guide_id": 82, "topic_id": 1013, "image_id": null, "published": true, "updated_at": "2026-10-23 21:55:18.054824+00:00"}</x:v>
      </x:c>
    </x:row>
    <x:row r="141" ht="54" customHeight="1">
      <x:c r="A141" s="29" t="str">
        <x:v>bakersfield:detail:bakim-lisans-134</x:v>
      </x:c>
      <x:c r="B141" s="29" t="str">
        <x:v>bakersfield</x:v>
      </x:c>
      <x:c r="C141" s="29" t="str">
        <x:v>bakersfield:bakim-lisans</x:v>
      </x:c>
      <x:c r="D141" s="29" t="str">
        <x:v>_db_entry_identity</x:v>
      </x:c>
      <x:c r="E141" s="29" t="str">
        <x:v>Kart alanı: _db_entry_identity</x:v>
      </x:c>
      <x:c r="F141" s="29" t="str">
        <x:v>JSON</x:v>
      </x:c>
      <x:c r="G141" s="29" t="str">
        <x:v>{"id": 30495, "guide_id": 82, "topic_id": 1013, "image_id": null, "published": true, "updated_at": "2026-10-23 21:55:18.055779+00:00"}</x:v>
      </x:c>
    </x:row>
    <x:row r="142" ht="54" customHeight="1">
      <x:c r="A142" s="29" t="str">
        <x:v>bakersfield:detail:bakim-sozlesme-135</x:v>
      </x:c>
      <x:c r="B142" s="29" t="str">
        <x:v>bakersfield</x:v>
      </x:c>
      <x:c r="C142" s="29" t="str">
        <x:v>bakersfield:bakim-sozlesme</x:v>
      </x:c>
      <x:c r="D142" s="29" t="str">
        <x:v>_db_entry_identity</x:v>
      </x:c>
      <x:c r="E142" s="29" t="str">
        <x:v>Kart alanı: _db_entry_identity</x:v>
      </x:c>
      <x:c r="F142" s="29" t="str">
        <x:v>JSON</x:v>
      </x:c>
      <x:c r="G142" s="29" t="str">
        <x:v>{"id": 30496, "guide_id": 82, "topic_id": 1013, "image_id": null, "published": true, "updated_at": "2026-10-23 21:55:18.056740+00:00"}</x:v>
      </x:c>
    </x:row>
    <x:row r="143" ht="54" customHeight="1">
      <x:c r="A143" s="29" t="str">
        <x:v>bakersfield:detail:college-baslangic-136</x:v>
      </x:c>
      <x:c r="B143" s="29" t="str">
        <x:v>bakersfield</x:v>
      </x:c>
      <x:c r="C143" s="29" t="str">
        <x:v>bakersfield:college-baslangic</x:v>
      </x:c>
      <x:c r="D143" s="29" t="str">
        <x:v>_db_entry_identity</x:v>
      </x:c>
      <x:c r="E143" s="29" t="str">
        <x:v>Kart alanı: _db_entry_identity</x:v>
      </x:c>
      <x:c r="F143" s="29" t="str">
        <x:v>JSON</x:v>
      </x:c>
      <x:c r="G143" s="29" t="str">
        <x:v>{"id": 30497, "guide_id": 82, "topic_id": 1013, "image_id": null, "published": true, "updated_at": "2026-10-23 21:55:18.057680+00:00"}</x:v>
      </x:c>
    </x:row>
    <x:row r="144" ht="54" customHeight="1">
      <x:c r="A144" s="29" t="str">
        <x:v>bakersfield:detail:csub-uluslararasi-137</x:v>
      </x:c>
      <x:c r="B144" s="29" t="str">
        <x:v>bakersfield</x:v>
      </x:c>
      <x:c r="C144" s="29" t="str">
        <x:v>bakersfield:csub-uluslararasi</x:v>
      </x:c>
      <x:c r="D144" s="29" t="str">
        <x:v>_db_entry_identity</x:v>
      </x:c>
      <x:c r="E144" s="29" t="str">
        <x:v>Kart alanı: _db_entry_identity</x:v>
      </x:c>
      <x:c r="F144" s="29" t="str">
        <x:v>JSON</x:v>
      </x:c>
      <x:c r="G144" s="29" t="str">
        <x:v>{"id": 30498, "guide_id": 82, "topic_id": 1013, "image_id": null, "published": true, "updated_at": "2026-10-23 21:55:18.058616+00:00"}</x:v>
      </x:c>
    </x:row>
    <x:row r="145" ht="54" customHeight="1">
      <x:c r="A145" s="29" t="str">
        <x:v>bakersfield:detail:yetiskin-egitim-138</x:v>
      </x:c>
      <x:c r="B145" s="29" t="str">
        <x:v>bakersfield</x:v>
      </x:c>
      <x:c r="C145" s="29" t="str">
        <x:v>bakersfield:yetiskin-egitim</x:v>
      </x:c>
      <x:c r="D145" s="29" t="str">
        <x:v>_db_entry_identity</x:v>
      </x:c>
      <x:c r="E145" s="29" t="str">
        <x:v>Kart alanı: _db_entry_identity</x:v>
      </x:c>
      <x:c r="F145" s="29" t="str">
        <x:v>JSON</x:v>
      </x:c>
      <x:c r="G145" s="29" t="str">
        <x:v>{"id": 30499, "guide_id": 82, "topic_id": 1013, "image_id": null, "published": true, "updated_at": "2026-10-23 21:55:18.059616+00:00"}</x:v>
      </x:c>
    </x:row>
    <x:row r="146" ht="54" customHeight="1">
      <x:c r="A146" s="29" t="str">
        <x:v>bakersfield:detail:kutuphane-cocuk-139</x:v>
      </x:c>
      <x:c r="B146" s="29" t="str">
        <x:v>bakersfield</x:v>
      </x:c>
      <x:c r="C146" s="29" t="str">
        <x:v>bakersfield:kutuphane-cocuk</x:v>
      </x:c>
      <x:c r="D146" s="29" t="str">
        <x:v>_db_entry_identity</x:v>
      </x:c>
      <x:c r="E146" s="29" t="str">
        <x:v>Kart alanı: _db_entry_identity</x:v>
      </x:c>
      <x:c r="F146" s="29" t="str">
        <x:v>JSON</x:v>
      </x:c>
      <x:c r="G146" s="29" t="str">
        <x:v>{"id": 30500, "guide_id": 82, "topic_id": 1013, "image_id": null, "published": true, "updated_at": "2026-10-23 21:55:18.060557+00:00"}</x:v>
      </x:c>
    </x:row>
    <x:row r="147" ht="54" customHeight="1">
      <x:c r="A147" s="29" t="str">
        <x:v>bakersfield:detail:aile-acil-plan-140</x:v>
      </x:c>
      <x:c r="B147" s="29" t="str">
        <x:v>bakersfield</x:v>
      </x:c>
      <x:c r="C147" s="29" t="str">
        <x:v>bakersfield:aile-acil-plan</x:v>
      </x:c>
      <x:c r="D147" s="29" t="str">
        <x:v>_db_entry_identity</x:v>
      </x:c>
      <x:c r="E147" s="29" t="str">
        <x:v>Kart alanı: _db_entry_identity</x:v>
      </x:c>
      <x:c r="F147" s="29" t="str">
        <x:v>JSON</x:v>
      </x:c>
      <x:c r="G147" s="29" t="str">
        <x:v>{"id": 30501, "guide_id": 82, "topic_id": 1013, "image_id": null, "published": true, "updated_at": "2026-10-23 21:55:18.061642+00:00"}</x:v>
      </x:c>
    </x:row>
    <x:row r="148" ht="54" customHeight="1">
      <x:c r="A148" s="29" t="str">
        <x:v>bakersfield:detail:get-baslangic-141</x:v>
      </x:c>
      <x:c r="B148" s="29" t="str">
        <x:v>bakersfield</x:v>
      </x:c>
      <x:c r="C148" s="29" t="str">
        <x:v>bakersfield:get-baslangic</x:v>
      </x:c>
      <x:c r="D148" s="29" t="str">
        <x:v>_db_entry_identity</x:v>
      </x:c>
      <x:c r="E148" s="29" t="str">
        <x:v>Kart alanı: _db_entry_identity</x:v>
      </x:c>
      <x:c r="F148" s="29" t="str">
        <x:v>JSON</x:v>
      </x:c>
      <x:c r="G148" s="29" t="str">
        <x:v>{"id": 30502, "guide_id": 82, "topic_id": 1014, "image_id": null, "published": true, "updated_at": "2026-10-23 21:55:18.062630+00:00"}</x:v>
      </x:c>
    </x:row>
    <x:row r="149" ht="54" customHeight="1">
      <x:c r="A149" s="29" t="str">
        <x:v>bakersfield:detail:get-bilet-142</x:v>
      </x:c>
      <x:c r="B149" s="29" t="str">
        <x:v>bakersfield</x:v>
      </x:c>
      <x:c r="C149" s="29" t="str">
        <x:v>bakersfield:get-bilet</x:v>
      </x:c>
      <x:c r="D149" s="29" t="str">
        <x:v>_db_entry_identity</x:v>
      </x:c>
      <x:c r="E149" s="29" t="str">
        <x:v>Kart alanı: _db_entry_identity</x:v>
      </x:c>
      <x:c r="F149" s="29" t="str">
        <x:v>JSON</x:v>
      </x:c>
      <x:c r="G149" s="29" t="str">
        <x:v>{"id": 30503, "guide_id": 82, "topic_id": 1014, "image_id": null, "published": true, "updated_at": "2026-10-23 21:55:18.063579+00:00"}</x:v>
      </x:c>
    </x:row>
    <x:row r="150" ht="54" customHeight="1">
      <x:c r="A150" s="29" t="str">
        <x:v>bakersfield:detail:get-indirim-143</x:v>
      </x:c>
      <x:c r="B150" s="29" t="str">
        <x:v>bakersfield</x:v>
      </x:c>
      <x:c r="C150" s="29" t="str">
        <x:v>bakersfield:get-indirim</x:v>
      </x:c>
      <x:c r="D150" s="29" t="str">
        <x:v>_db_entry_identity</x:v>
      </x:c>
      <x:c r="E150" s="29" t="str">
        <x:v>Kart alanı: _db_entry_identity</x:v>
      </x:c>
      <x:c r="F150" s="29" t="str">
        <x:v>JSON</x:v>
      </x:c>
      <x:c r="G150" s="29" t="str">
        <x:v>{"id": 30504, "guide_id": 82, "topic_id": 1014, "image_id": null, "published": true, "updated_at": "2026-10-23 21:55:18.064754+00:00"}</x:v>
      </x:c>
    </x:row>
    <x:row r="151" ht="54" customHeight="1">
      <x:c r="A151" s="29" t="str">
        <x:v>bakersfield:detail:get-erisim-144</x:v>
      </x:c>
      <x:c r="B151" s="29" t="str">
        <x:v>bakersfield</x:v>
      </x:c>
      <x:c r="C151" s="29" t="str">
        <x:v>bakersfield:get-erisim</x:v>
      </x:c>
      <x:c r="D151" s="29" t="str">
        <x:v>_db_entry_identity</x:v>
      </x:c>
      <x:c r="E151" s="29" t="str">
        <x:v>Kart alanı: _db_entry_identity</x:v>
      </x:c>
      <x:c r="F151" s="29" t="str">
        <x:v>JSON</x:v>
      </x:c>
      <x:c r="G151" s="29" t="str">
        <x:v>{"id": 30505, "guide_id": 82, "topic_id": 1014, "image_id": null, "published": true, "updated_at": "2026-10-23 21:55:18.066210+00:00"}</x:v>
      </x:c>
    </x:row>
    <x:row r="152" ht="54" customHeight="1">
      <x:c r="A152" s="29" t="str">
        <x:v>bakersfield:detail:kern-bolge-145</x:v>
      </x:c>
      <x:c r="B152" s="29" t="str">
        <x:v>bakersfield</x:v>
      </x:c>
      <x:c r="C152" s="29" t="str">
        <x:v>bakersfield:kern-bolge</x:v>
      </x:c>
      <x:c r="D152" s="29" t="str">
        <x:v>_db_entry_identity</x:v>
      </x:c>
      <x:c r="E152" s="29" t="str">
        <x:v>Kart alanı: _db_entry_identity</x:v>
      </x:c>
      <x:c r="F152" s="29" t="str">
        <x:v>JSON</x:v>
      </x:c>
      <x:c r="G152" s="29" t="str">
        <x:v>{"id": 30506, "guide_id": 82, "topic_id": 1014, "image_id": null, "published": true, "updated_at": "2026-10-23 21:55:18.067255+00:00"}</x:v>
      </x:c>
    </x:row>
    <x:row r="153" ht="54" customHeight="1">
      <x:c r="A153" s="29" t="str">
        <x:v>bakersfield:detail:kern-ucret-146</x:v>
      </x:c>
      <x:c r="B153" s="29" t="str">
        <x:v>bakersfield</x:v>
      </x:c>
      <x:c r="C153" s="29" t="str">
        <x:v>bakersfield:kern-ucret</x:v>
      </x:c>
      <x:c r="D153" s="29" t="str">
        <x:v>_db_entry_identity</x:v>
      </x:c>
      <x:c r="E153" s="29" t="str">
        <x:v>Kart alanı: _db_entry_identity</x:v>
      </x:c>
      <x:c r="F153" s="29" t="str">
        <x:v>JSON</x:v>
      </x:c>
      <x:c r="G153" s="29" t="str">
        <x:v>{"id": 30507, "guide_id": 82, "topic_id": 1014, "image_id": null, "published": true, "updated_at": "2026-10-23 21:55:18.068210+00:00"}</x:v>
      </x:c>
    </x:row>
    <x:row r="154" ht="54" customHeight="1">
      <x:c r="A154" s="29" t="str">
        <x:v>bakersfield:detail:bakersfield-tren-147</x:v>
      </x:c>
      <x:c r="B154" s="29" t="str">
        <x:v>bakersfield</x:v>
      </x:c>
      <x:c r="C154" s="29" t="str">
        <x:v>bakersfield:bakersfield-tren</x:v>
      </x:c>
      <x:c r="D154" s="29" t="str">
        <x:v>_db_entry_identity</x:v>
      </x:c>
      <x:c r="E154" s="29" t="str">
        <x:v>Kart alanı: _db_entry_identity</x:v>
      </x:c>
      <x:c r="F154" s="29" t="str">
        <x:v>JSON</x:v>
      </x:c>
      <x:c r="G154" s="29" t="str">
        <x:v>{"id": 30508, "guide_id": 82, "topic_id": 1014, "image_id": null, "published": true, "updated_at": "2026-10-23 21:55:18.069173+00:00"}</x:v>
      </x:c>
    </x:row>
    <x:row r="155" ht="54" customHeight="1">
      <x:c r="A155" s="29" t="str">
        <x:v>bakersfield:detail:meadows-field-148</x:v>
      </x:c>
      <x:c r="B155" s="29" t="str">
        <x:v>bakersfield</x:v>
      </x:c>
      <x:c r="C155" s="29" t="str">
        <x:v>bakersfield:meadows-field</x:v>
      </x:c>
      <x:c r="D155" s="29" t="str">
        <x:v>_db_entry_identity</x:v>
      </x:c>
      <x:c r="E155" s="29" t="str">
        <x:v>Kart alanı: _db_entry_identity</x:v>
      </x:c>
      <x:c r="F155" s="29" t="str">
        <x:v>JSON</x:v>
      </x:c>
      <x:c r="G155" s="29" t="str">
        <x:v>{"id": 30509, "guide_id": 82, "topic_id": 1014, "image_id": null, "published": true, "updated_at": "2026-10-23 21:55:18.070204+00:00"}</x:v>
      </x:c>
    </x:row>
    <x:row r="156" ht="54" customHeight="1">
      <x:c r="A156" s="29" t="str">
        <x:v>bakersfield:detail:downtown-park-149</x:v>
      </x:c>
      <x:c r="B156" s="29" t="str">
        <x:v>bakersfield</x:v>
      </x:c>
      <x:c r="C156" s="29" t="str">
        <x:v>bakersfield:downtown-park</x:v>
      </x:c>
      <x:c r="D156" s="29" t="str">
        <x:v>_db_entry_identity</x:v>
      </x:c>
      <x:c r="E156" s="29" t="str">
        <x:v>Kart alanı: _db_entry_identity</x:v>
      </x:c>
      <x:c r="F156" s="29" t="str">
        <x:v>JSON</x:v>
      </x:c>
      <x:c r="G156" s="29" t="str">
        <x:v>{"id": 30510, "guide_id": 82, "topic_id": 1014, "image_id": null, "published": true, "updated_at": "2026-10-23 21:55:18.071151+00:00"}</x:v>
      </x:c>
    </x:row>
    <x:row r="157" ht="54" customHeight="1">
      <x:c r="A157" s="29" t="str">
        <x:v>bakersfield:detail:ehliyet-basvuru-150</x:v>
      </x:c>
      <x:c r="B157" s="29" t="str">
        <x:v>bakersfield</x:v>
      </x:c>
      <x:c r="C157" s="29" t="str">
        <x:v>bakersfield:ehliyet-basvuru</x:v>
      </x:c>
      <x:c r="D157" s="29" t="str">
        <x:v>_db_entry_identity</x:v>
      </x:c>
      <x:c r="E157" s="29" t="str">
        <x:v>Kart alanı: _db_entry_identity</x:v>
      </x:c>
      <x:c r="F157" s="29" t="str">
        <x:v>JSON</x:v>
      </x:c>
      <x:c r="G157" s="29" t="str">
        <x:v>{"id": 30511, "guide_id": 82, "topic_id": 1014, "image_id": null, "published": true, "updated_at": "2026-10-23 21:55:18.072110+00:00"}</x:v>
      </x:c>
    </x:row>
    <x:row r="158" ht="54" customHeight="1">
      <x:c r="A158" s="29" t="str">
        <x:v>bakersfield:detail:ehliyet-sinav-151</x:v>
      </x:c>
      <x:c r="B158" s="29" t="str">
        <x:v>bakersfield</x:v>
      </x:c>
      <x:c r="C158" s="29" t="str">
        <x:v>bakersfield:ehliyet-sinav</x:v>
      </x:c>
      <x:c r="D158" s="29" t="str">
        <x:v>_db_entry_identity</x:v>
      </x:c>
      <x:c r="E158" s="29" t="str">
        <x:v>Kart alanı: _db_entry_identity</x:v>
      </x:c>
      <x:c r="F158" s="29" t="str">
        <x:v>JSON</x:v>
      </x:c>
      <x:c r="G158" s="29" t="str">
        <x:v>{"id": 30512, "guide_id": 82, "topic_id": 1014, "image_id": null, "published": true, "updated_at": "2026-10-23 21:55:18.073113+00:00"}</x:v>
      </x:c>
    </x:row>
    <x:row r="159" ht="54" customHeight="1">
      <x:c r="A159" s="29" t="str">
        <x:v>bakersfield:detail:arac-tescil-152</x:v>
      </x:c>
      <x:c r="B159" s="29" t="str">
        <x:v>bakersfield</x:v>
      </x:c>
      <x:c r="C159" s="29" t="str">
        <x:v>bakersfield:arac-tescil</x:v>
      </x:c>
      <x:c r="D159" s="29" t="str">
        <x:v>_db_entry_identity</x:v>
      </x:c>
      <x:c r="E159" s="29" t="str">
        <x:v>Kart alanı: _db_entry_identity</x:v>
      </x:c>
      <x:c r="F159" s="29" t="str">
        <x:v>JSON</x:v>
      </x:c>
      <x:c r="G159" s="29" t="str">
        <x:v>{"id": 30513, "guide_id": 82, "topic_id": 1014, "image_id": null, "published": true, "updated_at": "2026-10-23 21:55:18.074138+00:00"}</x:v>
      </x:c>
    </x:row>
    <x:row r="160" ht="54" customHeight="1">
      <x:c r="A160" s="29" t="str">
        <x:v>bakersfield:detail:arac-sigorta-153</x:v>
      </x:c>
      <x:c r="B160" s="29" t="str">
        <x:v>bakersfield</x:v>
      </x:c>
      <x:c r="C160" s="29" t="str">
        <x:v>bakersfield:arac-sigorta</x:v>
      </x:c>
      <x:c r="D160" s="29" t="str">
        <x:v>_db_entry_identity</x:v>
      </x:c>
      <x:c r="E160" s="29" t="str">
        <x:v>Kart alanı: _db_entry_identity</x:v>
      </x:c>
      <x:c r="F160" s="29" t="str">
        <x:v>JSON</x:v>
      </x:c>
      <x:c r="G160" s="29" t="str">
        <x:v>{"id": 30514, "guide_id": 82, "topic_id": 1014, "image_id": null, "published": true, "updated_at": "2026-10-23 21:55:18.075154+00:00"}</x:v>
      </x:c>
    </x:row>
    <x:row r="161" ht="54" customHeight="1">
      <x:c r="A161" s="29" t="str">
        <x:v>bakersfield:detail:ikinci-el-arac-154</x:v>
      </x:c>
      <x:c r="B161" s="29" t="str">
        <x:v>bakersfield</x:v>
      </x:c>
      <x:c r="C161" s="29" t="str">
        <x:v>bakersfield:ikinci-el-arac</x:v>
      </x:c>
      <x:c r="D161" s="29" t="str">
        <x:v>_db_entry_identity</x:v>
      </x:c>
      <x:c r="E161" s="29" t="str">
        <x:v>Kart alanı: _db_entry_identity</x:v>
      </x:c>
      <x:c r="F161" s="29" t="str">
        <x:v>JSON</x:v>
      </x:c>
      <x:c r="G161" s="29" t="str">
        <x:v>{"id": 30515, "guide_id": 82, "topic_id": 1014, "image_id": null, "published": true, "updated_at": "2026-10-23 21:55:18.076101+00:00"}</x:v>
      </x:c>
    </x:row>
    <x:row r="162" ht="54" customHeight="1">
      <x:c r="A162" s="29" t="str">
        <x:v>bakersfield:detail:smog-155</x:v>
      </x:c>
      <x:c r="B162" s="29" t="str">
        <x:v>bakersfield</x:v>
      </x:c>
      <x:c r="C162" s="29" t="str">
        <x:v>bakersfield:smog</x:v>
      </x:c>
      <x:c r="D162" s="29" t="str">
        <x:v>_db_entry_identity</x:v>
      </x:c>
      <x:c r="E162" s="29" t="str">
        <x:v>Kart alanı: _db_entry_identity</x:v>
      </x:c>
      <x:c r="F162" s="29" t="str">
        <x:v>JSON</x:v>
      </x:c>
      <x:c r="G162" s="29" t="str">
        <x:v>{"id": 30516, "guide_id": 82, "topic_id": 1014, "image_id": null, "published": true, "updated_at": "2026-10-23 21:55:18.077055+00:00"}</x:v>
      </x:c>
    </x:row>
    <x:row r="163" ht="54" customHeight="1">
      <x:c r="A163" s="29" t="str">
        <x:v>bakersfield:detail:cocuk-koltugu-156</x:v>
      </x:c>
      <x:c r="B163" s="29" t="str">
        <x:v>bakersfield</x:v>
      </x:c>
      <x:c r="C163" s="29" t="str">
        <x:v>bakersfield:cocuk-koltugu</x:v>
      </x:c>
      <x:c r="D163" s="29" t="str">
        <x:v>_db_entry_identity</x:v>
      </x:c>
      <x:c r="E163" s="29" t="str">
        <x:v>Kart alanı: _db_entry_identity</x:v>
      </x:c>
      <x:c r="F163" s="29" t="str">
        <x:v>JSON</x:v>
      </x:c>
      <x:c r="G163" s="29" t="str">
        <x:v>{"id": 30517, "guide_id": 82, "topic_id": 1014, "image_id": null, "published": true, "updated_at": "2026-10-23 21:55:18.078008+00:00"}</x:v>
      </x:c>
    </x:row>
    <x:row r="164" ht="54" customHeight="1">
      <x:c r="A164" s="29" t="str">
        <x:v>bakersfield:detail:bisiklet-duzeni-157</x:v>
      </x:c>
      <x:c r="B164" s="29" t="str">
        <x:v>bakersfield</x:v>
      </x:c>
      <x:c r="C164" s="29" t="str">
        <x:v>bakersfield:bisiklet-duzeni</x:v>
      </x:c>
      <x:c r="D164" s="29" t="str">
        <x:v>_db_entry_identity</x:v>
      </x:c>
      <x:c r="E164" s="29" t="str">
        <x:v>Kart alanı: _db_entry_identity</x:v>
      </x:c>
      <x:c r="F164" s="29" t="str">
        <x:v>JSON</x:v>
      </x:c>
      <x:c r="G164" s="29" t="str">
        <x:v>{"id": 30518, "guide_id": 82, "topic_id": 1014, "image_id": null, "published": true, "updated_at": "2026-10-23 21:55:18.078959+00:00"}</x:v>
      </x:c>
    </x:row>
    <x:row r="165" ht="54" customHeight="1">
      <x:c r="A165" s="29" t="str">
        <x:v>bakersfield:detail:yaya-sicak-158</x:v>
      </x:c>
      <x:c r="B165" s="29" t="str">
        <x:v>bakersfield</x:v>
      </x:c>
      <x:c r="C165" s="29" t="str">
        <x:v>bakersfield:yaya-sicak</x:v>
      </x:c>
      <x:c r="D165" s="29" t="str">
        <x:v>_db_entry_identity</x:v>
      </x:c>
      <x:c r="E165" s="29" t="str">
        <x:v>Kart alanı: _db_entry_identity</x:v>
      </x:c>
      <x:c r="F165" s="29" t="str">
        <x:v>JSON</x:v>
      </x:c>
      <x:c r="G165" s="29" t="str">
        <x:v>{"id": 30519, "guide_id": 82, "topic_id": 1014, "image_id": null, "published": true, "updated_at": "2026-10-23 21:55:18.079960+00:00"}</x:v>
      </x:c>
    </x:row>
    <x:row r="166" ht="54" customHeight="1">
      <x:c r="A166" s="29" t="str">
        <x:v>bakersfield:detail:dag-yollari-159</x:v>
      </x:c>
      <x:c r="B166" s="29" t="str">
        <x:v>bakersfield</x:v>
      </x:c>
      <x:c r="C166" s="29" t="str">
        <x:v>bakersfield:dag-yollari</x:v>
      </x:c>
      <x:c r="D166" s="29" t="str">
        <x:v>_db_entry_identity</x:v>
      </x:c>
      <x:c r="E166" s="29" t="str">
        <x:v>Kart alanı: _db_entry_identity</x:v>
      </x:c>
      <x:c r="F166" s="29" t="str">
        <x:v>JSON</x:v>
      </x:c>
      <x:c r="G166" s="29" t="str">
        <x:v>{"id": 30520, "guide_id": 82, "topic_id": 1014, "image_id": null, "published": true, "updated_at": "2026-10-23 21:55:18.080951+00:00"}</x:v>
      </x:c>
    </x:row>
    <x:row r="167" ht="54" customHeight="1">
      <x:c r="A167" s="29" t="str">
        <x:v>bakersfield:detail:ulasim-butcesi-160</x:v>
      </x:c>
      <x:c r="B167" s="29" t="str">
        <x:v>bakersfield</x:v>
      </x:c>
      <x:c r="C167" s="29" t="str">
        <x:v>bakersfield:ulasim-butcesi</x:v>
      </x:c>
      <x:c r="D167" s="29" t="str">
        <x:v>_db_entry_identity</x:v>
      </x:c>
      <x:c r="E167" s="29" t="str">
        <x:v>Kart alanı: _db_entry_identity</x:v>
      </x:c>
      <x:c r="F167" s="29" t="str">
        <x:v>JSON</x:v>
      </x:c>
      <x:c r="G167" s="29" t="str">
        <x:v>{"id": 30521, "guide_id": 82, "topic_id": 1014, "image_id": null, "published": true, "updated_at": "2026-10-23 21:55:18.081933+00:00"}</x:v>
      </x:c>
    </x:row>
    <x:row r="168" ht="54" customHeight="1">
      <x:c r="A168" s="29" t="str">
        <x:v>bakersfield:detail:sivrisinek-bildirim-161</x:v>
      </x:c>
      <x:c r="B168" s="29" t="str">
        <x:v>bakersfield</x:v>
      </x:c>
      <x:c r="C168" s="29" t="str">
        <x:v>bakersfield:sivrisinek-bildirim</x:v>
      </x:c>
      <x:c r="D168" s="29" t="str">
        <x:v>_db_entry_identity</x:v>
      </x:c>
      <x:c r="E168" s="29" t="str">
        <x:v>Kart alanı: _db_entry_identity</x:v>
      </x:c>
      <x:c r="F168" s="29" t="str">
        <x:v>JSON</x:v>
      </x:c>
      <x:c r="G168" s="29" t="str">
        <x:v>{"id": 30522, "guide_id": 82, "topic_id": 1015, "image_id": null, "published": true, "updated_at": "2026-10-23 21:55:18.082940+00:00"}</x:v>
      </x:c>
    </x:row>
    <x:row r="169" ht="54" customHeight="1">
      <x:c r="A169" s="29" t="str">
        <x:v>bakersfield:detail:cop-takvimi-162</x:v>
      </x:c>
      <x:c r="B169" s="29" t="str">
        <x:v>bakersfield</x:v>
      </x:c>
      <x:c r="C169" s="29" t="str">
        <x:v>bakersfield:cop-takvimi</x:v>
      </x:c>
      <x:c r="D169" s="29" t="str">
        <x:v>_db_entry_identity</x:v>
      </x:c>
      <x:c r="E169" s="29" t="str">
        <x:v>Kart alanı: _db_entry_identity</x:v>
      </x:c>
      <x:c r="F169" s="29" t="str">
        <x:v>JSON</x:v>
      </x:c>
      <x:c r="G169" s="29" t="str">
        <x:v>{"id": 30523, "guide_id": 82, "topic_id": 1015, "image_id": null, "published": true, "updated_at": "2026-10-23 21:55:18.083892+00:00"}</x:v>
      </x:c>
    </x:row>
    <x:row r="170" ht="54" customHeight="1">
      <x:c r="A170" s="29" t="str">
        <x:v>bakersfield:detail:organik-atik-163</x:v>
      </x:c>
      <x:c r="B170" s="29" t="str">
        <x:v>bakersfield</x:v>
      </x:c>
      <x:c r="C170" s="29" t="str">
        <x:v>bakersfield:organik-atik</x:v>
      </x:c>
      <x:c r="D170" s="29" t="str">
        <x:v>_db_entry_identity</x:v>
      </x:c>
      <x:c r="E170" s="29" t="str">
        <x:v>Kart alanı: _db_entry_identity</x:v>
      </x:c>
      <x:c r="F170" s="29" t="str">
        <x:v>JSON</x:v>
      </x:c>
      <x:c r="G170" s="29" t="str">
        <x:v>{"id": 30524, "guide_id": 82, "topic_id": 1015, "image_id": null, "published": true, "updated_at": "2026-10-23 21:55:18.084875+00:00"}</x:v>
      </x:c>
    </x:row>
    <x:row r="171" ht="54" customHeight="1">
      <x:c r="A171" s="29" t="str">
        <x:v>bakersfield:detail:buyuk-atik-164</x:v>
      </x:c>
      <x:c r="B171" s="29" t="str">
        <x:v>bakersfield</x:v>
      </x:c>
      <x:c r="C171" s="29" t="str">
        <x:v>bakersfield:buyuk-atik</x:v>
      </x:c>
      <x:c r="D171" s="29" t="str">
        <x:v>_db_entry_identity</x:v>
      </x:c>
      <x:c r="E171" s="29" t="str">
        <x:v>Kart alanı: _db_entry_identity</x:v>
      </x:c>
      <x:c r="F171" s="29" t="str">
        <x:v>JSON</x:v>
      </x:c>
      <x:c r="G171" s="29" t="str">
        <x:v>{"id": 30525, "guide_id": 82, "topic_id": 1015, "image_id": null, "published": true, "updated_at": "2026-10-23 21:55:18.085882+00:00"}</x:v>
      </x:c>
    </x:row>
    <x:row r="172" ht="54" customHeight="1">
      <x:c r="A172" s="29" t="str">
        <x:v>bakersfield:detail:tehlikeli-atik-165</x:v>
      </x:c>
      <x:c r="B172" s="29" t="str">
        <x:v>bakersfield</x:v>
      </x:c>
      <x:c r="C172" s="29" t="str">
        <x:v>bakersfield:tehlikeli-atik</x:v>
      </x:c>
      <x:c r="D172" s="29" t="str">
        <x:v>_db_entry_identity</x:v>
      </x:c>
      <x:c r="E172" s="29" t="str">
        <x:v>Kart alanı: _db_entry_identity</x:v>
      </x:c>
      <x:c r="F172" s="29" t="str">
        <x:v>JSON</x:v>
      </x:c>
      <x:c r="G172" s="29" t="str">
        <x:v>{"id": 30526, "guide_id": 82, "topic_id": 1015, "image_id": null, "published": true, "updated_at": "2026-10-23 21:55:18.086867+00:00"}</x:v>
      </x:c>
    </x:row>
    <x:row r="173" ht="54" customHeight="1">
      <x:c r="A173" s="29" t="str">
        <x:v>bakersfield:detail:kutuphane-karti-166</x:v>
      </x:c>
      <x:c r="B173" s="29" t="str">
        <x:v>bakersfield</x:v>
      </x:c>
      <x:c r="C173" s="29" t="str">
        <x:v>bakersfield:kutuphane-karti</x:v>
      </x:c>
      <x:c r="D173" s="29" t="str">
        <x:v>_db_entry_identity</x:v>
      </x:c>
      <x:c r="E173" s="29" t="str">
        <x:v>Kart alanı: _db_entry_identity</x:v>
      </x:c>
      <x:c r="F173" s="29" t="str">
        <x:v>JSON</x:v>
      </x:c>
      <x:c r="G173" s="29" t="str">
        <x:v>{"id": 30527, "guide_id": 82, "topic_id": 1015, "image_id": null, "published": true, "updated_at": "2026-10-23 21:55:18.087823+00:00"}</x:v>
      </x:c>
    </x:row>
    <x:row r="174" ht="54" customHeight="1">
      <x:c r="A174" s="29" t="str">
        <x:v>bakersfield:detail:kutuphane-dijital-167</x:v>
      </x:c>
      <x:c r="B174" s="29" t="str">
        <x:v>bakersfield</x:v>
      </x:c>
      <x:c r="C174" s="29" t="str">
        <x:v>bakersfield:kutuphane-dijital</x:v>
      </x:c>
      <x:c r="D174" s="29" t="str">
        <x:v>_db_entry_identity</x:v>
      </x:c>
      <x:c r="E174" s="29" t="str">
        <x:v>Kart alanı: _db_entry_identity</x:v>
      </x:c>
      <x:c r="F174" s="29" t="str">
        <x:v>JSON</x:v>
      </x:c>
      <x:c r="G174" s="29" t="str">
        <x:v>{"id": 30528, "guide_id": 82, "topic_id": 1015, "image_id": null, "published": true, "updated_at": "2026-10-23 21:55:18.088762+00:00"}</x:v>
      </x:c>
    </x:row>
    <x:row r="175" ht="54" customHeight="1">
      <x:c r="A175" s="29" t="str">
        <x:v>bakersfield:detail:park-hizmeti-168</x:v>
      </x:c>
      <x:c r="B175" s="29" t="str">
        <x:v>bakersfield</x:v>
      </x:c>
      <x:c r="C175" s="29" t="str">
        <x:v>bakersfield:park-hizmeti</x:v>
      </x:c>
      <x:c r="D175" s="29" t="str">
        <x:v>_db_entry_identity</x:v>
      </x:c>
      <x:c r="E175" s="29" t="str">
        <x:v>Kart alanı: _db_entry_identity</x:v>
      </x:c>
      <x:c r="F175" s="29" t="str">
        <x:v>JSON</x:v>
      </x:c>
      <x:c r="G175" s="29" t="str">
        <x:v>{"id": 30529, "guide_id": 82, "topic_id": 1015, "image_id": null, "published": true, "updated_at": "2026-10-23 21:55:18.089726+00:00"}</x:v>
      </x:c>
    </x:row>
    <x:row r="176" ht="54" customHeight="1">
      <x:c r="A176" s="29" t="str">
        <x:v>bakersfield:detail:spor-programi-169</x:v>
      </x:c>
      <x:c r="B176" s="29" t="str">
        <x:v>bakersfield</x:v>
      </x:c>
      <x:c r="C176" s="29" t="str">
        <x:v>bakersfield:spor-programi</x:v>
      </x:c>
      <x:c r="D176" s="29" t="str">
        <x:v>_db_entry_identity</x:v>
      </x:c>
      <x:c r="E176" s="29" t="str">
        <x:v>Kart alanı: _db_entry_identity</x:v>
      </x:c>
      <x:c r="F176" s="29" t="str">
        <x:v>JSON</x:v>
      </x:c>
      <x:c r="G176" s="29" t="str">
        <x:v>{"id": 30530, "guide_id": 82, "topic_id": 1015, "image_id": null, "published": true, "updated_at": "2026-10-23 21:55:18.090714+00:00"}</x:v>
      </x:c>
    </x:row>
    <x:row r="177" ht="54" customHeight="1">
      <x:c r="A177" s="29" t="str">
        <x:v>bakersfield:detail:evcil-kayit-170</x:v>
      </x:c>
      <x:c r="B177" s="29" t="str">
        <x:v>bakersfield</x:v>
      </x:c>
      <x:c r="C177" s="29" t="str">
        <x:v>bakersfield:evcil-kayit</x:v>
      </x:c>
      <x:c r="D177" s="29" t="str">
        <x:v>_db_entry_identity</x:v>
      </x:c>
      <x:c r="E177" s="29" t="str">
        <x:v>Kart alanı: _db_entry_identity</x:v>
      </x:c>
      <x:c r="F177" s="29" t="str">
        <x:v>JSON</x:v>
      </x:c>
      <x:c r="G177" s="29" t="str">
        <x:v>{"id": 30531, "guide_id": 82, "topic_id": 1015, "image_id": null, "published": true, "updated_at": "2026-10-23 21:55:18.091741+00:00"}</x:v>
      </x:c>
    </x:row>
    <x:row r="178" ht="54" customHeight="1">
      <x:c r="A178" s="29" t="str">
        <x:v>bakersfield:detail:hayvan-kayip-171</x:v>
      </x:c>
      <x:c r="B178" s="29" t="str">
        <x:v>bakersfield</x:v>
      </x:c>
      <x:c r="C178" s="29" t="str">
        <x:v>bakersfield:hayvan-kayip</x:v>
      </x:c>
      <x:c r="D178" s="29" t="str">
        <x:v>_db_entry_identity</x:v>
      </x:c>
      <x:c r="E178" s="29" t="str">
        <x:v>Kart alanı: _db_entry_identity</x:v>
      </x:c>
      <x:c r="F178" s="29" t="str">
        <x:v>JSON</x:v>
      </x:c>
      <x:c r="G178" s="29" t="str">
        <x:v>{"id": 30532, "guide_id": 82, "topic_id": 1015, "image_id": null, "published": true, "updated_at": "2026-10-23 21:55:18.092766+00:00"}</x:v>
      </x:c>
    </x:row>
    <x:row r="179" ht="54" customHeight="1">
      <x:c r="A179" s="29" t="str">
        <x:v>bakersfield:detail:market-fiyat-172</x:v>
      </x:c>
      <x:c r="B179" s="29" t="str">
        <x:v>bakersfield</x:v>
      </x:c>
      <x:c r="C179" s="29" t="str">
        <x:v>bakersfield:market-fiyat</x:v>
      </x:c>
      <x:c r="D179" s="29" t="str">
        <x:v>_db_entry_identity</x:v>
      </x:c>
      <x:c r="E179" s="29" t="str">
        <x:v>Kart alanı: _db_entry_identity</x:v>
      </x:c>
      <x:c r="F179" s="29" t="str">
        <x:v>JSON</x:v>
      </x:c>
      <x:c r="G179" s="29" t="str">
        <x:v>{"id": 30533, "guide_id": 82, "topic_id": 1015, "image_id": null, "published": true, "updated_at": "2026-10-23 21:55:18.093792+00:00"}</x:v>
      </x:c>
    </x:row>
    <x:row r="180" ht="54" customHeight="1">
      <x:c r="A180" s="29" t="str">
        <x:v>bakersfield:detail:olcu-birim-173</x:v>
      </x:c>
      <x:c r="B180" s="29" t="str">
        <x:v>bakersfield</x:v>
      </x:c>
      <x:c r="C180" s="29" t="str">
        <x:v>bakersfield:olcu-birim</x:v>
      </x:c>
      <x:c r="D180" s="29" t="str">
        <x:v>_db_entry_identity</x:v>
      </x:c>
      <x:c r="E180" s="29" t="str">
        <x:v>Kart alanı: _db_entry_identity</x:v>
      </x:c>
      <x:c r="F180" s="29" t="str">
        <x:v>JSON</x:v>
      </x:c>
      <x:c r="G180" s="29" t="str">
        <x:v>{"id": 30534, "guide_id": 82, "topic_id": 1015, "image_id": null, "published": true, "updated_at": "2026-10-23 21:55:18.094810+00:00"}</x:v>
      </x:c>
    </x:row>
    <x:row r="181" ht="54" customHeight="1">
      <x:c r="A181" s="29" t="str">
        <x:v>bakersfield:detail:bahsis-hesap-174</x:v>
      </x:c>
      <x:c r="B181" s="29" t="str">
        <x:v>bakersfield</x:v>
      </x:c>
      <x:c r="C181" s="29" t="str">
        <x:v>bakersfield:bahsis-hesap</x:v>
      </x:c>
      <x:c r="D181" s="29" t="str">
        <x:v>_db_entry_identity</x:v>
      </x:c>
      <x:c r="E181" s="29" t="str">
        <x:v>Kart alanı: _db_entry_identity</x:v>
      </x:c>
      <x:c r="F181" s="29" t="str">
        <x:v>JSON</x:v>
      </x:c>
      <x:c r="G181" s="29" t="str">
        <x:v>{"id": 30535, "guide_id": 82, "topic_id": 1015, "image_id": null, "published": true, "updated_at": "2026-10-23 21:55:18.095785+00:00"}</x:v>
      </x:c>
    </x:row>
    <x:row r="182" ht="54" customHeight="1">
      <x:c r="A182" s="29" t="str">
        <x:v>bakersfield:detail:paket-teslim-175</x:v>
      </x:c>
      <x:c r="B182" s="29" t="str">
        <x:v>bakersfield</x:v>
      </x:c>
      <x:c r="C182" s="29" t="str">
        <x:v>bakersfield:paket-teslim</x:v>
      </x:c>
      <x:c r="D182" s="29" t="str">
        <x:v>_db_entry_identity</x:v>
      </x:c>
      <x:c r="E182" s="29" t="str">
        <x:v>Kart alanı: _db_entry_identity</x:v>
      </x:c>
      <x:c r="F182" s="29" t="str">
        <x:v>JSON</x:v>
      </x:c>
      <x:c r="G182" s="29" t="str">
        <x:v>{"id": 30536, "guide_id": 82, "topic_id": 1015, "image_id": null, "published": true, "updated_at": "2026-10-23 21:55:18.096821+00:00"}</x:v>
      </x:c>
    </x:row>
    <x:row r="183" ht="54" customHeight="1">
      <x:c r="A183" s="29" t="str">
        <x:v>bakersfield:detail:readykern-kayit-176</x:v>
      </x:c>
      <x:c r="B183" s="29" t="str">
        <x:v>bakersfield</x:v>
      </x:c>
      <x:c r="C183" s="29" t="str">
        <x:v>bakersfield:readykern-kayit</x:v>
      </x:c>
      <x:c r="D183" s="29" t="str">
        <x:v>_db_entry_identity</x:v>
      </x:c>
      <x:c r="E183" s="29" t="str">
        <x:v>Kart alanı: _db_entry_identity</x:v>
      </x:c>
      <x:c r="F183" s="29" t="str">
        <x:v>JSON</x:v>
      </x:c>
      <x:c r="G183" s="29" t="str">
        <x:v>{"id": 30537, "guide_id": 82, "topic_id": 1015, "image_id": null, "published": true, "updated_at": "2026-10-23 21:55:18.097876+00:00"}</x:v>
      </x:c>
    </x:row>
    <x:row r="184" ht="54" customHeight="1">
      <x:c r="A184" s="29" t="str">
        <x:v>bakersfield:detail:tahliye-bolgesi-177</x:v>
      </x:c>
      <x:c r="B184" s="29" t="str">
        <x:v>bakersfield</x:v>
      </x:c>
      <x:c r="C184" s="29" t="str">
        <x:v>bakersfield:tahliye-bolgesi</x:v>
      </x:c>
      <x:c r="D184" s="29" t="str">
        <x:v>_db_entry_identity</x:v>
      </x:c>
      <x:c r="E184" s="29" t="str">
        <x:v>Kart alanı: _db_entry_identity</x:v>
      </x:c>
      <x:c r="F184" s="29" t="str">
        <x:v>JSON</x:v>
      </x:c>
      <x:c r="G184" s="29" t="str">
        <x:v>{"id": 30538, "guide_id": 82, "topic_id": 1015, "image_id": null, "published": true, "updated_at": "2026-10-23 21:55:18.098864+00:00"}</x:v>
      </x:c>
    </x:row>
    <x:row r="185" ht="54" customHeight="1">
      <x:c r="A185" s="29" t="str">
        <x:v>bakersfield:detail:deprem-erken-uyari-178</x:v>
      </x:c>
      <x:c r="B185" s="29" t="str">
        <x:v>bakersfield</x:v>
      </x:c>
      <x:c r="C185" s="29" t="str">
        <x:v>bakersfield:deprem-erken-uyari</x:v>
      </x:c>
      <x:c r="D185" s="29" t="str">
        <x:v>_db_entry_identity</x:v>
      </x:c>
      <x:c r="E185" s="29" t="str">
        <x:v>Kart alanı: _db_entry_identity</x:v>
      </x:c>
      <x:c r="F185" s="29" t="str">
        <x:v>JSON</x:v>
      </x:c>
      <x:c r="G185" s="29" t="str">
        <x:v>{"id": 30539, "guide_id": 82, "topic_id": 1015, "image_id": null, "published": true, "updated_at": "2026-10-23 21:55:18.099839+00:00"}</x:v>
      </x:c>
    </x:row>
    <x:row r="186" ht="54" customHeight="1">
      <x:c r="A186" s="29" t="str">
        <x:v>bakersfield:detail:belediye-talebi-179</x:v>
      </x:c>
      <x:c r="B186" s="29" t="str">
        <x:v>bakersfield</x:v>
      </x:c>
      <x:c r="C186" s="29" t="str">
        <x:v>bakersfield:belediye-talebi</x:v>
      </x:c>
      <x:c r="D186" s="29" t="str">
        <x:v>_db_entry_identity</x:v>
      </x:c>
      <x:c r="E186" s="29" t="str">
        <x:v>Kart alanı: _db_entry_identity</x:v>
      </x:c>
      <x:c r="F186" s="29" t="str">
        <x:v>JSON</x:v>
      </x:c>
      <x:c r="G186" s="29" t="str">
        <x:v>{"id": 30540, "guide_id": 82, "topic_id": 1015, "image_id": null, "published": true, "updated_at": "2026-10-23 21:55:18.100815+00:00"}</x:v>
      </x:c>
    </x:row>
    <x:row r="187" ht="54" customHeight="1">
      <x:c r="A187" s="29" t="str">
        <x:v>bakersfield:detail:kutuphane-cikti-180</x:v>
      </x:c>
      <x:c r="B187" s="29" t="str">
        <x:v>bakersfield</x:v>
      </x:c>
      <x:c r="C187" s="29" t="str">
        <x:v>bakersfield:kutuphane-cikti</x:v>
      </x:c>
      <x:c r="D187" s="29" t="str">
        <x:v>_db_entry_identity</x:v>
      </x:c>
      <x:c r="E187" s="29" t="str">
        <x:v>Kart alanı: _db_entry_identity</x:v>
      </x:c>
      <x:c r="F187" s="29" t="str">
        <x:v>JSON</x:v>
      </x:c>
      <x:c r="G187" s="29" t="str">
        <x:v>{"id": 30541, "guide_id": 82, "topic_id": 1015, "image_id": null, "published": true, "updated_at": "2026-10-23 21:55:18.101820+00:00"}</x:v>
      </x:c>
    </x:row>
    <x:row r="188" ht="54" customHeight="1">
      <x:c r="A188" s="29" t="str">
        <x:v>bakersfield:detail:hak-belge-181</x:v>
      </x:c>
      <x:c r="B188" s="29" t="str">
        <x:v>bakersfield</x:v>
      </x:c>
      <x:c r="C188" s="29" t="str">
        <x:v>bakersfield:hak-belge</x:v>
      </x:c>
      <x:c r="D188" s="29" t="str">
        <x:v>_db_entry_identity</x:v>
      </x:c>
      <x:c r="E188" s="29" t="str">
        <x:v>Kart alanı: _db_entry_identity</x:v>
      </x:c>
      <x:c r="F188" s="29" t="str">
        <x:v>JSON</x:v>
      </x:c>
      <x:c r="G188" s="29" t="str">
        <x:v>{"id": 30542, "guide_id": 82, "topic_id": 1016, "image_id": null, "published": true, "updated_at": "2026-10-23 21:55:18.102795+00:00"}</x:v>
      </x:c>
    </x:row>
    <x:row r="189" ht="54" customHeight="1">
      <x:c r="A189" s="29" t="str">
        <x:v>bakersfield:detail:mahkeme-yardim-182</x:v>
      </x:c>
      <x:c r="B189" s="29" t="str">
        <x:v>bakersfield</x:v>
      </x:c>
      <x:c r="C189" s="29" t="str">
        <x:v>bakersfield:mahkeme-yardim</x:v>
      </x:c>
      <x:c r="D189" s="29" t="str">
        <x:v>_db_entry_identity</x:v>
      </x:c>
      <x:c r="E189" s="29" t="str">
        <x:v>Kart alanı: _db_entry_identity</x:v>
      </x:c>
      <x:c r="F189" s="29" t="str">
        <x:v>JSON</x:v>
      </x:c>
      <x:c r="G189" s="29" t="str">
        <x:v>{"id": 30543, "guide_id": 82, "topic_id": 1016, "image_id": null, "published": true, "updated_at": "2026-10-23 21:55:18.103848+00:00"}</x:v>
      </x:c>
    </x:row>
    <x:row r="190" ht="54" customHeight="1">
      <x:c r="A190" s="29" t="str">
        <x:v>bakersfield:detail:small-claims-183</x:v>
      </x:c>
      <x:c r="B190" s="29" t="str">
        <x:v>bakersfield</x:v>
      </x:c>
      <x:c r="C190" s="29" t="str">
        <x:v>bakersfield:small-claims</x:v>
      </x:c>
      <x:c r="D190" s="29" t="str">
        <x:v>_db_entry_identity</x:v>
      </x:c>
      <x:c r="E190" s="29" t="str">
        <x:v>Kart alanı: _db_entry_identity</x:v>
      </x:c>
      <x:c r="F190" s="29" t="str">
        <x:v>JSON</x:v>
      </x:c>
      <x:c r="G190" s="29" t="str">
        <x:v>{"id": 30544, "guide_id": 82, "topic_id": 1016, "image_id": null, "published": true, "updated_at": "2026-10-23 21:55:18.104836+00:00"}</x:v>
      </x:c>
    </x:row>
    <x:row r="191" ht="54" customHeight="1">
      <x:c r="A191" s="29" t="str">
        <x:v>bakersfield:detail:tebligat-184</x:v>
      </x:c>
      <x:c r="B191" s="29" t="str">
        <x:v>bakersfield</x:v>
      </x:c>
      <x:c r="C191" s="29" t="str">
        <x:v>bakersfield:tebligat</x:v>
      </x:c>
      <x:c r="D191" s="29" t="str">
        <x:v>_db_entry_identity</x:v>
      </x:c>
      <x:c r="E191" s="29" t="str">
        <x:v>Kart alanı: _db_entry_identity</x:v>
      </x:c>
      <x:c r="F191" s="29" t="str">
        <x:v>JSON</x:v>
      </x:c>
      <x:c r="G191" s="29" t="str">
        <x:v>{"id": 30545, "guide_id": 82, "topic_id": 1016, "image_id": null, "published": true, "updated_at": "2026-10-23 21:55:18.105788+00:00"}</x:v>
      </x:c>
    </x:row>
    <x:row r="192" ht="54" customHeight="1">
      <x:c r="A192" s="29" t="str">
        <x:v>bakersfield:detail:kiraci-yardim-185</x:v>
      </x:c>
      <x:c r="B192" s="29" t="str">
        <x:v>bakersfield</x:v>
      </x:c>
      <x:c r="C192" s="29" t="str">
        <x:v>bakersfield:kiraci-yardim</x:v>
      </x:c>
      <x:c r="D192" s="29" t="str">
        <x:v>_db_entry_identity</x:v>
      </x:c>
      <x:c r="E192" s="29" t="str">
        <x:v>Kart alanı: _db_entry_identity</x:v>
      </x:c>
      <x:c r="F192" s="29" t="str">
        <x:v>JSON</x:v>
      </x:c>
      <x:c r="G192" s="29" t="str">
        <x:v>{"id": 30546, "guide_id": 82, "topic_id": 1016, "image_id": null, "published": true, "updated_at": "2026-10-23 21:55:18.106744+00:00"}</x:v>
      </x:c>
    </x:row>
    <x:row r="193" ht="54" customHeight="1">
      <x:c r="A193" s="29" t="str">
        <x:v>bakersfield:detail:konut-ayrimcilik-186</x:v>
      </x:c>
      <x:c r="B193" s="29" t="str">
        <x:v>bakersfield</x:v>
      </x:c>
      <x:c r="C193" s="29" t="str">
        <x:v>bakersfield:konut-ayrimcilik</x:v>
      </x:c>
      <x:c r="D193" s="29" t="str">
        <x:v>_db_entry_identity</x:v>
      </x:c>
      <x:c r="E193" s="29" t="str">
        <x:v>Kart alanı: _db_entry_identity</x:v>
      </x:c>
      <x:c r="F193" s="29" t="str">
        <x:v>JSON</x:v>
      </x:c>
      <x:c r="G193" s="29" t="str">
        <x:v>{"id": 30547, "guide_id": 82, "topic_id": 1016, "image_id": null, "published": true, "updated_at": "2026-10-23 21:55:18.107760+00:00"}</x:v>
      </x:c>
    </x:row>
    <x:row r="194" ht="54" customHeight="1">
      <x:c r="A194" s="29" t="str">
        <x:v>bakersfield:detail:engelli-duzenleme-187</x:v>
      </x:c>
      <x:c r="B194" s="29" t="str">
        <x:v>bakersfield</x:v>
      </x:c>
      <x:c r="C194" s="29" t="str">
        <x:v>bakersfield:engelli-duzenleme</x:v>
      </x:c>
      <x:c r="D194" s="29" t="str">
        <x:v>_db_entry_identity</x:v>
      </x:c>
      <x:c r="E194" s="29" t="str">
        <x:v>Kart alanı: _db_entry_identity</x:v>
      </x:c>
      <x:c r="F194" s="29" t="str">
        <x:v>JSON</x:v>
      </x:c>
      <x:c r="G194" s="29" t="str">
        <x:v>{"id": 30548, "guide_id": 82, "topic_id": 1016, "image_id": null, "published": true, "updated_at": "2026-10-23 21:55:18.108775+00:00"}</x:v>
      </x:c>
    </x:row>
    <x:row r="195" ht="54" customHeight="1">
      <x:c r="A195" s="29" t="str">
        <x:v>bakersfield:detail:avukat-dogrula-188</x:v>
      </x:c>
      <x:c r="B195" s="29" t="str">
        <x:v>bakersfield</x:v>
      </x:c>
      <x:c r="C195" s="29" t="str">
        <x:v>bakersfield:avukat-dogrula</x:v>
      </x:c>
      <x:c r="D195" s="29" t="str">
        <x:v>_db_entry_identity</x:v>
      </x:c>
      <x:c r="E195" s="29" t="str">
        <x:v>Kart alanı: _db_entry_identity</x:v>
      </x:c>
      <x:c r="F195" s="29" t="str">
        <x:v>JSON</x:v>
      </x:c>
      <x:c r="G195" s="29" t="str">
        <x:v>{"id": 30549, "guide_id": 82, "topic_id": 1016, "image_id": null, "published": true, "updated_at": "2026-10-23 21:55:18.109821+00:00"}</x:v>
      </x:c>
    </x:row>
    <x:row r="196" ht="54" customHeight="1">
      <x:c r="A196" s="29" t="str">
        <x:v>bakersfield:detail:notario-189</x:v>
      </x:c>
      <x:c r="B196" s="29" t="str">
        <x:v>bakersfield</x:v>
      </x:c>
      <x:c r="C196" s="29" t="str">
        <x:v>bakersfield:notario</x:v>
      </x:c>
      <x:c r="D196" s="29" t="str">
        <x:v>_db_entry_identity</x:v>
      </x:c>
      <x:c r="E196" s="29" t="str">
        <x:v>Kart alanı: _db_entry_identity</x:v>
      </x:c>
      <x:c r="F196" s="29" t="str">
        <x:v>JSON</x:v>
      </x:c>
      <x:c r="G196" s="29" t="str">
        <x:v>{"id": 30550, "guide_id": 82, "topic_id": 1016, "image_id": null, "published": true, "updated_at": "2026-10-23 21:55:18.110829+00:00"}</x:v>
      </x:c>
    </x:row>
    <x:row r="197" ht="54" customHeight="1">
      <x:c r="A197" s="29" t="str">
        <x:v>bakersfield:detail:tuketici-basvuru-190</x:v>
      </x:c>
      <x:c r="B197" s="29" t="str">
        <x:v>bakersfield</x:v>
      </x:c>
      <x:c r="C197" s="29" t="str">
        <x:v>bakersfield:tuketici-basvuru</x:v>
      </x:c>
      <x:c r="D197" s="29" t="str">
        <x:v>_db_entry_identity</x:v>
      </x:c>
      <x:c r="E197" s="29" t="str">
        <x:v>Kart alanı: _db_entry_identity</x:v>
      </x:c>
      <x:c r="F197" s="29" t="str">
        <x:v>JSON</x:v>
      </x:c>
      <x:c r="G197" s="29" t="str">
        <x:v>{"id": 30551, "guide_id": 82, "topic_id": 1016, "image_id": null, "published": true, "updated_at": "2026-10-23 21:55:18.111865+00:00"}</x:v>
      </x:c>
    </x:row>
    <x:row r="198" ht="54" customHeight="1">
      <x:c r="A198" s="29" t="str">
        <x:v>bakersfield:detail:gizli-ucret-191</x:v>
      </x:c>
      <x:c r="B198" s="29" t="str">
        <x:v>bakersfield</x:v>
      </x:c>
      <x:c r="C198" s="29" t="str">
        <x:v>bakersfield:gizli-ucret</x:v>
      </x:c>
      <x:c r="D198" s="29" t="str">
        <x:v>_db_entry_identity</x:v>
      </x:c>
      <x:c r="E198" s="29" t="str">
        <x:v>Kart alanı: _db_entry_identity</x:v>
      </x:c>
      <x:c r="F198" s="29" t="str">
        <x:v>JSON</x:v>
      </x:c>
      <x:c r="G198" s="29" t="str">
        <x:v>{"id": 30552, "guide_id": 82, "topic_id": 1016, "image_id": null, "published": true, "updated_at": "2026-10-23 21:55:18.112835+00:00"}</x:v>
      </x:c>
    </x:row>
    <x:row r="199" ht="54" customHeight="1">
      <x:c r="A199" s="29" t="str">
        <x:v>bakersfield:detail:kredi-itiraz-192</x:v>
      </x:c>
      <x:c r="B199" s="29" t="str">
        <x:v>bakersfield</x:v>
      </x:c>
      <x:c r="C199" s="29" t="str">
        <x:v>bakersfield:kredi-itiraz</x:v>
      </x:c>
      <x:c r="D199" s="29" t="str">
        <x:v>_db_entry_identity</x:v>
      </x:c>
      <x:c r="E199" s="29" t="str">
        <x:v>Kart alanı: _db_entry_identity</x:v>
      </x:c>
      <x:c r="F199" s="29" t="str">
        <x:v>JSON</x:v>
      </x:c>
      <x:c r="G199" s="29" t="str">
        <x:v>{"id": 30553, "guide_id": 82, "topic_id": 1016, "image_id": null, "published": true, "updated_at": "2026-10-23 21:55:18.113786+00:00"}</x:v>
      </x:c>
    </x:row>
    <x:row r="200" ht="54" customHeight="1">
      <x:c r="A200" s="29" t="str">
        <x:v>bakersfield:detail:kimlik-hirsizligi-193</x:v>
      </x:c>
      <x:c r="B200" s="29" t="str">
        <x:v>bakersfield</x:v>
      </x:c>
      <x:c r="C200" s="29" t="str">
        <x:v>bakersfield:kimlik-hirsizligi</x:v>
      </x:c>
      <x:c r="D200" s="29" t="str">
        <x:v>_db_entry_identity</x:v>
      </x:c>
      <x:c r="E200" s="29" t="str">
        <x:v>Kart alanı: _db_entry_identity</x:v>
      </x:c>
      <x:c r="F200" s="29" t="str">
        <x:v>JSON</x:v>
      </x:c>
      <x:c r="G200" s="29" t="str">
        <x:v>{"id": 30554, "guide_id": 82, "topic_id": 1016, "image_id": null, "published": true, "updated_at": "2026-10-23 21:55:18.114817+00:00"}</x:v>
      </x:c>
    </x:row>
    <x:row r="201" ht="54" customHeight="1">
      <x:c r="A201" s="29" t="str">
        <x:v>bakersfield:detail:kart-itirazi-194</x:v>
      </x:c>
      <x:c r="B201" s="29" t="str">
        <x:v>bakersfield</x:v>
      </x:c>
      <x:c r="C201" s="29" t="str">
        <x:v>bakersfield:kart-itirazi</x:v>
      </x:c>
      <x:c r="D201" s="29" t="str">
        <x:v>_db_entry_identity</x:v>
      </x:c>
      <x:c r="E201" s="29" t="str">
        <x:v>Kart alanı: _db_entry_identity</x:v>
      </x:c>
      <x:c r="F201" s="29" t="str">
        <x:v>JSON</x:v>
      </x:c>
      <x:c r="G201" s="29" t="str">
        <x:v>{"id": 30555, "guide_id": 82, "topic_id": 1016, "image_id": null, "published": true, "updated_at": "2026-10-23 21:55:18.115851+00:00"}</x:v>
      </x:c>
    </x:row>
    <x:row r="202" ht="54" customHeight="1">
      <x:c r="A202" s="29" t="str">
        <x:v>bakersfield:detail:borc-tahsili-195</x:v>
      </x:c>
      <x:c r="B202" s="29" t="str">
        <x:v>bakersfield</x:v>
      </x:c>
      <x:c r="C202" s="29" t="str">
        <x:v>bakersfield:borc-tahsili</x:v>
      </x:c>
      <x:c r="D202" s="29" t="str">
        <x:v>_db_entry_identity</x:v>
      </x:c>
      <x:c r="E202" s="29" t="str">
        <x:v>Kart alanı: _db_entry_identity</x:v>
      </x:c>
      <x:c r="F202" s="29" t="str">
        <x:v>JSON</x:v>
      </x:c>
      <x:c r="G202" s="29" t="str">
        <x:v>{"id": 30556, "guide_id": 82, "topic_id": 1016, "image_id": null, "published": true, "updated_at": "2026-10-23 21:55:18.116849+00:00"}</x:v>
      </x:c>
    </x:row>
    <x:row r="203" ht="54" customHeight="1">
      <x:c r="A203" s="29" t="str">
        <x:v>bakersfield:detail:otomatik-yenileme-196</x:v>
      </x:c>
      <x:c r="B203" s="29" t="str">
        <x:v>bakersfield</x:v>
      </x:c>
      <x:c r="C203" s="29" t="str">
        <x:v>bakersfield:otomatik-yenileme</x:v>
      </x:c>
      <x:c r="D203" s="29" t="str">
        <x:v>_db_entry_identity</x:v>
      </x:c>
      <x:c r="E203" s="29" t="str">
        <x:v>Kart alanı: _db_entry_identity</x:v>
      </x:c>
      <x:c r="F203" s="29" t="str">
        <x:v>JSON</x:v>
      </x:c>
      <x:c r="G203" s="29" t="str">
        <x:v>{"id": 30557, "guide_id": 82, "topic_id": 1016, "image_id": null, "published": true, "updated_at": "2026-10-23 21:59:29.552008+00:00"}</x:v>
      </x:c>
    </x:row>
    <x:row r="204" ht="54" customHeight="1">
      <x:c r="A204" s="29" t="str">
        <x:v>bakersfield:detail:tamir-teklif-197</x:v>
      </x:c>
      <x:c r="B204" s="29" t="str">
        <x:v>bakersfield</x:v>
      </x:c>
      <x:c r="C204" s="29" t="str">
        <x:v>bakersfield:tamir-teklif</x:v>
      </x:c>
      <x:c r="D204" s="29" t="str">
        <x:v>_db_entry_identity</x:v>
      </x:c>
      <x:c r="E204" s="29" t="str">
        <x:v>Kart alanı: _db_entry_identity</x:v>
      </x:c>
      <x:c r="F204" s="29" t="str">
        <x:v>JSON</x:v>
      </x:c>
      <x:c r="G204" s="29" t="str">
        <x:v>{"id": 30558, "guide_id": 82, "topic_id": 1016, "image_id": null, "published": true, "updated_at": "2026-10-23 21:55:18.118777+00:00"}</x:v>
      </x:c>
    </x:row>
    <x:row r="205" ht="54" customHeight="1">
      <x:c r="A205" s="29" t="str">
        <x:v>bakersfield:detail:mahremiyet-198</x:v>
      </x:c>
      <x:c r="B205" s="29" t="str">
        <x:v>bakersfield</x:v>
      </x:c>
      <x:c r="C205" s="29" t="str">
        <x:v>bakersfield:mahremiyet</x:v>
      </x:c>
      <x:c r="D205" s="29" t="str">
        <x:v>_db_entry_identity</x:v>
      </x:c>
      <x:c r="E205" s="29" t="str">
        <x:v>Kart alanı: _db_entry_identity</x:v>
      </x:c>
      <x:c r="F205" s="29" t="str">
        <x:v>JSON</x:v>
      </x:c>
      <x:c r="G205" s="29" t="str">
        <x:v>{"id": 30559, "guide_id": 82, "topic_id": 1016, "image_id": null, "published": true, "updated_at": "2026-10-23 21:55:18.119747+00:00"}</x:v>
      </x:c>
    </x:row>
    <x:row r="206" ht="54" customHeight="1">
      <x:c r="A206" s="29" t="str">
        <x:v>bakersfield:detail:dil-destegi-199</x:v>
      </x:c>
      <x:c r="B206" s="29" t="str">
        <x:v>bakersfield</x:v>
      </x:c>
      <x:c r="C206" s="29" t="str">
        <x:v>bakersfield:dil-destegi</x:v>
      </x:c>
      <x:c r="D206" s="29" t="str">
        <x:v>_db_entry_identity</x:v>
      </x:c>
      <x:c r="E206" s="29" t="str">
        <x:v>Kart alanı: _db_entry_identity</x:v>
      </x:c>
      <x:c r="F206" s="29" t="str">
        <x:v>JSON</x:v>
      </x:c>
      <x:c r="G206" s="29" t="str">
        <x:v>{"id": 30560, "guide_id": 82, "topic_id": 1016, "image_id": null, "published": true, "updated_at": "2026-10-23 21:55:18.120708+00:00"}</x:v>
      </x:c>
    </x:row>
    <x:row r="207" ht="54" customHeight="1">
      <x:c r="A207" s="29" t="str">
        <x:v>bakersfield:detail:hukuk-yardimi-200</x:v>
      </x:c>
      <x:c r="B207" s="29" t="str">
        <x:v>bakersfield</x:v>
      </x:c>
      <x:c r="C207" s="29" t="str">
        <x:v>bakersfield:hukuk-yardimi</x:v>
      </x:c>
      <x:c r="D207" s="29" t="str">
        <x:v>_db_entry_identity</x:v>
      </x:c>
      <x:c r="E207" s="29" t="str">
        <x:v>Kart alanı: _db_entry_identity</x:v>
      </x:c>
      <x:c r="F207" s="29" t="str">
        <x:v>JSON</x:v>
      </x:c>
      <x:c r="G207" s="29" t="str">
        <x:v>{"id": 30561, "guide_id": 82, "topic_id": 1016, "image_id": null, "published": true, "updated_at": "2026-10-23 21:55:18.121671+00:00"}</x:v>
      </x:c>
    </x:row>
    <x:row r="208" ht="54" customHeight="1">
      <x:c r="A208" s="29" t="str">
        <x:v>bakersfield:detail:la-konsolosluk-201</x:v>
      </x:c>
      <x:c r="B208" s="29" t="str">
        <x:v>bakersfield</x:v>
      </x:c>
      <x:c r="C208" s="29" t="str">
        <x:v>bakersfield:la-konsolosluk</x:v>
      </x:c>
      <x:c r="D208" s="29" t="str">
        <x:v>_db_entry_identity</x:v>
      </x:c>
      <x:c r="E208" s="29" t="str">
        <x:v>Kart alanı: _db_entry_identity</x:v>
      </x:c>
      <x:c r="F208" s="29" t="str">
        <x:v>JSON</x:v>
      </x:c>
      <x:c r="G208" s="29" t="str">
        <x:v>{"id": 30562, "guide_id": 82, "topic_id": 1017, "image_id": null, "published": true, "updated_at": "2026-10-23 21:55:18.122645+00:00"}</x:v>
      </x:c>
    </x:row>
    <x:row r="209" ht="54" customHeight="1">
      <x:c r="A209" s="29" t="str">
        <x:v>bakersfield:detail:konsolosluk-randevu-202</x:v>
      </x:c>
      <x:c r="B209" s="29" t="str">
        <x:v>bakersfield</x:v>
      </x:c>
      <x:c r="C209" s="29" t="str">
        <x:v>bakersfield:konsolosluk-randevu</x:v>
      </x:c>
      <x:c r="D209" s="29" t="str">
        <x:v>_db_entry_identity</x:v>
      </x:c>
      <x:c r="E209" s="29" t="str">
        <x:v>Kart alanı: _db_entry_identity</x:v>
      </x:c>
      <x:c r="F209" s="29" t="str">
        <x:v>JSON</x:v>
      </x:c>
      <x:c r="G209" s="29" t="str">
        <x:v>{"id": 30563, "guide_id": 82, "topic_id": 1017, "image_id": null, "published": true, "updated_at": "2026-10-23 21:55:18.123626+00:00"}</x:v>
      </x:c>
    </x:row>
    <x:row r="210" ht="54" customHeight="1">
      <x:c r="A210" s="29" t="str">
        <x:v>bakersfield:detail:pasaport-yenile-203</x:v>
      </x:c>
      <x:c r="B210" s="29" t="str">
        <x:v>bakersfield</x:v>
      </x:c>
      <x:c r="C210" s="29" t="str">
        <x:v>bakersfield:pasaport-yenile</x:v>
      </x:c>
      <x:c r="D210" s="29" t="str">
        <x:v>_db_entry_identity</x:v>
      </x:c>
      <x:c r="E210" s="29" t="str">
        <x:v>Kart alanı: _db_entry_identity</x:v>
      </x:c>
      <x:c r="F210" s="29" t="str">
        <x:v>JSON</x:v>
      </x:c>
      <x:c r="G210" s="29" t="str">
        <x:v>{"id": 30564, "guide_id": 82, "topic_id": 1017, "image_id": null, "published": true, "updated_at": "2026-10-23 21:55:18.124584+00:00"}</x:v>
      </x:c>
    </x:row>
    <x:row r="211" ht="54" customHeight="1">
      <x:c r="A211" s="29" t="str">
        <x:v>bakersfield:detail:pasaport-kayip-204</x:v>
      </x:c>
      <x:c r="B211" s="29" t="str">
        <x:v>bakersfield</x:v>
      </x:c>
      <x:c r="C211" s="29" t="str">
        <x:v>bakersfield:pasaport-kayip</x:v>
      </x:c>
      <x:c r="D211" s="29" t="str">
        <x:v>_db_entry_identity</x:v>
      </x:c>
      <x:c r="E211" s="29" t="str">
        <x:v>Kart alanı: _db_entry_identity</x:v>
      </x:c>
      <x:c r="F211" s="29" t="str">
        <x:v>JSON</x:v>
      </x:c>
      <x:c r="G211" s="29" t="str">
        <x:v>{"id": 30565, "guide_id": 82, "topic_id": 1017, "image_id": null, "published": true, "updated_at": "2026-10-23 21:55:18.125552+00:00"}</x:v>
      </x:c>
    </x:row>
    <x:row r="212" ht="54" customHeight="1">
      <x:c r="A212" s="29" t="str">
        <x:v>bakersfield:detail:yurtdisi-adres-205</x:v>
      </x:c>
      <x:c r="B212" s="29" t="str">
        <x:v>bakersfield</x:v>
      </x:c>
      <x:c r="C212" s="29" t="str">
        <x:v>bakersfield:yurtdisi-adres</x:v>
      </x:c>
      <x:c r="D212" s="29" t="str">
        <x:v>_db_entry_identity</x:v>
      </x:c>
      <x:c r="E212" s="29" t="str">
        <x:v>Kart alanı: _db_entry_identity</x:v>
      </x:c>
      <x:c r="F212" s="29" t="str">
        <x:v>JSON</x:v>
      </x:c>
      <x:c r="G212" s="29" t="str">
        <x:v>{"id": 30566, "guide_id": 82, "topic_id": 1017, "image_id": null, "published": true, "updated_at": "2026-10-23 21:55:18.126558+00:00"}</x:v>
      </x:c>
    </x:row>
    <x:row r="213" ht="54" customHeight="1">
      <x:c r="A213" s="29" t="str">
        <x:v>bakersfield:detail:edevlet-erisim-206</x:v>
      </x:c>
      <x:c r="B213" s="29" t="str">
        <x:v>bakersfield</x:v>
      </x:c>
      <x:c r="C213" s="29" t="str">
        <x:v>bakersfield:edevlet-erisim</x:v>
      </x:c>
      <x:c r="D213" s="29" t="str">
        <x:v>_db_entry_identity</x:v>
      </x:c>
      <x:c r="E213" s="29" t="str">
        <x:v>Kart alanı: _db_entry_identity</x:v>
      </x:c>
      <x:c r="F213" s="29" t="str">
        <x:v>JSON</x:v>
      </x:c>
      <x:c r="G213" s="29" t="str">
        <x:v>{"id": 30567, "guide_id": 82, "topic_id": 1017, "image_id": null, "published": true, "updated_at": "2026-10-23 21:55:18.127531+00:00"}</x:v>
      </x:c>
    </x:row>
    <x:row r="214" ht="54" customHeight="1">
      <x:c r="A214" s="29" t="str">
        <x:v>bakersfield:detail:vekaletname-207</x:v>
      </x:c>
      <x:c r="B214" s="29" t="str">
        <x:v>bakersfield</x:v>
      </x:c>
      <x:c r="C214" s="29" t="str">
        <x:v>bakersfield:vekaletname</x:v>
      </x:c>
      <x:c r="D214" s="29" t="str">
        <x:v>_db_entry_identity</x:v>
      </x:c>
      <x:c r="E214" s="29" t="str">
        <x:v>Kart alanı: _db_entry_identity</x:v>
      </x:c>
      <x:c r="F214" s="29" t="str">
        <x:v>JSON</x:v>
      </x:c>
      <x:c r="G214" s="29" t="str">
        <x:v>{"id": 30568, "guide_id": 82, "topic_id": 1017, "image_id": null, "published": true, "updated_at": "2026-10-23 21:55:18.128580+00:00"}</x:v>
      </x:c>
    </x:row>
    <x:row r="215" ht="54" customHeight="1">
      <x:c r="A215" s="29" t="str">
        <x:v>bakersfield:detail:evlilik-kayit-208</x:v>
      </x:c>
      <x:c r="B215" s="29" t="str">
        <x:v>bakersfield</x:v>
      </x:c>
      <x:c r="C215" s="29" t="str">
        <x:v>bakersfield:evlilik-kayit</x:v>
      </x:c>
      <x:c r="D215" s="29" t="str">
        <x:v>_db_entry_identity</x:v>
      </x:c>
      <x:c r="E215" s="29" t="str">
        <x:v>Kart alanı: _db_entry_identity</x:v>
      </x:c>
      <x:c r="F215" s="29" t="str">
        <x:v>JSON</x:v>
      </x:c>
      <x:c r="G215" s="29" t="str">
        <x:v>{"id": 30569, "guide_id": 82, "topic_id": 1017, "image_id": null, "published": true, "updated_at": "2026-10-23 21:55:18.129726+00:00"}</x:v>
      </x:c>
    </x:row>
    <x:row r="216" ht="54" customHeight="1">
      <x:c r="A216" s="29" t="str">
        <x:v>bakersfield:detail:dogum-kayit-209</x:v>
      </x:c>
      <x:c r="B216" s="29" t="str">
        <x:v>bakersfield</x:v>
      </x:c>
      <x:c r="C216" s="29" t="str">
        <x:v>bakersfield:dogum-kayit</x:v>
      </x:c>
      <x:c r="D216" s="29" t="str">
        <x:v>_db_entry_identity</x:v>
      </x:c>
      <x:c r="E216" s="29" t="str">
        <x:v>Kart alanı: _db_entry_identity</x:v>
      </x:c>
      <x:c r="F216" s="29" t="str">
        <x:v>JSON</x:v>
      </x:c>
      <x:c r="G216" s="29" t="str">
        <x:v>{"id": 30570, "guide_id": 82, "topic_id": 1017, "image_id": null, "published": true, "updated_at": "2026-10-23 21:55:18.130692+00:00"}</x:v>
      </x:c>
    </x:row>
    <x:row r="217" ht="54" customHeight="1">
      <x:c r="A217" s="29" t="str">
        <x:v>bakersfield:detail:askerlik-islem-210</x:v>
      </x:c>
      <x:c r="B217" s="29" t="str">
        <x:v>bakersfield</x:v>
      </x:c>
      <x:c r="C217" s="29" t="str">
        <x:v>bakersfield:askerlik-islem</x:v>
      </x:c>
      <x:c r="D217" s="29" t="str">
        <x:v>_db_entry_identity</x:v>
      </x:c>
      <x:c r="E217" s="29" t="str">
        <x:v>Kart alanı: _db_entry_identity</x:v>
      </x:c>
      <x:c r="F217" s="29" t="str">
        <x:v>JSON</x:v>
      </x:c>
      <x:c r="G217" s="29" t="str">
        <x:v>{"id": 30571, "guide_id": 82, "topic_id": 1017, "image_id": null, "published": true, "updated_at": "2026-10-23 21:55:18.131661+00:00"}</x:v>
      </x:c>
    </x:row>
    <x:row r="218" ht="54" customHeight="1">
      <x:c r="A218" s="29" t="str">
        <x:v>bakersfield:detail:tr-calisma-belgesi-211</x:v>
      </x:c>
      <x:c r="B218" s="29" t="str">
        <x:v>bakersfield</x:v>
      </x:c>
      <x:c r="C218" s="29" t="str">
        <x:v>bakersfield:tr-calisma-belgesi</x:v>
      </x:c>
      <x:c r="D218" s="29" t="str">
        <x:v>_db_entry_identity</x:v>
      </x:c>
      <x:c r="E218" s="29" t="str">
        <x:v>Kart alanı: _db_entry_identity</x:v>
      </x:c>
      <x:c r="F218" s="29" t="str">
        <x:v>JSON</x:v>
      </x:c>
      <x:c r="G218" s="29" t="str">
        <x:v>{"id": 30572, "guide_id": 82, "topic_id": 1017, "image_id": null, "published": true, "updated_at": "2026-10-23 21:55:18.132634+00:00"}</x:v>
      </x:c>
    </x:row>
    <x:row r="219" ht="54" customHeight="1">
      <x:c r="A219" s="29" t="str">
        <x:v>bakersfield:detail:apostil-tr-212</x:v>
      </x:c>
      <x:c r="B219" s="29" t="str">
        <x:v>bakersfield</x:v>
      </x:c>
      <x:c r="C219" s="29" t="str">
        <x:v>bakersfield:apostil-tr</x:v>
      </x:c>
      <x:c r="D219" s="29" t="str">
        <x:v>_db_entry_identity</x:v>
      </x:c>
      <x:c r="E219" s="29" t="str">
        <x:v>Kart alanı: _db_entry_identity</x:v>
      </x:c>
      <x:c r="F219" s="29" t="str">
        <x:v>JSON</x:v>
      </x:c>
      <x:c r="G219" s="29" t="str">
        <x:v>{"id": 30573, "guide_id": 82, "topic_id": 1017, "image_id": null, "published": true, "updated_at": "2026-10-23 21:55:18.133658+00:00"}</x:v>
      </x:c>
    </x:row>
    <x:row r="220" ht="54" customHeight="1">
      <x:c r="A220" s="29" t="str">
        <x:v>bakersfield:detail:tr-banka-213</x:v>
      </x:c>
      <x:c r="B220" s="29" t="str">
        <x:v>bakersfield</x:v>
      </x:c>
      <x:c r="C220" s="29" t="str">
        <x:v>bakersfield:tr-banka</x:v>
      </x:c>
      <x:c r="D220" s="29" t="str">
        <x:v>_db_entry_identity</x:v>
      </x:c>
      <x:c r="E220" s="29" t="str">
        <x:v>Kart alanı: _db_entry_identity</x:v>
      </x:c>
      <x:c r="F220" s="29" t="str">
        <x:v>JSON</x:v>
      </x:c>
      <x:c r="G220" s="29" t="str">
        <x:v>{"id": 30574, "guide_id": 82, "topic_id": 1017, "image_id": null, "published": true, "updated_at": "2026-10-23 21:55:18.134700+00:00"}</x:v>
      </x:c>
    </x:row>
    <x:row r="221" ht="54" customHeight="1">
      <x:c r="A221" s="29" t="str">
        <x:v>bakersfield:detail:tr-transfer-214</x:v>
      </x:c>
      <x:c r="B221" s="29" t="str">
        <x:v>bakersfield</x:v>
      </x:c>
      <x:c r="C221" s="29" t="str">
        <x:v>bakersfield:tr-transfer</x:v>
      </x:c>
      <x:c r="D221" s="29" t="str">
        <x:v>_db_entry_identity</x:v>
      </x:c>
      <x:c r="E221" s="29" t="str">
        <x:v>Kart alanı: _db_entry_identity</x:v>
      </x:c>
      <x:c r="F221" s="29" t="str">
        <x:v>JSON</x:v>
      </x:c>
      <x:c r="G221" s="29" t="str">
        <x:v>{"id": 30575, "guide_id": 82, "topic_id": 1017, "image_id": null, "published": true, "updated_at": "2026-10-23 21:55:18.135728+00:00"}</x:v>
      </x:c>
    </x:row>
    <x:row r="222" ht="54" customHeight="1">
      <x:c r="A222" s="29" t="str">
        <x:v>bakersfield:detail:donus-belgeleri-215</x:v>
      </x:c>
      <x:c r="B222" s="29" t="str">
        <x:v>bakersfield</x:v>
      </x:c>
      <x:c r="C222" s="29" t="str">
        <x:v>bakersfield:donus-belgeleri</x:v>
      </x:c>
      <x:c r="D222" s="29" t="str">
        <x:v>_db_entry_identity</x:v>
      </x:c>
      <x:c r="E222" s="29" t="str">
        <x:v>Kart alanı: _db_entry_identity</x:v>
      </x:c>
      <x:c r="F222" s="29" t="str">
        <x:v>JSON</x:v>
      </x:c>
      <x:c r="G222" s="29" t="str">
        <x:v>{"id": 30576, "guide_id": 82, "topic_id": 1017, "image_id": null, "published": true, "updated_at": "2026-10-23 21:55:18.136750+00:00"}</x:v>
      </x:c>
    </x:row>
    <x:row r="223" ht="54" customHeight="1">
      <x:c r="A223" s="29" t="str">
        <x:v>bakersfield:detail:gumruk-gida-216</x:v>
      </x:c>
      <x:c r="B223" s="29" t="str">
        <x:v>bakersfield</x:v>
      </x:c>
      <x:c r="C223" s="29" t="str">
        <x:v>bakersfield:gumruk-gida</x:v>
      </x:c>
      <x:c r="D223" s="29" t="str">
        <x:v>_db_entry_identity</x:v>
      </x:c>
      <x:c r="E223" s="29" t="str">
        <x:v>Kart alanı: _db_entry_identity</x:v>
      </x:c>
      <x:c r="F223" s="29" t="str">
        <x:v>JSON</x:v>
      </x:c>
      <x:c r="G223" s="29" t="str">
        <x:v>{"id": 30577, "guide_id": 82, "topic_id": 1017, "image_id": null, "published": true, "updated_at": "2026-10-23 21:55:18.137787+00:00"}</x:v>
      </x:c>
    </x:row>
    <x:row r="224" ht="54" customHeight="1">
      <x:c r="A224" s="29" t="str">
        <x:v>bakersfield:detail:ilac-giris-217</x:v>
      </x:c>
      <x:c r="B224" s="29" t="str">
        <x:v>bakersfield</x:v>
      </x:c>
      <x:c r="C224" s="29" t="str">
        <x:v>bakersfield:ilac-giris</x:v>
      </x:c>
      <x:c r="D224" s="29" t="str">
        <x:v>_db_entry_identity</x:v>
      </x:c>
      <x:c r="E224" s="29" t="str">
        <x:v>Kart alanı: _db_entry_identity</x:v>
      </x:c>
      <x:c r="F224" s="29" t="str">
        <x:v>JSON</x:v>
      </x:c>
      <x:c r="G224" s="29" t="str">
        <x:v>{"id": 30578, "guide_id": 82, "topic_id": 1017, "image_id": null, "published": true, "updated_at": "2026-10-23 21:55:18.138787+00:00"}</x:v>
      </x:c>
    </x:row>
    <x:row r="225" ht="54" customHeight="1">
      <x:c r="A225" s="29" t="str">
        <x:v>bakersfield:detail:kopek-seyahat-218</x:v>
      </x:c>
      <x:c r="B225" s="29" t="str">
        <x:v>bakersfield</x:v>
      </x:c>
      <x:c r="C225" s="29" t="str">
        <x:v>bakersfield:kopek-seyahat</x:v>
      </x:c>
      <x:c r="D225" s="29" t="str">
        <x:v>_db_entry_identity</x:v>
      </x:c>
      <x:c r="E225" s="29" t="str">
        <x:v>Kart alanı: _db_entry_identity</x:v>
      </x:c>
      <x:c r="F225" s="29" t="str">
        <x:v>JSON</x:v>
      </x:c>
      <x:c r="G225" s="29" t="str">
        <x:v>{"id": 30579, "guide_id": 82, "topic_id": 1017, "image_id": null, "published": true, "updated_at": "2026-10-23 21:55:18.139831+00:00"}</x:v>
      </x:c>
    </x:row>
    <x:row r="226" ht="54" customHeight="1">
      <x:c r="A226" s="29" t="str">
        <x:v>bakersfield:detail:saat-farki-219</x:v>
      </x:c>
      <x:c r="B226" s="29" t="str">
        <x:v>bakersfield</x:v>
      </x:c>
      <x:c r="C226" s="29" t="str">
        <x:v>bakersfield:saat-farki</x:v>
      </x:c>
      <x:c r="D226" s="29" t="str">
        <x:v>_db_entry_identity</x:v>
      </x:c>
      <x:c r="E226" s="29" t="str">
        <x:v>Kart alanı: _db_entry_identity</x:v>
      </x:c>
      <x:c r="F226" s="29" t="str">
        <x:v>JSON</x:v>
      </x:c>
      <x:c r="G226" s="29" t="str">
        <x:v>{"id": 30580, "guide_id": 82, "topic_id": 1017, "image_id": null, "published": true, "updated_at": "2026-10-23 21:55:18.140809+00:00"}</x:v>
      </x:c>
    </x:row>
    <x:row r="227" ht="54" customHeight="1">
      <x:c r="A227" s="29" t="str">
        <x:v>bakersfield:detail:konsolosluk-acil-220</x:v>
      </x:c>
      <x:c r="B227" s="29" t="str">
        <x:v>bakersfield</x:v>
      </x:c>
      <x:c r="C227" s="29" t="str">
        <x:v>bakersfield:konsolosluk-acil</x:v>
      </x:c>
      <x:c r="D227" s="29" t="str">
        <x:v>_db_entry_identity</x:v>
      </x:c>
      <x:c r="E227" s="29" t="str">
        <x:v>Kart alanı: _db_entry_identity</x:v>
      </x:c>
      <x:c r="F227" s="29" t="str">
        <x:v>JSON</x:v>
      </x:c>
      <x:c r="G227" s="29" t="str">
        <x:v>{"id": 30581, "guide_id": 82, "topic_id": 1017, "image_id": null, "published": true, "updated_at": "2026-10-23 21:55:18.141856+00:00"}</x:v>
      </x:c>
    </x:row>
    <x:row r="228" ht="54" customHeight="1">
      <x:c r="A228" s="29" t="str">
        <x:v>bakersfield:detail:sehir-ilk-gezi-221</x:v>
      </x:c>
      <x:c r="B228" s="29" t="str">
        <x:v>bakersfield</x:v>
      </x:c>
      <x:c r="C228" s="29" t="str">
        <x:v>bakersfield:sehir-ilk-gezi</x:v>
      </x:c>
      <x:c r="D228" s="29" t="str">
        <x:v>_db_entry_identity</x:v>
      </x:c>
      <x:c r="E228" s="29" t="str">
        <x:v>Kart alanı: _db_entry_identity</x:v>
      </x:c>
      <x:c r="F228" s="29" t="str">
        <x:v>JSON</x:v>
      </x:c>
      <x:c r="G228" s="29" t="str">
        <x:v>{"id": 30582, "guide_id": 82, "topic_id": 1018, "image_id": null, "published": true, "updated_at": "2026-10-23 21:55:18.142866+00:00"}</x:v>
      </x:c>
    </x:row>
    <x:row r="229" ht="54" customHeight="1">
      <x:c r="A229" s="29" t="str">
        <x:v>bakersfield:detail:fox-program-222</x:v>
      </x:c>
      <x:c r="B229" s="29" t="str">
        <x:v>bakersfield</x:v>
      </x:c>
      <x:c r="C229" s="29" t="str">
        <x:v>bakersfield:fox-program</x:v>
      </x:c>
      <x:c r="D229" s="29" t="str">
        <x:v>_db_entry_identity</x:v>
      </x:c>
      <x:c r="E229" s="29" t="str">
        <x:v>Kart alanı: _db_entry_identity</x:v>
      </x:c>
      <x:c r="F229" s="29" t="str">
        <x:v>JSON</x:v>
      </x:c>
      <x:c r="G229" s="29" t="str">
        <x:v>{"id": 30583, "guide_id": 82, "topic_id": 1018, "image_id": null, "published": true, "updated_at": "2026-10-23 21:55:18.143899+00:00"}</x:v>
      </x:c>
    </x:row>
    <x:row r="230" ht="54" customHeight="1">
      <x:c r="A230" s="29" t="str">
        <x:v>bakersfield:detail:kent-muzesi-223</x:v>
      </x:c>
      <x:c r="B230" s="29" t="str">
        <x:v>bakersfield</x:v>
      </x:c>
      <x:c r="C230" s="29" t="str">
        <x:v>bakersfield:kent-muzesi</x:v>
      </x:c>
      <x:c r="D230" s="29" t="str">
        <x:v>_db_entry_identity</x:v>
      </x:c>
      <x:c r="E230" s="29" t="str">
        <x:v>Kart alanı: _db_entry_identity</x:v>
      </x:c>
      <x:c r="F230" s="29" t="str">
        <x:v>JSON</x:v>
      </x:c>
      <x:c r="G230" s="29" t="str">
        <x:v>{"id": 30584, "guide_id": 82, "topic_id": 1018, "image_id": null, "published": true, "updated_at": "2026-10-23 21:55:18.144870+00:00"}</x:v>
      </x:c>
    </x:row>
    <x:row r="231" ht="54" customHeight="1">
      <x:c r="A231" s="29" t="str">
        <x:v>bakersfield:detail:sanat-program-224</x:v>
      </x:c>
      <x:c r="B231" s="29" t="str">
        <x:v>bakersfield</x:v>
      </x:c>
      <x:c r="C231" s="29" t="str">
        <x:v>bakersfield:sanat-program</x:v>
      </x:c>
      <x:c r="D231" s="29" t="str">
        <x:v>_db_entry_identity</x:v>
      </x:c>
      <x:c r="E231" s="29" t="str">
        <x:v>Kart alanı: _db_entry_identity</x:v>
      </x:c>
      <x:c r="F231" s="29" t="str">
        <x:v>JSON</x:v>
      </x:c>
      <x:c r="G231" s="29" t="str">
        <x:v>{"id": 30585, "guide_id": 82, "topic_id": 1018, "image_id": null, "published": true, "updated_at": "2026-10-23 21:55:18.145846+00:00"}</x:v>
      </x:c>
    </x:row>
    <x:row r="232" ht="54" customHeight="1">
      <x:c r="A232" s="29" t="str">
        <x:v>bakersfield:detail:condors-mac-225</x:v>
      </x:c>
      <x:c r="B232" s="29" t="str">
        <x:v>bakersfield</x:v>
      </x:c>
      <x:c r="C232" s="29" t="str">
        <x:v>bakersfield:condors-mac</x:v>
      </x:c>
      <x:c r="D232" s="29" t="str">
        <x:v>_db_entry_identity</x:v>
      </x:c>
      <x:c r="E232" s="29" t="str">
        <x:v>Kart alanı: _db_entry_identity</x:v>
      </x:c>
      <x:c r="F232" s="29" t="str">
        <x:v>JSON</x:v>
      </x:c>
      <x:c r="G232" s="29" t="str">
        <x:v>{"id": 30586, "guide_id": 82, "topic_id": 1018, "image_id": null, "published": true, "updated_at": "2026-10-23 21:55:18.146827+00:00"}</x:v>
      </x:c>
    </x:row>
    <x:row r="233" ht="54" customHeight="1">
      <x:c r="A233" s="29" t="str">
        <x:v>bakersfield:detail:kampus-etkinlik-226</x:v>
      </x:c>
      <x:c r="B233" s="29" t="str">
        <x:v>bakersfield</x:v>
      </x:c>
      <x:c r="C233" s="29" t="str">
        <x:v>bakersfield:kampus-etkinlik</x:v>
      </x:c>
      <x:c r="D233" s="29" t="str">
        <x:v>_db_entry_identity</x:v>
      </x:c>
      <x:c r="E233" s="29" t="str">
        <x:v>Kart alanı: _db_entry_identity</x:v>
      </x:c>
      <x:c r="F233" s="29" t="str">
        <x:v>JSON</x:v>
      </x:c>
      <x:c r="G233" s="29" t="str">
        <x:v>{"id": 30587, "guide_id": 82, "topic_id": 1018, "image_id": null, "published": true, "updated_at": "2026-10-23 21:55:18.147827+00:00"}</x:v>
      </x:c>
    </x:row>
    <x:row r="234" ht="54" customHeight="1">
      <x:c r="A234" s="29" t="str">
        <x:v>bakersfield:detail:kutuphane-topluluk-227</x:v>
      </x:c>
      <x:c r="B234" s="29" t="str">
        <x:v>bakersfield</x:v>
      </x:c>
      <x:c r="C234" s="29" t="str">
        <x:v>bakersfield:kutuphane-topluluk</x:v>
      </x:c>
      <x:c r="D234" s="29" t="str">
        <x:v>_db_entry_identity</x:v>
      </x:c>
      <x:c r="E234" s="29" t="str">
        <x:v>Kart alanı: _db_entry_identity</x:v>
      </x:c>
      <x:c r="F234" s="29" t="str">
        <x:v>JSON</x:v>
      </x:c>
      <x:c r="G234" s="29" t="str">
        <x:v>{"id": 30588, "guide_id": 82, "topic_id": 1018, "image_id": null, "published": true, "updated_at": "2026-10-23 21:55:18.148802+00:00"}</x:v>
      </x:c>
    </x:row>
    <x:row r="235" ht="54" customHeight="1">
      <x:c r="A235" s="29" t="str">
        <x:v>bakersfield:detail:gonulluluk-228</x:v>
      </x:c>
      <x:c r="B235" s="29" t="str">
        <x:v>bakersfield</x:v>
      </x:c>
      <x:c r="C235" s="29" t="str">
        <x:v>bakersfield:gonulluluk</x:v>
      </x:c>
      <x:c r="D235" s="29" t="str">
        <x:v>_db_entry_identity</x:v>
      </x:c>
      <x:c r="E235" s="29" t="str">
        <x:v>Kart alanı: _db_entry_identity</x:v>
      </x:c>
      <x:c r="F235" s="29" t="str">
        <x:v>JSON</x:v>
      </x:c>
      <x:c r="G235" s="29" t="str">
        <x:v>{"id": 30589, "guide_id": 82, "topic_id": 1018, "image_id": null, "published": true, "updated_at": "2026-10-23 21:55:18.149763+00:00"}</x:v>
      </x:c>
    </x:row>
    <x:row r="236" ht="54" customHeight="1">
      <x:c r="A236" s="29" t="str">
        <x:v>bakersfield:detail:bask-kulturu-229</x:v>
      </x:c>
      <x:c r="B236" s="29" t="str">
        <x:v>bakersfield</x:v>
      </x:c>
      <x:c r="C236" s="29" t="str">
        <x:v>bakersfield:bask-kulturu</x:v>
      </x:c>
      <x:c r="D236" s="29" t="str">
        <x:v>_db_entry_identity</x:v>
      </x:c>
      <x:c r="E236" s="29" t="str">
        <x:v>Kart alanı: _db_entry_identity</x:v>
      </x:c>
      <x:c r="F236" s="29" t="str">
        <x:v>JSON</x:v>
      </x:c>
      <x:c r="G236" s="29" t="str">
        <x:v>{"id": 30590, "guide_id": 82, "topic_id": 1018, "image_id": null, "published": true, "updated_at": "2026-10-23 21:55:18.150737+00:00"}</x:v>
      </x:c>
    </x:row>
    <x:row r="237" ht="54" customHeight="1">
      <x:c r="A237" s="29" t="str">
        <x:v>bakersfield:detail:country-tarih-230</x:v>
      </x:c>
      <x:c r="B237" s="29" t="str">
        <x:v>bakersfield</x:v>
      </x:c>
      <x:c r="C237" s="29" t="str">
        <x:v>bakersfield:country-tarih</x:v>
      </x:c>
      <x:c r="D237" s="29" t="str">
        <x:v>_db_entry_identity</x:v>
      </x:c>
      <x:c r="E237" s="29" t="str">
        <x:v>Kart alanı: _db_entry_identity</x:v>
      </x:c>
      <x:c r="F237" s="29" t="str">
        <x:v>JSON</x:v>
      </x:c>
      <x:c r="G237" s="29" t="str">
        <x:v>{"id": 30591, "guide_id": 82, "topic_id": 1018, "image_id": null, "published": true, "updated_at": "2026-10-23 21:55:18.151721+00:00"}</x:v>
      </x:c>
    </x:row>
    <x:row r="238" ht="54" customHeight="1">
      <x:c r="A238" s="29" t="str">
        <x:v>bakersfield:detail:park-sosyal-231</x:v>
      </x:c>
      <x:c r="B238" s="29" t="str">
        <x:v>bakersfield</x:v>
      </x:c>
      <x:c r="C238" s="29" t="str">
        <x:v>bakersfield:park-sosyal</x:v>
      </x:c>
      <x:c r="D238" s="29" t="str">
        <x:v>_db_entry_identity</x:v>
      </x:c>
      <x:c r="E238" s="29" t="str">
        <x:v>Kart alanı: _db_entry_identity</x:v>
      </x:c>
      <x:c r="F238" s="29" t="str">
        <x:v>JSON</x:v>
      </x:c>
      <x:c r="G238" s="29" t="str">
        <x:v>{"id": 30592, "guide_id": 82, "topic_id": 1018, "image_id": null, "published": true, "updated_at": "2026-10-23 21:55:18.152738+00:00"}</x:v>
      </x:c>
    </x:row>
    <x:row r="239" ht="54" customHeight="1">
      <x:c r="A239" s="29" t="str">
        <x:v>bakersfield:detail:north-rec-232</x:v>
      </x:c>
      <x:c r="B239" s="29" t="str">
        <x:v>bakersfield</x:v>
      </x:c>
      <x:c r="C239" s="29" t="str">
        <x:v>bakersfield:north-rec</x:v>
      </x:c>
      <x:c r="D239" s="29" t="str">
        <x:v>_db_entry_identity</x:v>
      </x:c>
      <x:c r="E239" s="29" t="str">
        <x:v>Kart alanı: _db_entry_identity</x:v>
      </x:c>
      <x:c r="F239" s="29" t="str">
        <x:v>JSON</x:v>
      </x:c>
      <x:c r="G239" s="29" t="str">
        <x:v>{"id": 30593, "guide_id": 82, "topic_id": 1018, "image_id": null, "published": true, "updated_at": "2026-10-23 21:55:18.153780+00:00"}</x:v>
      </x:c>
    </x:row>
    <x:row r="240" ht="54" customHeight="1">
      <x:c r="A240" s="29" t="str">
        <x:v>bakersfield:detail:cocukla-kultur-233</x:v>
      </x:c>
      <x:c r="B240" s="29" t="str">
        <x:v>bakersfield</x:v>
      </x:c>
      <x:c r="C240" s="29" t="str">
        <x:v>bakersfield:cocukla-kultur</x:v>
      </x:c>
      <x:c r="D240" s="29" t="str">
        <x:v>_db_entry_identity</x:v>
      </x:c>
      <x:c r="E240" s="29" t="str">
        <x:v>Kart alanı: _db_entry_identity</x:v>
      </x:c>
      <x:c r="F240" s="29" t="str">
        <x:v>JSON</x:v>
      </x:c>
      <x:c r="G240" s="29" t="str">
        <x:v>{"id": 30594, "guide_id": 82, "topic_id": 1018, "image_id": null, "published": true, "updated_at": "2026-10-23 21:55:18.154749+00:00"}</x:v>
      </x:c>
    </x:row>
    <x:row r="241" ht="54" customHeight="1">
      <x:c r="A241" s="29" t="str">
        <x:v>bakersfield:detail:ucretsiz-etkinlik-234</x:v>
      </x:c>
      <x:c r="B241" s="29" t="str">
        <x:v>bakersfield</x:v>
      </x:c>
      <x:c r="C241" s="29" t="str">
        <x:v>bakersfield:ucretsiz-etkinlik</x:v>
      </x:c>
      <x:c r="D241" s="29" t="str">
        <x:v>_db_entry_identity</x:v>
      </x:c>
      <x:c r="E241" s="29" t="str">
        <x:v>Kart alanı: _db_entry_identity</x:v>
      </x:c>
      <x:c r="F241" s="29" t="str">
        <x:v>JSON</x:v>
      </x:c>
      <x:c r="G241" s="29" t="str">
        <x:v>{"id": 30595, "guide_id": 82, "topic_id": 1018, "image_id": null, "published": true, "updated_at": "2026-10-23 21:55:18.155773+00:00"}</x:v>
      </x:c>
    </x:row>
    <x:row r="242" ht="54" customHeight="1">
      <x:c r="A242" s="29" t="str">
        <x:v>bakersfield:detail:haftasonu-bolge-235</x:v>
      </x:c>
      <x:c r="B242" s="29" t="str">
        <x:v>bakersfield</x:v>
      </x:c>
      <x:c r="C242" s="29" t="str">
        <x:v>bakersfield:haftasonu-bolge</x:v>
      </x:c>
      <x:c r="D242" s="29" t="str">
        <x:v>_db_entry_identity</x:v>
      </x:c>
      <x:c r="E242" s="29" t="str">
        <x:v>Kart alanı: _db_entry_identity</x:v>
      </x:c>
      <x:c r="F242" s="29" t="str">
        <x:v>JSON</x:v>
      </x:c>
      <x:c r="G242" s="29" t="str">
        <x:v>{"id": 30596, "guide_id": 82, "topic_id": 1018, "image_id": null, "published": true, "updated_at": "2026-10-23 21:55:18.156805+00:00"}</x:v>
      </x:c>
    </x:row>
    <x:row r="243" ht="54" customHeight="1">
      <x:c r="A243" s="29" t="str">
        <x:v>bakersfield:detail:dogada-izin-236</x:v>
      </x:c>
      <x:c r="B243" s="29" t="str">
        <x:v>bakersfield</x:v>
      </x:c>
      <x:c r="C243" s="29" t="str">
        <x:v>bakersfield:dogada-izin</x:v>
      </x:c>
      <x:c r="D243" s="29" t="str">
        <x:v>_db_entry_identity</x:v>
      </x:c>
      <x:c r="E243" s="29" t="str">
        <x:v>Kart alanı: _db_entry_identity</x:v>
      </x:c>
      <x:c r="F243" s="29" t="str">
        <x:v>JSON</x:v>
      </x:c>
      <x:c r="G243" s="29" t="str">
        <x:v>{"id": 30597, "guide_id": 82, "topic_id": 1018, "image_id": null, "published": true, "updated_at": "2026-10-23 21:55:18.157839+00:00"}</x:v>
      </x:c>
    </x:row>
    <x:row r="244" ht="54" customHeight="1">
      <x:c r="A244" s="29" t="str">
        <x:v>bakersfield:detail:etkinlik-bileti-237</x:v>
      </x:c>
      <x:c r="B244" s="29" t="str">
        <x:v>bakersfield</x:v>
      </x:c>
      <x:c r="C244" s="29" t="str">
        <x:v>bakersfield:etkinlik-bileti</x:v>
      </x:c>
      <x:c r="D244" s="29" t="str">
        <x:v>_db_entry_identity</x:v>
      </x:c>
      <x:c r="E244" s="29" t="str">
        <x:v>Kart alanı: _db_entry_identity</x:v>
      </x:c>
      <x:c r="F244" s="29" t="str">
        <x:v>JSON</x:v>
      </x:c>
      <x:c r="G244" s="29" t="str">
        <x:v>{"id": 30598, "guide_id": 82, "topic_id": 1018, "image_id": null, "published": true, "updated_at": "2026-10-23 21:55:18.158835+00:00"}</x:v>
      </x:c>
    </x:row>
    <x:row r="245" ht="54" customHeight="1">
      <x:c r="A245" s="29" t="str">
        <x:v>bakersfield:detail:topluluk-bul-238</x:v>
      </x:c>
      <x:c r="B245" s="29" t="str">
        <x:v>bakersfield</x:v>
      </x:c>
      <x:c r="C245" s="29" t="str">
        <x:v>bakersfield:topluluk-bul</x:v>
      </x:c>
      <x:c r="D245" s="29" t="str">
        <x:v>_db_entry_identity</x:v>
      </x:c>
      <x:c r="E245" s="29" t="str">
        <x:v>Kart alanı: _db_entry_identity</x:v>
      </x:c>
      <x:c r="F245" s="29" t="str">
        <x:v>JSON</x:v>
      </x:c>
      <x:c r="G245" s="29" t="str">
        <x:v>{"id": 30599, "guide_id": 82, "topic_id": 1018, "image_id": null, "published": true, "updated_at": "2026-10-23 21:55:18.159860+00:00"}</x:v>
      </x:c>
    </x:row>
    <x:row r="246" ht="54" customHeight="1">
      <x:c r="A246" s="29" t="str">
        <x:v>bakersfield:detail:erisimli-gezi-239</x:v>
      </x:c>
      <x:c r="B246" s="29" t="str">
        <x:v>bakersfield</x:v>
      </x:c>
      <x:c r="C246" s="29" t="str">
        <x:v>bakersfield:erisimli-gezi</x:v>
      </x:c>
      <x:c r="D246" s="29" t="str">
        <x:v>_db_entry_identity</x:v>
      </x:c>
      <x:c r="E246" s="29" t="str">
        <x:v>Kart alanı: _db_entry_identity</x:v>
      </x:c>
      <x:c r="F246" s="29" t="str">
        <x:v>JSON</x:v>
      </x:c>
      <x:c r="G246" s="29" t="str">
        <x:v>{"id": 30600, "guide_id": 82, "topic_id": 1018, "image_id": null, "published": true, "updated_at": "2026-10-23 21:55:18.160856+00:00"}</x:v>
      </x:c>
    </x:row>
    <x:row r="247" ht="54" customHeight="1">
      <x:c r="A247" s="29" t="str">
        <x:v>bakersfield:detail:sosyal-takvim-240</x:v>
      </x:c>
      <x:c r="B247" s="29" t="str">
        <x:v>bakersfield</x:v>
      </x:c>
      <x:c r="C247" s="29" t="str">
        <x:v>bakersfield:sosyal-takvim</x:v>
      </x:c>
      <x:c r="D247" s="29" t="str">
        <x:v>_db_entry_identity</x:v>
      </x:c>
      <x:c r="E247" s="29" t="str">
        <x:v>Kart alanı: _db_entry_identity</x:v>
      </x:c>
      <x:c r="F247" s="29" t="str">
        <x:v>JSON</x:v>
      </x:c>
      <x:c r="G247" s="29" t="str">
        <x:v>{"id": 30601, "guide_id": 82, "topic_id": 1018, "image_id": null, "published": true, "updated_at": "2026-10-23 21:55:18.161868+00:00"}</x:v>
      </x:c>
    </x:row>
    <x:row r="248" ht="54" customHeight="1">
      <x:c r="A248" s="29" t="str">
        <x:v>bakersfield:detail:yer-local-bakersfield-kern-county-museum-241</x:v>
      </x:c>
      <x:c r="B248" s="29" t="str">
        <x:v>bakersfield</x:v>
      </x:c>
      <x:c r="C248" s="29" t="str">
        <x:v>bakersfield:yer-local-bakersfield-kern-county-museum</x:v>
      </x:c>
      <x:c r="D248" s="29" t="str">
        <x:v>address</x:v>
      </x:c>
      <x:c r="E248" s="29" t="str">
        <x:v>Kart alanı: address</x:v>
      </x:c>
      <x:c r="F248" s="29" t="str">
        <x:v>Metin</x:v>
      </x:c>
      <x:c r="G248" s="29" t="str">
        <x:v>3801 Chester Avenue, Bakersfield, California</x:v>
      </x:c>
    </x:row>
    <x:row r="249" ht="54" customHeight="1">
      <x:c r="A249" s="29" t="str">
        <x:v>bakersfield:detail:yer-local-bakersfield-kern-county-museum-242</x:v>
      </x:c>
      <x:c r="B249" s="29" t="str">
        <x:v>bakersfield</x:v>
      </x:c>
      <x:c r="C249" s="29" t="str">
        <x:v>bakersfield:yer-local-bakersfield-kern-county-museum</x:v>
      </x:c>
      <x:c r="D249" s="29" t="str">
        <x:v>_db_entry_identity</x:v>
      </x:c>
      <x:c r="E249" s="29" t="str">
        <x:v>Kart alanı: _db_entry_identity</x:v>
      </x:c>
      <x:c r="F249" s="29" t="str">
        <x:v>JSON</x:v>
      </x:c>
      <x:c r="G249" s="29" t="str">
        <x:v>{"id": 30602, "guide_id": 82, "topic_id": null, "image_id": "9eb8108f-e9e7-44bd-bcc7-41884149b497", "published": true, "updated_at": "2026-10-23 21:55:18.168967+00:00"}</x:v>
      </x:c>
    </x:row>
    <x:row r="250" ht="54" customHeight="1">
      <x:c r="A250" s="29" t="str">
        <x:v>bakersfield:detail:yer-local-bakersfield-bakersfield-museum-art-243</x:v>
      </x:c>
      <x:c r="B250" s="29" t="str">
        <x:v>bakersfield</x:v>
      </x:c>
      <x:c r="C250" s="29" t="str">
        <x:v>bakersfield:yer-local-bakersfield-bakersfield-museum-art</x:v>
      </x:c>
      <x:c r="D250" s="29" t="str">
        <x:v>address</x:v>
      </x:c>
      <x:c r="E250" s="29" t="str">
        <x:v>Kart alanı: address</x:v>
      </x:c>
      <x:c r="F250" s="29" t="str">
        <x:v>Metin</x:v>
      </x:c>
      <x:c r="G250" s="29" t="str">
        <x:v>1930 R Street, Bakersfield, California</x:v>
      </x:c>
    </x:row>
    <x:row r="251" ht="54" customHeight="1">
      <x:c r="A251" s="29" t="str">
        <x:v>bakersfield:detail:yer-local-bakersfield-bakersfield-museum-art-244</x:v>
      </x:c>
      <x:c r="B251" s="29" t="str">
        <x:v>bakersfield</x:v>
      </x:c>
      <x:c r="C251" s="29" t="str">
        <x:v>bakersfield:yer-local-bakersfield-bakersfield-museum-art</x:v>
      </x:c>
      <x:c r="D251" s="29" t="str">
        <x:v>_db_entry_identity</x:v>
      </x:c>
      <x:c r="E251" s="29" t="str">
        <x:v>Kart alanı: _db_entry_identity</x:v>
      </x:c>
      <x:c r="F251" s="29" t="str">
        <x:v>JSON</x:v>
      </x:c>
      <x:c r="G251" s="29" t="str">
        <x:v>{"id": 30603, "guide_id": 82, "topic_id": null, "image_id": "98f0d938-59c3-4308-8ec4-4802cd935a35", "published": true, "updated_at": "2026-10-23 21:55:18.171353+00:00"}</x:v>
      </x:c>
    </x:row>
    <x:row r="252" ht="54" customHeight="1">
      <x:c r="A252" s="29" t="str">
        <x:v>bakersfield:detail:yer-local-bakersfield-hardt-field-245</x:v>
      </x:c>
      <x:c r="B252" s="29" t="str">
        <x:v>bakersfield</x:v>
      </x:c>
      <x:c r="C252" s="29" t="str">
        <x:v>bakersfield:yer-local-bakersfield-hardt-field</x:v>
      </x:c>
      <x:c r="D252" s="29" t="str">
        <x:v>address</x:v>
      </x:c>
      <x:c r="E252" s="29" t="str">
        <x:v>Kart alanı: address</x:v>
      </x:c>
      <x:c r="F252" s="29" t="str">
        <x:v>Metin</x:v>
      </x:c>
      <x:c r="G252" s="29" t="str">
        <x:v>9001 Stockdale Highway, Bakersfield, California</x:v>
      </x:c>
    </x:row>
    <x:row r="253" ht="54" customHeight="1">
      <x:c r="A253" s="29" t="str">
        <x:v>bakersfield:detail:yer-local-bakersfield-hardt-field-246</x:v>
      </x:c>
      <x:c r="B253" s="29" t="str">
        <x:v>bakersfield</x:v>
      </x:c>
      <x:c r="C253" s="29" t="str">
        <x:v>bakersfield:yer-local-bakersfield-hardt-field</x:v>
      </x:c>
      <x:c r="D253" s="29" t="str">
        <x:v>_db_entry_identity</x:v>
      </x:c>
      <x:c r="E253" s="29" t="str">
        <x:v>Kart alanı: _db_entry_identity</x:v>
      </x:c>
      <x:c r="F253" s="29" t="str">
        <x:v>JSON</x:v>
      </x:c>
      <x:c r="G253" s="29" t="str">
        <x:v>{"id": 30604, "guide_id": 82, "topic_id": null, "image_id": "db3a19a4-51a0-498a-922e-3305e0615cf2", "published": true, "updated_at": "2026-10-23 21:55:18.173630+00:00"}</x:v>
      </x:c>
    </x:row>
    <x:row r="254" ht="54" customHeight="1">
      <x:c r="A254" s="29" t="str">
        <x:v>bakersfield:detail:yer-local-bakersfield-calm-247</x:v>
      </x:c>
      <x:c r="B254" s="29" t="str">
        <x:v>bakersfield</x:v>
      </x:c>
      <x:c r="C254" s="29" t="str">
        <x:v>bakersfield:yer-local-bakersfield-calm</x:v>
      </x:c>
      <x:c r="D254" s="29" t="str">
        <x:v>address</x:v>
      </x:c>
      <x:c r="E254" s="29" t="str">
        <x:v>Kart alanı: address</x:v>
      </x:c>
      <x:c r="F254" s="29" t="str">
        <x:v>Metin</x:v>
      </x:c>
      <x:c r="G254" s="29" t="str">
        <x:v>10500 Alfred Harrell Highway, Bakersfield, California</x:v>
      </x:c>
    </x:row>
    <x:row r="255" ht="54" customHeight="1">
      <x:c r="A255" s="29" t="str">
        <x:v>bakersfield:detail:yer-local-bakersfield-calm-248</x:v>
      </x:c>
      <x:c r="B255" s="29" t="str">
        <x:v>bakersfield</x:v>
      </x:c>
      <x:c r="C255" s="29" t="str">
        <x:v>bakersfield:yer-local-bakersfield-calm</x:v>
      </x:c>
      <x:c r="D255" s="29" t="str">
        <x:v>_db_entry_identity</x:v>
      </x:c>
      <x:c r="E255" s="29" t="str">
        <x:v>Kart alanı: _db_entry_identity</x:v>
      </x:c>
      <x:c r="F255" s="29" t="str">
        <x:v>JSON</x:v>
      </x:c>
      <x:c r="G255" s="29" t="str">
        <x:v>{"id": 30605, "guide_id": 82, "topic_id": null, "image_id": "76209128-7b94-406b-a7ad-1b0fd741c909", "published": true, "updated_at": "2026-10-23 21:55:18.176354+00:00"}</x:v>
      </x:c>
    </x:row>
    <x:row r="256" ht="54" customHeight="1">
      <x:c r="A256" s="29" t="str">
        <x:v>bakersfield:detail:yer-local-bakersfield-fox-theater-249</x:v>
      </x:c>
      <x:c r="B256" s="29" t="str">
        <x:v>bakersfield</x:v>
      </x:c>
      <x:c r="C256" s="29" t="str">
        <x:v>bakersfield:yer-local-bakersfield-fox-theater</x:v>
      </x:c>
      <x:c r="D256" s="29" t="str">
        <x:v>address</x:v>
      </x:c>
      <x:c r="E256" s="29" t="str">
        <x:v>Kart alanı: address</x:v>
      </x:c>
      <x:c r="F256" s="29" t="str">
        <x:v>Metin</x:v>
      </x:c>
      <x:c r="G256" s="29" t="str">
        <x:v>2001 H Street, Bakersfield, California</x:v>
      </x:c>
    </x:row>
    <x:row r="257" ht="54" customHeight="1">
      <x:c r="A257" s="29" t="str">
        <x:v>bakersfield:detail:yer-local-bakersfield-fox-theater-250</x:v>
      </x:c>
      <x:c r="B257" s="29" t="str">
        <x:v>bakersfield</x:v>
      </x:c>
      <x:c r="C257" s="29" t="str">
        <x:v>bakersfield:yer-local-bakersfield-fox-theater</x:v>
      </x:c>
      <x:c r="D257" s="29" t="str">
        <x:v>_db_entry_identity</x:v>
      </x:c>
      <x:c r="E257" s="29" t="str">
        <x:v>Kart alanı: _db_entry_identity</x:v>
      </x:c>
      <x:c r="F257" s="29" t="str">
        <x:v>JSON</x:v>
      </x:c>
      <x:c r="G257" s="29" t="str">
        <x:v>{"id": 30606, "guide_id": 82, "topic_id": null, "image_id": "b363a158-92e2-49a2-87e7-5840c57c964e", "published": true, "updated_at": "2026-10-23 21:55:18.179822+00:00"}</x:v>
      </x:c>
    </x:row>
    <x:row r="258" ht="54" customHeight="1">
      <x:c r="A258" s="29" t="str">
        <x:v>bakersfield:detail:yer-local-bakersfield-nile-theater-251</x:v>
      </x:c>
      <x:c r="B258" s="29" t="str">
        <x:v>bakersfield</x:v>
      </x:c>
      <x:c r="C258" s="29" t="str">
        <x:v>bakersfield:yer-local-bakersfield-nile-theater</x:v>
      </x:c>
      <x:c r="D258" s="29" t="str">
        <x:v>address</x:v>
      </x:c>
      <x:c r="E258" s="29" t="str">
        <x:v>Kart alanı: address</x:v>
      </x:c>
      <x:c r="F258" s="29" t="str">
        <x:v>Metin</x:v>
      </x:c>
      <x:c r="G258" s="29" t="str">
        <x:v>1721 19th Street, Bakersfield, California</x:v>
      </x:c>
    </x:row>
    <x:row r="259" ht="54" customHeight="1">
      <x:c r="A259" s="29" t="str">
        <x:v>bakersfield:detail:yer-local-bakersfield-nile-theater-252</x:v>
      </x:c>
      <x:c r="B259" s="29" t="str">
        <x:v>bakersfield</x:v>
      </x:c>
      <x:c r="C259" s="29" t="str">
        <x:v>bakersfield:yer-local-bakersfield-nile-theater</x:v>
      </x:c>
      <x:c r="D259" s="29" t="str">
        <x:v>_db_entry_identity</x:v>
      </x:c>
      <x:c r="E259" s="29" t="str">
        <x:v>Kart alanı: _db_entry_identity</x:v>
      </x:c>
      <x:c r="F259" s="29" t="str">
        <x:v>JSON</x:v>
      </x:c>
      <x:c r="G259" s="29" t="str">
        <x:v>{"id": 30607, "guide_id": 82, "topic_id": null, "image_id": "cc252c46-724a-4501-bbf1-e6bc44603978", "published": true, "updated_at": "2026-10-23 21:55:18.182077+00:00"}</x:v>
      </x:c>
    </x:row>
    <x:row r="260" ht="54" customHeight="1">
      <x:c r="A260" s="29" t="str">
        <x:v>bakersfield:detail:yer-local-bakersfield-dignity-theater-253</x:v>
      </x:c>
      <x:c r="B260" s="29" t="str">
        <x:v>bakersfield</x:v>
      </x:c>
      <x:c r="C260" s="29" t="str">
        <x:v>bakersfield:yer-local-bakersfield-dignity-theater</x:v>
      </x:c>
      <x:c r="D260" s="29" t="str">
        <x:v>address</x:v>
      </x:c>
      <x:c r="E260" s="29" t="str">
        <x:v>Kart alanı: address</x:v>
      </x:c>
      <x:c r="F260" s="29" t="str">
        <x:v>Metin</x:v>
      </x:c>
      <x:c r="G260" s="29" t="str">
        <x:v>1001 Truxtun Avenue, Bakersfield, California</x:v>
      </x:c>
    </x:row>
    <x:row r="261" ht="54" customHeight="1">
      <x:c r="A261" s="29" t="str">
        <x:v>bakersfield:detail:yer-local-bakersfield-dignity-theater-254</x:v>
      </x:c>
      <x:c r="B261" s="29" t="str">
        <x:v>bakersfield</x:v>
      </x:c>
      <x:c r="C261" s="29" t="str">
        <x:v>bakersfield:yer-local-bakersfield-dignity-theater</x:v>
      </x:c>
      <x:c r="D261" s="29" t="str">
        <x:v>_db_entry_identity</x:v>
      </x:c>
      <x:c r="E261" s="29" t="str">
        <x:v>Kart alanı: _db_entry_identity</x:v>
      </x:c>
      <x:c r="F261" s="29" t="str">
        <x:v>JSON</x:v>
      </x:c>
      <x:c r="G261" s="29" t="str">
        <x:v>{"id": 30608, "guide_id": 82, "topic_id": null, "image_id": "90182a8b-c3ac-4afa-b7d9-c5ad8160995e", "published": true, "updated_at": "2026-10-23 21:55:18.183815+00:00"}</x:v>
      </x:c>
    </x:row>
    <x:row r="262" ht="54" customHeight="1">
      <x:c r="A262" s="29" t="str">
        <x:v>bakersfield:detail:yer-local-bakersfield-meadows-terminal-255</x:v>
      </x:c>
      <x:c r="B262" s="29" t="str">
        <x:v>bakersfield</x:v>
      </x:c>
      <x:c r="C262" s="29" t="str">
        <x:v>bakersfield:yer-local-bakersfield-meadows-terminal</x:v>
      </x:c>
      <x:c r="D262" s="29" t="str">
        <x:v>address</x:v>
      </x:c>
      <x:c r="E262" s="29" t="str">
        <x:v>Kart alanı: address</x:v>
      </x:c>
      <x:c r="F262" s="29" t="str">
        <x:v>Metin</x:v>
      </x:c>
      <x:c r="G262" s="29" t="str">
        <x:v>3701 Wings Way, Bakersfield, California</x:v>
      </x:c>
    </x:row>
    <x:row r="263" ht="54" customHeight="1">
      <x:c r="A263" s="29" t="str">
        <x:v>bakersfield:detail:yer-local-bakersfield-meadows-terminal-256</x:v>
      </x:c>
      <x:c r="B263" s="29" t="str">
        <x:v>bakersfield</x:v>
      </x:c>
      <x:c r="C263" s="29" t="str">
        <x:v>bakersfield:yer-local-bakersfield-meadows-terminal</x:v>
      </x:c>
      <x:c r="D263" s="29" t="str">
        <x:v>_db_entry_identity</x:v>
      </x:c>
      <x:c r="E263" s="29" t="str">
        <x:v>Kart alanı: _db_entry_identity</x:v>
      </x:c>
      <x:c r="F263" s="29" t="str">
        <x:v>JSON</x:v>
      </x:c>
      <x:c r="G263" s="29" t="str">
        <x:v>{"id": 30609, "guide_id": 82, "topic_id": null, "image_id": "914f7aef-69bc-430b-9356-a7b4c7dabf58", "published": true, "updated_at": "2026-10-23 21:55:18.185563+00:00"}</x:v>
      </x:c>
    </x:row>
    <x:row r="264" ht="54" customHeight="1">
      <x:c r="A264" s="29" t="str">
        <x:v>bakersfield:detail:yer-local-bakersfield-blackwells-corner-257</x:v>
      </x:c>
      <x:c r="B264" s="29" t="str">
        <x:v>bakersfield</x:v>
      </x:c>
      <x:c r="C264" s="29" t="str">
        <x:v>bakersfield:yer-local-bakersfield-blackwells-corner</x:v>
      </x:c>
      <x:c r="D264" s="29" t="str">
        <x:v>address</x:v>
      </x:c>
      <x:c r="E264" s="29" t="str">
        <x:v>Kart alanı: address</x:v>
      </x:c>
      <x:c r="F264" s="29" t="str">
        <x:v>Metin</x:v>
      </x:c>
      <x:c r="G264" s="29" t="str">
        <x:v>17191 Highway 46, Lost Hills, California</x:v>
      </x:c>
    </x:row>
    <x:row r="265" ht="54" customHeight="1">
      <x:c r="A265" s="29" t="str">
        <x:v>bakersfield:detail:yer-local-bakersfield-blackwells-corner-258</x:v>
      </x:c>
      <x:c r="B265" s="29" t="str">
        <x:v>bakersfield</x:v>
      </x:c>
      <x:c r="C265" s="29" t="str">
        <x:v>bakersfield:yer-local-bakersfield-blackwells-corner</x:v>
      </x:c>
      <x:c r="D265" s="29" t="str">
        <x:v>_db_entry_identity</x:v>
      </x:c>
      <x:c r="E265" s="29" t="str">
        <x:v>Kart alanı: _db_entry_identity</x:v>
      </x:c>
      <x:c r="F265" s="29" t="str">
        <x:v>JSON</x:v>
      </x:c>
      <x:c r="G265" s="29" t="str">
        <x:v>{"id": 30610, "guide_id": 82, "topic_id": null, "image_id": "a837bb0e-564e-4161-a289-ebe78dc5e4da", "published": true, "updated_at": "2026-10-23 21:55:18.187591+00:00"}</x:v>
      </x:c>
    </x:row>
    <x:row r="266" ht="54" customHeight="1">
      <x:c r="A266" s="29" t="str">
        <x:v>bakersfield:detail:yer-local-bakersfield-buttonwillow-library-259</x:v>
      </x:c>
      <x:c r="B266" s="29" t="str">
        <x:v>bakersfield</x:v>
      </x:c>
      <x:c r="C266" s="29" t="str">
        <x:v>bakersfield:yer-local-bakersfield-buttonwillow-library</x:v>
      </x:c>
      <x:c r="D266" s="29" t="str">
        <x:v>address</x:v>
      </x:c>
      <x:c r="E266" s="29" t="str">
        <x:v>Kart alanı: address</x:v>
      </x:c>
      <x:c r="F266" s="29" t="str">
        <x:v>Metin</x:v>
      </x:c>
      <x:c r="G266" s="29" t="str">
        <x:v>101 North Main Street, Buttonwillow, California</x:v>
      </x:c>
    </x:row>
    <x:row r="267" ht="54" customHeight="1">
      <x:c r="A267" s="29" t="str">
        <x:v>bakersfield:detail:yer-local-bakersfield-buttonwillow-library-260</x:v>
      </x:c>
      <x:c r="B267" s="29" t="str">
        <x:v>bakersfield</x:v>
      </x:c>
      <x:c r="C267" s="29" t="str">
        <x:v>bakersfield:yer-local-bakersfield-buttonwillow-library</x:v>
      </x:c>
      <x:c r="D267" s="29" t="str">
        <x:v>_db_entry_identity</x:v>
      </x:c>
      <x:c r="E267" s="29" t="str">
        <x:v>Kart alanı: _db_entry_identity</x:v>
      </x:c>
      <x:c r="F267" s="29" t="str">
        <x:v>JSON</x:v>
      </x:c>
      <x:c r="G267" s="29" t="str">
        <x:v>{"id": 30611, "guide_id": 82, "topic_id": null, "image_id": "b01a8a6a-c303-4d3e-b45c-30a016bc69d2", "published": true, "updated_at": "2026-10-23 21:55:18.189034+00:00"}</x:v>
      </x:c>
    </x:row>
    <x:row r="268" ht="54" customHeight="1">
      <x:c r="A268" s="29" t="str">
        <x:v>bakersfield:detail:yer-local-bakersfield-frazier-library-261</x:v>
      </x:c>
      <x:c r="B268" s="29" t="str">
        <x:v>bakersfield</x:v>
      </x:c>
      <x:c r="C268" s="29" t="str">
        <x:v>bakersfield:yer-local-bakersfield-frazier-library</x:v>
      </x:c>
      <x:c r="D268" s="29" t="str">
        <x:v>address</x:v>
      </x:c>
      <x:c r="E268" s="29" t="str">
        <x:v>Kart alanı: address</x:v>
      </x:c>
      <x:c r="F268" s="29" t="str">
        <x:v>Metin</x:v>
      </x:c>
      <x:c r="G268" s="29" t="str">
        <x:v>3732 Park Drive, Frazier Park, California</x:v>
      </x:c>
    </x:row>
    <x:row r="269" ht="54" customHeight="1">
      <x:c r="A269" s="29" t="str">
        <x:v>bakersfield:detail:yer-local-bakersfield-frazier-library-262</x:v>
      </x:c>
      <x:c r="B269" s="29" t="str">
        <x:v>bakersfield</x:v>
      </x:c>
      <x:c r="C269" s="29" t="str">
        <x:v>bakersfield:yer-local-bakersfield-frazier-library</x:v>
      </x:c>
      <x:c r="D269" s="29" t="str">
        <x:v>_db_entry_identity</x:v>
      </x:c>
      <x:c r="E269" s="29" t="str">
        <x:v>Kart alanı: _db_entry_identity</x:v>
      </x:c>
      <x:c r="F269" s="29" t="str">
        <x:v>JSON</x:v>
      </x:c>
      <x:c r="G269" s="29" t="str">
        <x:v>{"id": 30612, "guide_id": 82, "topic_id": null, "image_id": "770b3b64-66ce-4662-bd44-41c822efea8f", "published": true, "updated_at": "2026-10-23 21:55:18.190912+00:00"}</x:v>
      </x:c>
    </x:row>
    <x:row r="270" ht="54" customHeight="1">
      <x:c r="A270" s="29" t="str">
        <x:v>bakersfield:detail:yer-local-bakersfield-allensworth-263</x:v>
      </x:c>
      <x:c r="B270" s="29" t="str">
        <x:v>bakersfield</x:v>
      </x:c>
      <x:c r="C270" s="29" t="str">
        <x:v>bakersfield:yer-local-bakersfield-allensworth</x:v>
      </x:c>
      <x:c r="D270" s="29" t="str">
        <x:v>address</x:v>
      </x:c>
      <x:c r="E270" s="29" t="str">
        <x:v>Kart alanı: address</x:v>
      </x:c>
      <x:c r="F270" s="29" t="str">
        <x:v>Metin</x:v>
      </x:c>
      <x:c r="G270" s="29" t="str">
        <x:v>4011 Grant Drive, Earlimart, California</x:v>
      </x:c>
    </x:row>
    <x:row r="271" ht="54" customHeight="1">
      <x:c r="A271" s="29" t="str">
        <x:v>bakersfield:detail:yer-local-bakersfield-allensworth-264</x:v>
      </x:c>
      <x:c r="B271" s="29" t="str">
        <x:v>bakersfield</x:v>
      </x:c>
      <x:c r="C271" s="29" t="str">
        <x:v>bakersfield:yer-local-bakersfield-allensworth</x:v>
      </x:c>
      <x:c r="D271" s="29" t="str">
        <x:v>_db_entry_identity</x:v>
      </x:c>
      <x:c r="E271" s="29" t="str">
        <x:v>Kart alanı: _db_entry_identity</x:v>
      </x:c>
      <x:c r="F271" s="29" t="str">
        <x:v>JSON</x:v>
      </x:c>
      <x:c r="G271" s="29" t="str">
        <x:v>{"id": 30613, "guide_id": 82, "topic_id": null, "image_id": "0a0d4f38-a23a-4306-8088-7e1a982f36b9", "published": true, "updated_at": "2026-10-23 21:55:18.194995+00:00"}</x:v>
      </x:c>
    </x:row>
    <x:row r="272" ht="54" customHeight="1">
      <x:c r="A272" s="29" t="str">
        <x:v>bakersfield:detail:yer-local-bakersfield-pixley-refuge-265</x:v>
      </x:c>
      <x:c r="B272" s="29" t="str">
        <x:v>bakersfield</x:v>
      </x:c>
      <x:c r="C272" s="29" t="str">
        <x:v>bakersfield:yer-local-bakersfield-pixley-refuge</x:v>
      </x:c>
      <x:c r="D272" s="29" t="str">
        <x:v>address</x:v>
      </x:c>
      <x:c r="E272" s="29" t="str">
        <x:v>Kart alanı: address</x:v>
      </x:c>
      <x:c r="F272" s="29" t="str">
        <x:v>Metin</x:v>
      </x:c>
      <x:c r="G272" s="29" t="str">
        <x:v>Road 88, Deer Creek kuzeyi, Pixley, California</x:v>
      </x:c>
    </x:row>
    <x:row r="273" ht="54" customHeight="1">
      <x:c r="A273" s="29" t="str">
        <x:v>bakersfield:detail:yer-local-bakersfield-pixley-refuge-266</x:v>
      </x:c>
      <x:c r="B273" s="29" t="str">
        <x:v>bakersfield</x:v>
      </x:c>
      <x:c r="C273" s="29" t="str">
        <x:v>bakersfield:yer-local-bakersfield-pixley-refuge</x:v>
      </x:c>
      <x:c r="D273" s="29" t="str">
        <x:v>_db_entry_identity</x:v>
      </x:c>
      <x:c r="E273" s="29" t="str">
        <x:v>Kart alanı: _db_entry_identity</x:v>
      </x:c>
      <x:c r="F273" s="29" t="str">
        <x:v>JSON</x:v>
      </x:c>
      <x:c r="G273" s="29" t="str">
        <x:v>{"id": 30614, "guide_id": 82, "topic_id": null, "image_id": "185f3c3a-b9f9-41d6-bf20-00b4a4018de7", "published": true, "updated_at": "2026-10-23 21:55:18.197137+00:00"}</x:v>
      </x:c>
    </x:row>
    <x:row r="274" ht="54" customHeight="1">
      <x:c r="A274" s="29" t="str">
        <x:v>bakersfield:detail:yer-local-bakersfield-success-lake-267</x:v>
      </x:c>
      <x:c r="B274" s="29" t="str">
        <x:v>bakersfield</x:v>
      </x:c>
      <x:c r="C274" s="29" t="str">
        <x:v>bakersfield:yer-local-bakersfield-success-lake</x:v>
      </x:c>
      <x:c r="D274" s="29" t="str">
        <x:v>address</x:v>
      </x:c>
      <x:c r="E274" s="29" t="str">
        <x:v>Kart alanı: address</x:v>
      </x:c>
      <x:c r="F274" s="29" t="str">
        <x:v>Metin</x:v>
      </x:c>
      <x:c r="G274" s="29" t="str">
        <x:v>Success Lake, Highway 190, Porterville, California</x:v>
      </x:c>
    </x:row>
    <x:row r="275" ht="54" customHeight="1">
      <x:c r="A275" s="29" t="str">
        <x:v>bakersfield:detail:yer-local-bakersfield-success-lake-268</x:v>
      </x:c>
      <x:c r="B275" s="29" t="str">
        <x:v>bakersfield</x:v>
      </x:c>
      <x:c r="C275" s="29" t="str">
        <x:v>bakersfield:yer-local-bakersfield-success-lake</x:v>
      </x:c>
      <x:c r="D275" s="29" t="str">
        <x:v>_db_entry_identity</x:v>
      </x:c>
      <x:c r="E275" s="29" t="str">
        <x:v>Kart alanı: _db_entry_identity</x:v>
      </x:c>
      <x:c r="F275" s="29" t="str">
        <x:v>JSON</x:v>
      </x:c>
      <x:c r="G275" s="29" t="str">
        <x:v>{"id": 30615, "guide_id": 82, "topic_id": null, "image_id": "e62da1e2-ea07-4bb3-a32e-9864689c52eb", "published": true, "updated_at": "2026-10-23 21:55:18.199682+00:00"}</x:v>
      </x:c>
    </x:row>
    <x:row r="276" ht="54" customHeight="1">
      <x:c r="A276" s="29" t="str">
        <x:v>bakersfield:detail:yer-local-bakersfield-boron-aerospace-269</x:v>
      </x:c>
      <x:c r="B276" s="29" t="str">
        <x:v>bakersfield</x:v>
      </x:c>
      <x:c r="C276" s="29" t="str">
        <x:v>bakersfield:yer-local-bakersfield-boron-aerospace</x:v>
      </x:c>
      <x:c r="D276" s="29" t="str">
        <x:v>address</x:v>
      </x:c>
      <x:c r="E276" s="29" t="str">
        <x:v>Kart alanı: address</x:v>
      </x:c>
      <x:c r="F276" s="29" t="str">
        <x:v>Metin</x:v>
      </x:c>
      <x:c r="G276" s="29" t="str">
        <x:v>26922 Twenty Mule Team Road, Boron, California</x:v>
      </x:c>
    </x:row>
    <x:row r="277" ht="54" customHeight="1">
      <x:c r="A277" s="29" t="str">
        <x:v>bakersfield:detail:yer-local-bakersfield-boron-aerospace-270</x:v>
      </x:c>
      <x:c r="B277" s="29" t="str">
        <x:v>bakersfield</x:v>
      </x:c>
      <x:c r="C277" s="29" t="str">
        <x:v>bakersfield:yer-local-bakersfield-boron-aerospace</x:v>
      </x:c>
      <x:c r="D277" s="29" t="str">
        <x:v>_db_entry_identity</x:v>
      </x:c>
      <x:c r="E277" s="29" t="str">
        <x:v>Kart alanı: _db_entry_identity</x:v>
      </x:c>
      <x:c r="F277" s="29" t="str">
        <x:v>JSON</x:v>
      </x:c>
      <x:c r="G277" s="29" t="str">
        <x:v>{"id": 30616, "guide_id": 82, "topic_id": null, "image_id": "684aab74-556f-4b72-9583-dca286ad8180", "published": true, "updated_at": "2026-10-23 21:55:18.201789+00:00"}</x:v>
      </x:c>
    </x:row>
    <x:row r="278" ht="54" customHeight="1">
      <x:c r="A278" s="29" t="str">
        <x:v>bakersfield:detail:yer-local-bakersfield-mojave-legacy-271</x:v>
      </x:c>
      <x:c r="B278" s="29" t="str">
        <x:v>bakersfield</x:v>
      </x:c>
      <x:c r="C278" s="29" t="str">
        <x:v>bakersfield:yer-local-bakersfield-mojave-legacy</x:v>
      </x:c>
      <x:c r="D278" s="29" t="str">
        <x:v>address</x:v>
      </x:c>
      <x:c r="E278" s="29" t="str">
        <x:v>Kart alanı: address</x:v>
      </x:c>
      <x:c r="F278" s="29" t="str">
        <x:v>Metin</x:v>
      </x:c>
      <x:c r="G278" s="29" t="str">
        <x:v>1434 Flight Line, Mojave, California</x:v>
      </x:c>
    </x:row>
    <x:row r="279" ht="54" customHeight="1">
      <x:c r="A279" s="29" t="str">
        <x:v>bakersfield:detail:yer-local-bakersfield-mojave-legacy-272</x:v>
      </x:c>
      <x:c r="B279" s="29" t="str">
        <x:v>bakersfield</x:v>
      </x:c>
      <x:c r="C279" s="29" t="str">
        <x:v>bakersfield:yer-local-bakersfield-mojave-legacy</x:v>
      </x:c>
      <x:c r="D279" s="29" t="str">
        <x:v>_db_entry_identity</x:v>
      </x:c>
      <x:c r="E279" s="29" t="str">
        <x:v>Kart alanı: _db_entry_identity</x:v>
      </x:c>
      <x:c r="F279" s="29" t="str">
        <x:v>JSON</x:v>
      </x:c>
      <x:c r="G279" s="29" t="str">
        <x:v>{"id": 30617, "guide_id": 82, "topic_id": null, "image_id": "51b68de0-bf1c-40a5-b7de-3646cc2f35a3", "published": true, "updated_at": "2026-10-23 21:55:18.204341+00:00"}</x:v>
      </x:c>
    </x:row>
    <x:row r="280" ht="54" customHeight="1">
      <x:c r="A280" s="29" t="str">
        <x:v>bakersfield:detail:yer-local-bakersfield-california-city-park-273</x:v>
      </x:c>
      <x:c r="B280" s="29" t="str">
        <x:v>bakersfield</x:v>
      </x:c>
      <x:c r="C280" s="29" t="str">
        <x:v>bakersfield:yer-local-bakersfield-california-city-park</x:v>
      </x:c>
      <x:c r="D280" s="29" t="str">
        <x:v>address</x:v>
      </x:c>
      <x:c r="E280" s="29" t="str">
        <x:v>Kart alanı: address</x:v>
      </x:c>
      <x:c r="F280" s="29" t="str">
        <x:v>Metin</x:v>
      </x:c>
      <x:c r="G280" s="29" t="str">
        <x:v>Central Park, California City, California</x:v>
      </x:c>
    </x:row>
    <x:row r="281" ht="54" customHeight="1">
      <x:c r="A281" s="29" t="str">
        <x:v>bakersfield:detail:yer-local-bakersfield-california-city-park-274</x:v>
      </x:c>
      <x:c r="B281" s="29" t="str">
        <x:v>bakersfield</x:v>
      </x:c>
      <x:c r="C281" s="29" t="str">
        <x:v>bakersfield:yer-local-bakersfield-california-city-park</x:v>
      </x:c>
      <x:c r="D281" s="29" t="str">
        <x:v>_db_entry_identity</x:v>
      </x:c>
      <x:c r="E281" s="29" t="str">
        <x:v>Kart alanı: _db_entry_identity</x:v>
      </x:c>
      <x:c r="F281" s="29" t="str">
        <x:v>JSON</x:v>
      </x:c>
      <x:c r="G281" s="29" t="str">
        <x:v>{"id": 30618, "guide_id": 82, "topic_id": null, "image_id": "810efa00-2d41-4383-b2f5-49252e6656f7", "published": true, "updated_at": "2026-10-23 21:55:18.206443+00:00"}</x:v>
      </x:c>
    </x:row>
    <x:row r="282" ht="54" customHeight="1">
      <x:c r="A282" s="29" t="str">
        <x:v>bakersfield:detail:yer-local-bakersfield-dignity-arena-275</x:v>
      </x:c>
      <x:c r="B282" s="29" t="str">
        <x:v>bakersfield</x:v>
      </x:c>
      <x:c r="C282" s="29" t="str">
        <x:v>bakersfield:yer-local-bakersfield-dignity-arena</x:v>
      </x:c>
      <x:c r="D282" s="29" t="str">
        <x:v>address</x:v>
      </x:c>
      <x:c r="E282" s="29" t="str">
        <x:v>Kart alanı: address</x:v>
      </x:c>
      <x:c r="F282" s="29" t="str">
        <x:v>Metin</x:v>
      </x:c>
      <x:c r="G282" s="29" t="str">
        <x:v>1001 Truxtun Avenue, Bakersfield, California</x:v>
      </x:c>
    </x:row>
    <x:row r="283" ht="54" customHeight="1">
      <x:c r="A283" s="29" t="str">
        <x:v>bakersfield:detail:yer-local-bakersfield-dignity-arena-276</x:v>
      </x:c>
      <x:c r="B283" s="29" t="str">
        <x:v>bakersfield</x:v>
      </x:c>
      <x:c r="C283" s="29" t="str">
        <x:v>bakersfield:yer-local-bakersfield-dignity-arena</x:v>
      </x:c>
      <x:c r="D283" s="29" t="str">
        <x:v>_db_entry_identity</x:v>
      </x:c>
      <x:c r="E283" s="29" t="str">
        <x:v>Kart alanı: _db_entry_identity</x:v>
      </x:c>
      <x:c r="F283" s="29" t="str">
        <x:v>JSON</x:v>
      </x:c>
      <x:c r="G283" s="29" t="str">
        <x:v>{"id": 30619, "guide_id": 82, "topic_id": null, "image_id": "e247a96d-89dc-4ed5-bee9-91826a83b687", "published": true, "updated_at": "2026-10-23 21:55:18.209476+00:00"}</x:v>
      </x:c>
    </x:row>
    <x:row r="284" ht="54" customHeight="1">
      <x:c r="A284" s="29" t="str">
        <x:v>bakersfield:detail:yer-local-bakersfield-riverwalk-amphitheatre-277</x:v>
      </x:c>
      <x:c r="B284" s="29" t="str">
        <x:v>bakersfield</x:v>
      </x:c>
      <x:c r="C284" s="29" t="str">
        <x:v>bakersfield:yer-local-bakersfield-riverwalk-amphitheatre</x:v>
      </x:c>
      <x:c r="D284" s="29" t="str">
        <x:v>address</x:v>
      </x:c>
      <x:c r="E284" s="29" t="str">
        <x:v>Kart alanı: address</x:v>
      </x:c>
      <x:c r="F284" s="29" t="str">
        <x:v>Metin</x:v>
      </x:c>
      <x:c r="G284" s="29" t="str">
        <x:v>11200 Stockdale Highway, Bakersfield, California</x:v>
      </x:c>
    </x:row>
    <x:row r="285" ht="54" customHeight="1">
      <x:c r="A285" s="29" t="str">
        <x:v>bakersfield:detail:yer-local-bakersfield-riverwalk-amphitheatre-278</x:v>
      </x:c>
      <x:c r="B285" s="29" t="str">
        <x:v>bakersfield</x:v>
      </x:c>
      <x:c r="C285" s="29" t="str">
        <x:v>bakersfield:yer-local-bakersfield-riverwalk-amphitheatre</x:v>
      </x:c>
      <x:c r="D285" s="29" t="str">
        <x:v>_db_entry_identity</x:v>
      </x:c>
      <x:c r="E285" s="29" t="str">
        <x:v>Kart alanı: _db_entry_identity</x:v>
      </x:c>
      <x:c r="F285" s="29" t="str">
        <x:v>JSON</x:v>
      </x:c>
      <x:c r="G285" s="29" t="str">
        <x:v>{"id": 30620, "guide_id": 82, "topic_id": null, "image_id": "a8b552d3-941c-4a87-a1e7-367b008aa45d", "published": true, "updated_at": "2026-10-23 21:55:18.212014+00:00"}</x:v>
      </x:c>
    </x:row>
    <x:row r="286" ht="54" customHeight="1">
      <x:c r="A286" s="29" t="str">
        <x:v>bakersfield:detail:yer-local-bakersfield-mcmurtrey-279</x:v>
      </x:c>
      <x:c r="B286" s="29" t="str">
        <x:v>bakersfield</x:v>
      </x:c>
      <x:c r="C286" s="29" t="str">
        <x:v>bakersfield:yer-local-bakersfield-mcmurtrey</x:v>
      </x:c>
      <x:c r="D286" s="29" t="str">
        <x:v>address</x:v>
      </x:c>
      <x:c r="E286" s="29" t="str">
        <x:v>Kart alanı: address</x:v>
      </x:c>
      <x:c r="F286" s="29" t="str">
        <x:v>Metin</x:v>
      </x:c>
      <x:c r="G286" s="29" t="str">
        <x:v>1325 Q Street, Bakersfield, California</x:v>
      </x:c>
    </x:row>
    <x:row r="287" ht="54" customHeight="1">
      <x:c r="A287" s="29" t="str">
        <x:v>bakersfield:detail:yer-local-bakersfield-mcmurtrey-280</x:v>
      </x:c>
      <x:c r="B287" s="29" t="str">
        <x:v>bakersfield</x:v>
      </x:c>
      <x:c r="C287" s="29" t="str">
        <x:v>bakersfield:yer-local-bakersfield-mcmurtrey</x:v>
      </x:c>
      <x:c r="D287" s="29" t="str">
        <x:v>_db_entry_identity</x:v>
      </x:c>
      <x:c r="E287" s="29" t="str">
        <x:v>Kart alanı: _db_entry_identity</x:v>
      </x:c>
      <x:c r="F287" s="29" t="str">
        <x:v>JSON</x:v>
      </x:c>
      <x:c r="G287" s="29" t="str">
        <x:v>{"id": 30621, "guide_id": 82, "topic_id": null, "image_id": "d5230abe-ee70-4d1d-a14a-b3444a567cab", "published": true, "updated_at": "2026-10-23 21:55:18.213603+00:00"}</x:v>
      </x:c>
    </x:row>
    <x:row r="288" ht="54" customHeight="1">
      <x:c r="A288" s="29" t="str">
        <x:v>bakersfield:detail:yer-local-bakersfield-randsburg-main-street-281</x:v>
      </x:c>
      <x:c r="B288" s="29" t="str">
        <x:v>bakersfield</x:v>
      </x:c>
      <x:c r="C288" s="29" t="str">
        <x:v>bakersfield:yer-local-bakersfield-randsburg-main-street</x:v>
      </x:c>
      <x:c r="D288" s="29" t="str">
        <x:v>address</x:v>
      </x:c>
      <x:c r="E288" s="29" t="str">
        <x:v>Kart alanı: address</x:v>
      </x:c>
      <x:c r="F288" s="29" t="str">
        <x:v>Metin</x:v>
      </x:c>
      <x:c r="G288" s="29" t="str">
        <x:v>Butte Avenue, Randsburg, California</x:v>
      </x:c>
    </x:row>
    <x:row r="289" ht="54" customHeight="1">
      <x:c r="A289" s="29" t="str">
        <x:v>bakersfield:detail:yer-local-bakersfield-randsburg-main-street-282</x:v>
      </x:c>
      <x:c r="B289" s="29" t="str">
        <x:v>bakersfield</x:v>
      </x:c>
      <x:c r="C289" s="29" t="str">
        <x:v>bakersfield:yer-local-bakersfield-randsburg-main-street</x:v>
      </x:c>
      <x:c r="D289" s="29" t="str">
        <x:v>_db_entry_identity</x:v>
      </x:c>
      <x:c r="E289" s="29" t="str">
        <x:v>Kart alanı: _db_entry_identity</x:v>
      </x:c>
      <x:c r="F289" s="29" t="str">
        <x:v>JSON</x:v>
      </x:c>
      <x:c r="G289" s="29" t="str">
        <x:v>{"id": 30622, "guide_id": 82, "topic_id": null, "image_id": "2ddcc3cb-f650-4338-8fbb-2656cc07037d", "published": true, "updated_at": "2026-10-23 21:55:18.216616+00:00"}</x:v>
      </x:c>
    </x:row>
    <x:row r="290" ht="54" customHeight="1">
      <x:c r="A290" s="29" t="str">
        <x:v>bakersfield:detail:yer-local-bakersfield-kern-fairgrounds-283</x:v>
      </x:c>
      <x:c r="B290" s="29" t="str">
        <x:v>bakersfield</x:v>
      </x:c>
      <x:c r="C290" s="29" t="str">
        <x:v>bakersfield:yer-local-bakersfield-kern-fairgrounds</x:v>
      </x:c>
      <x:c r="D290" s="29" t="str">
        <x:v>address</x:v>
      </x:c>
      <x:c r="E290" s="29" t="str">
        <x:v>Kart alanı: address</x:v>
      </x:c>
      <x:c r="F290" s="29" t="str">
        <x:v>Metin</x:v>
      </x:c>
      <x:c r="G290" s="29" t="str">
        <x:v>1142 South P Street, Bakersfield, California</x:v>
      </x:c>
    </x:row>
    <x:row r="291" ht="54" customHeight="1">
      <x:c r="A291" s="29" t="str">
        <x:v>bakersfield:detail:yer-local-bakersfield-kern-fairgrounds-284</x:v>
      </x:c>
      <x:c r="B291" s="29" t="str">
        <x:v>bakersfield</x:v>
      </x:c>
      <x:c r="C291" s="29" t="str">
        <x:v>bakersfield:yer-local-bakersfield-kern-fairgrounds</x:v>
      </x:c>
      <x:c r="D291" s="29" t="str">
        <x:v>_db_entry_identity</x:v>
      </x:c>
      <x:c r="E291" s="29" t="str">
        <x:v>Kart alanı: _db_entry_identity</x:v>
      </x:c>
      <x:c r="F291" s="29" t="str">
        <x:v>JSON</x:v>
      </x:c>
      <x:c r="G291" s="29" t="str">
        <x:v>{"id": 30623, "guide_id": 82, "topic_id": null, "image_id": "9216e138-9b5e-43be-8c57-18f9be76344e", "published": true, "updated_at": "2026-10-23 21:55:18.218227+00:00"}</x:v>
      </x:c>
    </x:row>
    <x:row r="292" ht="54" customHeight="1">
      <x:c r="A292" s="29" t="str">
        <x:v>bakersfield:detail:yer-local-bakersfield-maricopa-jail-285</x:v>
      </x:c>
      <x:c r="B292" s="29" t="str">
        <x:v>bakersfield</x:v>
      </x:c>
      <x:c r="C292" s="29" t="str">
        <x:v>bakersfield:yer-local-bakersfield-maricopa-jail</x:v>
      </x:c>
      <x:c r="D292" s="29" t="str">
        <x:v>address</x:v>
      </x:c>
      <x:c r="E292" s="29" t="str">
        <x:v>Kart alanı: address</x:v>
      </x:c>
      <x:c r="F292" s="29" t="str">
        <x:v>Metin</x:v>
      </x:c>
      <x:c r="G292" s="29" t="str">
        <x:v>369 California Street çevresi, Maricopa, California</x:v>
      </x:c>
    </x:row>
    <x:row r="293" ht="54" customHeight="1">
      <x:c r="A293" s="29" t="str">
        <x:v>bakersfield:detail:yer-local-bakersfield-maricopa-jail-286</x:v>
      </x:c>
      <x:c r="B293" s="29" t="str">
        <x:v>bakersfield</x:v>
      </x:c>
      <x:c r="C293" s="29" t="str">
        <x:v>bakersfield:yer-local-bakersfield-maricopa-jail</x:v>
      </x:c>
      <x:c r="D293" s="29" t="str">
        <x:v>_db_entry_identity</x:v>
      </x:c>
      <x:c r="E293" s="29" t="str">
        <x:v>Kart alanı: _db_entry_identity</x:v>
      </x:c>
      <x:c r="F293" s="29" t="str">
        <x:v>JSON</x:v>
      </x:c>
      <x:c r="G293" s="29" t="str">
        <x:v>{"id": 30624, "guide_id": 82, "topic_id": null, "image_id": "0235a70a-81bf-4b64-87e3-74c26b7b8cce", "published": true, "updated_at": "2026-10-23 21:55:18.219951+00:00"}</x:v>
      </x:c>
    </x:row>
    <x:row r="294" ht="54" customHeight="1">
      <x:c r="A294" s="29" t="str">
        <x:v>bakersfield:detail:yer-local-bakersfield-wasco-auditorium-287</x:v>
      </x:c>
      <x:c r="B294" s="29" t="str">
        <x:v>bakersfield</x:v>
      </x:c>
      <x:c r="C294" s="29" t="str">
        <x:v>bakersfield:yer-local-bakersfield-wasco-auditorium</x:v>
      </x:c>
      <x:c r="D294" s="29" t="str">
        <x:v>address</x:v>
      </x:c>
      <x:c r="E294" s="29" t="str">
        <x:v>Kart alanı: address</x:v>
      </x:c>
      <x:c r="F294" s="29" t="str">
        <x:v>Metin</x:v>
      </x:c>
      <x:c r="G294" s="29" t="str">
        <x:v>Wasco Union High School, 1900 7th Street, Wasco, California</x:v>
      </x:c>
    </x:row>
    <x:row r="295" ht="54" customHeight="1">
      <x:c r="A295" s="29" t="str">
        <x:v>bakersfield:detail:yer-local-bakersfield-wasco-auditorium-288</x:v>
      </x:c>
      <x:c r="B295" s="29" t="str">
        <x:v>bakersfield</x:v>
      </x:c>
      <x:c r="C295" s="29" t="str">
        <x:v>bakersfield:yer-local-bakersfield-wasco-auditorium</x:v>
      </x:c>
      <x:c r="D295" s="29" t="str">
        <x:v>_db_entry_identity</x:v>
      </x:c>
      <x:c r="E295" s="29" t="str">
        <x:v>Kart alanı: _db_entry_identity</x:v>
      </x:c>
      <x:c r="F295" s="29" t="str">
        <x:v>JSON</x:v>
      </x:c>
      <x:c r="G295" s="29" t="str">
        <x:v>{"id": 30625, "guide_id": 82, "topic_id": null, "image_id": "cd493f82-76d4-4a95-a903-44b8d8e8295b", "published": true, "updated_at": "2026-10-23 21:55:18.221576+00:00"}</x:v>
      </x:c>
    </x:row>
    <x:row r="296" ht="54" customHeight="1">
      <x:c r="A296" s="29" t="str">
        <x:v>bakersfield:detail:yer-local-bakersfield-padre-hotel-289</x:v>
      </x:c>
      <x:c r="B296" s="29" t="str">
        <x:v>bakersfield</x:v>
      </x:c>
      <x:c r="C296" s="29" t="str">
        <x:v>bakersfield:yer-local-bakersfield-padre-hotel</x:v>
      </x:c>
      <x:c r="D296" s="29" t="str">
        <x:v>address</x:v>
      </x:c>
      <x:c r="E296" s="29" t="str">
        <x:v>Kart alanı: address</x:v>
      </x:c>
      <x:c r="F296" s="29" t="str">
        <x:v>Metin</x:v>
      </x:c>
      <x:c r="G296" s="29" t="str">
        <x:v>1702 18th Street, Bakersfield, California</x:v>
      </x:c>
    </x:row>
    <x:row r="297" ht="54" customHeight="1">
      <x:c r="A297" s="29" t="str">
        <x:v>bakersfield:detail:yer-local-bakersfield-padre-hotel-290</x:v>
      </x:c>
      <x:c r="B297" s="29" t="str">
        <x:v>bakersfield</x:v>
      </x:c>
      <x:c r="C297" s="29" t="str">
        <x:v>bakersfield:yer-local-bakersfield-padre-hotel</x:v>
      </x:c>
      <x:c r="D297" s="29" t="str">
        <x:v>_db_entry_identity</x:v>
      </x:c>
      <x:c r="E297" s="29" t="str">
        <x:v>Kart alanı: _db_entry_identity</x:v>
      </x:c>
      <x:c r="F297" s="29" t="str">
        <x:v>JSON</x:v>
      </x:c>
      <x:c r="G297" s="29" t="str">
        <x:v>{"id": 30626, "guide_id": 82, "topic_id": null, "image_id": "435b924c-3bd1-4963-b0f4-0ab5979b0d67", "published": true, "updated_at": "2026-10-23 21:55:18.224156+00:00"}</x:v>
      </x:c>
    </x:row>
    <x:row r="298" ht="54" customHeight="1">
      <x:c r="A298" s="29" t="str">
        <x:v>bakersfield:detail:yer-local-bakersfield-24th-cafe-291</x:v>
      </x:c>
      <x:c r="B298" s="29" t="str">
        <x:v>bakersfield</x:v>
      </x:c>
      <x:c r="C298" s="29" t="str">
        <x:v>bakersfield:yer-local-bakersfield-24th-cafe</x:v>
      </x:c>
      <x:c r="D298" s="29" t="str">
        <x:v>address</x:v>
      </x:c>
      <x:c r="E298" s="29" t="str">
        <x:v>Kart alanı: address</x:v>
      </x:c>
      <x:c r="F298" s="29" t="str">
        <x:v>Metin</x:v>
      </x:c>
      <x:c r="G298" s="29" t="str">
        <x:v>1415 24th Street, Bakersfield, California</x:v>
      </x:c>
    </x:row>
    <x:row r="299" ht="54" customHeight="1">
      <x:c r="A299" s="29" t="str">
        <x:v>bakersfield:detail:yer-local-bakersfield-24th-cafe-292</x:v>
      </x:c>
      <x:c r="B299" s="29" t="str">
        <x:v>bakersfield</x:v>
      </x:c>
      <x:c r="C299" s="29" t="str">
        <x:v>bakersfield:yer-local-bakersfield-24th-cafe</x:v>
      </x:c>
      <x:c r="D299" s="29" t="str">
        <x:v>_db_entry_identity</x:v>
      </x:c>
      <x:c r="E299" s="29" t="str">
        <x:v>Kart alanı: _db_entry_identity</x:v>
      </x:c>
      <x:c r="F299" s="29" t="str">
        <x:v>JSON</x:v>
      </x:c>
      <x:c r="G299" s="29" t="str">
        <x:v>{"id": 30627, "guide_id": 82, "topic_id": null, "image_id": "7d4fca24-abc3-4460-9543-4d7a3b41cddd", "published": true, "updated_at": "2026-10-23 21:55:18.226218+00:00"}</x:v>
      </x:c>
    </x:row>
    <x:row r="300" ht="54" customHeight="1">
      <x:c r="A300" s="29" t="str">
        <x:v>bakersfield:detail:yer-local-bakersfield-mount-pinos-293</x:v>
      </x:c>
      <x:c r="B300" s="29" t="str">
        <x:v>bakersfield</x:v>
      </x:c>
      <x:c r="C300" s="29" t="str">
        <x:v>bakersfield:yer-local-bakersfield-mount-pinos</x:v>
      </x:c>
      <x:c r="D300" s="29" t="str">
        <x:v>address</x:v>
      </x:c>
      <x:c r="E300" s="29" t="str">
        <x:v>Kart alanı: address</x:v>
      </x:c>
      <x:c r="F300" s="29" t="str">
        <x:v>Metin</x:v>
      </x:c>
      <x:c r="G300" s="29" t="str">
        <x:v>Mount Pinos, Los Padres National Forest, California</x:v>
      </x:c>
    </x:row>
    <x:row r="301" ht="54" customHeight="1">
      <x:c r="A301" s="29" t="str">
        <x:v>bakersfield:detail:yer-local-bakersfield-mount-pinos-294</x:v>
      </x:c>
      <x:c r="B301" s="29" t="str">
        <x:v>bakersfield</x:v>
      </x:c>
      <x:c r="C301" s="29" t="str">
        <x:v>bakersfield:yer-local-bakersfield-mount-pinos</x:v>
      </x:c>
      <x:c r="D301" s="29" t="str">
        <x:v>_db_entry_identity</x:v>
      </x:c>
      <x:c r="E301" s="29" t="str">
        <x:v>Kart alanı: _db_entry_identity</x:v>
      </x:c>
      <x:c r="F301" s="29" t="str">
        <x:v>JSON</x:v>
      </x:c>
      <x:c r="G301" s="29" t="str">
        <x:v>{"id": 30628, "guide_id": 82, "topic_id": null, "image_id": "fc6ba115-b809-46b0-8a90-79ce148609b4", "published": true, "updated_at": "2026-10-23 21:55:18.230164+00:00"}</x:v>
      </x:c>
    </x:row>
    <x:row r="302" ht="54" customHeight="1">
      <x:c r="A302" s="29" t="str">
        <x:v>bakersfield:detail:yer-local-bakersfield-tomo-kahni-295</x:v>
      </x:c>
      <x:c r="B302" s="29" t="str">
        <x:v>bakersfield</x:v>
      </x:c>
      <x:c r="C302" s="29" t="str">
        <x:v>bakersfield:yer-local-bakersfield-tomo-kahni</x:v>
      </x:c>
      <x:c r="D302" s="29" t="str">
        <x:v>address</x:v>
      </x:c>
      <x:c r="E302" s="29" t="str">
        <x:v>Kart alanı: address</x:v>
      </x:c>
      <x:c r="F302" s="29" t="str">
        <x:v>Metin</x:v>
      </x:c>
      <x:c r="G302" s="29" t="str">
        <x:v>Tomo-Kahni State Historic Park, Tehachapi çevresi, California</x:v>
      </x:c>
    </x:row>
    <x:row r="303" ht="54" customHeight="1">
      <x:c r="A303" s="29" t="str">
        <x:v>bakersfield:detail:yer-local-bakersfield-tomo-kahni-296</x:v>
      </x:c>
      <x:c r="B303" s="29" t="str">
        <x:v>bakersfield</x:v>
      </x:c>
      <x:c r="C303" s="29" t="str">
        <x:v>bakersfield:yer-local-bakersfield-tomo-kahni</x:v>
      </x:c>
      <x:c r="D303" s="29" t="str">
        <x:v>_db_entry_identity</x:v>
      </x:c>
      <x:c r="E303" s="29" t="str">
        <x:v>Kart alanı: _db_entry_identity</x:v>
      </x:c>
      <x:c r="F303" s="29" t="str">
        <x:v>JSON</x:v>
      </x:c>
      <x:c r="G303" s="29" t="str">
        <x:v>{"id": 30629, "guide_id": 82, "topic_id": null, "image_id": "8644b3b8-2f28-4d51-978c-3b13874de0da", "published": true, "updated_at": "2026-10-23 21:55:18.231863+00:00"}</x:v>
      </x:c>
    </x:row>
    <x:row r="304" ht="54" customHeight="1">
      <x:c r="A304" s="29" t="str">
        <x:v>bakersfield:detail:yer-local-bakersfield-cafe-smitten-297</x:v>
      </x:c>
      <x:c r="B304" s="29" t="str">
        <x:v>bakersfield</x:v>
      </x:c>
      <x:c r="C304" s="29" t="str">
        <x:v>bakersfield:yer-local-bakersfield-cafe-smitten</x:v>
      </x:c>
      <x:c r="D304" s="29" t="str">
        <x:v>address</x:v>
      </x:c>
      <x:c r="E304" s="29" t="str">
        <x:v>Kart alanı: address</x:v>
      </x:c>
      <x:c r="F304" s="29" t="str">
        <x:v>Metin</x:v>
      </x:c>
      <x:c r="G304" s="29" t="str">
        <x:v>909 18th Street, Bakersfield, California</x:v>
      </x:c>
    </x:row>
    <x:row r="305" ht="54" customHeight="1">
      <x:c r="A305" s="29" t="str">
        <x:v>bakersfield:detail:yer-local-bakersfield-cafe-smitten-298</x:v>
      </x:c>
      <x:c r="B305" s="29" t="str">
        <x:v>bakersfield</x:v>
      </x:c>
      <x:c r="C305" s="29" t="str">
        <x:v>bakersfield:yer-local-bakersfield-cafe-smitten</x:v>
      </x:c>
      <x:c r="D305" s="29" t="str">
        <x:v>_db_entry_identity</x:v>
      </x:c>
      <x:c r="E305" s="29" t="str">
        <x:v>Kart alanı: _db_entry_identity</x:v>
      </x:c>
      <x:c r="F305" s="29" t="str">
        <x:v>JSON</x:v>
      </x:c>
      <x:c r="G305" s="29" t="str">
        <x:v>{"id": 30630, "guide_id": 82, "topic_id": null, "image_id": "a041d303-cb13-41b8-b36a-6ea9287ef3df", "published": true, "updated_at": "2026-10-23 21:55:18.233713+00:00"}</x:v>
      </x:c>
    </x:row>
    <x:row r="306" ht="54" customHeight="1">
      <x:c r="A306" s="29" t="str">
        <x:v>bakersfield:detail:yer-local-bakersfield-dagnys-299</x:v>
      </x:c>
      <x:c r="B306" s="29" t="str">
        <x:v>bakersfield</x:v>
      </x:c>
      <x:c r="C306" s="29" t="str">
        <x:v>bakersfield:yer-local-bakersfield-dagnys</x:v>
      </x:c>
      <x:c r="D306" s="29" t="str">
        <x:v>address</x:v>
      </x:c>
      <x:c r="E306" s="29" t="str">
        <x:v>Kart alanı: address</x:v>
      </x:c>
      <x:c r="F306" s="29" t="str">
        <x:v>Metin</x:v>
      </x:c>
      <x:c r="G306" s="29" t="str">
        <x:v>1600 20th Street, Bakersfield, California</x:v>
      </x:c>
    </x:row>
    <x:row r="307" ht="54" customHeight="1">
      <x:c r="A307" s="29" t="str">
        <x:v>bakersfield:detail:yer-local-bakersfield-dagnys-300</x:v>
      </x:c>
      <x:c r="B307" s="29" t="str">
        <x:v>bakersfield</x:v>
      </x:c>
      <x:c r="C307" s="29" t="str">
        <x:v>bakersfield:yer-local-bakersfield-dagnys</x:v>
      </x:c>
      <x:c r="D307" s="29" t="str">
        <x:v>_db_entry_identity</x:v>
      </x:c>
      <x:c r="E307" s="29" t="str">
        <x:v>Kart alanı: _db_entry_identity</x:v>
      </x:c>
      <x:c r="F307" s="29" t="str">
        <x:v>JSON</x:v>
      </x:c>
      <x:c r="G307" s="29" t="str">
        <x:v>{"id": 30631, "guide_id": 82, "topic_id": null, "image_id": "7f7e4b9c-8d6d-46e0-8af2-dd7b43b69d8e", "published": true, "updated_at": "2026-10-23 21:55:18.235999+00:00"}</x:v>
      </x:c>
    </x:row>
    <x:row r="308" ht="54" customHeight="1">
      <x:c r="A308" s="29" t="str">
        <x:v>bakersfield:detail:yer-local-bakersfield-trail-giants-301</x:v>
      </x:c>
      <x:c r="B308" s="29" t="str">
        <x:v>bakersfield</x:v>
      </x:c>
      <x:c r="C308" s="29" t="str">
        <x:v>bakersfield:yer-local-bakersfield-trail-giants</x:v>
      </x:c>
      <x:c r="D308" s="29" t="str">
        <x:v>address</x:v>
      </x:c>
      <x:c r="E308" s="29" t="str">
        <x:v>Kart alanı: address</x:v>
      </x:c>
      <x:c r="F308" s="29" t="str">
        <x:v>Metin</x:v>
      </x:c>
      <x:c r="G308" s="29" t="str">
        <x:v>Long Meadow Grove, Western Divide Highway, Tulare County, California</x:v>
      </x:c>
    </x:row>
    <x:row r="309" ht="54" customHeight="1">
      <x:c r="A309" s="29" t="str">
        <x:v>bakersfield:detail:yer-local-bakersfield-trail-giants-302</x:v>
      </x:c>
      <x:c r="B309" s="29" t="str">
        <x:v>bakersfield</x:v>
      </x:c>
      <x:c r="C309" s="29" t="str">
        <x:v>bakersfield:yer-local-bakersfield-trail-giants</x:v>
      </x:c>
      <x:c r="D309" s="29" t="str">
        <x:v>_db_entry_identity</x:v>
      </x:c>
      <x:c r="E309" s="29" t="str">
        <x:v>Kart alanı: _db_entry_identity</x:v>
      </x:c>
      <x:c r="F309" s="29" t="str">
        <x:v>JSON</x:v>
      </x:c>
      <x:c r="G309" s="29" t="str">
        <x:v>{"id": 30632, "guide_id": 82, "topic_id": null, "image_id": "f50c80d1-06f8-4e27-915b-09c491dd84f1", "published": true, "updated_at": "2026-10-23 21:55:18.239217+00:00"}</x:v>
      </x:c>
    </x:row>
    <x:row r="310" ht="54" customHeight="1">
      <x:c r="A310" s="29" t="str">
        <x:v>bakersfield:detail:yer-local-bakersfield-willow-springs-303</x:v>
      </x:c>
      <x:c r="B310" s="29" t="str">
        <x:v>bakersfield</x:v>
      </x:c>
      <x:c r="C310" s="29" t="str">
        <x:v>bakersfield:yer-local-bakersfield-willow-springs</x:v>
      </x:c>
      <x:c r="D310" s="29" t="str">
        <x:v>address</x:v>
      </x:c>
      <x:c r="E310" s="29" t="str">
        <x:v>Kart alanı: address</x:v>
      </x:c>
      <x:c r="F310" s="29" t="str">
        <x:v>Metin</x:v>
      </x:c>
      <x:c r="G310" s="29" t="str">
        <x:v>3500 75th Street West, Rosamond, California</x:v>
      </x:c>
    </x:row>
    <x:row r="311" ht="54" customHeight="1">
      <x:c r="A311" s="29" t="str">
        <x:v>bakersfield:detail:yer-local-bakersfield-willow-springs-304</x:v>
      </x:c>
      <x:c r="B311" s="29" t="str">
        <x:v>bakersfield</x:v>
      </x:c>
      <x:c r="C311" s="29" t="str">
        <x:v>bakersfield:yer-local-bakersfield-willow-springs</x:v>
      </x:c>
      <x:c r="D311" s="29" t="str">
        <x:v>_db_entry_identity</x:v>
      </x:c>
      <x:c r="E311" s="29" t="str">
        <x:v>Kart alanı: _db_entry_identity</x:v>
      </x:c>
      <x:c r="F311" s="29" t="str">
        <x:v>JSON</x:v>
      </x:c>
      <x:c r="G311" s="29" t="str">
        <x:v>{"id": 30633, "guide_id": 82, "topic_id": null, "image_id": "394baff9-b611-44bd-afec-63984fc55c39", "published": true, "updated_at": "2026-10-23 21:55:18.241374+00:00"}</x:v>
      </x:c>
    </x:row>
    <x:row r="312" ht="54" customHeight="1">
      <x:c r="A312" s="29" t="str">
        <x:v>bakersfield:detail:yer-local-bakersfield-temblor-305</x:v>
      </x:c>
      <x:c r="B312" s="29" t="str">
        <x:v>bakersfield</x:v>
      </x:c>
      <x:c r="C312" s="29" t="str">
        <x:v>bakersfield:yer-local-bakersfield-temblor</x:v>
      </x:c>
      <x:c r="D312" s="29" t="str">
        <x:v>address</x:v>
      </x:c>
      <x:c r="E312" s="29" t="str">
        <x:v>Kart alanı: address</x:v>
      </x:c>
      <x:c r="F312" s="29" t="str">
        <x:v>Metin</x:v>
      </x:c>
      <x:c r="G312" s="29" t="str">
        <x:v>3200 Buck Owens Boulevard, Bakersfield, California</x:v>
      </x:c>
    </x:row>
    <x:row r="313" ht="54" customHeight="1">
      <x:c r="A313" s="29" t="str">
        <x:v>bakersfield:detail:yer-local-bakersfield-temblor-306</x:v>
      </x:c>
      <x:c r="B313" s="29" t="str">
        <x:v>bakersfield</x:v>
      </x:c>
      <x:c r="C313" s="29" t="str">
        <x:v>bakersfield:yer-local-bakersfield-temblor</x:v>
      </x:c>
      <x:c r="D313" s="29" t="str">
        <x:v>_db_entry_identity</x:v>
      </x:c>
      <x:c r="E313" s="29" t="str">
        <x:v>Kart alanı: _db_entry_identity</x:v>
      </x:c>
      <x:c r="F313" s="29" t="str">
        <x:v>JSON</x:v>
      </x:c>
      <x:c r="G313" s="29" t="str">
        <x:v>{"id": 30634, "guide_id": 82, "topic_id": null, "image_id": "e1e3a1bb-3473-4ccb-969d-d98cc2d46e5b", "published": true, "updated_at": "2026-10-23 21:55:18.243126+00:00"}</x:v>
      </x:c>
    </x:row>
    <x:row r="314" ht="54" customHeight="1">
      <x:c r="A314" s="29" t="str">
        <x:v>bakersfield:detail:yer-local-bakersfield-frog-meadow-307</x:v>
      </x:c>
      <x:c r="B314" s="29" t="str">
        <x:v>bakersfield</x:v>
      </x:c>
      <x:c r="C314" s="29" t="str">
        <x:v>bakersfield:yer-local-bakersfield-frog-meadow</x:v>
      </x:c>
      <x:c r="D314" s="29" t="str">
        <x:v>address</x:v>
      </x:c>
      <x:c r="E314" s="29" t="str">
        <x:v>Kart alanı: address</x:v>
      </x:c>
      <x:c r="F314" s="29" t="str">
        <x:v>Metin</x:v>
      </x:c>
      <x:c r="G314" s="29" t="str">
        <x:v>Frog Meadow, Sequoia National Forest, California</x:v>
      </x:c>
    </x:row>
    <x:row r="315" ht="54" customHeight="1">
      <x:c r="A315" s="29" t="str">
        <x:v>bakersfield:detail:yer-local-bakersfield-frog-meadow-308</x:v>
      </x:c>
      <x:c r="B315" s="29" t="str">
        <x:v>bakersfield</x:v>
      </x:c>
      <x:c r="C315" s="29" t="str">
        <x:v>bakersfield:yer-local-bakersfield-frog-meadow</x:v>
      </x:c>
      <x:c r="D315" s="29" t="str">
        <x:v>_db_entry_identity</x:v>
      </x:c>
      <x:c r="E315" s="29" t="str">
        <x:v>Kart alanı: _db_entry_identity</x:v>
      </x:c>
      <x:c r="F315" s="29" t="str">
        <x:v>JSON</x:v>
      </x:c>
      <x:c r="G315" s="29" t="str">
        <x:v>{"id": 30635, "guide_id": 82, "topic_id": null, "image_id": "6fad91fb-7e71-41d5-98ef-8808ae04c80a", "published": true, "updated_at": "2026-10-23 21:55:18.245289+00:00"}</x:v>
      </x:c>
    </x:row>
    <x:row r="316" ht="54" customHeight="1">
      <x:c r="A316" s="29" t="str">
        <x:v>bakersfield:detail:yer-local-bakersfield-owens-peak-309</x:v>
      </x:c>
      <x:c r="B316" s="29" t="str">
        <x:v>bakersfield</x:v>
      </x:c>
      <x:c r="C316" s="29" t="str">
        <x:v>bakersfield:yer-local-bakersfield-owens-peak</x:v>
      </x:c>
      <x:c r="D316" s="29" t="str">
        <x:v>address</x:v>
      </x:c>
      <x:c r="E316" s="29" t="str">
        <x:v>Kart alanı: address</x:v>
      </x:c>
      <x:c r="F316" s="29" t="str">
        <x:v>Metin</x:v>
      </x:c>
      <x:c r="G316" s="29" t="str">
        <x:v>Owens Peak Wilderness, Short Canyon yaklaşımı, California</x:v>
      </x:c>
    </x:row>
    <x:row r="317" ht="54" customHeight="1">
      <x:c r="A317" s="29" t="str">
        <x:v>bakersfield:detail:yer-local-bakersfield-owens-peak-310</x:v>
      </x:c>
      <x:c r="B317" s="29" t="str">
        <x:v>bakersfield</x:v>
      </x:c>
      <x:c r="C317" s="29" t="str">
        <x:v>bakersfield:yer-local-bakersfield-owens-peak</x:v>
      </x:c>
      <x:c r="D317" s="29" t="str">
        <x:v>_db_entry_identity</x:v>
      </x:c>
      <x:c r="E317" s="29" t="str">
        <x:v>Kart alanı: _db_entry_identity</x:v>
      </x:c>
      <x:c r="F317" s="29" t="str">
        <x:v>JSON</x:v>
      </x:c>
      <x:c r="G317" s="29" t="str">
        <x:v>{"id": 30636, "guide_id": 82, "topic_id": null, "image_id": "426cf522-70ce-4719-802a-3f03a8b8815a", "published": true, "updated_at": "2026-10-23 21:55:18.247058+00:00"}</x:v>
      </x:c>
    </x:row>
    <x:row r="318" ht="54" customHeight="1">
      <x:c r="A318" s="29" t="str">
        <x:v>bakersfield:detail:yer-local-bakersfield-last-chance-311</x:v>
      </x:c>
      <x:c r="B318" s="29" t="str">
        <x:v>bakersfield</x:v>
      </x:c>
      <x:c r="C318" s="29" t="str">
        <x:v>bakersfield:yer-local-bakersfield-last-chance</x:v>
      </x:c>
      <x:c r="D318" s="29" t="str">
        <x:v>address</x:v>
      </x:c>
      <x:c r="E318" s="29" t="str">
        <x:v>Kart alanı: address</x:v>
      </x:c>
      <x:c r="F318" s="29" t="str">
        <x:v>Metin</x:v>
      </x:c>
      <x:c r="G318" s="29" t="str">
        <x:v>Last Chance Canyon, El Paso Mountains, Kern County, California</x:v>
      </x:c>
    </x:row>
    <x:row r="319" ht="54" customHeight="1">
      <x:c r="A319" s="29" t="str">
        <x:v>bakersfield:detail:yer-local-bakersfield-last-chance-312</x:v>
      </x:c>
      <x:c r="B319" s="29" t="str">
        <x:v>bakersfield</x:v>
      </x:c>
      <x:c r="C319" s="29" t="str">
        <x:v>bakersfield:yer-local-bakersfield-last-chance</x:v>
      </x:c>
      <x:c r="D319" s="29" t="str">
        <x:v>_db_entry_identity</x:v>
      </x:c>
      <x:c r="E319" s="29" t="str">
        <x:v>Kart alanı: _db_entry_identity</x:v>
      </x:c>
      <x:c r="F319" s="29" t="str">
        <x:v>JSON</x:v>
      </x:c>
      <x:c r="G319" s="29" t="str">
        <x:v>{"id": 30637, "guide_id": 82, "topic_id": null, "image_id": "306e413f-b636-42f8-8801-10780ffe0701", "published": true, "updated_at": "2026-10-23 21:55:18.248703+00:00"}</x:v>
      </x:c>
    </x:row>
    <x:row r="320" ht="54" customHeight="1">
      <x:c r="A320" s="29" t="str">
        <x:v>bakersfield:detail:yer-local-bakersfield-alley-cat-313</x:v>
      </x:c>
      <x:c r="B320" s="29" t="str">
        <x:v>bakersfield</x:v>
      </x:c>
      <x:c r="C320" s="29" t="str">
        <x:v>bakersfield:yer-local-bakersfield-alley-cat</x:v>
      </x:c>
      <x:c r="D320" s="29" t="str">
        <x:v>address</x:v>
      </x:c>
      <x:c r="E320" s="29" t="str">
        <x:v>Kart alanı: address</x:v>
      </x:c>
      <x:c r="F320" s="29" t="str">
        <x:v>Metin</x:v>
      </x:c>
      <x:c r="G320" s="29" t="str">
        <x:v>1525 Wall Street, Bakersfield, California</x:v>
      </x:c>
    </x:row>
    <x:row r="321" ht="54" customHeight="1">
      <x:c r="A321" s="29" t="str">
        <x:v>bakersfield:detail:yer-local-bakersfield-alley-cat-314</x:v>
      </x:c>
      <x:c r="B321" s="29" t="str">
        <x:v>bakersfield</x:v>
      </x:c>
      <x:c r="C321" s="29" t="str">
        <x:v>bakersfield:yer-local-bakersfield-alley-cat</x:v>
      </x:c>
      <x:c r="D321" s="29" t="str">
        <x:v>_db_entry_identity</x:v>
      </x:c>
      <x:c r="E321" s="29" t="str">
        <x:v>Kart alanı: _db_entry_identity</x:v>
      </x:c>
      <x:c r="F321" s="29" t="str">
        <x:v>JSON</x:v>
      </x:c>
      <x:c r="G321" s="29" t="str">
        <x:v>{"id": 30638, "guide_id": 82, "topic_id": null, "image_id": "c5aefb74-ecf0-4647-957c-096f2811c715", "published": true, "updated_at": "2026-10-23 21:55:18.250865+00:00"}</x:v>
      </x:c>
    </x:row>
    <x:row r="322" ht="54" customHeight="1">
      <x:c r="A322" s="29" t="str">
        <x:v>bakersfield:detail:yer-local-bakersfield-wool-growers-315</x:v>
      </x:c>
      <x:c r="B322" s="29" t="str">
        <x:v>bakersfield</x:v>
      </x:c>
      <x:c r="C322" s="29" t="str">
        <x:v>bakersfield:yer-local-bakersfield-wool-growers</x:v>
      </x:c>
      <x:c r="D322" s="29" t="str">
        <x:v>address</x:v>
      </x:c>
      <x:c r="E322" s="29" t="str">
        <x:v>Kart alanı: address</x:v>
      </x:c>
      <x:c r="F322" s="29" t="str">
        <x:v>Metin</x:v>
      </x:c>
      <x:c r="G322" s="29" t="str">
        <x:v>620 East 19th Street, Bakersfield, California</x:v>
      </x:c>
    </x:row>
    <x:row r="323" ht="54" customHeight="1">
      <x:c r="A323" s="29" t="str">
        <x:v>bakersfield:detail:yer-local-bakersfield-wool-growers-316</x:v>
      </x:c>
      <x:c r="B323" s="29" t="str">
        <x:v>bakersfield</x:v>
      </x:c>
      <x:c r="C323" s="29" t="str">
        <x:v>bakersfield:yer-local-bakersfield-wool-growers</x:v>
      </x:c>
      <x:c r="D323" s="29" t="str">
        <x:v>_db_entry_identity</x:v>
      </x:c>
      <x:c r="E323" s="29" t="str">
        <x:v>Kart alanı: _db_entry_identity</x:v>
      </x:c>
      <x:c r="F323" s="29" t="str">
        <x:v>JSON</x:v>
      </x:c>
      <x:c r="G323" s="29" t="str">
        <x:v>{"id": 30639, "guide_id": 82, "topic_id": null, "image_id": "1d86021a-5cd1-4f2f-8f3e-64cb87ece9e1", "published": true, "updated_at": "2026-10-23 21:55:18.252471+00:00"}</x:v>
      </x:c>
    </x:row>
    <x:row r="324" ht="54" customHeight="1">
      <x:c r="A324" s="29" t="str">
        <x:v>bakersfield:detail:yer-local-bakersfield-dewar-eye-317</x:v>
      </x:c>
      <x:c r="B324" s="29" t="str">
        <x:v>bakersfield</x:v>
      </x:c>
      <x:c r="C324" s="29" t="str">
        <x:v>bakersfield:yer-local-bakersfield-dewar-eye</x:v>
      </x:c>
      <x:c r="D324" s="29" t="str">
        <x:v>address</x:v>
      </x:c>
      <x:c r="E324" s="29" t="str">
        <x:v>Kart alanı: address</x:v>
      </x:c>
      <x:c r="F324" s="29" t="str">
        <x:v>Metin</x:v>
      </x:c>
      <x:c r="G324" s="29" t="str">
        <x:v>1120 Eye Street, Bakersfield, California</x:v>
      </x:c>
    </x:row>
    <x:row r="325" ht="54" customHeight="1">
      <x:c r="A325" s="29" t="str">
        <x:v>bakersfield:detail:yer-local-bakersfield-dewar-eye-318</x:v>
      </x:c>
      <x:c r="B325" s="29" t="str">
        <x:v>bakersfield</x:v>
      </x:c>
      <x:c r="C325" s="29" t="str">
        <x:v>bakersfield:yer-local-bakersfield-dewar-eye</x:v>
      </x:c>
      <x:c r="D325" s="29" t="str">
        <x:v>_db_entry_identity</x:v>
      </x:c>
      <x:c r="E325" s="29" t="str">
        <x:v>Kart alanı: _db_entry_identity</x:v>
      </x:c>
      <x:c r="F325" s="29" t="str">
        <x:v>JSON</x:v>
      </x:c>
      <x:c r="G325" s="29" t="str">
        <x:v>{"id": 30640, "guide_id": 82, "topic_id": null, "image_id": "1e05227a-4af6-4841-8f9b-bbddbbc38038", "published": true, "updated_at": "2026-10-23 21:55:18.254314+00:00"}</x:v>
      </x:c>
    </x:row>
    <x:row r="326" ht="54" customHeight="1">
      <x:c r="A326" s="29" t="str">
        <x:v>bakersfield:detail:yer-local-bakersfield-visitors-center-319</x:v>
      </x:c>
      <x:c r="B326" s="29" t="str">
        <x:v>bakersfield</x:v>
      </x:c>
      <x:c r="C326" s="29" t="str">
        <x:v>bakersfield:yer-local-bakersfield-visitors-center</x:v>
      </x:c>
      <x:c r="D326" s="29" t="str">
        <x:v>address</x:v>
      </x:c>
      <x:c r="E326" s="29" t="str">
        <x:v>Kart alanı: address</x:v>
      </x:c>
      <x:c r="F326" s="29" t="str">
        <x:v>Metin</x:v>
      </x:c>
      <x:c r="G326" s="29" t="str">
        <x:v>515 Truxtun Avenue, Bakersfield, CA</x:v>
      </x:c>
    </x:row>
    <x:row r="327" ht="54" customHeight="1">
      <x:c r="A327" s="29" t="str">
        <x:v>bakersfield:detail:yer-local-bakersfield-visitors-center-320</x:v>
      </x:c>
      <x:c r="B327" s="29" t="str">
        <x:v>bakersfield</x:v>
      </x:c>
      <x:c r="C327" s="29" t="str">
        <x:v>bakersfield:yer-local-bakersfield-visitors-center</x:v>
      </x:c>
      <x:c r="D327" s="29" t="str">
        <x:v>_db_entry_identity</x:v>
      </x:c>
      <x:c r="E327" s="29" t="str">
        <x:v>Kart alanı: _db_entry_identity</x:v>
      </x:c>
      <x:c r="F327" s="29" t="str">
        <x:v>JSON</x:v>
      </x:c>
      <x:c r="G327" s="29" t="str">
        <x:v>{"id": 30641, "guide_id": 82, "topic_id": null, "image_id": "90089edd-435f-462b-b039-471462a348f9", "published": true, "updated_at": "2026-10-23 21:55:18.256948+00:00"}</x:v>
      </x:c>
    </x:row>
    <x:row r="328" ht="54" customHeight="1">
      <x:c r="A328" s="29" t="str">
        <x:v>bakersfield:detail:yer-local-bakersfield-zingos-321</x:v>
      </x:c>
      <x:c r="B328" s="29" t="str">
        <x:v>bakersfield</x:v>
      </x:c>
      <x:c r="C328" s="29" t="str">
        <x:v>bakersfield:yer-local-bakersfield-zingos</x:v>
      </x:c>
      <x:c r="D328" s="29" t="str">
        <x:v>address</x:v>
      </x:c>
      <x:c r="E328" s="29" t="str">
        <x:v>Kart alanı: address</x:v>
      </x:c>
      <x:c r="F328" s="29" t="str">
        <x:v>Metin</x:v>
      </x:c>
      <x:c r="G328" s="29" t="str">
        <x:v>3201 Buck Owens Boulevard, Bakersfield, California</x:v>
      </x:c>
    </x:row>
    <x:row r="329" ht="54" customHeight="1">
      <x:c r="A329" s="29" t="str">
        <x:v>bakersfield:detail:yer-local-bakersfield-zingos-322</x:v>
      </x:c>
      <x:c r="B329" s="29" t="str">
        <x:v>bakersfield</x:v>
      </x:c>
      <x:c r="C329" s="29" t="str">
        <x:v>bakersfield:yer-local-bakersfield-zingos</x:v>
      </x:c>
      <x:c r="D329" s="29" t="str">
        <x:v>_db_entry_identity</x:v>
      </x:c>
      <x:c r="E329" s="29" t="str">
        <x:v>Kart alanı: _db_entry_identity</x:v>
      </x:c>
      <x:c r="F329" s="29" t="str">
        <x:v>JSON</x:v>
      </x:c>
      <x:c r="G329" s="29" t="str">
        <x:v>{"id": 30642, "guide_id": 82, "topic_id": null, "image_id": "93340eb3-b006-43f7-b5e9-3cd3994a7e25", "published": true, "updated_at": "2026-10-23 21:55:18.259369+00:00"}</x:v>
      </x:c>
    </x:row>
    <x:row r="330" ht="54" customHeight="1">
      <x:c r="A330" s="29" t="str">
        <x:v>bakersfield:detail:yer-local-bakersfield-rice-bowl-323</x:v>
      </x:c>
      <x:c r="B330" s="29" t="str">
        <x:v>bakersfield</x:v>
      </x:c>
      <x:c r="C330" s="29" t="str">
        <x:v>bakersfield:yer-local-bakersfield-rice-bowl</x:v>
      </x:c>
      <x:c r="D330" s="29" t="str">
        <x:v>address</x:v>
      </x:c>
      <x:c r="E330" s="29" t="str">
        <x:v>Kart alanı: address</x:v>
      </x:c>
      <x:c r="F330" s="29" t="str">
        <x:v>Metin</x:v>
      </x:c>
      <x:c r="G330" s="29" t="str">
        <x:v>1119 18th Street, Bakersfield, California</x:v>
      </x:c>
    </x:row>
    <x:row r="331" ht="54" customHeight="1">
      <x:c r="A331" s="29" t="str">
        <x:v>bakersfield:detail:yer-local-bakersfield-rice-bowl-324</x:v>
      </x:c>
      <x:c r="B331" s="29" t="str">
        <x:v>bakersfield</x:v>
      </x:c>
      <x:c r="C331" s="29" t="str">
        <x:v>bakersfield:yer-local-bakersfield-rice-bowl</x:v>
      </x:c>
      <x:c r="D331" s="29" t="str">
        <x:v>_db_entry_identity</x:v>
      </x:c>
      <x:c r="E331" s="29" t="str">
        <x:v>Kart alanı: _db_entry_identity</x:v>
      </x:c>
      <x:c r="F331" s="29" t="str">
        <x:v>JSON</x:v>
      </x:c>
      <x:c r="G331" s="29" t="str">
        <x:v>{"id": 30643, "guide_id": 82, "topic_id": null, "image_id": "c4c1971f-e1ac-4a08-aa8a-3c4dbfd35165", "published": true, "updated_at": "2026-10-23 21:55:18.262070+00:00"}</x:v>
      </x:c>
    </x:row>
    <x:row r="332" ht="54" customHeight="1">
      <x:c r="A332" s="29" t="str">
        <x:v>bakersfield:detail:yer-local-bakersfield-mamma-mia-325</x:v>
      </x:c>
      <x:c r="B332" s="29" t="str">
        <x:v>bakersfield</x:v>
      </x:c>
      <x:c r="C332" s="29" t="str">
        <x:v>bakersfield:yer-local-bakersfield-mamma-mia</x:v>
      </x:c>
      <x:c r="D332" s="29" t="str">
        <x:v>address</x:v>
      </x:c>
      <x:c r="E332" s="29" t="str">
        <x:v>Kart alanı: address</x:v>
      </x:c>
      <x:c r="F332" s="29" t="str">
        <x:v>Metin</x:v>
      </x:c>
      <x:c r="G332" s="29" t="str">
        <x:v>418 18th Street, Bakersfield, California</x:v>
      </x:c>
    </x:row>
    <x:row r="333" ht="54" customHeight="1">
      <x:c r="A333" s="29" t="str">
        <x:v>bakersfield:detail:yer-local-bakersfield-mamma-mia-326</x:v>
      </x:c>
      <x:c r="B333" s="29" t="str">
        <x:v>bakersfield</x:v>
      </x:c>
      <x:c r="C333" s="29" t="str">
        <x:v>bakersfield:yer-local-bakersfield-mamma-mia</x:v>
      </x:c>
      <x:c r="D333" s="29" t="str">
        <x:v>_db_entry_identity</x:v>
      </x:c>
      <x:c r="E333" s="29" t="str">
        <x:v>Kart alanı: _db_entry_identity</x:v>
      </x:c>
      <x:c r="F333" s="29" t="str">
        <x:v>JSON</x:v>
      </x:c>
      <x:c r="G333" s="29" t="str">
        <x:v>{"id": 30644, "guide_id": 82, "topic_id": null, "image_id": "3f3c73c7-18dc-4954-ae41-9cbf8c4ba454", "published": true, "updated_at": "2026-10-23 21:55:18.265455+00:00"}</x:v>
      </x:c>
    </x:row>
    <x:row r="334" ht="54" customHeight="1">
      <x:c r="A334" s="29" t="str">
        <x:v>bakersfield:detail:yer-local-bakersfield-woolworth-327</x:v>
      </x:c>
      <x:c r="B334" s="29" t="str">
        <x:v>bakersfield</x:v>
      </x:c>
      <x:c r="C334" s="29" t="str">
        <x:v>bakersfield:yer-local-bakersfield-woolworth</x:v>
      </x:c>
      <x:c r="D334" s="29" t="str">
        <x:v>address</x:v>
      </x:c>
      <x:c r="E334" s="29" t="str">
        <x:v>Kart alanı: address</x:v>
      </x:c>
      <x:c r="F334" s="29" t="str">
        <x:v>Metin</x:v>
      </x:c>
      <x:c r="G334" s="29" t="str">
        <x:v>1400 19th Street, Bakersfield, California</x:v>
      </x:c>
    </x:row>
    <x:row r="335" ht="54" customHeight="1">
      <x:c r="A335" s="29" t="str">
        <x:v>bakersfield:detail:yer-local-bakersfield-woolworth-328</x:v>
      </x:c>
      <x:c r="B335" s="29" t="str">
        <x:v>bakersfield</x:v>
      </x:c>
      <x:c r="C335" s="29" t="str">
        <x:v>bakersfield:yer-local-bakersfield-woolworth</x:v>
      </x:c>
      <x:c r="D335" s="29" t="str">
        <x:v>_db_entry_identity</x:v>
      </x:c>
      <x:c r="E335" s="29" t="str">
        <x:v>Kart alanı: _db_entry_identity</x:v>
      </x:c>
      <x:c r="F335" s="29" t="str">
        <x:v>JSON</x:v>
      </x:c>
      <x:c r="G335" s="29" t="str">
        <x:v>{"id": 30645, "guide_id": 82, "topic_id": null, "image_id": "490736d0-67cd-4fcc-accd-73be6f7a11ec", "published": true, "updated_at": "2026-10-23 21:55:18.268819+00:00"}</x:v>
      </x:c>
    </x:row>
    <x:row r="336" ht="54" customHeight="1">
      <x:c r="A336" s="29" t="str">
        <x:v>bakersfield:detail:yer-local-bakersfield-marketplace-329</x:v>
      </x:c>
      <x:c r="B336" s="29" t="str">
        <x:v>bakersfield</x:v>
      </x:c>
      <x:c r="C336" s="29" t="str">
        <x:v>bakersfield:yer-local-bakersfield-marketplace</x:v>
      </x:c>
      <x:c r="D336" s="29" t="str">
        <x:v>address</x:v>
      </x:c>
      <x:c r="E336" s="29" t="str">
        <x:v>Kart alanı: address</x:v>
      </x:c>
      <x:c r="F336" s="29" t="str">
        <x:v>Metin</x:v>
      </x:c>
      <x:c r="G336" s="29" t="str">
        <x:v>9000 Ming Avenue, Bakersfield, California</x:v>
      </x:c>
    </x:row>
    <x:row r="337" ht="54" customHeight="1">
      <x:c r="A337" s="29" t="str">
        <x:v>bakersfield:detail:yer-local-bakersfield-marketplace-330</x:v>
      </x:c>
      <x:c r="B337" s="29" t="str">
        <x:v>bakersfield</x:v>
      </x:c>
      <x:c r="C337" s="29" t="str">
        <x:v>bakersfield:yer-local-bakersfield-marketplace</x:v>
      </x:c>
      <x:c r="D337" s="29" t="str">
        <x:v>_db_entry_identity</x:v>
      </x:c>
      <x:c r="E337" s="29" t="str">
        <x:v>Kart alanı: _db_entry_identity</x:v>
      </x:c>
      <x:c r="F337" s="29" t="str">
        <x:v>JSON</x:v>
      </x:c>
      <x:c r="G337" s="29" t="str">
        <x:v>{"id": 30646, "guide_id": 82, "topic_id": null, "image_id": "24a34cf2-b916-4647-94fa-478aebcc04c1", "published": true, "updated_at": "2026-10-23 21:55:18.271407+00:00"}</x:v>
      </x:c>
    </x:row>
    <x:row r="338" ht="54" customHeight="1">
      <x:c r="A338" s="29" t="str">
        <x:v>bakersfield:detail:yer-local-bakersfield-valley-plaza-331</x:v>
      </x:c>
      <x:c r="B338" s="29" t="str">
        <x:v>bakersfield</x:v>
      </x:c>
      <x:c r="C338" s="29" t="str">
        <x:v>bakersfield:yer-local-bakersfield-valley-plaza</x:v>
      </x:c>
      <x:c r="D338" s="29" t="str">
        <x:v>address</x:v>
      </x:c>
      <x:c r="E338" s="29" t="str">
        <x:v>Kart alanı: address</x:v>
      </x:c>
      <x:c r="F338" s="29" t="str">
        <x:v>Metin</x:v>
      </x:c>
      <x:c r="G338" s="29" t="str">
        <x:v>2701 Ming Avenue, Bakersfield, California</x:v>
      </x:c>
    </x:row>
    <x:row r="339" ht="54" customHeight="1">
      <x:c r="A339" s="29" t="str">
        <x:v>bakersfield:detail:yer-local-bakersfield-valley-plaza-332</x:v>
      </x:c>
      <x:c r="B339" s="29" t="str">
        <x:v>bakersfield</x:v>
      </x:c>
      <x:c r="C339" s="29" t="str">
        <x:v>bakersfield:yer-local-bakersfield-valley-plaza</x:v>
      </x:c>
      <x:c r="D339" s="29" t="str">
        <x:v>_db_entry_identity</x:v>
      </x:c>
      <x:c r="E339" s="29" t="str">
        <x:v>Kart alanı: _db_entry_identity</x:v>
      </x:c>
      <x:c r="F339" s="29" t="str">
        <x:v>JSON</x:v>
      </x:c>
      <x:c r="G339" s="29" t="str">
        <x:v>{"id": 30647, "guide_id": 82, "topic_id": null, "image_id": "59280764-ea08-4e33-8983-c592c48a1e07", "published": true, "updated_at": "2026-10-23 21:55:18.273445+00:00"}</x:v>
      </x:c>
    </x:row>
    <x:row r="340" ht="54" customHeight="1">
      <x:c r="A340" s="29" t="str">
        <x:v>bakersfield:detail:yer-local-bakersfield-basque-club-333</x:v>
      </x:c>
      <x:c r="B340" s="29" t="str">
        <x:v>bakersfield</x:v>
      </x:c>
      <x:c r="C340" s="29" t="str">
        <x:v>bakersfield:yer-local-bakersfield-basque-club</x:v>
      </x:c>
      <x:c r="D340" s="29" t="str">
        <x:v>address</x:v>
      </x:c>
      <x:c r="E340" s="29" t="str">
        <x:v>Kart alanı: address</x:v>
      </x:c>
      <x:c r="F340" s="29" t="str">
        <x:v>Metin</x:v>
      </x:c>
      <x:c r="G340" s="29" t="str">
        <x:v>2301 South Union Avenue, Bakersfield, California</x:v>
      </x:c>
    </x:row>
    <x:row r="341" ht="54" customHeight="1">
      <x:c r="A341" s="29" t="str">
        <x:v>bakersfield:detail:yer-local-bakersfield-basque-club-334</x:v>
      </x:c>
      <x:c r="B341" s="29" t="str">
        <x:v>bakersfield</x:v>
      </x:c>
      <x:c r="C341" s="29" t="str">
        <x:v>bakersfield:yer-local-bakersfield-basque-club</x:v>
      </x:c>
      <x:c r="D341" s="29" t="str">
        <x:v>_db_entry_identity</x:v>
      </x:c>
      <x:c r="E341" s="29" t="str">
        <x:v>Kart alanı: _db_entry_identity</x:v>
      </x:c>
      <x:c r="F341" s="29" t="str">
        <x:v>JSON</x:v>
      </x:c>
      <x:c r="G341" s="29" t="str">
        <x:v>{"id": 30648, "guide_id": 82, "topic_id": null, "image_id": "61ce3257-333c-4228-a275-0e6e33a080e9", "published": true, "updated_at": "2026-10-23 21:55:18.277211+00:00"}</x:v>
      </x:c>
    </x:row>
    <x:row r="342" ht="54" customHeight="1">
      <x:c r="A342" s="29" t="str">
        <x:v>bakersfield:detail:yer-local-bakersfield-murray-farms-335</x:v>
      </x:c>
      <x:c r="B342" s="29" t="str">
        <x:v>bakersfield</x:v>
      </x:c>
      <x:c r="C342" s="29" t="str">
        <x:v>bakersfield:yer-local-bakersfield-murray-farms</x:v>
      </x:c>
      <x:c r="D342" s="29" t="str">
        <x:v>address</x:v>
      </x:c>
      <x:c r="E342" s="29" t="str">
        <x:v>Kart alanı: address</x:v>
      </x:c>
      <x:c r="F342" s="29" t="str">
        <x:v>Metin</x:v>
      </x:c>
      <x:c r="G342" s="29" t="str">
        <x:v>6700 General Beale Road, Bakersfield, California</x:v>
      </x:c>
    </x:row>
    <x:row r="343" ht="54" customHeight="1">
      <x:c r="A343" s="29" t="str">
        <x:v>bakersfield:detail:yer-local-bakersfield-murray-farms-336</x:v>
      </x:c>
      <x:c r="B343" s="29" t="str">
        <x:v>bakersfield</x:v>
      </x:c>
      <x:c r="C343" s="29" t="str">
        <x:v>bakersfield:yer-local-bakersfield-murray-farms</x:v>
      </x:c>
      <x:c r="D343" s="29" t="str">
        <x:v>_db_entry_identity</x:v>
      </x:c>
      <x:c r="E343" s="29" t="str">
        <x:v>Kart alanı: _db_entry_identity</x:v>
      </x:c>
      <x:c r="F343" s="29" t="str">
        <x:v>JSON</x:v>
      </x:c>
      <x:c r="G343" s="29" t="str">
        <x:v>{"id": 30649, "guide_id": 82, "topic_id": null, "image_id": "8a2aaefb-c9fc-4ee9-a46f-cf464d90cf62", "published": true, "updated_at": "2026-10-23 21:55:18.280191+00:00"}</x:v>
      </x:c>
    </x:row>
    <x:row r="344" ht="54" customHeight="1">
      <x:c r="A344" s="29" t="str">
        <x:v>bakersfield:detail:yer-local-bakersfield-river-walk-337</x:v>
      </x:c>
      <x:c r="B344" s="29" t="str">
        <x:v>bakersfield</x:v>
      </x:c>
      <x:c r="C344" s="29" t="str">
        <x:v>bakersfield:yer-local-bakersfield-river-walk</x:v>
      </x:c>
      <x:c r="D344" s="29" t="str">
        <x:v>address</x:v>
      </x:c>
      <x:c r="E344" s="29" t="str">
        <x:v>Kart alanı: address</x:v>
      </x:c>
      <x:c r="F344" s="29" t="str">
        <x:v>Metin</x:v>
      </x:c>
      <x:c r="G344" s="29" t="str">
        <x:v>11298 Stockdale Highway, Bakersfield, California</x:v>
      </x:c>
    </x:row>
    <x:row r="345" ht="54" customHeight="1">
      <x:c r="A345" s="29" t="str">
        <x:v>bakersfield:detail:yer-local-bakersfield-river-walk-338</x:v>
      </x:c>
      <x:c r="B345" s="29" t="str">
        <x:v>bakersfield</x:v>
      </x:c>
      <x:c r="C345" s="29" t="str">
        <x:v>bakersfield:yer-local-bakersfield-river-walk</x:v>
      </x:c>
      <x:c r="D345" s="29" t="str">
        <x:v>_db_entry_identity</x:v>
      </x:c>
      <x:c r="E345" s="29" t="str">
        <x:v>Kart alanı: _db_entry_identity</x:v>
      </x:c>
      <x:c r="F345" s="29" t="str">
        <x:v>JSON</x:v>
      </x:c>
      <x:c r="G345" s="29" t="str">
        <x:v>{"id": 30650, "guide_id": 82, "topic_id": null, "image_id": "91f265c8-fb69-42c5-a4b3-b3371a3b595c", "published": true, "updated_at": "2026-10-23 21:55:18.285355+00:00"}</x:v>
      </x:c>
    </x:row>
    <x:row r="346" ht="54" customHeight="1">
      <x:c r="A346" s="29" t="str">
        <x:v>bakersfield:detail:yer-local-bakersfield-mill-creek-339</x:v>
      </x:c>
      <x:c r="B346" s="29" t="str">
        <x:v>bakersfield</x:v>
      </x:c>
      <x:c r="C346" s="29" t="str">
        <x:v>bakersfield:yer-local-bakersfield-mill-creek</x:v>
      </x:c>
      <x:c r="D346" s="29" t="str">
        <x:v>address</x:v>
      </x:c>
      <x:c r="E346" s="29" t="str">
        <x:v>Kart alanı: address</x:v>
      </x:c>
      <x:c r="F346" s="29" t="str">
        <x:v>Metin</x:v>
      </x:c>
      <x:c r="G346" s="29" t="str">
        <x:v>Central Park at Mill Creek, Bakersfield, California</x:v>
      </x:c>
    </x:row>
    <x:row r="347" ht="54" customHeight="1">
      <x:c r="A347" s="29" t="str">
        <x:v>bakersfield:detail:yer-local-bakersfield-mill-creek-340</x:v>
      </x:c>
      <x:c r="B347" s="29" t="str">
        <x:v>bakersfield</x:v>
      </x:c>
      <x:c r="C347" s="29" t="str">
        <x:v>bakersfield:yer-local-bakersfield-mill-creek</x:v>
      </x:c>
      <x:c r="D347" s="29" t="str">
        <x:v>_db_entry_identity</x:v>
      </x:c>
      <x:c r="E347" s="29" t="str">
        <x:v>Kart alanı: _db_entry_identity</x:v>
      </x:c>
      <x:c r="F347" s="29" t="str">
        <x:v>JSON</x:v>
      </x:c>
      <x:c r="G347" s="29" t="str">
        <x:v>{"id": 30651, "guide_id": 82, "topic_id": null, "image_id": "0ed0096f-d98a-4942-9798-f3433cc9f363", "published": true, "updated_at": "2026-10-23 21:55:18.289842+00:00"}</x:v>
      </x:c>
    </x:row>
    <x:row r="348" ht="54" customHeight="1">
      <x:c r="A348" s="29" t="str">
        <x:v>bakersfield:detail:yer-local-bakersfield-hart-park-341</x:v>
      </x:c>
      <x:c r="B348" s="29" t="str">
        <x:v>bakersfield</x:v>
      </x:c>
      <x:c r="C348" s="29" t="str">
        <x:v>bakersfield:yer-local-bakersfield-hart-park</x:v>
      </x:c>
      <x:c r="D348" s="29" t="str">
        <x:v>address</x:v>
      </x:c>
      <x:c r="E348" s="29" t="str">
        <x:v>Kart alanı: address</x:v>
      </x:c>
      <x:c r="F348" s="29" t="str">
        <x:v>Metin</x:v>
      </x:c>
      <x:c r="G348" s="29" t="str">
        <x:v>Hart Memorial Park, Alfred Harrell Highway, Bakersfield, California</x:v>
      </x:c>
    </x:row>
    <x:row r="349" ht="54" customHeight="1">
      <x:c r="A349" s="29" t="str">
        <x:v>bakersfield:detail:yer-local-bakersfield-hart-park-342</x:v>
      </x:c>
      <x:c r="B349" s="29" t="str">
        <x:v>bakersfield</x:v>
      </x:c>
      <x:c r="C349" s="29" t="str">
        <x:v>bakersfield:yer-local-bakersfield-hart-park</x:v>
      </x:c>
      <x:c r="D349" s="29" t="str">
        <x:v>_db_entry_identity</x:v>
      </x:c>
      <x:c r="E349" s="29" t="str">
        <x:v>Kart alanı: _db_entry_identity</x:v>
      </x:c>
      <x:c r="F349" s="29" t="str">
        <x:v>JSON</x:v>
      </x:c>
      <x:c r="G349" s="29" t="str">
        <x:v>{"id": 30652, "guide_id": 82, "topic_id": null, "image_id": "2d379b1b-122e-4798-ba0f-e9d744c6a36b", "published": true, "updated_at": "2026-10-23 21:55:18.291520+00:00"}</x:v>
      </x:c>
    </x:row>
    <x:row r="350" ht="54" customHeight="1">
      <x:c r="A350" s="29" t="str">
        <x:v>bakersfield:detail:yer-local-bakersfield-lake-ming-343</x:v>
      </x:c>
      <x:c r="B350" s="29" t="str">
        <x:v>bakersfield</x:v>
      </x:c>
      <x:c r="C350" s="29" t="str">
        <x:v>bakersfield:yer-local-bakersfield-lake-ming</x:v>
      </x:c>
      <x:c r="D350" s="29" t="str">
        <x:v>address</x:v>
      </x:c>
      <x:c r="E350" s="29" t="str">
        <x:v>Kart alanı: address</x:v>
      </x:c>
      <x:c r="F350" s="29" t="str">
        <x:v>Metin</x:v>
      </x:c>
      <x:c r="G350" s="29" t="str">
        <x:v>Lake Ming Road, Bakersfield, California</x:v>
      </x:c>
    </x:row>
    <x:row r="351" ht="54" customHeight="1">
      <x:c r="A351" s="29" t="str">
        <x:v>bakersfield:detail:yer-local-bakersfield-lake-ming-344</x:v>
      </x:c>
      <x:c r="B351" s="29" t="str">
        <x:v>bakersfield</x:v>
      </x:c>
      <x:c r="C351" s="29" t="str">
        <x:v>bakersfield:yer-local-bakersfield-lake-ming</x:v>
      </x:c>
      <x:c r="D351" s="29" t="str">
        <x:v>_db_entry_identity</x:v>
      </x:c>
      <x:c r="E351" s="29" t="str">
        <x:v>Kart alanı: _db_entry_identity</x:v>
      </x:c>
      <x:c r="F351" s="29" t="str">
        <x:v>JSON</x:v>
      </x:c>
      <x:c r="G351" s="29" t="str">
        <x:v>{"id": 30653, "guide_id": 82, "topic_id": null, "image_id": "c0065da7-2442-4b0f-8ef0-ce7a614343fd", "published": true, "updated_at": "2026-10-23 21:55:18.293652+00:00"}</x:v>
      </x:c>
    </x:row>
    <x:row r="352" ht="54" customHeight="1">
      <x:c r="A352" s="29" t="str">
        <x:v>bakersfield:detail:yer-local-bakersfield-panorama-park-345</x:v>
      </x:c>
      <x:c r="B352" s="29" t="str">
        <x:v>bakersfield</x:v>
      </x:c>
      <x:c r="C352" s="29" t="str">
        <x:v>bakersfield:yer-local-bakersfield-panorama-park</x:v>
      </x:c>
      <x:c r="D352" s="29" t="str">
        <x:v>address</x:v>
      </x:c>
      <x:c r="E352" s="29" t="str">
        <x:v>Kart alanı: address</x:v>
      </x:c>
      <x:c r="F352" s="29" t="str">
        <x:v>Metin</x:v>
      </x:c>
      <x:c r="G352" s="29" t="str">
        <x:v>Panorama Drive, Bakersfield, California</x:v>
      </x:c>
    </x:row>
    <x:row r="353" ht="54" customHeight="1">
      <x:c r="A353" s="29" t="str">
        <x:v>bakersfield:detail:yer-local-bakersfield-panorama-park-346</x:v>
      </x:c>
      <x:c r="B353" s="29" t="str">
        <x:v>bakersfield</x:v>
      </x:c>
      <x:c r="C353" s="29" t="str">
        <x:v>bakersfield:yer-local-bakersfield-panorama-park</x:v>
      </x:c>
      <x:c r="D353" s="29" t="str">
        <x:v>_db_entry_identity</x:v>
      </x:c>
      <x:c r="E353" s="29" t="str">
        <x:v>Kart alanı: _db_entry_identity</x:v>
      </x:c>
      <x:c r="F353" s="29" t="str">
        <x:v>JSON</x:v>
      </x:c>
      <x:c r="G353" s="29" t="str">
        <x:v>{"id": 30654, "guide_id": 82, "topic_id": null, "image_id": "5ca82c51-5748-4132-a465-629334779286", "published": true, "updated_at": "2026-10-23 21:55:18.295535+00:00"}</x:v>
      </x:c>
    </x:row>
    <x:row r="354" ht="54" customHeight="1">
      <x:c r="A354" s="29" t="str">
        <x:v>bakersfield:detail:yer-local-bakersfield-jastro-park-347</x:v>
      </x:c>
      <x:c r="B354" s="29" t="str">
        <x:v>bakersfield</x:v>
      </x:c>
      <x:c r="C354" s="29" t="str">
        <x:v>bakersfield:yer-local-bakersfield-jastro-park</x:v>
      </x:c>
      <x:c r="D354" s="29" t="str">
        <x:v>address</x:v>
      </x:c>
      <x:c r="E354" s="29" t="str">
        <x:v>Kart alanı: address</x:v>
      </x:c>
      <x:c r="F354" s="29" t="str">
        <x:v>Metin</x:v>
      </x:c>
      <x:c r="G354" s="29" t="str">
        <x:v>2900 Truxtun Avenue, Bakersfield, California</x:v>
      </x:c>
    </x:row>
    <x:row r="355" ht="54" customHeight="1">
      <x:c r="A355" s="29" t="str">
        <x:v>bakersfield:detail:yer-local-bakersfield-jastro-park-348</x:v>
      </x:c>
      <x:c r="B355" s="29" t="str">
        <x:v>bakersfield</x:v>
      </x:c>
      <x:c r="C355" s="29" t="str">
        <x:v>bakersfield:yer-local-bakersfield-jastro-park</x:v>
      </x:c>
      <x:c r="D355" s="29" t="str">
        <x:v>_db_entry_identity</x:v>
      </x:c>
      <x:c r="E355" s="29" t="str">
        <x:v>Kart alanı: _db_entry_identity</x:v>
      </x:c>
      <x:c r="F355" s="29" t="str">
        <x:v>JSON</x:v>
      </x:c>
      <x:c r="G355" s="29" t="str">
        <x:v>{"id": 30655, "guide_id": 82, "topic_id": null, "image_id": "77b31335-9f2c-4aa6-b606-d85e8d0cfb87", "published": true, "updated_at": "2026-10-23 21:55:18.299296+00:00"}</x:v>
      </x:c>
    </x:row>
    <x:row r="356" ht="54" customHeight="1">
      <x:c r="A356" s="29" t="str">
        <x:v>bakersfield:detail:yer-local-bakersfield-beach-park-349</x:v>
      </x:c>
      <x:c r="B356" s="29" t="str">
        <x:v>bakersfield</x:v>
      </x:c>
      <x:c r="C356" s="29" t="str">
        <x:v>bakersfield:yer-local-bakersfield-beach-park</x:v>
      </x:c>
      <x:c r="D356" s="29" t="str">
        <x:v>address</x:v>
      </x:c>
      <x:c r="E356" s="29" t="str">
        <x:v>Kart alanı: address</x:v>
      </x:c>
      <x:c r="F356" s="29" t="str">
        <x:v>Metin</x:v>
      </x:c>
      <x:c r="G356" s="29" t="str">
        <x:v>3400 21st Street, Bakersfield, California</x:v>
      </x:c>
    </x:row>
    <x:row r="357" ht="54" customHeight="1">
      <x:c r="A357" s="29" t="str">
        <x:v>bakersfield:detail:yer-local-bakersfield-beach-park-350</x:v>
      </x:c>
      <x:c r="B357" s="29" t="str">
        <x:v>bakersfield</x:v>
      </x:c>
      <x:c r="C357" s="29" t="str">
        <x:v>bakersfield:yer-local-bakersfield-beach-park</x:v>
      </x:c>
      <x:c r="D357" s="29" t="str">
        <x:v>_db_entry_identity</x:v>
      </x:c>
      <x:c r="E357" s="29" t="str">
        <x:v>Kart alanı: _db_entry_identity</x:v>
      </x:c>
      <x:c r="F357" s="29" t="str">
        <x:v>JSON</x:v>
      </x:c>
      <x:c r="G357" s="29" t="str">
        <x:v>{"id": 30656, "guide_id": 82, "topic_id": null, "image_id": "c8c40611-99ba-4618-9c28-1a8fa765aa42", "published": true, "updated_at": "2026-10-23 21:55:18.302141+00:00"}</x:v>
      </x:c>
    </x:row>
    <x:row r="358" ht="54" customHeight="1">
      <x:c r="A358" s="29" t="str">
        <x:v>bakersfield:detail:yer-local-bakersfield-beale-park-351</x:v>
      </x:c>
      <x:c r="B358" s="29" t="str">
        <x:v>bakersfield</x:v>
      </x:c>
      <x:c r="C358" s="29" t="str">
        <x:v>bakersfield:yer-local-bakersfield-beale-park</x:v>
      </x:c>
      <x:c r="D358" s="29" t="str">
        <x:v>address</x:v>
      </x:c>
      <x:c r="E358" s="29" t="str">
        <x:v>Kart alanı: address</x:v>
      </x:c>
      <x:c r="F358" s="29" t="str">
        <x:v>Metin</x:v>
      </x:c>
      <x:c r="G358" s="29" t="str">
        <x:v>500 Oleander Avenue, Bakersfield, California</x:v>
      </x:c>
    </x:row>
    <x:row r="359" ht="54" customHeight="1">
      <x:c r="A359" s="29" t="str">
        <x:v>bakersfield:detail:yer-local-bakersfield-beale-park-352</x:v>
      </x:c>
      <x:c r="B359" s="29" t="str">
        <x:v>bakersfield</x:v>
      </x:c>
      <x:c r="C359" s="29" t="str">
        <x:v>bakersfield:yer-local-bakersfield-beale-park</x:v>
      </x:c>
      <x:c r="D359" s="29" t="str">
        <x:v>_db_entry_identity</x:v>
      </x:c>
      <x:c r="E359" s="29" t="str">
        <x:v>Kart alanı: _db_entry_identity</x:v>
      </x:c>
      <x:c r="F359" s="29" t="str">
        <x:v>JSON</x:v>
      </x:c>
      <x:c r="G359" s="29" t="str">
        <x:v>{"id": 30657, "guide_id": 82, "topic_id": null, "image_id": "0cf71c38-71b6-4cff-8095-9207f64a939a", "published": true, "updated_at": "2026-10-23 21:55:18.304019+00:00"}</x:v>
      </x:c>
    </x:row>
    <x:row r="360" ht="54" customHeight="1">
      <x:c r="A360" s="29" t="str">
        <x:v>bakersfield:detail:yer-local-bakersfield-yokuts-park-353</x:v>
      </x:c>
      <x:c r="B360" s="29" t="str">
        <x:v>bakersfield</x:v>
      </x:c>
      <x:c r="C360" s="29" t="str">
        <x:v>bakersfield:yer-local-bakersfield-yokuts-park</x:v>
      </x:c>
      <x:c r="D360" s="29" t="str">
        <x:v>address</x:v>
      </x:c>
      <x:c r="E360" s="29" t="str">
        <x:v>Kart alanı: address</x:v>
      </x:c>
      <x:c r="F360" s="29" t="str">
        <x:v>Metin</x:v>
      </x:c>
      <x:c r="G360" s="29" t="str">
        <x:v>4200 Empire Drive, Bakersfield, California</x:v>
      </x:c>
    </x:row>
    <x:row r="361" ht="54" customHeight="1">
      <x:c r="A361" s="29" t="str">
        <x:v>bakersfield:detail:yer-local-bakersfield-yokuts-park-354</x:v>
      </x:c>
      <x:c r="B361" s="29" t="str">
        <x:v>bakersfield</x:v>
      </x:c>
      <x:c r="C361" s="29" t="str">
        <x:v>bakersfield:yer-local-bakersfield-yokuts-park</x:v>
      </x:c>
      <x:c r="D361" s="29" t="str">
        <x:v>_db_entry_identity</x:v>
      </x:c>
      <x:c r="E361" s="29" t="str">
        <x:v>Kart alanı: _db_entry_identity</x:v>
      </x:c>
      <x:c r="F361" s="29" t="str">
        <x:v>JSON</x:v>
      </x:c>
      <x:c r="G361" s="29" t="str">
        <x:v>{"id": 30658, "guide_id": 82, "topic_id": null, "image_id": "e9a81fb1-b20d-49c9-9802-0e72636f7476", "published": true, "updated_at": "2026-10-23 21:55:18.305724+00:00"}</x:v>
      </x:c>
    </x:row>
    <x:row r="362" ht="54" customHeight="1">
      <x:c r="A362" s="29" t="str">
        <x:v>bakersfield:detail:yer-local-bakersfield-silver-creek-park-355</x:v>
      </x:c>
      <x:c r="B362" s="29" t="str">
        <x:v>bakersfield</x:v>
      </x:c>
      <x:c r="C362" s="29" t="str">
        <x:v>bakersfield:yer-local-bakersfield-silver-creek-park</x:v>
      </x:c>
      <x:c r="D362" s="29" t="str">
        <x:v>address</x:v>
      </x:c>
      <x:c r="E362" s="29" t="str">
        <x:v>Kart alanı: address</x:v>
      </x:c>
      <x:c r="F362" s="29" t="str">
        <x:v>Metin</x:v>
      </x:c>
      <x:c r="G362" s="29" t="str">
        <x:v>7011 Harris Road, Bakersfield, California</x:v>
      </x:c>
    </x:row>
    <x:row r="363" ht="54" customHeight="1">
      <x:c r="A363" s="29" t="str">
        <x:v>bakersfield:detail:yer-local-bakersfield-silver-creek-park-356</x:v>
      </x:c>
      <x:c r="B363" s="29" t="str">
        <x:v>bakersfield</x:v>
      </x:c>
      <x:c r="C363" s="29" t="str">
        <x:v>bakersfield:yer-local-bakersfield-silver-creek-park</x:v>
      </x:c>
      <x:c r="D363" s="29" t="str">
        <x:v>_db_entry_identity</x:v>
      </x:c>
      <x:c r="E363" s="29" t="str">
        <x:v>Kart alanı: _db_entry_identity</x:v>
      </x:c>
      <x:c r="F363" s="29" t="str">
        <x:v>JSON</x:v>
      </x:c>
      <x:c r="G363" s="29" t="str">
        <x:v>{"id": 30659, "guide_id": 82, "topic_id": null, "image_id": "fa84e6c8-64e2-4db3-9e33-e98b1d737179", "published": true, "updated_at": "2026-10-23 21:55:18.307439+00:00"}</x:v>
      </x:c>
    </x:row>
    <x:row r="364" ht="54" customHeight="1">
      <x:c r="A364" s="29" t="str">
        <x:v>bakersfield:detail:yer-local-bakersfield-kern-river-parkway-357</x:v>
      </x:c>
      <x:c r="B364" s="29" t="str">
        <x:v>bakersfield</x:v>
      </x:c>
      <x:c r="C364" s="29" t="str">
        <x:v>bakersfield:yer-local-bakersfield-kern-river-parkway</x:v>
      </x:c>
      <x:c r="D364" s="29" t="str">
        <x:v>address</x:v>
      </x:c>
      <x:c r="E364" s="29" t="str">
        <x:v>Kart alanı: address</x:v>
      </x:c>
      <x:c r="F364" s="29" t="str">
        <x:v>Metin</x:v>
      </x:c>
      <x:c r="G364" s="29" t="str">
        <x:v>Kern River Parkway Trail, Bakersfield, California</x:v>
      </x:c>
    </x:row>
    <x:row r="365" ht="54" customHeight="1">
      <x:c r="A365" s="29" t="str">
        <x:v>bakersfield:detail:yer-local-bakersfield-kern-river-parkway-358</x:v>
      </x:c>
      <x:c r="B365" s="29" t="str">
        <x:v>bakersfield</x:v>
      </x:c>
      <x:c r="C365" s="29" t="str">
        <x:v>bakersfield:yer-local-bakersfield-kern-river-parkway</x:v>
      </x:c>
      <x:c r="D365" s="29" t="str">
        <x:v>_db_entry_identity</x:v>
      </x:c>
      <x:c r="E365" s="29" t="str">
        <x:v>Kart alanı: _db_entry_identity</x:v>
      </x:c>
      <x:c r="F365" s="29" t="str">
        <x:v>JSON</x:v>
      </x:c>
      <x:c r="G365" s="29" t="str">
        <x:v>{"id": 30660, "guide_id": 82, "topic_id": null, "image_id": "36fa3a4e-5614-4dc4-bb0d-6a8dd3df17f5", "published": true, "updated_at": "2026-10-23 21:55:18.310136+00:00"}</x:v>
      </x:c>
    </x:row>
    <x:row r="366" ht="54" customHeight="1">
      <x:c r="A366" s="29" t="str">
        <x:v>bakersfield:detail:yer-local-bakersfield-truxtun-lake-359</x:v>
      </x:c>
      <x:c r="B366" s="29" t="str">
        <x:v>bakersfield</x:v>
      </x:c>
      <x:c r="C366" s="29" t="str">
        <x:v>bakersfield:yer-local-bakersfield-truxtun-lake</x:v>
      </x:c>
      <x:c r="D366" s="29" t="str">
        <x:v>address</x:v>
      </x:c>
      <x:c r="E366" s="29" t="str">
        <x:v>Kart alanı: address</x:v>
      </x:c>
      <x:c r="F366" s="29" t="str">
        <x:v>Metin</x:v>
      </x:c>
      <x:c r="G366" s="29" t="str">
        <x:v>Truxtun Lake, Bakersfield, California</x:v>
      </x:c>
    </x:row>
    <x:row r="367" ht="54" customHeight="1">
      <x:c r="A367" s="29" t="str">
        <x:v>bakersfield:detail:yer-local-bakersfield-truxtun-lake-360</x:v>
      </x:c>
      <x:c r="B367" s="29" t="str">
        <x:v>bakersfield</x:v>
      </x:c>
      <x:c r="C367" s="29" t="str">
        <x:v>bakersfield:yer-local-bakersfield-truxtun-lake</x:v>
      </x:c>
      <x:c r="D367" s="29" t="str">
        <x:v>_db_entry_identity</x:v>
      </x:c>
      <x:c r="E367" s="29" t="str">
        <x:v>Kart alanı: _db_entry_identity</x:v>
      </x:c>
      <x:c r="F367" s="29" t="str">
        <x:v>JSON</x:v>
      </x:c>
      <x:c r="G367" s="29" t="str">
        <x:v>{"id": 30661, "guide_id": 82, "topic_id": null, "image_id": "8a572094-1337-4b0e-8919-3f9096e7c5f3", "published": true, "updated_at": "2026-10-23 21:55:18.312071+00:00"}</x:v>
      </x:c>
    </x:row>
    <x:row r="368" ht="54" customHeight="1">
      <x:c r="A368" s="29" t="str">
        <x:v>bakersfield:detail:yer-local-bakersfield-sam-lynn-361</x:v>
      </x:c>
      <x:c r="B368" s="29" t="str">
        <x:v>bakersfield</x:v>
      </x:c>
      <x:c r="C368" s="29" t="str">
        <x:v>bakersfield:yer-local-bakersfield-sam-lynn</x:v>
      </x:c>
      <x:c r="D368" s="29" t="str">
        <x:v>address</x:v>
      </x:c>
      <x:c r="E368" s="29" t="str">
        <x:v>Kart alanı: address</x:v>
      </x:c>
      <x:c r="F368" s="29" t="str">
        <x:v>Metin</x:v>
      </x:c>
      <x:c r="G368" s="29" t="str">
        <x:v>4009 Chester Avenue, Bakersfield, California</x:v>
      </x:c>
    </x:row>
    <x:row r="369" ht="54" customHeight="1">
      <x:c r="A369" s="29" t="str">
        <x:v>bakersfield:detail:yer-local-bakersfield-sam-lynn-362</x:v>
      </x:c>
      <x:c r="B369" s="29" t="str">
        <x:v>bakersfield</x:v>
      </x:c>
      <x:c r="C369" s="29" t="str">
        <x:v>bakersfield:yer-local-bakersfield-sam-lynn</x:v>
      </x:c>
      <x:c r="D369" s="29" t="str">
        <x:v>_db_entry_identity</x:v>
      </x:c>
      <x:c r="E369" s="29" t="str">
        <x:v>Kart alanı: _db_entry_identity</x:v>
      </x:c>
      <x:c r="F369" s="29" t="str">
        <x:v>JSON</x:v>
      </x:c>
      <x:c r="G369" s="29" t="str">
        <x:v>{"id": 30662, "guide_id": 82, "topic_id": null, "image_id": "d323d9fd-0d0d-485d-9be9-af0e3c0b9a54", "published": true, "updated_at": "2026-10-23 21:55:18.313810+00:00"}</x:v>
      </x:c>
    </x:row>
    <x:row r="370" ht="54" customHeight="1">
      <x:c r="A370" s="29" t="str">
        <x:v>bakersfield:detail:yer-local-bakersfield-memorial-stadium-363</x:v>
      </x:c>
      <x:c r="B370" s="29" t="str">
        <x:v>bakersfield</x:v>
      </x:c>
      <x:c r="C370" s="29" t="str">
        <x:v>bakersfield:yer-local-bakersfield-memorial-stadium</x:v>
      </x:c>
      <x:c r="D370" s="29" t="str">
        <x:v>address</x:v>
      </x:c>
      <x:c r="E370" s="29" t="str">
        <x:v>Kart alanı: address</x:v>
      </x:c>
      <x:c r="F370" s="29" t="str">
        <x:v>Metin</x:v>
      </x:c>
      <x:c r="G370" s="29" t="str">
        <x:v>1801 Panorama Drive, Bakersfield, California</x:v>
      </x:c>
    </x:row>
    <x:row r="371" ht="54" customHeight="1">
      <x:c r="A371" s="29" t="str">
        <x:v>bakersfield:detail:yer-local-bakersfield-memorial-stadium-364</x:v>
      </x:c>
      <x:c r="B371" s="29" t="str">
        <x:v>bakersfield</x:v>
      </x:c>
      <x:c r="C371" s="29" t="str">
        <x:v>bakersfield:yer-local-bakersfield-memorial-stadium</x:v>
      </x:c>
      <x:c r="D371" s="29" t="str">
        <x:v>_db_entry_identity</x:v>
      </x:c>
      <x:c r="E371" s="29" t="str">
        <x:v>Kart alanı: _db_entry_identity</x:v>
      </x:c>
      <x:c r="F371" s="29" t="str">
        <x:v>JSON</x:v>
      </x:c>
      <x:c r="G371" s="29" t="str">
        <x:v>{"id": 30663, "guide_id": 82, "topic_id": null, "image_id": "a986b347-7c1b-4837-8e63-c0a71763cd7b", "published": true, "updated_at": "2026-10-23 21:55:18.315566+00:00"}</x:v>
      </x:c>
    </x:row>
    <x:row r="372" ht="54" customHeight="1">
      <x:c r="A372" s="29" t="str">
        <x:v>bakersfield:detail:yer-local-bakersfield-csub-soccer-365</x:v>
      </x:c>
      <x:c r="B372" s="29" t="str">
        <x:v>bakersfield</x:v>
      </x:c>
      <x:c r="C372" s="29" t="str">
        <x:v>bakersfield:yer-local-bakersfield-csub-soccer</x:v>
      </x:c>
      <x:c r="D372" s="29" t="str">
        <x:v>address</x:v>
      </x:c>
      <x:c r="E372" s="29" t="str">
        <x:v>Kart alanı: address</x:v>
      </x:c>
      <x:c r="F372" s="29" t="str">
        <x:v>Metin</x:v>
      </x:c>
      <x:c r="G372" s="29" t="str">
        <x:v>9001 Stockdale Highway, Bakersfield, California</x:v>
      </x:c>
    </x:row>
    <x:row r="373" ht="54" customHeight="1">
      <x:c r="A373" s="29" t="str">
        <x:v>bakersfield:detail:yer-local-bakersfield-csub-soccer-366</x:v>
      </x:c>
      <x:c r="B373" s="29" t="str">
        <x:v>bakersfield</x:v>
      </x:c>
      <x:c r="C373" s="29" t="str">
        <x:v>bakersfield:yer-local-bakersfield-csub-soccer</x:v>
      </x:c>
      <x:c r="D373" s="29" t="str">
        <x:v>_db_entry_identity</x:v>
      </x:c>
      <x:c r="E373" s="29" t="str">
        <x:v>Kart alanı: _db_entry_identity</x:v>
      </x:c>
      <x:c r="F373" s="29" t="str">
        <x:v>JSON</x:v>
      </x:c>
      <x:c r="G373" s="29" t="str">
        <x:v>{"id": 30664, "guide_id": 82, "topic_id": null, "image_id": "8239238f-4239-4c45-a3b2-2c014d334b1b", "published": true, "updated_at": "2026-10-23 21:55:18.317400+00:00"}</x:v>
      </x:c>
    </x:row>
    <x:row r="374" ht="54" customHeight="1">
      <x:c r="A374" s="29" t="str">
        <x:v>bakersfield:detail:yer-local-bakersfield-kern-raceway-367</x:v>
      </x:c>
      <x:c r="B374" s="29" t="str">
        <x:v>bakersfield</x:v>
      </x:c>
      <x:c r="C374" s="29" t="str">
        <x:v>bakersfield:yer-local-bakersfield-kern-raceway</x:v>
      </x:c>
      <x:c r="D374" s="29" t="str">
        <x:v>address</x:v>
      </x:c>
      <x:c r="E374" s="29" t="str">
        <x:v>Kart alanı: address</x:v>
      </x:c>
      <x:c r="F374" s="29" t="str">
        <x:v>Metin</x:v>
      </x:c>
      <x:c r="G374" s="29" t="str">
        <x:v>13500 Raceway Boulevard, Bakersfield, California</x:v>
      </x:c>
    </x:row>
    <x:row r="375" ht="54" customHeight="1">
      <x:c r="A375" s="29" t="str">
        <x:v>bakersfield:detail:yer-local-bakersfield-kern-raceway-368</x:v>
      </x:c>
      <x:c r="B375" s="29" t="str">
        <x:v>bakersfield</x:v>
      </x:c>
      <x:c r="C375" s="29" t="str">
        <x:v>bakersfield:yer-local-bakersfield-kern-raceway</x:v>
      </x:c>
      <x:c r="D375" s="29" t="str">
        <x:v>_db_entry_identity</x:v>
      </x:c>
      <x:c r="E375" s="29" t="str">
        <x:v>Kart alanı: _db_entry_identity</x:v>
      </x:c>
      <x:c r="F375" s="29" t="str">
        <x:v>JSON</x:v>
      </x:c>
      <x:c r="G375" s="29" t="str">
        <x:v>{"id": 30665, "guide_id": 82, "topic_id": null, "image_id": "ff844b6e-1d6d-46c0-a790-5d42f07dca32", "published": true, "updated_at": "2026-10-23 21:55:18.319143+00:00"}</x:v>
      </x:c>
    </x:row>
    <x:row r="376" ht="54" customHeight="1">
      <x:c r="A376" s="29" t="str">
        <x:v>bakersfield:detail:yer-local-bakersfield-amtrak-station-369</x:v>
      </x:c>
      <x:c r="B376" s="29" t="str">
        <x:v>bakersfield</x:v>
      </x:c>
      <x:c r="C376" s="29" t="str">
        <x:v>bakersfield:yer-local-bakersfield-amtrak-station</x:v>
      </x:c>
      <x:c r="D376" s="29" t="str">
        <x:v>address</x:v>
      </x:c>
      <x:c r="E376" s="29" t="str">
        <x:v>Kart alanı: address</x:v>
      </x:c>
      <x:c r="F376" s="29" t="str">
        <x:v>Metin</x:v>
      </x:c>
      <x:c r="G376" s="29" t="str">
        <x:v>601 Truxtun Avenue, Bakersfield, California</x:v>
      </x:c>
    </x:row>
    <x:row r="377" ht="54" customHeight="1">
      <x:c r="A377" s="29" t="str">
        <x:v>bakersfield:detail:yer-local-bakersfield-amtrak-station-370</x:v>
      </x:c>
      <x:c r="B377" s="29" t="str">
        <x:v>bakersfield</x:v>
      </x:c>
      <x:c r="C377" s="29" t="str">
        <x:v>bakersfield:yer-local-bakersfield-amtrak-station</x:v>
      </x:c>
      <x:c r="D377" s="29" t="str">
        <x:v>_db_entry_identity</x:v>
      </x:c>
      <x:c r="E377" s="29" t="str">
        <x:v>Kart alanı: _db_entry_identity</x:v>
      </x:c>
      <x:c r="F377" s="29" t="str">
        <x:v>JSON</x:v>
      </x:c>
      <x:c r="G377" s="29" t="str">
        <x:v>{"id": 30666, "guide_id": 82, "topic_id": null, "image_id": "ef45452d-175d-4009-8876-7d3497d165b1", "published": true, "updated_at": "2026-10-23 21:55:18.323728+00:00"}</x:v>
      </x:c>
    </x:row>
    <x:row r="378" ht="54" customHeight="1">
      <x:c r="A378" s="29" t="str">
        <x:v>bakersfield:detail:yer-local-bakersfield-beale-library-371</x:v>
      </x:c>
      <x:c r="B378" s="29" t="str">
        <x:v>bakersfield</x:v>
      </x:c>
      <x:c r="C378" s="29" t="str">
        <x:v>bakersfield:yer-local-bakersfield-beale-library</x:v>
      </x:c>
      <x:c r="D378" s="29" t="str">
        <x:v>address</x:v>
      </x:c>
      <x:c r="E378" s="29" t="str">
        <x:v>Kart alanı: address</x:v>
      </x:c>
      <x:c r="F378" s="29" t="str">
        <x:v>Metin</x:v>
      </x:c>
      <x:c r="G378" s="29" t="str">
        <x:v>701 Truxtun Avenue, Bakersfield, California</x:v>
      </x:c>
    </x:row>
    <x:row r="379" ht="54" customHeight="1">
      <x:c r="A379" s="29" t="str">
        <x:v>bakersfield:detail:yer-local-bakersfield-beale-library-372</x:v>
      </x:c>
      <x:c r="B379" s="29" t="str">
        <x:v>bakersfield</x:v>
      </x:c>
      <x:c r="C379" s="29" t="str">
        <x:v>bakersfield:yer-local-bakersfield-beale-library</x:v>
      </x:c>
      <x:c r="D379" s="29" t="str">
        <x:v>_db_entry_identity</x:v>
      </x:c>
      <x:c r="E379" s="29" t="str">
        <x:v>Kart alanı: _db_entry_identity</x:v>
      </x:c>
      <x:c r="F379" s="29" t="str">
        <x:v>JSON</x:v>
      </x:c>
      <x:c r="G379" s="29" t="str">
        <x:v>{"id": 30667, "guide_id": 82, "topic_id": null, "image_id": "fc374bcf-682c-490c-9911-47c4bcf4e07c", "published": true, "updated_at": "2026-10-23 21:55:18.325586+00:00"}</x:v>
      </x:c>
    </x:row>
    <x:row r="380" ht="54" customHeight="1">
      <x:c r="A380" s="29" t="str">
        <x:v>bakersfield:detail:yer-local-bakersfield-union-cemetery-373</x:v>
      </x:c>
      <x:c r="B380" s="29" t="str">
        <x:v>bakersfield</x:v>
      </x:c>
      <x:c r="C380" s="29" t="str">
        <x:v>bakersfield:yer-local-bakersfield-union-cemetery</x:v>
      </x:c>
      <x:c r="D380" s="29" t="str">
        <x:v>address</x:v>
      </x:c>
      <x:c r="E380" s="29" t="str">
        <x:v>Kart alanı: address</x:v>
      </x:c>
      <x:c r="F380" s="29" t="str">
        <x:v>Metin</x:v>
      </x:c>
      <x:c r="G380" s="29" t="str">
        <x:v>730 East Potomac Avenue, Bakersfield, California</x:v>
      </x:c>
    </x:row>
    <x:row r="381" ht="54" customHeight="1">
      <x:c r="A381" s="29" t="str">
        <x:v>bakersfield:detail:yer-local-bakersfield-union-cemetery-374</x:v>
      </x:c>
      <x:c r="B381" s="29" t="str">
        <x:v>bakersfield</x:v>
      </x:c>
      <x:c r="C381" s="29" t="str">
        <x:v>bakersfield:yer-local-bakersfield-union-cemetery</x:v>
      </x:c>
      <x:c r="D381" s="29" t="str">
        <x:v>_db_entry_identity</x:v>
      </x:c>
      <x:c r="E381" s="29" t="str">
        <x:v>Kart alanı: _db_entry_identity</x:v>
      </x:c>
      <x:c r="F381" s="29" t="str">
        <x:v>JSON</x:v>
      </x:c>
      <x:c r="G381" s="29" t="str">
        <x:v>{"id": 30668, "guide_id": 82, "topic_id": null, "image_id": "0dcaf865-b5f6-4ccc-9972-48212a08c3ca", "published": true, "updated_at": "2026-10-23 21:55:18.327869+00:00"}</x:v>
      </x:c>
    </x:row>
    <x:row r="382" ht="54" customHeight="1">
      <x:c r="A382" s="29" t="str">
        <x:v>bakersfield:detail:yer-local-bakersfield-national-cemetery-375</x:v>
      </x:c>
      <x:c r="B382" s="29" t="str">
        <x:v>bakersfield</x:v>
      </x:c>
      <x:c r="C382" s="29" t="str">
        <x:v>bakersfield:yer-local-bakersfield-national-cemetery</x:v>
      </x:c>
      <x:c r="D382" s="29" t="str">
        <x:v>address</x:v>
      </x:c>
      <x:c r="E382" s="29" t="str">
        <x:v>Kart alanı: address</x:v>
      </x:c>
      <x:c r="F382" s="29" t="str">
        <x:v>Metin</x:v>
      </x:c>
      <x:c r="G382" s="29" t="str">
        <x:v>30338 East Bear Mountain Boulevard, Arvin, California</x:v>
      </x:c>
    </x:row>
    <x:row r="383" ht="54" customHeight="1">
      <x:c r="A383" s="29" t="str">
        <x:v>bakersfield:detail:yer-local-bakersfield-national-cemetery-376</x:v>
      </x:c>
      <x:c r="B383" s="29" t="str">
        <x:v>bakersfield</x:v>
      </x:c>
      <x:c r="C383" s="29" t="str">
        <x:v>bakersfield:yer-local-bakersfield-national-cemetery</x:v>
      </x:c>
      <x:c r="D383" s="29" t="str">
        <x:v>_db_entry_identity</x:v>
      </x:c>
      <x:c r="E383" s="29" t="str">
        <x:v>Kart alanı: _db_entry_identity</x:v>
      </x:c>
      <x:c r="F383" s="29" t="str">
        <x:v>JSON</x:v>
      </x:c>
      <x:c r="G383" s="29" t="str">
        <x:v>{"id": 30669, "guide_id": 82, "topic_id": null, "image_id": "52804d2f-4716-4401-ab7d-321a86788880", "published": true, "updated_at": "2026-10-23 21:55:18.329876+00:00"}</x:v>
      </x:c>
    </x:row>
    <x:row r="384" ht="54" customHeight="1">
      <x:c r="A384" s="29" t="str">
        <x:v>bakersfield:detail:yer-local-bakersfield-kress-building-377</x:v>
      </x:c>
      <x:c r="B384" s="29" t="str">
        <x:v>bakersfield</x:v>
      </x:c>
      <x:c r="C384" s="29" t="str">
        <x:v>bakersfield:yer-local-bakersfield-kress-building</x:v>
      </x:c>
      <x:c r="D384" s="29" t="str">
        <x:v>address</x:v>
      </x:c>
      <x:c r="E384" s="29" t="str">
        <x:v>Kart alanı: address</x:v>
      </x:c>
      <x:c r="F384" s="29" t="str">
        <x:v>Metin</x:v>
      </x:c>
      <x:c r="G384" s="29" t="str">
        <x:v>Kress Building, Bakersfield, California</x:v>
      </x:c>
    </x:row>
    <x:row r="385" ht="54" customHeight="1">
      <x:c r="A385" s="29" t="str">
        <x:v>bakersfield:detail:yer-local-bakersfield-kress-building-378</x:v>
      </x:c>
      <x:c r="B385" s="29" t="str">
        <x:v>bakersfield</x:v>
      </x:c>
      <x:c r="C385" s="29" t="str">
        <x:v>bakersfield:yer-local-bakersfield-kress-building</x:v>
      </x:c>
      <x:c r="D385" s="29" t="str">
        <x:v>_db_entry_identity</x:v>
      </x:c>
      <x:c r="E385" s="29" t="str">
        <x:v>Kart alanı: _db_entry_identity</x:v>
      </x:c>
      <x:c r="F385" s="29" t="str">
        <x:v>JSON</x:v>
      </x:c>
      <x:c r="G385" s="29" t="str">
        <x:v>{"id": 30670, "guide_id": 82, "topic_id": null, "image_id": "c1768f52-72d8-4282-8447-10b098e4f3b3", "published": true, "updated_at": "2026-10-23 21:55:18.333285+00:00"}</x:v>
      </x:c>
    </x:row>
    <x:row r="386" ht="54" customHeight="1">
      <x:c r="A386" s="29" t="str">
        <x:v>bakersfield:detail:yer-local-bakersfield-haberfelde-building-379</x:v>
      </x:c>
      <x:c r="B386" s="29" t="str">
        <x:v>bakersfield</x:v>
      </x:c>
      <x:c r="C386" s="29" t="str">
        <x:v>bakersfield:yer-local-bakersfield-haberfelde-building</x:v>
      </x:c>
      <x:c r="D386" s="29" t="str">
        <x:v>address</x:v>
      </x:c>
      <x:c r="E386" s="29" t="str">
        <x:v>Kart alanı: address</x:v>
      </x:c>
      <x:c r="F386" s="29" t="str">
        <x:v>Metin</x:v>
      </x:c>
      <x:c r="G386" s="29" t="str">
        <x:v>Haberfelde Building, Bakersfield, California</x:v>
      </x:c>
    </x:row>
    <x:row r="387" ht="54" customHeight="1">
      <x:c r="A387" s="29" t="str">
        <x:v>bakersfield:detail:yer-local-bakersfield-haberfelde-building-380</x:v>
      </x:c>
      <x:c r="B387" s="29" t="str">
        <x:v>bakersfield</x:v>
      </x:c>
      <x:c r="C387" s="29" t="str">
        <x:v>bakersfield:yer-local-bakersfield-haberfelde-building</x:v>
      </x:c>
      <x:c r="D387" s="29" t="str">
        <x:v>_db_entry_identity</x:v>
      </x:c>
      <x:c r="E387" s="29" t="str">
        <x:v>Kart alanı: _db_entry_identity</x:v>
      </x:c>
      <x:c r="F387" s="29" t="str">
        <x:v>JSON</x:v>
      </x:c>
      <x:c r="G387" s="29" t="str">
        <x:v>{"id": 30671, "guide_id": 82, "topic_id": null, "image_id": "0dbd8964-317a-4f6f-b53a-9321641752cf", "published": true, "updated_at": "2026-10-23 21:55:18.335467+00:00"}</x:v>
      </x:c>
    </x:row>
    <x:row r="388" ht="54" customHeight="1">
      <x:c r="A388" s="29" t="str">
        <x:v>bakersfield:detail:yer-local-bakersfield-californian-building-381</x:v>
      </x:c>
      <x:c r="B388" s="29" t="str">
        <x:v>bakersfield</x:v>
      </x:c>
      <x:c r="C388" s="29" t="str">
        <x:v>bakersfield:yer-local-bakersfield-californian-building</x:v>
      </x:c>
      <x:c r="D388" s="29" t="str">
        <x:v>address</x:v>
      </x:c>
      <x:c r="E388" s="29" t="str">
        <x:v>Kart alanı: address</x:v>
      </x:c>
      <x:c r="F388" s="29" t="str">
        <x:v>Metin</x:v>
      </x:c>
      <x:c r="G388" s="29" t="str">
        <x:v>1707 Eye Street, Bakersfield, California</x:v>
      </x:c>
    </x:row>
    <x:row r="389" ht="54" customHeight="1">
      <x:c r="A389" s="29" t="str">
        <x:v>bakersfield:detail:yer-local-bakersfield-californian-building-382</x:v>
      </x:c>
      <x:c r="B389" s="29" t="str">
        <x:v>bakersfield</x:v>
      </x:c>
      <x:c r="C389" s="29" t="str">
        <x:v>bakersfield:yer-local-bakersfield-californian-building</x:v>
      </x:c>
      <x:c r="D389" s="29" t="str">
        <x:v>_db_entry_identity</x:v>
      </x:c>
      <x:c r="E389" s="29" t="str">
        <x:v>Kart alanı: _db_entry_identity</x:v>
      </x:c>
      <x:c r="F389" s="29" t="str">
        <x:v>JSON</x:v>
      </x:c>
      <x:c r="G389" s="29" t="str">
        <x:v>{"id": 30672, "guide_id": 82, "topic_id": null, "image_id": "e7ce91d8-1a37-4508-a490-ebaffc0d492c", "published": true, "updated_at": "2026-10-23 21:55:18.337644+00:00"}</x:v>
      </x:c>
    </x:row>
    <x:row r="390" ht="54" customHeight="1">
      <x:c r="A390" s="29" t="str">
        <x:v>bakersfield:detail:yer-local-bakersfield-southern-pacific-depot-383</x:v>
      </x:c>
      <x:c r="B390" s="29" t="str">
        <x:v>bakersfield</x:v>
      </x:c>
      <x:c r="C390" s="29" t="str">
        <x:v>bakersfield:yer-local-bakersfield-southern-pacific-depot</x:v>
      </x:c>
      <x:c r="D390" s="29" t="str">
        <x:v>address</x:v>
      </x:c>
      <x:c r="E390" s="29" t="str">
        <x:v>Kart alanı: address</x:v>
      </x:c>
      <x:c r="F390" s="29" t="str">
        <x:v>Metin</x:v>
      </x:c>
      <x:c r="G390" s="29" t="str">
        <x:v>Southern Pacific Depot, Baker Street, Bakersfield, California</x:v>
      </x:c>
    </x:row>
    <x:row r="391" ht="54" customHeight="1">
      <x:c r="A391" s="29" t="str">
        <x:v>bakersfield:detail:yer-local-bakersfield-southern-pacific-depot-384</x:v>
      </x:c>
      <x:c r="B391" s="29" t="str">
        <x:v>bakersfield</x:v>
      </x:c>
      <x:c r="C391" s="29" t="str">
        <x:v>bakersfield:yer-local-bakersfield-southern-pacific-depot</x:v>
      </x:c>
      <x:c r="D391" s="29" t="str">
        <x:v>_db_entry_identity</x:v>
      </x:c>
      <x:c r="E391" s="29" t="str">
        <x:v>Kart alanı: _db_entry_identity</x:v>
      </x:c>
      <x:c r="F391" s="29" t="str">
        <x:v>JSON</x:v>
      </x:c>
      <x:c r="G391" s="29" t="str">
        <x:v>{"id": 30673, "guide_id": 82, "topic_id": null, "image_id": "ae92e811-a2b5-4097-bc2a-cb7d34b8874c", "published": true, "updated_at": "2026-10-23 21:55:18.342333+00:00"}</x:v>
      </x:c>
    </x:row>
    <x:row r="392" ht="54" customHeight="1">
      <x:c r="A392" s="29" t="str">
        <x:v>bakersfield:detail:yer-local-bakersfield-baker-library-385</x:v>
      </x:c>
      <x:c r="B392" s="29" t="str">
        <x:v>bakersfield</x:v>
      </x:c>
      <x:c r="C392" s="29" t="str">
        <x:v>bakersfield:yer-local-bakersfield-baker-library</x:v>
      </x:c>
      <x:c r="D392" s="29" t="str">
        <x:v>address</x:v>
      </x:c>
      <x:c r="E392" s="29" t="str">
        <x:v>Kart alanı: address</x:v>
      </x:c>
      <x:c r="F392" s="29" t="str">
        <x:v>Metin</x:v>
      </x:c>
      <x:c r="G392" s="29" t="str">
        <x:v>1400 Baker Street, Bakersfield, California</x:v>
      </x:c>
    </x:row>
    <x:row r="393" ht="54" customHeight="1">
      <x:c r="A393" s="29" t="str">
        <x:v>bakersfield:detail:yer-local-bakersfield-baker-library-386</x:v>
      </x:c>
      <x:c r="B393" s="29" t="str">
        <x:v>bakersfield</x:v>
      </x:c>
      <x:c r="C393" s="29" t="str">
        <x:v>bakersfield:yer-local-bakersfield-baker-library</x:v>
      </x:c>
      <x:c r="D393" s="29" t="str">
        <x:v>_db_entry_identity</x:v>
      </x:c>
      <x:c r="E393" s="29" t="str">
        <x:v>Kart alanı: _db_entry_identity</x:v>
      </x:c>
      <x:c r="F393" s="29" t="str">
        <x:v>JSON</x:v>
      </x:c>
      <x:c r="G393" s="29" t="str">
        <x:v>{"id": 30674, "guide_id": 82, "topic_id": null, "image_id": "2695e99f-539a-489b-b827-f5e8b1a7d1d5", "published": true, "updated_at": "2026-10-23 21:55:18.344058+00:00"}</x:v>
      </x:c>
    </x:row>
    <x:row r="394" ht="54" customHeight="1">
      <x:c r="A394" s="29" t="str">
        <x:v>bakersfield:detail:yer-local-bakersfield-hall-records-387</x:v>
      </x:c>
      <x:c r="B394" s="29" t="str">
        <x:v>bakersfield</x:v>
      </x:c>
      <x:c r="C394" s="29" t="str">
        <x:v>bakersfield:yer-local-bakersfield-hall-records</x:v>
      </x:c>
      <x:c r="D394" s="29" t="str">
        <x:v>address</x:v>
      </x:c>
      <x:c r="E394" s="29" t="str">
        <x:v>Kart alanı: address</x:v>
      </x:c>
      <x:c r="F394" s="29" t="str">
        <x:v>Metin</x:v>
      </x:c>
      <x:c r="G394" s="29" t="str">
        <x:v>1655 Chester Avenue, Bakersfield, California</x:v>
      </x:c>
    </x:row>
    <x:row r="395" ht="54" customHeight="1">
      <x:c r="A395" s="29" t="str">
        <x:v>bakersfield:detail:yer-local-bakersfield-hall-records-388</x:v>
      </x:c>
      <x:c r="B395" s="29" t="str">
        <x:v>bakersfield</x:v>
      </x:c>
      <x:c r="C395" s="29" t="str">
        <x:v>bakersfield:yer-local-bakersfield-hall-records</x:v>
      </x:c>
      <x:c r="D395" s="29" t="str">
        <x:v>_db_entry_identity</x:v>
      </x:c>
      <x:c r="E395" s="29" t="str">
        <x:v>Kart alanı: _db_entry_identity</x:v>
      </x:c>
      <x:c r="F395" s="29" t="str">
        <x:v>JSON</x:v>
      </x:c>
      <x:c r="G395" s="29" t="str">
        <x:v>{"id": 30675, "guide_id": 82, "topic_id": null, "image_id": "9bd167a0-cc86-4a05-8f05-4a41a28a00d0", "published": true, "updated_at": "2026-10-23 21:55:18.345774+00:00"}</x:v>
      </x:c>
    </x:row>
    <x:row r="396" ht="54" customHeight="1">
      <x:c r="A396" s="29" t="str">
        <x:v>bakersfield:detail:yer-local-bakersfield-historic-post-office-389</x:v>
      </x:c>
      <x:c r="B396" s="29" t="str">
        <x:v>bakersfield</x:v>
      </x:c>
      <x:c r="C396" s="29" t="str">
        <x:v>bakersfield:yer-local-bakersfield-historic-post-office</x:v>
      </x:c>
      <x:c r="D396" s="29" t="str">
        <x:v>address</x:v>
      </x:c>
      <x:c r="E396" s="29" t="str">
        <x:v>Kart alanı: address</x:v>
      </x:c>
      <x:c r="F396" s="29" t="str">
        <x:v>Metin</x:v>
      </x:c>
      <x:c r="G396" s="29" t="str">
        <x:v>Downtown Post Office, Bakersfield, California</x:v>
      </x:c>
    </x:row>
    <x:row r="397" ht="54" customHeight="1">
      <x:c r="A397" s="29" t="str">
        <x:v>bakersfield:detail:yer-local-bakersfield-historic-post-office-390</x:v>
      </x:c>
      <x:c r="B397" s="29" t="str">
        <x:v>bakersfield</x:v>
      </x:c>
      <x:c r="C397" s="29" t="str">
        <x:v>bakersfield:yer-local-bakersfield-historic-post-office</x:v>
      </x:c>
      <x:c r="D397" s="29" t="str">
        <x:v>_db_entry_identity</x:v>
      </x:c>
      <x:c r="E397" s="29" t="str">
        <x:v>Kart alanı: _db_entry_identity</x:v>
      </x:c>
      <x:c r="F397" s="29" t="str">
        <x:v>JSON</x:v>
      </x:c>
      <x:c r="G397" s="29" t="str">
        <x:v>{"id": 30676, "guide_id": 82, "topic_id": null, "image_id": "209cfe6f-456a-4dc8-b094-b9ac6a3840d5", "published": true, "updated_at": "2026-10-23 21:55:18.347532+00:00"}</x:v>
      </x:c>
    </x:row>
    <x:row r="398" ht="54" customHeight="1">
      <x:c r="A398" s="29" t="str">
        <x:v>bakersfield:detail:yer-local-bakersfield-fire-station-one-391</x:v>
      </x:c>
      <x:c r="B398" s="29" t="str">
        <x:v>bakersfield</x:v>
      </x:c>
      <x:c r="C398" s="29" t="str">
        <x:v>bakersfield:yer-local-bakersfield-fire-station-one</x:v>
      </x:c>
      <x:c r="D398" s="29" t="str">
        <x:v>address</x:v>
      </x:c>
      <x:c r="E398" s="29" t="str">
        <x:v>Kart alanı: address</x:v>
      </x:c>
      <x:c r="F398" s="29" t="str">
        <x:v>Metin</x:v>
      </x:c>
      <x:c r="G398" s="29" t="str">
        <x:v>Bakersfield Fire Station No. 1, Bakersfield, California</x:v>
      </x:c>
    </x:row>
    <x:row r="399" ht="54" customHeight="1">
      <x:c r="A399" s="29" t="str">
        <x:v>bakersfield:detail:yer-local-bakersfield-fire-station-one-392</x:v>
      </x:c>
      <x:c r="B399" s="29" t="str">
        <x:v>bakersfield</x:v>
      </x:c>
      <x:c r="C399" s="29" t="str">
        <x:v>bakersfield:yer-local-bakersfield-fire-station-one</x:v>
      </x:c>
      <x:c r="D399" s="29" t="str">
        <x:v>_db_entry_identity</x:v>
      </x:c>
      <x:c r="E399" s="29" t="str">
        <x:v>Kart alanı: _db_entry_identity</x:v>
      </x:c>
      <x:c r="F399" s="29" t="str">
        <x:v>JSON</x:v>
      </x:c>
      <x:c r="G399" s="29" t="str">
        <x:v>{"id": 30677, "guide_id": 82, "topic_id": null, "image_id": "ea316860-198d-4b95-88de-01b2b592ec0c", "published": true, "updated_at": "2026-10-23 21:55:18.349264+00:00"}</x:v>
      </x:c>
    </x:row>
    <x:row r="400" ht="54" customHeight="1">
      <x:c r="A400" s="29" t="str">
        <x:v>bakersfield:detail:yer-local-bakersfield-hayden-building-393</x:v>
      </x:c>
      <x:c r="B400" s="29" t="str">
        <x:v>bakersfield</x:v>
      </x:c>
      <x:c r="C400" s="29" t="str">
        <x:v>bakersfield:yer-local-bakersfield-hayden-building</x:v>
      </x:c>
      <x:c r="D400" s="29" t="str">
        <x:v>address</x:v>
      </x:c>
      <x:c r="E400" s="29" t="str">
        <x:v>Kart alanı: address</x:v>
      </x:c>
      <x:c r="F400" s="29" t="str">
        <x:v>Metin</x:v>
      </x:c>
      <x:c r="G400" s="29" t="str">
        <x:v>Hayden Building, Bakersfield, California</x:v>
      </x:c>
    </x:row>
    <x:row r="401" ht="54" customHeight="1">
      <x:c r="A401" s="29" t="str">
        <x:v>bakersfield:detail:yer-local-bakersfield-hayden-building-394</x:v>
      </x:c>
      <x:c r="B401" s="29" t="str">
        <x:v>bakersfield</x:v>
      </x:c>
      <x:c r="C401" s="29" t="str">
        <x:v>bakersfield:yer-local-bakersfield-hayden-building</x:v>
      </x:c>
      <x:c r="D401" s="29" t="str">
        <x:v>_db_entry_identity</x:v>
      </x:c>
      <x:c r="E401" s="29" t="str">
        <x:v>Kart alanı: _db_entry_identity</x:v>
      </x:c>
      <x:c r="F401" s="29" t="str">
        <x:v>JSON</x:v>
      </x:c>
      <x:c r="G401" s="29" t="str">
        <x:v>{"id": 30678, "guide_id": 82, "topic_id": null, "image_id": "7816404a-22ce-41ad-aab5-1c04ec19156d", "published": true, "updated_at": "2026-10-23 21:55:18.350983+00:00"}</x:v>
      </x:c>
    </x:row>
    <x:row r="402" ht="54" customHeight="1">
      <x:c r="A402" s="29" t="str">
        <x:v>bakersfield:detail:yer-local-bakersfield-hopkins-building-395</x:v>
      </x:c>
      <x:c r="B402" s="29" t="str">
        <x:v>bakersfield</x:v>
      </x:c>
      <x:c r="C402" s="29" t="str">
        <x:v>bakersfield:yer-local-bakersfield-hopkins-building</x:v>
      </x:c>
      <x:c r="D402" s="29" t="str">
        <x:v>address</x:v>
      </x:c>
      <x:c r="E402" s="29" t="str">
        <x:v>Kart alanı: address</x:v>
      </x:c>
      <x:c r="F402" s="29" t="str">
        <x:v>Metin</x:v>
      </x:c>
      <x:c r="G402" s="29" t="str">
        <x:v>Hopkins Building, Bakersfield, California</x:v>
      </x:c>
    </x:row>
    <x:row r="403" ht="54" customHeight="1">
      <x:c r="A403" s="29" t="str">
        <x:v>bakersfield:detail:yer-local-bakersfield-hopkins-building-396</x:v>
      </x:c>
      <x:c r="B403" s="29" t="str">
        <x:v>bakersfield</x:v>
      </x:c>
      <x:c r="C403" s="29" t="str">
        <x:v>bakersfield:yer-local-bakersfield-hopkins-building</x:v>
      </x:c>
      <x:c r="D403" s="29" t="str">
        <x:v>_db_entry_identity</x:v>
      </x:c>
      <x:c r="E403" s="29" t="str">
        <x:v>Kart alanı: _db_entry_identity</x:v>
      </x:c>
      <x:c r="F403" s="29" t="str">
        <x:v>JSON</x:v>
      </x:c>
      <x:c r="G403" s="29" t="str">
        <x:v>{"id": 30679, "guide_id": 82, "topic_id": null, "image_id": "4f9ca796-3339-4058-91a9-5b8e834ee787", "published": true, "updated_at": "2026-10-23 21:55:18.352687+00:00"}</x:v>
      </x:c>
    </x:row>
    <x:row r="404" ht="54" customHeight="1">
      <x:c r="A404" s="29" t="str">
        <x:v>bakersfield:detail:yer-local-bakersfield-st-pauls-397</x:v>
      </x:c>
      <x:c r="B404" s="29" t="str">
        <x:v>bakersfield</x:v>
      </x:c>
      <x:c r="C404" s="29" t="str">
        <x:v>bakersfield:yer-local-bakersfield-st-pauls</x:v>
      </x:c>
      <x:c r="D404" s="29" t="str">
        <x:v>address</x:v>
      </x:c>
      <x:c r="E404" s="29" t="str">
        <x:v>Kart alanı: address</x:v>
      </x:c>
      <x:c r="F404" s="29" t="str">
        <x:v>Metin</x:v>
      </x:c>
      <x:c r="G404" s="29" t="str">
        <x:v>2216 17th Street, Bakersfield, California</x:v>
      </x:c>
    </x:row>
    <x:row r="405" ht="54" customHeight="1">
      <x:c r="A405" s="29" t="str">
        <x:v>bakersfield:detail:yer-local-bakersfield-st-pauls-398</x:v>
      </x:c>
      <x:c r="B405" s="29" t="str">
        <x:v>bakersfield</x:v>
      </x:c>
      <x:c r="C405" s="29" t="str">
        <x:v>bakersfield:yer-local-bakersfield-st-pauls</x:v>
      </x:c>
      <x:c r="D405" s="29" t="str">
        <x:v>_db_entry_identity</x:v>
      </x:c>
      <x:c r="E405" s="29" t="str">
        <x:v>Kart alanı: _db_entry_identity</x:v>
      </x:c>
      <x:c r="F405" s="29" t="str">
        <x:v>JSON</x:v>
      </x:c>
      <x:c r="G405" s="29" t="str">
        <x:v>{"id": 30680, "guide_id": 82, "topic_id": null, "image_id": "18b9bd2a-8553-44e4-976c-a63063173cb0", "published": true, "updated_at": "2026-10-23 21:55:18.354341+00:00"}</x:v>
      </x:c>
    </x:row>
    <x:row r="406" ht="54" customHeight="1">
      <x:c r="A406" s="29" t="str">
        <x:v>bakersfield:detail:yer-local-bakersfield-bakersfield-sign-399</x:v>
      </x:c>
      <x:c r="B406" s="29" t="str">
        <x:v>bakersfield</x:v>
      </x:c>
      <x:c r="C406" s="29" t="str">
        <x:v>bakersfield:yer-local-bakersfield-bakersfield-sign</x:v>
      </x:c>
      <x:c r="D406" s="29" t="str">
        <x:v>address</x:v>
      </x:c>
      <x:c r="E406" s="29" t="str">
        <x:v>Kart alanı: address</x:v>
      </x:c>
      <x:c r="F406" s="29" t="str">
        <x:v>Metin</x:v>
      </x:c>
      <x:c r="G406" s="29" t="str">
        <x:v>Bakersfield Sign, Buck Owens Boulevard, Bakersfield, California</x:v>
      </x:c>
    </x:row>
    <x:row r="407" ht="54" customHeight="1">
      <x:c r="A407" s="29" t="str">
        <x:v>bakersfield:detail:yer-local-bakersfield-bakersfield-sign-400</x:v>
      </x:c>
      <x:c r="B407" s="29" t="str">
        <x:v>bakersfield</x:v>
      </x:c>
      <x:c r="C407" s="29" t="str">
        <x:v>bakersfield:yer-local-bakersfield-bakersfield-sign</x:v>
      </x:c>
      <x:c r="D407" s="29" t="str">
        <x:v>_db_entry_identity</x:v>
      </x:c>
      <x:c r="E407" s="29" t="str">
        <x:v>Kart alanı: _db_entry_identity</x:v>
      </x:c>
      <x:c r="F407" s="29" t="str">
        <x:v>JSON</x:v>
      </x:c>
      <x:c r="G407" s="29" t="str">
        <x:v>{"id": 30681, "guide_id": 82, "topic_id": null, "image_id": "f29f1821-53de-4a86-aec9-3cc8c2837c49", "published": true, "updated_at": "2026-10-23 21:55:18.356473+00:00"}</x:v>
      </x:c>
    </x:row>
    <x:row r="408" ht="54" customHeight="1">
      <x:c r="A408" s="29" t="str">
        <x:v>bakersfield:detail:yer-local-bakersfield-city-hall-401</x:v>
      </x:c>
      <x:c r="B408" s="29" t="str">
        <x:v>bakersfield</x:v>
      </x:c>
      <x:c r="C408" s="29" t="str">
        <x:v>bakersfield:yer-local-bakersfield-city-hall</x:v>
      </x:c>
      <x:c r="D408" s="29" t="str">
        <x:v>address</x:v>
      </x:c>
      <x:c r="E408" s="29" t="str">
        <x:v>Kart alanı: address</x:v>
      </x:c>
      <x:c r="F408" s="29" t="str">
        <x:v>Metin</x:v>
      </x:c>
      <x:c r="G408" s="29" t="str">
        <x:v>1501 Truxtun Avenue, Bakersfield, California</x:v>
      </x:c>
    </x:row>
    <x:row r="409" ht="54" customHeight="1">
      <x:c r="A409" s="29" t="str">
        <x:v>bakersfield:detail:yer-local-bakersfield-city-hall-402</x:v>
      </x:c>
      <x:c r="B409" s="29" t="str">
        <x:v>bakersfield</x:v>
      </x:c>
      <x:c r="C409" s="29" t="str">
        <x:v>bakersfield:yer-local-bakersfield-city-hall</x:v>
      </x:c>
      <x:c r="D409" s="29" t="str">
        <x:v>_db_entry_identity</x:v>
      </x:c>
      <x:c r="E409" s="29" t="str">
        <x:v>Kart alanı: _db_entry_identity</x:v>
      </x:c>
      <x:c r="F409" s="29" t="str">
        <x:v>JSON</x:v>
      </x:c>
      <x:c r="G409" s="29" t="str">
        <x:v>{"id": 30682, "guide_id": 82, "topic_id": null, "image_id": "4fe45d06-96c1-4845-917e-b3aefafcea84", "published": true, "updated_at": "2026-10-23 21:55:18.358236+00:00"}</x:v>
      </x:c>
    </x:row>
    <x:row r="410" ht="54" customHeight="1">
      <x:c r="A410" s="29" t="str">
        <x:v>bakersfield:detail:yer-local-bakersfield-bakersfield-college-403</x:v>
      </x:c>
      <x:c r="B410" s="29" t="str">
        <x:v>bakersfield</x:v>
      </x:c>
      <x:c r="C410" s="29" t="str">
        <x:v>bakersfield:yer-local-bakersfield-bakersfield-college</x:v>
      </x:c>
      <x:c r="D410" s="29" t="str">
        <x:v>address</x:v>
      </x:c>
      <x:c r="E410" s="29" t="str">
        <x:v>Kart alanı: address</x:v>
      </x:c>
      <x:c r="F410" s="29" t="str">
        <x:v>Metin</x:v>
      </x:c>
      <x:c r="G410" s="29" t="str">
        <x:v>1801 Panorama Drive, Bakersfield, California</x:v>
      </x:c>
    </x:row>
    <x:row r="411" ht="54" customHeight="1">
      <x:c r="A411" s="29" t="str">
        <x:v>bakersfield:detail:yer-local-bakersfield-bakersfield-college-404</x:v>
      </x:c>
      <x:c r="B411" s="29" t="str">
        <x:v>bakersfield</x:v>
      </x:c>
      <x:c r="C411" s="29" t="str">
        <x:v>bakersfield:yer-local-bakersfield-bakersfield-college</x:v>
      </x:c>
      <x:c r="D411" s="29" t="str">
        <x:v>_db_entry_identity</x:v>
      </x:c>
      <x:c r="E411" s="29" t="str">
        <x:v>Kart alanı: _db_entry_identity</x:v>
      </x:c>
      <x:c r="F411" s="29" t="str">
        <x:v>JSON</x:v>
      </x:c>
      <x:c r="G411" s="29" t="str">
        <x:v>{"id": 30683, "guide_id": 82, "topic_id": null, "image_id": "364b95bf-691b-442e-8b28-babdbd521772", "published": true, "updated_at": "2026-10-23 21:55:18.359965+00:00"}</x:v>
      </x:c>
    </x:row>
    <x:row r="412" ht="54" customHeight="1">
      <x:c r="A412" s="29" t="str">
        <x:v>bakersfield:detail:yer-local-bakersfield-federal-courthouse-405</x:v>
      </x:c>
      <x:c r="B412" s="29" t="str">
        <x:v>bakersfield</x:v>
      </x:c>
      <x:c r="C412" s="29" t="str">
        <x:v>bakersfield:yer-local-bakersfield-federal-courthouse</x:v>
      </x:c>
      <x:c r="D412" s="29" t="str">
        <x:v>address</x:v>
      </x:c>
      <x:c r="E412" s="29" t="str">
        <x:v>Kart alanı: address</x:v>
      </x:c>
      <x:c r="F412" s="29" t="str">
        <x:v>Metin</x:v>
      </x:c>
      <x:c r="G412" s="29" t="str">
        <x:v>510 19th Street, Bakersfield, California</x:v>
      </x:c>
    </x:row>
    <x:row r="413" ht="54" customHeight="1">
      <x:c r="A413" s="29" t="str">
        <x:v>bakersfield:detail:yer-local-bakersfield-federal-courthouse-406</x:v>
      </x:c>
      <x:c r="B413" s="29" t="str">
        <x:v>bakersfield</x:v>
      </x:c>
      <x:c r="C413" s="29" t="str">
        <x:v>bakersfield:yer-local-bakersfield-federal-courthouse</x:v>
      </x:c>
      <x:c r="D413" s="29" t="str">
        <x:v>_db_entry_identity</x:v>
      </x:c>
      <x:c r="E413" s="29" t="str">
        <x:v>Kart alanı: _db_entry_identity</x:v>
      </x:c>
      <x:c r="F413" s="29" t="str">
        <x:v>JSON</x:v>
      </x:c>
      <x:c r="G413" s="29" t="str">
        <x:v>{"id": 30684, "guide_id": 82, "topic_id": null, "image_id": "5c2570f8-9e9f-4559-a7ac-470e6e3b6e4e", "published": true, "updated_at": "2026-10-23 21:55:18.362602+00:00"}</x:v>
      </x:c>
    </x:row>
    <x:row r="414" ht="54" customHeight="1">
      <x:c r="A414" s="29" t="str">
        <x:v>bakersfield:detail:yer-local-bakersfield-crites-building-407</x:v>
      </x:c>
      <x:c r="B414" s="29" t="str">
        <x:v>bakersfield</x:v>
      </x:c>
      <x:c r="C414" s="29" t="str">
        <x:v>bakersfield:yer-local-bakersfield-crites-building</x:v>
      </x:c>
      <x:c r="D414" s="29" t="str">
        <x:v>address</x:v>
      </x:c>
      <x:c r="E414" s="29" t="str">
        <x:v>Kart alanı: address</x:v>
      </x:c>
      <x:c r="F414" s="29" t="str">
        <x:v>Metin</x:v>
      </x:c>
      <x:c r="G414" s="29" t="str">
        <x:v>1601 19th Street, Bakersfield, CA</x:v>
      </x:c>
    </x:row>
    <x:row r="415" ht="54" customHeight="1">
      <x:c r="A415" s="29" t="str">
        <x:v>bakersfield:detail:yer-local-bakersfield-crites-building-408</x:v>
      </x:c>
      <x:c r="B415" s="29" t="str">
        <x:v>bakersfield</x:v>
      </x:c>
      <x:c r="C415" s="29" t="str">
        <x:v>bakersfield:yer-local-bakersfield-crites-building</x:v>
      </x:c>
      <x:c r="D415" s="29" t="str">
        <x:v>_db_entry_identity</x:v>
      </x:c>
      <x:c r="E415" s="29" t="str">
        <x:v>Kart alanı: _db_entry_identity</x:v>
      </x:c>
      <x:c r="F415" s="29" t="str">
        <x:v>JSON</x:v>
      </x:c>
      <x:c r="G415" s="29" t="str">
        <x:v>{"id": 30685, "guide_id": 82, "topic_id": null, "image_id": "b0c38903-a7f9-41a0-9b2b-6b54023797ba", "published": true, "updated_at": "2026-10-23 21:55:18.364343+00:00"}</x:v>
      </x:c>
    </x:row>
    <x:row r="416" ht="54" customHeight="1">
      <x:c r="A416" s="29" t="str">
        <x:v>bakersfield:detail:yer-local-bakersfield-wind-wolves-409</x:v>
      </x:c>
      <x:c r="B416" s="29" t="str">
        <x:v>bakersfield</x:v>
      </x:c>
      <x:c r="C416" s="29" t="str">
        <x:v>bakersfield:yer-local-bakersfield-wind-wolves</x:v>
      </x:c>
      <x:c r="D416" s="29" t="str">
        <x:v>address</x:v>
      </x:c>
      <x:c r="E416" s="29" t="str">
        <x:v>Kart alanı: address</x:v>
      </x:c>
      <x:c r="F416" s="29" t="str">
        <x:v>Metin</x:v>
      </x:c>
      <x:c r="G416" s="29" t="str">
        <x:v>16019 Maricopa Highway, Bakersfield, California</x:v>
      </x:c>
    </x:row>
    <x:row r="417" ht="54" customHeight="1">
      <x:c r="A417" s="29" t="str">
        <x:v>bakersfield:detail:yer-local-bakersfield-wind-wolves-410</x:v>
      </x:c>
      <x:c r="B417" s="29" t="str">
        <x:v>bakersfield</x:v>
      </x:c>
      <x:c r="C417" s="29" t="str">
        <x:v>bakersfield:yer-local-bakersfield-wind-wolves</x:v>
      </x:c>
      <x:c r="D417" s="29" t="str">
        <x:v>_db_entry_identity</x:v>
      </x:c>
      <x:c r="E417" s="29" t="str">
        <x:v>Kart alanı: _db_entry_identity</x:v>
      </x:c>
      <x:c r="F417" s="29" t="str">
        <x:v>JSON</x:v>
      </x:c>
      <x:c r="G417" s="29" t="str">
        <x:v>{"id": 30686, "guide_id": 82, "topic_id": null, "image_id": "6e609f21-0499-4743-abe8-1f5e7936d957", "published": true, "updated_at": "2026-10-23 21:55:18.369454+00:00"}</x:v>
      </x:c>
    </x:row>
    <x:row r="418" ht="54" customHeight="1">
      <x:c r="A418" s="29" t="str">
        <x:v>bakersfield:detail:yer-local-bakersfield-tule-elk-411</x:v>
      </x:c>
      <x:c r="B418" s="29" t="str">
        <x:v>bakersfield</x:v>
      </x:c>
      <x:c r="C418" s="29" t="str">
        <x:v>bakersfield:yer-local-bakersfield-tule-elk</x:v>
      </x:c>
      <x:c r="D418" s="29" t="str">
        <x:v>address</x:v>
      </x:c>
      <x:c r="E418" s="29" t="str">
        <x:v>Kart alanı: address</x:v>
      </x:c>
      <x:c r="F418" s="29" t="str">
        <x:v>Metin</x:v>
      </x:c>
      <x:c r="G418" s="29" t="str">
        <x:v>8653 Station Road, Buttonwillow, California</x:v>
      </x:c>
    </x:row>
    <x:row r="419" ht="54" customHeight="1">
      <x:c r="A419" s="29" t="str">
        <x:v>bakersfield:detail:yer-local-bakersfield-tule-elk-412</x:v>
      </x:c>
      <x:c r="B419" s="29" t="str">
        <x:v>bakersfield</x:v>
      </x:c>
      <x:c r="C419" s="29" t="str">
        <x:v>bakersfield:yer-local-bakersfield-tule-elk</x:v>
      </x:c>
      <x:c r="D419" s="29" t="str">
        <x:v>_db_entry_identity</x:v>
      </x:c>
      <x:c r="E419" s="29" t="str">
        <x:v>Kart alanı: _db_entry_identity</x:v>
      </x:c>
      <x:c r="F419" s="29" t="str">
        <x:v>JSON</x:v>
      </x:c>
      <x:c r="G419" s="29" t="str">
        <x:v>{"id": 30687, "guide_id": 82, "topic_id": null, "image_id": "6cfb6de3-2b57-4443-839b-e66912a58b22", "published": true, "updated_at": "2026-10-23 21:55:18.371459+00:00"}</x:v>
      </x:c>
    </x:row>
    <x:row r="420" ht="54" customHeight="1">
      <x:c r="A420" s="29" t="str">
        <x:v>bakersfield:detail:yer-local-bakersfield-fort-tejon-413</x:v>
      </x:c>
      <x:c r="B420" s="29" t="str">
        <x:v>bakersfield</x:v>
      </x:c>
      <x:c r="C420" s="29" t="str">
        <x:v>bakersfield:yer-local-bakersfield-fort-tejon</x:v>
      </x:c>
      <x:c r="D420" s="29" t="str">
        <x:v>address</x:v>
      </x:c>
      <x:c r="E420" s="29" t="str">
        <x:v>Kart alanı: address</x:v>
      </x:c>
      <x:c r="F420" s="29" t="str">
        <x:v>Metin</x:v>
      </x:c>
      <x:c r="G420" s="29" t="str">
        <x:v>4201 Fort Tejon Road, Lebec, California</x:v>
      </x:c>
    </x:row>
    <x:row r="421" ht="54" customHeight="1">
      <x:c r="A421" s="29" t="str">
        <x:v>bakersfield:detail:yer-local-bakersfield-fort-tejon-414</x:v>
      </x:c>
      <x:c r="B421" s="29" t="str">
        <x:v>bakersfield</x:v>
      </x:c>
      <x:c r="C421" s="29" t="str">
        <x:v>bakersfield:yer-local-bakersfield-fort-tejon</x:v>
      </x:c>
      <x:c r="D421" s="29" t="str">
        <x:v>_db_entry_identity</x:v>
      </x:c>
      <x:c r="E421" s="29" t="str">
        <x:v>Kart alanı: _db_entry_identity</x:v>
      </x:c>
      <x:c r="F421" s="29" t="str">
        <x:v>JSON</x:v>
      </x:c>
      <x:c r="G421" s="29" t="str">
        <x:v>{"id": 30688, "guide_id": 82, "topic_id": null, "image_id": "806c17ee-1daa-4ffd-adff-639c9dfaa4bd", "published": true, "updated_at": "2026-10-23 21:55:18.375637+00:00"}</x:v>
      </x:c>
    </x:row>
    <x:row r="422" ht="54" customHeight="1">
      <x:c r="A422" s="29" t="str">
        <x:v>bakersfield:detail:yer-local-bakersfield-chavez-monument-415</x:v>
      </x:c>
      <x:c r="B422" s="29" t="str">
        <x:v>bakersfield</x:v>
      </x:c>
      <x:c r="C422" s="29" t="str">
        <x:v>bakersfield:yer-local-bakersfield-chavez-monument</x:v>
      </x:c>
      <x:c r="D422" s="29" t="str">
        <x:v>address</x:v>
      </x:c>
      <x:c r="E422" s="29" t="str">
        <x:v>Kart alanı: address</x:v>
      </x:c>
      <x:c r="F422" s="29" t="str">
        <x:v>Metin</x:v>
      </x:c>
      <x:c r="G422" s="29" t="str">
        <x:v>29700 Woodford-Tehachapi Road, Keene, California</x:v>
      </x:c>
    </x:row>
    <x:row r="423" ht="54" customHeight="1">
      <x:c r="A423" s="29" t="str">
        <x:v>bakersfield:detail:yer-local-bakersfield-chavez-monument-416</x:v>
      </x:c>
      <x:c r="B423" s="29" t="str">
        <x:v>bakersfield</x:v>
      </x:c>
      <x:c r="C423" s="29" t="str">
        <x:v>bakersfield:yer-local-bakersfield-chavez-monument</x:v>
      </x:c>
      <x:c r="D423" s="29" t="str">
        <x:v>_db_entry_identity</x:v>
      </x:c>
      <x:c r="E423" s="29" t="str">
        <x:v>Kart alanı: _db_entry_identity</x:v>
      </x:c>
      <x:c r="F423" s="29" t="str">
        <x:v>JSON</x:v>
      </x:c>
      <x:c r="G423" s="29" t="str">
        <x:v>{"id": 30689, "guide_id": 82, "topic_id": null, "image_id": "7ca903ec-3c6a-410a-8064-9e7829d4fd18", "published": true, "updated_at": "2026-10-23 21:55:18.377794+00:00"}</x:v>
      </x:c>
    </x:row>
    <x:row r="424" ht="54" customHeight="1">
      <x:c r="A424" s="29" t="str">
        <x:v>bakersfield:detail:yer-local-bakersfield-forty-acres-417</x:v>
      </x:c>
      <x:c r="B424" s="29" t="str">
        <x:v>bakersfield</x:v>
      </x:c>
      <x:c r="C424" s="29" t="str">
        <x:v>bakersfield:yer-local-bakersfield-forty-acres</x:v>
      </x:c>
      <x:c r="D424" s="29" t="str">
        <x:v>address</x:v>
      </x:c>
      <x:c r="E424" s="29" t="str">
        <x:v>Kart alanı: address</x:v>
      </x:c>
      <x:c r="F424" s="29" t="str">
        <x:v>Metin</x:v>
      </x:c>
      <x:c r="G424" s="29" t="str">
        <x:v>30168 Garces Highway, Delano, California</x:v>
      </x:c>
    </x:row>
    <x:row r="425" ht="54" customHeight="1">
      <x:c r="A425" s="29" t="str">
        <x:v>bakersfield:detail:yer-local-bakersfield-forty-acres-418</x:v>
      </x:c>
      <x:c r="B425" s="29" t="str">
        <x:v>bakersfield</x:v>
      </x:c>
      <x:c r="C425" s="29" t="str">
        <x:v>bakersfield:yer-local-bakersfield-forty-acres</x:v>
      </x:c>
      <x:c r="D425" s="29" t="str">
        <x:v>_db_entry_identity</x:v>
      </x:c>
      <x:c r="E425" s="29" t="str">
        <x:v>Kart alanı: _db_entry_identity</x:v>
      </x:c>
      <x:c r="F425" s="29" t="str">
        <x:v>JSON</x:v>
      </x:c>
      <x:c r="G425" s="29" t="str">
        <x:v>{"id": 30690, "guide_id": 82, "topic_id": null, "image_id": "7a43599e-b91c-436c-9174-95e6797249ca", "published": true, "updated_at": "2026-10-23 21:55:18.379558+00:00"}</x:v>
      </x:c>
    </x:row>
    <x:row r="426" ht="54" customHeight="1">
      <x:c r="A426" s="29" t="str">
        <x:v>bakersfield:detail:yer-local-bakersfield-minter-field-419</x:v>
      </x:c>
      <x:c r="B426" s="29" t="str">
        <x:v>bakersfield</x:v>
      </x:c>
      <x:c r="C426" s="29" t="str">
        <x:v>bakersfield:yer-local-bakersfield-minter-field</x:v>
      </x:c>
      <x:c r="D426" s="29" t="str">
        <x:v>address</x:v>
      </x:c>
      <x:c r="E426" s="29" t="str">
        <x:v>Kart alanı: address</x:v>
      </x:c>
      <x:c r="F426" s="29" t="str">
        <x:v>Metin</x:v>
      </x:c>
      <x:c r="G426" s="29" t="str">
        <x:v>401 Vultee Street, Shafter, California</x:v>
      </x:c>
    </x:row>
    <x:row r="427" ht="54" customHeight="1">
      <x:c r="A427" s="29" t="str">
        <x:v>bakersfield:detail:yer-local-bakersfield-minter-field-420</x:v>
      </x:c>
      <x:c r="B427" s="29" t="str">
        <x:v>bakersfield</x:v>
      </x:c>
      <x:c r="C427" s="29" t="str">
        <x:v>bakersfield:yer-local-bakersfield-minter-field</x:v>
      </x:c>
      <x:c r="D427" s="29" t="str">
        <x:v>_db_entry_identity</x:v>
      </x:c>
      <x:c r="E427" s="29" t="str">
        <x:v>Kart alanı: _db_entry_identity</x:v>
      </x:c>
      <x:c r="F427" s="29" t="str">
        <x:v>JSON</x:v>
      </x:c>
      <x:c r="G427" s="29" t="str">
        <x:v>{"id": 30691, "guide_id": 82, "topic_id": null, "image_id": "35ebd34f-a73e-4b4e-bf5a-ce48c1cded46", "published": true, "updated_at": "2026-10-23 21:55:18.381830+00:00"}</x:v>
      </x:c>
    </x:row>
    <x:row r="428" ht="54" customHeight="1">
      <x:c r="A428" s="29" t="str">
        <x:v>bakersfield:detail:yer-local-bakersfield-shafter-depot-421</x:v>
      </x:c>
      <x:c r="B428" s="29" t="str">
        <x:v>bakersfield</x:v>
      </x:c>
      <x:c r="C428" s="29" t="str">
        <x:v>bakersfield:yer-local-bakersfield-shafter-depot</x:v>
      </x:c>
      <x:c r="D428" s="29" t="str">
        <x:v>address</x:v>
      </x:c>
      <x:c r="E428" s="29" t="str">
        <x:v>Kart alanı: address</x:v>
      </x:c>
      <x:c r="F428" s="29" t="str">
        <x:v>Metin</x:v>
      </x:c>
      <x:c r="G428" s="29" t="str">
        <x:v>150 Central Valley Highway, Shafter, California</x:v>
      </x:c>
    </x:row>
    <x:row r="429" ht="54" customHeight="1">
      <x:c r="A429" s="29" t="str">
        <x:v>bakersfield:detail:yer-local-bakersfield-shafter-depot-422</x:v>
      </x:c>
      <x:c r="B429" s="29" t="str">
        <x:v>bakersfield</x:v>
      </x:c>
      <x:c r="C429" s="29" t="str">
        <x:v>bakersfield:yer-local-bakersfield-shafter-depot</x:v>
      </x:c>
      <x:c r="D429" s="29" t="str">
        <x:v>_db_entry_identity</x:v>
      </x:c>
      <x:c r="E429" s="29" t="str">
        <x:v>Kart alanı: _db_entry_identity</x:v>
      </x:c>
      <x:c r="F429" s="29" t="str">
        <x:v>JSON</x:v>
      </x:c>
      <x:c r="G429" s="29" t="str">
        <x:v>{"id": 30692, "guide_id": 82, "topic_id": null, "image_id": "7b0a8608-fbcc-4895-a8c9-2000a2771de6", "published": true, "updated_at": "2026-10-23 21:55:18.384039+00:00"}</x:v>
      </x:c>
    </x:row>
    <x:row r="430" ht="54" customHeight="1">
      <x:c r="A430" s="29" t="str">
        <x:v>bakersfield:detail:yer-local-bakersfield-green-hotel-423</x:v>
      </x:c>
      <x:c r="B430" s="29" t="str">
        <x:v>bakersfield</x:v>
      </x:c>
      <x:c r="C430" s="29" t="str">
        <x:v>bakersfield:yer-local-bakersfield-green-hotel</x:v>
      </x:c>
      <x:c r="D430" s="29" t="str">
        <x:v>address</x:v>
      </x:c>
      <x:c r="E430" s="29" t="str">
        <x:v>Kart alanı: address</x:v>
      </x:c>
      <x:c r="F430" s="29" t="str">
        <x:v>Metin</x:v>
      </x:c>
      <x:c r="G430" s="29" t="str">
        <x:v>320 James Street, Shafter, California</x:v>
      </x:c>
    </x:row>
    <x:row r="431" ht="54" customHeight="1">
      <x:c r="A431" s="29" t="str">
        <x:v>bakersfield:detail:yer-local-bakersfield-green-hotel-424</x:v>
      </x:c>
      <x:c r="B431" s="29" t="str">
        <x:v>bakersfield</x:v>
      </x:c>
      <x:c r="C431" s="29" t="str">
        <x:v>bakersfield:yer-local-bakersfield-green-hotel</x:v>
      </x:c>
      <x:c r="D431" s="29" t="str">
        <x:v>_db_entry_identity</x:v>
      </x:c>
      <x:c r="E431" s="29" t="str">
        <x:v>Kart alanı: _db_entry_identity</x:v>
      </x:c>
      <x:c r="F431" s="29" t="str">
        <x:v>JSON</x:v>
      </x:c>
      <x:c r="G431" s="29" t="str">
        <x:v>{"id": 30693, "guide_id": 82, "topic_id": null, "image_id": "c9efe8ca-c454-4a4b-a393-96bf1034ac0b", "published": true, "updated_at": "2026-10-23 21:55:18.385786+00:00"}</x:v>
      </x:c>
    </x:row>
    <x:row r="432" ht="54" customHeight="1">
      <x:c r="A432" s="29" t="str">
        <x:v>bakersfield:detail:yer-local-bakersfield-west-kern-oil-425</x:v>
      </x:c>
      <x:c r="B432" s="29" t="str">
        <x:v>bakersfield</x:v>
      </x:c>
      <x:c r="C432" s="29" t="str">
        <x:v>bakersfield:yer-local-bakersfield-west-kern-oil</x:v>
      </x:c>
      <x:c r="D432" s="29" t="str">
        <x:v>address</x:v>
      </x:c>
      <x:c r="E432" s="29" t="str">
        <x:v>Kart alanı: address</x:v>
      </x:c>
      <x:c r="F432" s="29" t="str">
        <x:v>Metin</x:v>
      </x:c>
      <x:c r="G432" s="29" t="str">
        <x:v>1168 Wood Street, Taft, California</x:v>
      </x:c>
    </x:row>
    <x:row r="433" ht="54" customHeight="1">
      <x:c r="A433" s="29" t="str">
        <x:v>bakersfield:detail:yer-local-bakersfield-west-kern-oil-426</x:v>
      </x:c>
      <x:c r="B433" s="29" t="str">
        <x:v>bakersfield</x:v>
      </x:c>
      <x:c r="C433" s="29" t="str">
        <x:v>bakersfield:yer-local-bakersfield-west-kern-oil</x:v>
      </x:c>
      <x:c r="D433" s="29" t="str">
        <x:v>_db_entry_identity</x:v>
      </x:c>
      <x:c r="E433" s="29" t="str">
        <x:v>Kart alanı: _db_entry_identity</x:v>
      </x:c>
      <x:c r="F433" s="29" t="str">
        <x:v>JSON</x:v>
      </x:c>
      <x:c r="G433" s="29" t="str">
        <x:v>{"id": 30694, "guide_id": 82, "topic_id": null, "image_id": "55e6434f-e046-4bb9-bfb3-c11a9f0d4000", "published": true, "updated_at": "2026-10-23 21:55:18.388509+00:00"}</x:v>
      </x:c>
    </x:row>
    <x:row r="434" ht="54" customHeight="1">
      <x:c r="A434" s="29" t="str">
        <x:v>bakersfield:detail:yer-local-bakersfield-taft-fort-427</x:v>
      </x:c>
      <x:c r="B434" s="29" t="str">
        <x:v>bakersfield</x:v>
      </x:c>
      <x:c r="C434" s="29" t="str">
        <x:v>bakersfield:yer-local-bakersfield-taft-fort</x:v>
      </x:c>
      <x:c r="D434" s="29" t="str">
        <x:v>address</x:v>
      </x:c>
      <x:c r="E434" s="29" t="str">
        <x:v>Kart alanı: address</x:v>
      </x:c>
      <x:c r="F434" s="29" t="str">
        <x:v>Metin</x:v>
      </x:c>
      <x:c r="G434" s="29" t="str">
        <x:v>915 North 10th Street, Taft, California</x:v>
      </x:c>
    </x:row>
    <x:row r="435" ht="54" customHeight="1">
      <x:c r="A435" s="29" t="str">
        <x:v>bakersfield:detail:yer-local-bakersfield-taft-fort-428</x:v>
      </x:c>
      <x:c r="B435" s="29" t="str">
        <x:v>bakersfield</x:v>
      </x:c>
      <x:c r="C435" s="29" t="str">
        <x:v>bakersfield:yer-local-bakersfield-taft-fort</x:v>
      </x:c>
      <x:c r="D435" s="29" t="str">
        <x:v>_db_entry_identity</x:v>
      </x:c>
      <x:c r="E435" s="29" t="str">
        <x:v>Kart alanı: _db_entry_identity</x:v>
      </x:c>
      <x:c r="F435" s="29" t="str">
        <x:v>JSON</x:v>
      </x:c>
      <x:c r="G435" s="29" t="str">
        <x:v>{"id": 30695, "guide_id": 82, "topic_id": null, "image_id": "3a9bff04-787b-451e-8a4c-7052fd1cd406", "published": true, "updated_at": "2026-10-23 21:55:18.390298+00:00"}</x:v>
      </x:c>
    </x:row>
    <x:row r="436" ht="54" customHeight="1">
      <x:c r="A436" s="29" t="str">
        <x:v>bakersfield:detail:yer-local-bakersfield-taft-fox-429</x:v>
      </x:c>
      <x:c r="B436" s="29" t="str">
        <x:v>bakersfield</x:v>
      </x:c>
      <x:c r="C436" s="29" t="str">
        <x:v>bakersfield:yer-local-bakersfield-taft-fox</x:v>
      </x:c>
      <x:c r="D436" s="29" t="str">
        <x:v>address</x:v>
      </x:c>
      <x:c r="E436" s="29" t="str">
        <x:v>Kart alanı: address</x:v>
      </x:c>
      <x:c r="F436" s="29" t="str">
        <x:v>Metin</x:v>
      </x:c>
      <x:c r="G436" s="29" t="str">
        <x:v>514 Center Street, Taft, California</x:v>
      </x:c>
    </x:row>
    <x:row r="437" ht="54" customHeight="1">
      <x:c r="A437" s="29" t="str">
        <x:v>bakersfield:detail:yer-local-bakersfield-taft-fox-430</x:v>
      </x:c>
      <x:c r="B437" s="29" t="str">
        <x:v>bakersfield</x:v>
      </x:c>
      <x:c r="C437" s="29" t="str">
        <x:v>bakersfield:yer-local-bakersfield-taft-fox</x:v>
      </x:c>
      <x:c r="D437" s="29" t="str">
        <x:v>_db_entry_identity</x:v>
      </x:c>
      <x:c r="E437" s="29" t="str">
        <x:v>Kart alanı: _db_entry_identity</x:v>
      </x:c>
      <x:c r="F437" s="29" t="str">
        <x:v>JSON</x:v>
      </x:c>
      <x:c r="G437" s="29" t="str">
        <x:v>{"id": 30696, "guide_id": 82, "topic_id": null, "image_id": "d610e733-b9af-4dea-9475-c6572ffe8982", "published": true, "updated_at": "2026-10-23 21:55:18.392095+00:00"}</x:v>
      </x:c>
    </x:row>
    <x:row r="438" ht="54" customHeight="1">
      <x:c r="A438" s="29" t="str">
        <x:v>bakersfield:detail:yer-local-bakersfield-beekay-theatre-431</x:v>
      </x:c>
      <x:c r="B438" s="29" t="str">
        <x:v>bakersfield</x:v>
      </x:c>
      <x:c r="C438" s="29" t="str">
        <x:v>bakersfield:yer-local-bakersfield-beekay-theatre</x:v>
      </x:c>
      <x:c r="D438" s="29" t="str">
        <x:v>address</x:v>
      </x:c>
      <x:c r="E438" s="29" t="str">
        <x:v>Kart alanı: address</x:v>
      </x:c>
      <x:c r="F438" s="29" t="str">
        <x:v>Metin</x:v>
      </x:c>
      <x:c r="G438" s="29" t="str">
        <x:v>110 South Green Street, Tehachapi, California</x:v>
      </x:c>
    </x:row>
    <x:row r="439" ht="54" customHeight="1">
      <x:c r="A439" s="29" t="str">
        <x:v>bakersfield:detail:yer-local-bakersfield-beekay-theatre-432</x:v>
      </x:c>
      <x:c r="B439" s="29" t="str">
        <x:v>bakersfield</x:v>
      </x:c>
      <x:c r="C439" s="29" t="str">
        <x:v>bakersfield:yer-local-bakersfield-beekay-theatre</x:v>
      </x:c>
      <x:c r="D439" s="29" t="str">
        <x:v>_db_entry_identity</x:v>
      </x:c>
      <x:c r="E439" s="29" t="str">
        <x:v>Kart alanı: _db_entry_identity</x:v>
      </x:c>
      <x:c r="F439" s="29" t="str">
        <x:v>JSON</x:v>
      </x:c>
      <x:c r="G439" s="29" t="str">
        <x:v>{"id": 30697, "guide_id": 82, "topic_id": null, "image_id": "6e43bdbe-d288-468b-9e1a-242f2b840e84", "published": true, "updated_at": "2026-10-23 21:55:18.393852+00:00"}</x:v>
      </x:c>
    </x:row>
    <x:row r="440" ht="54" customHeight="1">
      <x:c r="A440" s="29" t="str">
        <x:v>bakersfield:detail:yer-local-bakersfield-errea-house-433</x:v>
      </x:c>
      <x:c r="B440" s="29" t="str">
        <x:v>bakersfield</x:v>
      </x:c>
      <x:c r="C440" s="29" t="str">
        <x:v>bakersfield:yer-local-bakersfield-errea-house</x:v>
      </x:c>
      <x:c r="D440" s="29" t="str">
        <x:v>address</x:v>
      </x:c>
      <x:c r="E440" s="29" t="str">
        <x:v>Kart alanı: address</x:v>
      </x:c>
      <x:c r="F440" s="29" t="str">
        <x:v>Metin</x:v>
      </x:c>
      <x:c r="G440" s="29" t="str">
        <x:v>311 South Green Street, Tehachapi, California</x:v>
      </x:c>
    </x:row>
    <x:row r="441" ht="54" customHeight="1">
      <x:c r="A441" s="29" t="str">
        <x:v>bakersfield:detail:yer-local-bakersfield-errea-house-434</x:v>
      </x:c>
      <x:c r="B441" s="29" t="str">
        <x:v>bakersfield</x:v>
      </x:c>
      <x:c r="C441" s="29" t="str">
        <x:v>bakersfield:yer-local-bakersfield-errea-house</x:v>
      </x:c>
      <x:c r="D441" s="29" t="str">
        <x:v>_db_entry_identity</x:v>
      </x:c>
      <x:c r="E441" s="29" t="str">
        <x:v>Kart alanı: _db_entry_identity</x:v>
      </x:c>
      <x:c r="F441" s="29" t="str">
        <x:v>JSON</x:v>
      </x:c>
      <x:c r="G441" s="29" t="str">
        <x:v>{"id": 30698, "guide_id": 82, "topic_id": null, "image_id": "98c7efe1-96e6-4487-9701-c4fb77866f4d", "published": true, "updated_at": "2026-10-23 21:55:18.395601+00:00"}</x:v>
      </x:c>
    </x:row>
    <x:row r="442" ht="54" customHeight="1">
      <x:c r="A442" s="29" t="str">
        <x:v>bakersfield:detail:yer-local-bakersfield-tehachapi-loop-435</x:v>
      </x:c>
      <x:c r="B442" s="29" t="str">
        <x:v>bakersfield</x:v>
      </x:c>
      <x:c r="C442" s="29" t="str">
        <x:v>bakersfield:yer-local-bakersfield-tehachapi-loop</x:v>
      </x:c>
      <x:c r="D442" s="29" t="str">
        <x:v>address</x:v>
      </x:c>
      <x:c r="E442" s="29" t="str">
        <x:v>Kart alanı: address</x:v>
      </x:c>
      <x:c r="F442" s="29" t="str">
        <x:v>Metin</x:v>
      </x:c>
      <x:c r="G442" s="29" t="str">
        <x:v>Tehachapi Loop, Woodford-Tehachapi Road, Keene, California</x:v>
      </x:c>
    </x:row>
    <x:row r="443" ht="54" customHeight="1">
      <x:c r="A443" s="29" t="str">
        <x:v>bakersfield:detail:yer-local-bakersfield-tehachapi-loop-436</x:v>
      </x:c>
      <x:c r="B443" s="29" t="str">
        <x:v>bakersfield</x:v>
      </x:c>
      <x:c r="C443" s="29" t="str">
        <x:v>bakersfield:yer-local-bakersfield-tehachapi-loop</x:v>
      </x:c>
      <x:c r="D443" s="29" t="str">
        <x:v>_db_entry_identity</x:v>
      </x:c>
      <x:c r="E443" s="29" t="str">
        <x:v>Kart alanı: _db_entry_identity</x:v>
      </x:c>
      <x:c r="F443" s="29" t="str">
        <x:v>JSON</x:v>
      </x:c>
      <x:c r="G443" s="29" t="str">
        <x:v>{"id": 30699, "guide_id": 82, "topic_id": null, "image_id": "33c521a2-4d38-4482-87c0-d57c69603e14", "published": true, "updated_at": "2026-10-23 21:55:18.399916+00:00"}</x:v>
      </x:c>
    </x:row>
    <x:row r="444" ht="54" customHeight="1">
      <x:c r="A444" s="29" t="str">
        <x:v>bakersfield:detail:yer-local-bakersfield-lake-isabella-437</x:v>
      </x:c>
      <x:c r="B444" s="29" t="str">
        <x:v>bakersfield</x:v>
      </x:c>
      <x:c r="C444" s="29" t="str">
        <x:v>bakersfield:yer-local-bakersfield-lake-isabella</x:v>
      </x:c>
      <x:c r="D444" s="29" t="str">
        <x:v>address</x:v>
      </x:c>
      <x:c r="E444" s="29" t="str">
        <x:v>Kart alanı: address</x:v>
      </x:c>
      <x:c r="F444" s="29" t="str">
        <x:v>Metin</x:v>
      </x:c>
      <x:c r="G444" s="29" t="str">
        <x:v>Lake Isabella, Kern County, California</x:v>
      </x:c>
    </x:row>
    <x:row r="445" ht="54" customHeight="1">
      <x:c r="A445" s="29" t="str">
        <x:v>bakersfield:detail:yer-local-bakersfield-lake-isabella-438</x:v>
      </x:c>
      <x:c r="B445" s="29" t="str">
        <x:v>bakersfield</x:v>
      </x:c>
      <x:c r="C445" s="29" t="str">
        <x:v>bakersfield:yer-local-bakersfield-lake-isabella</x:v>
      </x:c>
      <x:c r="D445" s="29" t="str">
        <x:v>_db_entry_identity</x:v>
      </x:c>
      <x:c r="E445" s="29" t="str">
        <x:v>Kart alanı: _db_entry_identity</x:v>
      </x:c>
      <x:c r="F445" s="29" t="str">
        <x:v>JSON</x:v>
      </x:c>
      <x:c r="G445" s="29" t="str">
        <x:v>{"id": 30700, "guide_id": 82, "topic_id": null, "image_id": "3c8c3354-ff50-45e2-9e61-704ebdce6fd8", "published": true, "updated_at": "2026-10-23 21:55:18.403012+00:00"}</x:v>
      </x:c>
    </x:row>
    <x:row r="446" ht="54" customHeight="1">
      <x:c r="A446" s="29" t="str">
        <x:v>bakersfield:detail:yer-local-bakersfield-kernville-riverside-439</x:v>
      </x:c>
      <x:c r="B446" s="29" t="str">
        <x:v>bakersfield</x:v>
      </x:c>
      <x:c r="C446" s="29" t="str">
        <x:v>bakersfield:yer-local-bakersfield-kernville-riverside</x:v>
      </x:c>
      <x:c r="D446" s="29" t="str">
        <x:v>address</x:v>
      </x:c>
      <x:c r="E446" s="29" t="str">
        <x:v>Kart alanı: address</x:v>
      </x:c>
      <x:c r="F446" s="29" t="str">
        <x:v>Metin</x:v>
      </x:c>
      <x:c r="G446" s="29" t="str">
        <x:v>10 Kern River Drive, Kernville, California</x:v>
      </x:c>
    </x:row>
    <x:row r="447" ht="54" customHeight="1">
      <x:c r="A447" s="29" t="str">
        <x:v>bakersfield:detail:yer-local-bakersfield-kernville-riverside-440</x:v>
      </x:c>
      <x:c r="B447" s="29" t="str">
        <x:v>bakersfield</x:v>
      </x:c>
      <x:c r="C447" s="29" t="str">
        <x:v>bakersfield:yer-local-bakersfield-kernville-riverside</x:v>
      </x:c>
      <x:c r="D447" s="29" t="str">
        <x:v>_db_entry_identity</x:v>
      </x:c>
      <x:c r="E447" s="29" t="str">
        <x:v>Kart alanı: _db_entry_identity</x:v>
      </x:c>
      <x:c r="F447" s="29" t="str">
        <x:v>JSON</x:v>
      </x:c>
      <x:c r="G447" s="29" t="str">
        <x:v>{"id": 30701, "guide_id": 82, "topic_id": null, "image_id": "ade54a10-8971-4a4e-aa50-76dcc8329a2f", "published": true, "updated_at": "2026-10-23 21:55:18.405528+00:00"}</x:v>
      </x:c>
    </x:row>
    <x:row r="448" ht="54" customHeight="1">
      <x:c r="A448" s="29" t="str">
        <x:v>bakersfield:detail:yer-local-bakersfield-silver-city-441</x:v>
      </x:c>
      <x:c r="B448" s="29" t="str">
        <x:v>bakersfield</x:v>
      </x:c>
      <x:c r="C448" s="29" t="str">
        <x:v>bakersfield:yer-local-bakersfield-silver-city</x:v>
      </x:c>
      <x:c r="D448" s="29" t="str">
        <x:v>address</x:v>
      </x:c>
      <x:c r="E448" s="29" t="str">
        <x:v>Kart alanı: address</x:v>
      </x:c>
      <x:c r="F448" s="29" t="str">
        <x:v>Metin</x:v>
      </x:c>
      <x:c r="G448" s="29" t="str">
        <x:v>3829 Lake Isabella Boulevard, Bodfish, California</x:v>
      </x:c>
    </x:row>
    <x:row r="449" ht="54" customHeight="1">
      <x:c r="A449" s="29" t="str">
        <x:v>bakersfield:detail:yer-local-bakersfield-silver-city-442</x:v>
      </x:c>
      <x:c r="B449" s="29" t="str">
        <x:v>bakersfield</x:v>
      </x:c>
      <x:c r="C449" s="29" t="str">
        <x:v>bakersfield:yer-local-bakersfield-silver-city</x:v>
      </x:c>
      <x:c r="D449" s="29" t="str">
        <x:v>_db_entry_identity</x:v>
      </x:c>
      <x:c r="E449" s="29" t="str">
        <x:v>Kart alanı: _db_entry_identity</x:v>
      </x:c>
      <x:c r="F449" s="29" t="str">
        <x:v>JSON</x:v>
      </x:c>
      <x:c r="G449" s="29" t="str">
        <x:v>{"id": 30702, "guide_id": 82, "topic_id": null, "image_id": "e252b5d4-e6c1-405b-8821-361c8e76bae1", "published": true, "updated_at": "2026-10-23 21:55:18.409954+00:00"}</x:v>
      </x:c>
    </x:row>
    <x:row r="450" ht="54" customHeight="1">
      <x:c r="A450" s="29" t="str">
        <x:v>bakersfield:detail:yer-local-bakersfield-nuui-cunni-443</x:v>
      </x:c>
      <x:c r="B450" s="29" t="str">
        <x:v>bakersfield</x:v>
      </x:c>
      <x:c r="C450" s="29" t="str">
        <x:v>bakersfield:yer-local-bakersfield-nuui-cunni</x:v>
      </x:c>
      <x:c r="D450" s="29" t="str">
        <x:v>address</x:v>
      </x:c>
      <x:c r="E450" s="29" t="str">
        <x:v>Kart alanı: address</x:v>
      </x:c>
      <x:c r="F450" s="29" t="str">
        <x:v>Metin</x:v>
      </x:c>
      <x:c r="G450" s="29" t="str">
        <x:v>2600 Highway 155, Lake Isabella, California</x:v>
      </x:c>
    </x:row>
    <x:row r="451" ht="54" customHeight="1">
      <x:c r="A451" s="29" t="str">
        <x:v>bakersfield:detail:yer-local-bakersfield-nuui-cunni-444</x:v>
      </x:c>
      <x:c r="B451" s="29" t="str">
        <x:v>bakersfield</x:v>
      </x:c>
      <x:c r="C451" s="29" t="str">
        <x:v>bakersfield:yer-local-bakersfield-nuui-cunni</x:v>
      </x:c>
      <x:c r="D451" s="29" t="str">
        <x:v>_db_entry_identity</x:v>
      </x:c>
      <x:c r="E451" s="29" t="str">
        <x:v>Kart alanı: _db_entry_identity</x:v>
      </x:c>
      <x:c r="F451" s="29" t="str">
        <x:v>JSON</x:v>
      </x:c>
      <x:c r="G451" s="29" t="str">
        <x:v>{"id": 30703, "guide_id": 82, "topic_id": null, "image_id": "c63cd063-d43c-4bd7-8a91-f9aa3bfc4833", "published": true, "updated_at": "2026-10-23 21:55:18.412406+00:00"}</x:v>
      </x:c>
    </x:row>
    <x:row r="452" ht="54" customHeight="1">
      <x:c r="A452" s="29" t="str">
        <x:v>bakersfield:detail:yer-local-bakersfield-tortoise-area-445</x:v>
      </x:c>
      <x:c r="B452" s="29" t="str">
        <x:v>bakersfield</x:v>
      </x:c>
      <x:c r="C452" s="29" t="str">
        <x:v>bakersfield:yer-local-bakersfield-tortoise-area</x:v>
      </x:c>
      <x:c r="D452" s="29" t="str">
        <x:v>address</x:v>
      </x:c>
      <x:c r="E452" s="29" t="str">
        <x:v>Kart alanı: address</x:v>
      </x:c>
      <x:c r="F452" s="29" t="str">
        <x:v>Metin</x:v>
      </x:c>
      <x:c r="G452" s="29" t="str">
        <x:v>Desert Tortoise Research Natural Area, California City kuzeyi, California</x:v>
      </x:c>
    </x:row>
    <x:row r="453" ht="54" customHeight="1">
      <x:c r="A453" s="29" t="str">
        <x:v>bakersfield:detail:yer-local-bakersfield-tortoise-area-446</x:v>
      </x:c>
      <x:c r="B453" s="29" t="str">
        <x:v>bakersfield</x:v>
      </x:c>
      <x:c r="C453" s="29" t="str">
        <x:v>bakersfield:yer-local-bakersfield-tortoise-area</x:v>
      </x:c>
      <x:c r="D453" s="29" t="str">
        <x:v>_db_entry_identity</x:v>
      </x:c>
      <x:c r="E453" s="29" t="str">
        <x:v>Kart alanı: _db_entry_identity</x:v>
      </x:c>
      <x:c r="F453" s="29" t="str">
        <x:v>JSON</x:v>
      </x:c>
      <x:c r="G453" s="29" t="str">
        <x:v>{"id": 30704, "guide_id": 82, "topic_id": null, "image_id": "0e79fb04-fae8-4568-836d-b767c28661f3", "published": true, "updated_at": "2026-10-23 21:55:18.414439+00:00"}</x:v>
      </x:c>
    </x:row>
    <x:row r="454" ht="54" customHeight="1">
      <x:c r="A454" s="29" t="str">
        <x:v>bakersfield:detail:yer-local-bakersfield-canebrake-reserve-447</x:v>
      </x:c>
      <x:c r="B454" s="29" t="str">
        <x:v>bakersfield</x:v>
      </x:c>
      <x:c r="C454" s="29" t="str">
        <x:v>bakersfield:yer-local-bakersfield-canebrake-reserve</x:v>
      </x:c>
      <x:c r="D454" s="29" t="str">
        <x:v>address</x:v>
      </x:c>
      <x:c r="E454" s="29" t="str">
        <x:v>Kart alanı: address</x:v>
      </x:c>
      <x:c r="F454" s="29" t="str">
        <x:v>Metin</x:v>
      </x:c>
      <x:c r="G454" s="29" t="str">
        <x:v>Canebrake Ecological Reserve, Highway 178, Kern County, California</x:v>
      </x:c>
    </x:row>
    <x:row r="455" ht="54" customHeight="1">
      <x:c r="A455" s="29" t="str">
        <x:v>bakersfield:detail:yer-local-bakersfield-canebrake-reserve-448</x:v>
      </x:c>
      <x:c r="B455" s="29" t="str">
        <x:v>bakersfield</x:v>
      </x:c>
      <x:c r="C455" s="29" t="str">
        <x:v>bakersfield:yer-local-bakersfield-canebrake-reserve</x:v>
      </x:c>
      <x:c r="D455" s="29" t="str">
        <x:v>_db_entry_identity</x:v>
      </x:c>
      <x:c r="E455" s="29" t="str">
        <x:v>Kart alanı: _db_entry_identity</x:v>
      </x:c>
      <x:c r="F455" s="29" t="str">
        <x:v>JSON</x:v>
      </x:c>
      <x:c r="G455" s="29" t="str">
        <x:v>{"id": 30705, "guide_id": 82, "topic_id": null, "image_id": "bebdd18a-f0cb-4ec9-adfc-ef2343153fd7", "published": true, "updated_at": "2026-10-23 21:55:18.417210+00:00"}</x:v>
      </x:c>
    </x:row>
    <x:row r="456" ht="54" customHeight="1">
      <x:c r="A456" s="29" t="str">
        <x:v>bakersfield:detail:yer-local-bakersfield-kern-wildlife-refuge-449</x:v>
      </x:c>
      <x:c r="B456" s="29" t="str">
        <x:v>bakersfield</x:v>
      </x:c>
      <x:c r="C456" s="29" t="str">
        <x:v>bakersfield:yer-local-bakersfield-kern-wildlife-refuge</x:v>
      </x:c>
      <x:c r="D456" s="29" t="str">
        <x:v>address</x:v>
      </x:c>
      <x:c r="E456" s="29" t="str">
        <x:v>Kart alanı: address</x:v>
      </x:c>
      <x:c r="F456" s="29" t="str">
        <x:v>Metin</x:v>
      </x:c>
      <x:c r="G456" s="29" t="str">
        <x:v>10811 Corcoran Road, Delano, California</x:v>
      </x:c>
    </x:row>
    <x:row r="457" ht="54" customHeight="1">
      <x:c r="A457" s="29" t="str">
        <x:v>bakersfield:detail:yer-local-bakersfield-kern-wildlife-refuge-450</x:v>
      </x:c>
      <x:c r="B457" s="29" t="str">
        <x:v>bakersfield</x:v>
      </x:c>
      <x:c r="C457" s="29" t="str">
        <x:v>bakersfield:yer-local-bakersfield-kern-wildlife-refuge</x:v>
      </x:c>
      <x:c r="D457" s="29" t="str">
        <x:v>_db_entry_identity</x:v>
      </x:c>
      <x:c r="E457" s="29" t="str">
        <x:v>Kart alanı: _db_entry_identity</x:v>
      </x:c>
      <x:c r="F457" s="29" t="str">
        <x:v>JSON</x:v>
      </x:c>
      <x:c r="G457" s="29" t="str">
        <x:v>{"id": 30706, "guide_id": 82, "topic_id": null, "image_id": "ba72d0f4-4ecb-41ec-85eb-dbf798188d52", "published": true, "updated_at": "2026-10-23 21:55:18.418895+00:00"}</x:v>
      </x:c>
    </x:row>
    <x:row r="458" ht="54" customHeight="1">
      <x:c r="A458" s="29" t="str">
        <x:v>bakersfield:detail:yer-local-bakersfield-buttonwillow-raceway-451</x:v>
      </x:c>
      <x:c r="B458" s="29" t="str">
        <x:v>bakersfield</x:v>
      </x:c>
      <x:c r="C458" s="29" t="str">
        <x:v>bakersfield:yer-local-bakersfield-buttonwillow-raceway</x:v>
      </x:c>
      <x:c r="D458" s="29" t="str">
        <x:v>address</x:v>
      </x:c>
      <x:c r="E458" s="29" t="str">
        <x:v>Kart alanı: address</x:v>
      </x:c>
      <x:c r="F458" s="29" t="str">
        <x:v>Metin</x:v>
      </x:c>
      <x:c r="G458" s="29" t="str">
        <x:v>24551 Lerdo Highway, Buttonwillow, California</x:v>
      </x:c>
    </x:row>
    <x:row r="459" ht="54" customHeight="1">
      <x:c r="A459" s="29" t="str">
        <x:v>bakersfield:detail:yer-local-bakersfield-buttonwillow-raceway-452</x:v>
      </x:c>
      <x:c r="B459" s="29" t="str">
        <x:v>bakersfield</x:v>
      </x:c>
      <x:c r="C459" s="29" t="str">
        <x:v>bakersfield:yer-local-bakersfield-buttonwillow-raceway</x:v>
      </x:c>
      <x:c r="D459" s="29" t="str">
        <x:v>_db_entry_identity</x:v>
      </x:c>
      <x:c r="E459" s="29" t="str">
        <x:v>Kart alanı: _db_entry_identity</x:v>
      </x:c>
      <x:c r="F459" s="29" t="str">
        <x:v>JSON</x:v>
      </x:c>
      <x:c r="G459" s="29" t="str">
        <x:v>{"id": 30707, "guide_id": 82, "topic_id": null, "image_id": "34c9baec-cf06-42ce-b354-19b74a85a693", "published": true, "updated_at": "2026-10-23 21:55:18.420628+00:00"}</x:v>
      </x:c>
    </x:row>
    <x:row r="460" ht="54" customHeight="1">
      <x:c r="A460" s="29" t="str">
        <x:v>bakersfield:detail:yer-local-bakersfield-red-rock-canyon-453</x:v>
      </x:c>
      <x:c r="B460" s="29" t="str">
        <x:v>bakersfield</x:v>
      </x:c>
      <x:c r="C460" s="29" t="str">
        <x:v>bakersfield:yer-local-bakersfield-red-rock-canyon</x:v>
      </x:c>
      <x:c r="D460" s="29" t="str">
        <x:v>address</x:v>
      </x:c>
      <x:c r="E460" s="29" t="str">
        <x:v>Kart alanı: address</x:v>
      </x:c>
      <x:c r="F460" s="29" t="str">
        <x:v>Metin</x:v>
      </x:c>
      <x:c r="G460" s="29" t="str">
        <x:v>Red Rock Canyon State Park, Cantil, California</x:v>
      </x:c>
    </x:row>
    <x:row r="461" ht="54" customHeight="1">
      <x:c r="A461" s="29" t="str">
        <x:v>bakersfield:detail:yer-local-bakersfield-red-rock-canyon-454</x:v>
      </x:c>
      <x:c r="B461" s="29" t="str">
        <x:v>bakersfield</x:v>
      </x:c>
      <x:c r="C461" s="29" t="str">
        <x:v>bakersfield:yer-local-bakersfield-red-rock-canyon</x:v>
      </x:c>
      <x:c r="D461" s="29" t="str">
        <x:v>_db_entry_identity</x:v>
      </x:c>
      <x:c r="E461" s="29" t="str">
        <x:v>Kart alanı: _db_entry_identity</x:v>
      </x:c>
      <x:c r="F461" s="29" t="str">
        <x:v>JSON</x:v>
      </x:c>
      <x:c r="G461" s="29" t="str">
        <x:v>{"id": 30708, "guide_id": 82, "topic_id": null, "image_id": "3df2446a-f663-4fb5-b798-f81fd5cbfc90", "published": true, "updated_at": "2026-10-23 21:55:18.423061+00:00"}</x:v>
      </x:c>
    </x:row>
    <x:row r="462" ht="54" customHeight="1">
      <x:c r="A462" s="29" t="str">
        <x:v>bakersfield:detail:yer-local-bakersfield-carrizo-plain-455</x:v>
      </x:c>
      <x:c r="B462" s="29" t="str">
        <x:v>bakersfield</x:v>
      </x:c>
      <x:c r="C462" s="29" t="str">
        <x:v>bakersfield:yer-local-bakersfield-carrizo-plain</x:v>
      </x:c>
      <x:c r="D462" s="29" t="str">
        <x:v>address</x:v>
      </x:c>
      <x:c r="E462" s="29" t="str">
        <x:v>Kart alanı: address</x:v>
      </x:c>
      <x:c r="F462" s="29" t="str">
        <x:v>Metin</x:v>
      </x:c>
      <x:c r="G462" s="29" t="str">
        <x:v>Carrizo Plain National Monument, San Luis Obispo County, California</x:v>
      </x:c>
    </x:row>
    <x:row r="463" ht="54" customHeight="1">
      <x:c r="A463" s="29" t="str">
        <x:v>bakersfield:detail:yer-local-bakersfield-carrizo-plain-456</x:v>
      </x:c>
      <x:c r="B463" s="29" t="str">
        <x:v>bakersfield</x:v>
      </x:c>
      <x:c r="C463" s="29" t="str">
        <x:v>bakersfield:yer-local-bakersfield-carrizo-plain</x:v>
      </x:c>
      <x:c r="D463" s="29" t="str">
        <x:v>_db_entry_identity</x:v>
      </x:c>
      <x:c r="E463" s="29" t="str">
        <x:v>Kart alanı: _db_entry_identity</x:v>
      </x:c>
      <x:c r="F463" s="29" t="str">
        <x:v>JSON</x:v>
      </x:c>
      <x:c r="G463" s="29" t="str">
        <x:v>{"id": 30709, "guide_id": 82, "topic_id": null, "image_id": "608d8764-3d27-44fe-a11c-5bdae204d947", "published": true, "updated_at": "2026-10-23 21:55:18.428206+00:00"}</x:v>
      </x:c>
    </x:row>
    <x:row r="464" ht="54" customHeight="1">
      <x:c r="A464" s="29" t="str">
        <x:v>bakersfield:detail:yer-local-bakersfield-kern-canyon-457</x:v>
      </x:c>
      <x:c r="B464" s="29" t="str">
        <x:v>bakersfield</x:v>
      </x:c>
      <x:c r="C464" s="29" t="str">
        <x:v>bakersfield:yer-local-bakersfield-kern-canyon</x:v>
      </x:c>
      <x:c r="D464" s="29" t="str">
        <x:v>address</x:v>
      </x:c>
      <x:c r="E464" s="29" t="str">
        <x:v>Kart alanı: address</x:v>
      </x:c>
      <x:c r="F464" s="29" t="str">
        <x:v>Metin</x:v>
      </x:c>
      <x:c r="G464" s="29" t="str">
        <x:v>Kern River Canyon, Highway 178, Kern County, California</x:v>
      </x:c>
    </x:row>
    <x:row r="465" ht="54" customHeight="1">
      <x:c r="A465" s="29" t="str">
        <x:v>bakersfield:detail:yer-local-bakersfield-kern-canyon-458</x:v>
      </x:c>
      <x:c r="B465" s="29" t="str">
        <x:v>bakersfield</x:v>
      </x:c>
      <x:c r="C465" s="29" t="str">
        <x:v>bakersfield:yer-local-bakersfield-kern-canyon</x:v>
      </x:c>
      <x:c r="D465" s="29" t="str">
        <x:v>_db_entry_identity</x:v>
      </x:c>
      <x:c r="E465" s="29" t="str">
        <x:v>Kart alanı: _db_entry_identity</x:v>
      </x:c>
      <x:c r="F465" s="29" t="str">
        <x:v>JSON</x:v>
      </x:c>
      <x:c r="G465" s="29" t="str">
        <x:v>{"id": 30710, "guide_id": 82, "topic_id": null, "image_id": "83b8347d-38e0-445e-b339-6d86addfed6c", "published": true, "updated_at": "2026-10-23 21:55:18.431423+00:00"}</x:v>
      </x:c>
    </x:row>
    <x:row r="466" ht="54" customHeight="1">
      <x:c r="A466" s="29" t="str">
        <x:v>bakersfield:detail:yer-local-bakersfield-weedpatch-camp-459</x:v>
      </x:c>
      <x:c r="B466" s="29" t="str">
        <x:v>bakersfield</x:v>
      </x:c>
      <x:c r="C466" s="29" t="str">
        <x:v>bakersfield:yer-local-bakersfield-weedpatch-camp</x:v>
      </x:c>
      <x:c r="D466" s="29" t="str">
        <x:v>address</x:v>
      </x:c>
      <x:c r="E466" s="29" t="str">
        <x:v>Kart alanı: address</x:v>
      </x:c>
      <x:c r="F466" s="29" t="str">
        <x:v>Metin</x:v>
      </x:c>
      <x:c r="G466" s="29" t="str">
        <x:v>Sunset Labor Camp, Weedpatch, California</x:v>
      </x:c>
    </x:row>
    <x:row r="467" ht="54" customHeight="1">
      <x:c r="A467" s="29" t="str">
        <x:v>bakersfield:detail:yer-local-bakersfield-weedpatch-camp-460</x:v>
      </x:c>
      <x:c r="B467" s="29" t="str">
        <x:v>bakersfield</x:v>
      </x:c>
      <x:c r="C467" s="29" t="str">
        <x:v>bakersfield:yer-local-bakersfield-weedpatch-camp</x:v>
      </x:c>
      <x:c r="D467" s="29" t="str">
        <x:v>_db_entry_identity</x:v>
      </x:c>
      <x:c r="E467" s="29" t="str">
        <x:v>Kart alanı: _db_entry_identity</x:v>
      </x:c>
      <x:c r="F467" s="29" t="str">
        <x:v>JSON</x:v>
      </x:c>
      <x:c r="G467" s="29" t="str">
        <x:v>{"id": 30711, "guide_id": 82, "topic_id": null, "image_id": "d71538c3-3ed3-4f34-b91a-cc82b3b8d7f2", "published": true, "updated_at": "2026-10-23 21:55:18.433149+00:00"}</x:v>
      </x:c>
    </x:row>
    <x:row r="468" ht="54" customHeight="1">
      <x:c r="A468" s="29" t="str">
        <x:v>bakersfield:detail:yer-local-bakersfield-frazier-mountain-park-461</x:v>
      </x:c>
      <x:c r="B468" s="29" t="str">
        <x:v>bakersfield</x:v>
      </x:c>
      <x:c r="C468" s="29" t="str">
        <x:v>bakersfield:yer-local-bakersfield-frazier-mountain-park</x:v>
      </x:c>
      <x:c r="D468" s="29" t="str">
        <x:v>address</x:v>
      </x:c>
      <x:c r="E468" s="29" t="str">
        <x:v>Kart alanı: address</x:v>
      </x:c>
      <x:c r="F468" s="29" t="str">
        <x:v>Metin</x:v>
      </x:c>
      <x:c r="G468" s="29" t="str">
        <x:v>3801 Park Drive, Frazier Park, California</x:v>
      </x:c>
    </x:row>
    <x:row r="469" ht="54" customHeight="1">
      <x:c r="A469" s="29" t="str">
        <x:v>bakersfield:detail:yer-local-bakersfield-frazier-mountain-park-462</x:v>
      </x:c>
      <x:c r="B469" s="29" t="str">
        <x:v>bakersfield</x:v>
      </x:c>
      <x:c r="C469" s="29" t="str">
        <x:v>bakersfield:yer-local-bakersfield-frazier-mountain-park</x:v>
      </x:c>
      <x:c r="D469" s="29" t="str">
        <x:v>_db_entry_identity</x:v>
      </x:c>
      <x:c r="E469" s="29" t="str">
        <x:v>Kart alanı: _db_entry_identity</x:v>
      </x:c>
      <x:c r="F469" s="29" t="str">
        <x:v>JSON</x:v>
      </x:c>
      <x:c r="G469" s="29" t="str">
        <x:v>{"id": 30712, "guide_id": 82, "topic_id": null, "image_id": "c13dd1f4-23ac-4ff5-ad0e-8ee4a896941e", "published": true, "updated_at": "2026-10-23 21:55:18.434834+00:00"}</x:v>
      </x:c>
    </x:row>
    <x:row r="470" ht="54" customHeight="1">
      <x:c r="A470" s="29" t="str">
        <x:v>bakersfield:detail:yer-local-bakersfield-maturango-museum-463</x:v>
      </x:c>
      <x:c r="B470" s="29" t="str">
        <x:v>bakersfield</x:v>
      </x:c>
      <x:c r="C470" s="29" t="str">
        <x:v>bakersfield:yer-local-bakersfield-maturango-museum</x:v>
      </x:c>
      <x:c r="D470" s="29" t="str">
        <x:v>address</x:v>
      </x:c>
      <x:c r="E470" s="29" t="str">
        <x:v>Kart alanı: address</x:v>
      </x:c>
      <x:c r="F470" s="29" t="str">
        <x:v>Metin</x:v>
      </x:c>
      <x:c r="G470" s="29" t="str">
        <x:v>100 East Las Flores Avenue, Ridgecrest, California</x:v>
      </x:c>
    </x:row>
    <x:row r="471" ht="54" customHeight="1">
      <x:c r="A471" s="29" t="str">
        <x:v>bakersfield:detail:yer-local-bakersfield-maturango-museum-464</x:v>
      </x:c>
      <x:c r="B471" s="29" t="str">
        <x:v>bakersfield</x:v>
      </x:c>
      <x:c r="C471" s="29" t="str">
        <x:v>bakersfield:yer-local-bakersfield-maturango-museum</x:v>
      </x:c>
      <x:c r="D471" s="29" t="str">
        <x:v>_db_entry_identity</x:v>
      </x:c>
      <x:c r="E471" s="29" t="str">
        <x:v>Kart alanı: _db_entry_identity</x:v>
      </x:c>
      <x:c r="F471" s="29" t="str">
        <x:v>JSON</x:v>
      </x:c>
      <x:c r="G471" s="29" t="str">
        <x:v>{"id": 30713, "guide_id": 82, "topic_id": null, "image_id": "513cd957-491b-4f9a-95f4-9be899234fbd", "published": true, "updated_at": "2026-10-23 21:55:18.436578+00:00"}</x:v>
      </x:c>
    </x:row>
    <x:row r="472" ht="54" customHeight="1">
      <x:c r="A472" s="29" t="str">
        <x:v>bakersfield:detail:yer-local-bakersfield-walker-pass-465</x:v>
      </x:c>
      <x:c r="B472" s="29" t="str">
        <x:v>bakersfield</x:v>
      </x:c>
      <x:c r="C472" s="29" t="str">
        <x:v>bakersfield:yer-local-bakersfield-walker-pass</x:v>
      </x:c>
      <x:c r="D472" s="29" t="str">
        <x:v>address</x:v>
      </x:c>
      <x:c r="E472" s="29" t="str">
        <x:v>Kart alanı: address</x:v>
      </x:c>
      <x:c r="F472" s="29" t="str">
        <x:v>Metin</x:v>
      </x:c>
      <x:c r="G472" s="29" t="str">
        <x:v>Walker Pass Campground, Highway 178, Kern County, California</x:v>
      </x:c>
    </x:row>
    <x:row r="473" ht="54" customHeight="1">
      <x:c r="A473" s="29" t="str">
        <x:v>bakersfield:detail:yer-local-bakersfield-walker-pass-466</x:v>
      </x:c>
      <x:c r="B473" s="29" t="str">
        <x:v>bakersfield</x:v>
      </x:c>
      <x:c r="C473" s="29" t="str">
        <x:v>bakersfield:yer-local-bakersfield-walker-pass</x:v>
      </x:c>
      <x:c r="D473" s="29" t="str">
        <x:v>_db_entry_identity</x:v>
      </x:c>
      <x:c r="E473" s="29" t="str">
        <x:v>Kart alanı: _db_entry_identity</x:v>
      </x:c>
      <x:c r="F473" s="29" t="str">
        <x:v>JSON</x:v>
      </x:c>
      <x:c r="G473" s="29" t="str">
        <x:v>{"id": 30714, "guide_id": 82, "topic_id": null, "image_id": "6cd366f0-07dc-4dfb-970e-eee8e1eb7b32", "published": true, "updated_at": "2026-10-23 21:55:18.440147+00:00"}</x:v>
      </x:c>
    </x:row>
    <x:row r="474" ht="54" customHeight="1">
      <x:c r="A474" s="29" t="str">
        <x:v>bakersfield:detail:yer-local-bakersfield-jawbone-canyon-467</x:v>
      </x:c>
      <x:c r="B474" s="29" t="str">
        <x:v>bakersfield</x:v>
      </x:c>
      <x:c r="C474" s="29" t="str">
        <x:v>bakersfield:yer-local-bakersfield-jawbone-canyon</x:v>
      </x:c>
      <x:c r="D474" s="29" t="str">
        <x:v>address</x:v>
      </x:c>
      <x:c r="E474" s="29" t="str">
        <x:v>Kart alanı: address</x:v>
      </x:c>
      <x:c r="F474" s="29" t="str">
        <x:v>Metin</x:v>
      </x:c>
      <x:c r="G474" s="29" t="str">
        <x:v>Jawbone Canyon Road, Highway 14, Cantil, California</x:v>
      </x:c>
    </x:row>
    <x:row r="475" ht="54" customHeight="1">
      <x:c r="A475" s="29" t="str">
        <x:v>bakersfield:detail:yer-local-bakersfield-jawbone-canyon-468</x:v>
      </x:c>
      <x:c r="B475" s="29" t="str">
        <x:v>bakersfield</x:v>
      </x:c>
      <x:c r="C475" s="29" t="str">
        <x:v>bakersfield:yer-local-bakersfield-jawbone-canyon</x:v>
      </x:c>
      <x:c r="D475" s="29" t="str">
        <x:v>_db_entry_identity</x:v>
      </x:c>
      <x:c r="E475" s="29" t="str">
        <x:v>Kart alanı: _db_entry_identity</x:v>
      </x:c>
      <x:c r="F475" s="29" t="str">
        <x:v>JSON</x:v>
      </x:c>
      <x:c r="G475" s="29" t="str">
        <x:v>{"id": 30715, "guide_id": 82, "topic_id": null, "image_id": "21c00c2d-a998-40c2-9a2b-cb64f21267f1", "published": true, "updated_at": "2026-10-23 21:55:18.443746+00:00"}</x:v>
      </x:c>
    </x:row>
    <x:row r="476" ht="54" customHeight="1">
      <x:c r="A476" s="29" t="str">
        <x:v>bakersfield:detail:yer-local-bakersfield-dove-springs-469</x:v>
      </x:c>
      <x:c r="B476" s="29" t="str">
        <x:v>bakersfield</x:v>
      </x:c>
      <x:c r="C476" s="29" t="str">
        <x:v>bakersfield:yer-local-bakersfield-dove-springs</x:v>
      </x:c>
      <x:c r="D476" s="29" t="str">
        <x:v>address</x:v>
      </x:c>
      <x:c r="E476" s="29" t="str">
        <x:v>Kart alanı: address</x:v>
      </x:c>
      <x:c r="F476" s="29" t="str">
        <x:v>Metin</x:v>
      </x:c>
      <x:c r="G476" s="29" t="str">
        <x:v>Dove Springs OHV Area, Highway 14 çevresi, Kern County, California</x:v>
      </x:c>
    </x:row>
    <x:row r="477" ht="54" customHeight="1">
      <x:c r="A477" s="29" t="str">
        <x:v>bakersfield:detail:yer-local-bakersfield-dove-springs-470</x:v>
      </x:c>
      <x:c r="B477" s="29" t="str">
        <x:v>bakersfield</x:v>
      </x:c>
      <x:c r="C477" s="29" t="str">
        <x:v>bakersfield:yer-local-bakersfield-dove-springs</x:v>
      </x:c>
      <x:c r="D477" s="29" t="str">
        <x:v>_db_entry_identity</x:v>
      </x:c>
      <x:c r="E477" s="29" t="str">
        <x:v>Kart alanı: _db_entry_identity</x:v>
      </x:c>
      <x:c r="F477" s="29" t="str">
        <x:v>JSON</x:v>
      </x:c>
      <x:c r="G477" s="29" t="str">
        <x:v>{"id": 30716, "guide_id": 82, "topic_id": null, "image_id": "ab42df40-fdc7-4ad4-83f9-2df2b07ddbea", "published": true, "updated_at": "2026-10-23 21:55:18.445452+00:00"}</x:v>
      </x:c>
    </x:row>
    <x:row r="478" ht="54" customHeight="1">
      <x:c r="A478" s="29" t="str">
        <x:v>bakersfield:detail:yer-local-bakersfield-panorama-vista-471</x:v>
      </x:c>
      <x:c r="B478" s="29" t="str">
        <x:v>bakersfield</x:v>
      </x:c>
      <x:c r="C478" s="29" t="str">
        <x:v>bakersfield:yer-local-bakersfield-panorama-vista</x:v>
      </x:c>
      <x:c r="D478" s="29" t="str">
        <x:v>address</x:v>
      </x:c>
      <x:c r="E478" s="29" t="str">
        <x:v>Kart alanı: address</x:v>
      </x:c>
      <x:c r="F478" s="29" t="str">
        <x:v>Metin</x:v>
      </x:c>
      <x:c r="G478" s="29" t="str">
        <x:v>Panorama Vista Preserve, Bakersfield, California</x:v>
      </x:c>
    </x:row>
    <x:row r="479" ht="54" customHeight="1">
      <x:c r="A479" s="29" t="str">
        <x:v>bakersfield:detail:yer-local-bakersfield-panorama-vista-472</x:v>
      </x:c>
      <x:c r="B479" s="29" t="str">
        <x:v>bakersfield</x:v>
      </x:c>
      <x:c r="C479" s="29" t="str">
        <x:v>bakersfield:yer-local-bakersfield-panorama-vista</x:v>
      </x:c>
      <x:c r="D479" s="29" t="str">
        <x:v>_db_entry_identity</x:v>
      </x:c>
      <x:c r="E479" s="29" t="str">
        <x:v>Kart alanı: _db_entry_identity</x:v>
      </x:c>
      <x:c r="F479" s="29" t="str">
        <x:v>JSON</x:v>
      </x:c>
      <x:c r="G479" s="29" t="str">
        <x:v>{"id": 30717, "guide_id": 82, "topic_id": null, "image_id": "3779a214-1985-4a93-aa25-dda24870ea05", "published": true, "updated_at": "2026-10-23 21:55:18.448367+00:00"}</x:v>
      </x:c>
    </x:row>
    <x:row r="480" ht="54" customHeight="1">
      <x:c r="A480" s="29" t="str">
        <x:v>bakersfield:detail:yer-local-bakersfield-bickel-camp-473</x:v>
      </x:c>
      <x:c r="B480" s="29" t="str">
        <x:v>bakersfield</x:v>
      </x:c>
      <x:c r="C480" s="29" t="str">
        <x:v>bakersfield:yer-local-bakersfield-bickel-camp</x:v>
      </x:c>
      <x:c r="D480" s="29" t="str">
        <x:v>address</x:v>
      </x:c>
      <x:c r="E480" s="29" t="str">
        <x:v>Kart alanı: address</x:v>
      </x:c>
      <x:c r="F480" s="29" t="str">
        <x:v>Metin</x:v>
      </x:c>
      <x:c r="G480" s="29" t="str">
        <x:v>Bickel Camp, El Paso Mountains, Kern County, California</x:v>
      </x:c>
    </x:row>
    <x:row r="481" ht="54" customHeight="1">
      <x:c r="A481" s="29" t="str">
        <x:v>bakersfield:detail:yer-local-bakersfield-bickel-camp-474</x:v>
      </x:c>
      <x:c r="B481" s="29" t="str">
        <x:v>bakersfield</x:v>
      </x:c>
      <x:c r="C481" s="29" t="str">
        <x:v>bakersfield:yer-local-bakersfield-bickel-camp</x:v>
      </x:c>
      <x:c r="D481" s="29" t="str">
        <x:v>_db_entry_identity</x:v>
      </x:c>
      <x:c r="E481" s="29" t="str">
        <x:v>Kart alanı: _db_entry_identity</x:v>
      </x:c>
      <x:c r="F481" s="29" t="str">
        <x:v>JSON</x:v>
      </x:c>
      <x:c r="G481" s="29" t="str">
        <x:v>{"id": 30718, "guide_id": 82, "topic_id": null, "image_id": "aa592b4c-f5bf-4eb1-abe7-e50de3d396d7", "published": true, "updated_at": "2026-10-23 21:55:18.450491+00:00"}</x:v>
      </x:c>
    </x:row>
    <x:row r="482" ht="54" customHeight="1">
      <x:c r="A482" s="29" t="str">
        <x:v>bakersfield:detail:yer-local-bakersfield-burro-schmidt-475</x:v>
      </x:c>
      <x:c r="B482" s="29" t="str">
        <x:v>bakersfield</x:v>
      </x:c>
      <x:c r="C482" s="29" t="str">
        <x:v>bakersfield:yer-local-bakersfield-burro-schmidt</x:v>
      </x:c>
      <x:c r="D482" s="29" t="str">
        <x:v>address</x:v>
      </x:c>
      <x:c r="E482" s="29" t="str">
        <x:v>Kart alanı: address</x:v>
      </x:c>
      <x:c r="F482" s="29" t="str">
        <x:v>Metin</x:v>
      </x:c>
      <x:c r="G482" s="29" t="str">
        <x:v>Burro Schmidt Tunnel, El Paso Mountains, Kern County, California</x:v>
      </x:c>
    </x:row>
    <x:row r="483" ht="54" customHeight="1">
      <x:c r="A483" s="29" t="str">
        <x:v>bakersfield:detail:yer-local-bakersfield-burro-schmidt-476</x:v>
      </x:c>
      <x:c r="B483" s="29" t="str">
        <x:v>bakersfield</x:v>
      </x:c>
      <x:c r="C483" s="29" t="str">
        <x:v>bakersfield:yer-local-bakersfield-burro-schmidt</x:v>
      </x:c>
      <x:c r="D483" s="29" t="str">
        <x:v>_db_entry_identity</x:v>
      </x:c>
      <x:c r="E483" s="29" t="str">
        <x:v>Kart alanı: _db_entry_identity</x:v>
      </x:c>
      <x:c r="F483" s="29" t="str">
        <x:v>JSON</x:v>
      </x:c>
      <x:c r="G483" s="29" t="str">
        <x:v>{"id": 30719, "guide_id": 82, "topic_id": null, "image_id": "0c916b68-3c27-4e7e-8102-3099049415cd", "published": true, "updated_at": "2026-10-23 21:55:18.452623+00:00"}</x:v>
      </x:c>
    </x:row>
    <x:row r="484" ht="54" customHeight="1">
      <x:c r="A484" s="29" t="str">
        <x:v>bakersfield:detail:yer-local-bakersfield-tehachapi-wind-477</x:v>
      </x:c>
      <x:c r="B484" s="29" t="str">
        <x:v>bakersfield</x:v>
      </x:c>
      <x:c r="C484" s="29" t="str">
        <x:v>bakersfield:yer-local-bakersfield-tehachapi-wind</x:v>
      </x:c>
      <x:c r="D484" s="29" t="str">
        <x:v>address</x:v>
      </x:c>
      <x:c r="E484" s="29" t="str">
        <x:v>Kart alanı: address</x:v>
      </x:c>
      <x:c r="F484" s="29" t="str">
        <x:v>Metin</x:v>
      </x:c>
      <x:c r="G484" s="29" t="str">
        <x:v>Tehachapi Pass ve Tehachapi–Mojave koridoru, California</x:v>
      </x:c>
    </x:row>
    <x:row r="485" ht="54" customHeight="1">
      <x:c r="A485" s="29" t="str">
        <x:v>bakersfield:detail:yer-local-bakersfield-tehachapi-wind-478</x:v>
      </x:c>
      <x:c r="B485" s="29" t="str">
        <x:v>bakersfield</x:v>
      </x:c>
      <x:c r="C485" s="29" t="str">
        <x:v>bakersfield:yer-local-bakersfield-tehachapi-wind</x:v>
      </x:c>
      <x:c r="D485" s="29" t="str">
        <x:v>_db_entry_identity</x:v>
      </x:c>
      <x:c r="E485" s="29" t="str">
        <x:v>Kart alanı: _db_entry_identity</x:v>
      </x:c>
      <x:c r="F485" s="29" t="str">
        <x:v>JSON</x:v>
      </x:c>
      <x:c r="G485" s="29" t="str">
        <x:v>{"id": 30720, "guide_id": 82, "topic_id": null, "image_id": "e4f14716-a249-41a3-a1c6-c307735d4e79", "published": true, "updated_at": "2026-10-23 21:55:18.454300+00:00"}</x:v>
      </x:c>
    </x:row>
    <x:row r="486" ht="54" customHeight="1">
      <x:c r="A486" s="29" t="str">
        <x:v>bakersfield:detail:yer-local-bakersfield-pinos-ranger-station-479</x:v>
      </x:c>
      <x:c r="B486" s="29" t="str">
        <x:v>bakersfield</x:v>
      </x:c>
      <x:c r="C486" s="29" t="str">
        <x:v>bakersfield:yer-local-bakersfield-pinos-ranger-station</x:v>
      </x:c>
      <x:c r="D486" s="29" t="str">
        <x:v>address</x:v>
      </x:c>
      <x:c r="E486" s="29" t="str">
        <x:v>Kart alanı: address</x:v>
      </x:c>
      <x:c r="F486" s="29" t="str">
        <x:v>Metin</x:v>
      </x:c>
      <x:c r="G486" s="29" t="str">
        <x:v>34580 Lockwood Valley Road, Frazier Park, California</x:v>
      </x:c>
    </x:row>
    <x:row r="487" ht="54" customHeight="1">
      <x:c r="A487" s="29" t="str">
        <x:v>bakersfield:detail:yer-local-bakersfield-pinos-ranger-station-480</x:v>
      </x:c>
      <x:c r="B487" s="29" t="str">
        <x:v>bakersfield</x:v>
      </x:c>
      <x:c r="C487" s="29" t="str">
        <x:v>bakersfield:yer-local-bakersfield-pinos-ranger-station</x:v>
      </x:c>
      <x:c r="D487" s="29" t="str">
        <x:v>_db_entry_identity</x:v>
      </x:c>
      <x:c r="E487" s="29" t="str">
        <x:v>Kart alanı: _db_entry_identity</x:v>
      </x:c>
      <x:c r="F487" s="29" t="str">
        <x:v>JSON</x:v>
      </x:c>
      <x:c r="G487" s="29" t="str">
        <x:v>{"id": 30721, "guide_id": 82, "topic_id": null, "image_id": "b9f55fe1-7e52-4c9a-9ee3-1d0f2f9be8d2", "published": true, "updated_at": "2026-10-23 21:55:18.456492+00:00"}</x:v>
      </x:c>
    </x:row>
    <x:row r="488" ht="54" customHeight="1">
      <x:c r="A488" s="29" t="str">
        <x:v>bakersfield:detail:mahalle-local-bakersfield-area-downtown-481</x:v>
      </x:c>
      <x:c r="B488" s="29" t="str">
        <x:v>bakersfield</x:v>
      </x:c>
      <x:c r="C488" s="29" t="str">
        <x:v>bakersfield:mahalle-local-bakersfield-area-downtown</x:v>
      </x:c>
      <x:c r="D488" s="29" t="str">
        <x:v>_db_entry_identity</x:v>
      </x:c>
      <x:c r="E488" s="29" t="str">
        <x:v>Kart alanı: _db_entry_identity</x:v>
      </x:c>
      <x:c r="F488" s="29" t="str">
        <x:v>JSON</x:v>
      </x:c>
      <x:c r="G488" s="29" t="str">
        <x:v>{"id": 30722, "guide_id": 82, "topic_id": null, "image_id": "b363a158-92e2-49a2-87e7-5840c57c964e", "published": true, "updated_at": "2026-10-23 21:55:18.458416+00:00"}</x:v>
      </x:c>
    </x:row>
    <x:row r="489" ht="54" customHeight="1">
      <x:c r="A489" s="29" t="str">
        <x:v>bakersfield:detail:mahalle-local-bakersfield-area-mill-creek-482</x:v>
      </x:c>
      <x:c r="B489" s="29" t="str">
        <x:v>bakersfield</x:v>
      </x:c>
      <x:c r="C489" s="29" t="str">
        <x:v>bakersfield:mahalle-local-bakersfield-area-mill-creek</x:v>
      </x:c>
      <x:c r="D489" s="29" t="str">
        <x:v>_db_entry_identity</x:v>
      </x:c>
      <x:c r="E489" s="29" t="str">
        <x:v>Kart alanı: _db_entry_identity</x:v>
      </x:c>
      <x:c r="F489" s="29" t="str">
        <x:v>JSON</x:v>
      </x:c>
      <x:c r="G489" s="29" t="str">
        <x:v>{"id": 30723, "guide_id": 82, "topic_id": null, "image_id": "752668c0-d4ff-4baa-ac47-d46e0f7ac16a", "published": true, "updated_at": "2026-10-23 21:55:18.460320+00:00"}</x:v>
      </x:c>
    </x:row>
    <x:row r="490" ht="54" customHeight="1">
      <x:c r="A490" s="29" t="str">
        <x:v>bakersfield:detail:mahalle-local-bakersfield-area-westchester-483</x:v>
      </x:c>
      <x:c r="B490" s="29" t="str">
        <x:v>bakersfield</x:v>
      </x:c>
      <x:c r="C490" s="29" t="str">
        <x:v>bakersfield:mahalle-local-bakersfield-area-westchester</x:v>
      </x:c>
      <x:c r="D490" s="29" t="str">
        <x:v>_db_entry_identity</x:v>
      </x:c>
      <x:c r="E490" s="29" t="str">
        <x:v>Kart alanı: _db_entry_identity</x:v>
      </x:c>
      <x:c r="F490" s="29" t="str">
        <x:v>JSON</x:v>
      </x:c>
      <x:c r="G490" s="29" t="str">
        <x:v>{"id": 30724, "guide_id": 82, "topic_id": null, "image_id": "77b31335-9f2c-4aa6-b606-d85e8d0cfb87", "published": true, "updated_at": "2026-10-23 21:55:18.462292+00:00"}</x:v>
      </x:c>
    </x:row>
    <x:row r="491" ht="54" customHeight="1">
      <x:c r="A491" s="29" t="str">
        <x:v>bakersfield:detail:mahalle-local-bakersfield-area-oleander-eye-484</x:v>
      </x:c>
      <x:c r="B491" s="29" t="str">
        <x:v>bakersfield</x:v>
      </x:c>
      <x:c r="C491" s="29" t="str">
        <x:v>bakersfield:mahalle-local-bakersfield-area-oleander-eye</x:v>
      </x:c>
      <x:c r="D491" s="29" t="str">
        <x:v>_db_entry_identity</x:v>
      </x:c>
      <x:c r="E491" s="29" t="str">
        <x:v>Kart alanı: _db_entry_identity</x:v>
      </x:c>
      <x:c r="F491" s="29" t="str">
        <x:v>JSON</x:v>
      </x:c>
      <x:c r="G491" s="29" t="str">
        <x:v>{"id": 30725, "guide_id": 82, "topic_id": null, "image_id": "1e05227a-4af6-4841-8f9b-bbddbbc38038", "published": true, "updated_at": "2026-10-23 21:55:18.464391+00:00"}</x:v>
      </x:c>
    </x:row>
    <x:row r="492" ht="54" customHeight="1">
      <x:c r="A492" s="29" t="str">
        <x:v>bakersfield:detail:mahalle-local-bakersfield-area-old-town-kern-485</x:v>
      </x:c>
      <x:c r="B492" s="29" t="str">
        <x:v>bakersfield</x:v>
      </x:c>
      <x:c r="C492" s="29" t="str">
        <x:v>bakersfield:mahalle-local-bakersfield-area-old-town-kern</x:v>
      </x:c>
      <x:c r="D492" s="29" t="str">
        <x:v>_db_entry_identity</x:v>
      </x:c>
      <x:c r="E492" s="29" t="str">
        <x:v>Kart alanı: _db_entry_identity</x:v>
      </x:c>
      <x:c r="F492" s="29" t="str">
        <x:v>JSON</x:v>
      </x:c>
      <x:c r="G492" s="29" t="str">
        <x:v>{"id": 30726, "guide_id": 82, "topic_id": null, "image_id": "2695e99f-539a-489b-b827-f5e8b1a7d1d5", "published": true, "updated_at": "2026-10-23 21:55:18.466312+00:00"}</x:v>
      </x:c>
    </x:row>
    <x:row r="493" ht="54" customHeight="1">
      <x:c r="A493" s="29" t="str">
        <x:v>bakersfield:detail:mahalle-local-bakersfield-area-college-panorama-486</x:v>
      </x:c>
      <x:c r="B493" s="29" t="str">
        <x:v>bakersfield</x:v>
      </x:c>
      <x:c r="C493" s="29" t="str">
        <x:v>bakersfield:mahalle-local-bakersfield-area-college-panorama</x:v>
      </x:c>
      <x:c r="D493" s="29" t="str">
        <x:v>_db_entry_identity</x:v>
      </x:c>
      <x:c r="E493" s="29" t="str">
        <x:v>Kart alanı: _db_entry_identity</x:v>
      </x:c>
      <x:c r="F493" s="29" t="str">
        <x:v>JSON</x:v>
      </x:c>
      <x:c r="G493" s="29" t="str">
        <x:v>{"id": 30727, "guide_id": 82, "topic_id": null, "image_id": "364b95bf-691b-442e-8b28-babdbd521772", "published": true, "updated_at": "2026-10-23 21:55:18.468114+00:00"}</x:v>
      </x:c>
    </x:row>
    <x:row r="494" ht="54" customHeight="1">
      <x:c r="A494" s="29" t="str">
        <x:v>bakersfield:detail:mahalle-local-bakersfield-area-south-bakersfield-487</x:v>
      </x:c>
      <x:c r="B494" s="29" t="str">
        <x:v>bakersfield</x:v>
      </x:c>
      <x:c r="C494" s="29" t="str">
        <x:v>bakersfield:mahalle-local-bakersfield-area-south-bakersfield</x:v>
      </x:c>
      <x:c r="D494" s="29" t="str">
        <x:v>_db_entry_identity</x:v>
      </x:c>
      <x:c r="E494" s="29" t="str">
        <x:v>Kart alanı: _db_entry_identity</x:v>
      </x:c>
      <x:c r="F494" s="29" t="str">
        <x:v>JSON</x:v>
      </x:c>
      <x:c r="G494" s="29" t="str">
        <x:v>{"id": 30728, "guide_id": 82, "topic_id": null, "image_id": "61ce3257-333c-4228-a275-0e6e33a080e9", "published": true, "updated_at": "2026-10-23 21:55:18.469885+00:00"}</x:v>
      </x:c>
    </x:row>
    <x:row r="495" ht="54" customHeight="1">
      <x:c r="A495" s="29" t="str">
        <x:v>bakersfield:detail:mahalle-local-bakersfield-area-ming-valley-plaza-488</x:v>
      </x:c>
      <x:c r="B495" s="29" t="str">
        <x:v>bakersfield</x:v>
      </x:c>
      <x:c r="C495" s="29" t="str">
        <x:v>bakersfield:mahalle-local-bakersfield-area-ming-valley-plaza</x:v>
      </x:c>
      <x:c r="D495" s="29" t="str">
        <x:v>_db_entry_identity</x:v>
      </x:c>
      <x:c r="E495" s="29" t="str">
        <x:v>Kart alanı: _db_entry_identity</x:v>
      </x:c>
      <x:c r="F495" s="29" t="str">
        <x:v>JSON</x:v>
      </x:c>
      <x:c r="G495" s="29" t="str">
        <x:v>{"id": 30729, "guide_id": 82, "topic_id": null, "image_id": "59280764-ea08-4e33-8983-c592c48a1e07", "published": true, "updated_at": "2026-10-23 21:55:18.471670+00:00"}</x:v>
      </x:c>
    </x:row>
    <x:row r="496" ht="54" customHeight="1">
      <x:c r="A496" s="29" t="str">
        <x:v>bakersfield:detail:mahalle-local-bakersfield-area-haggin-oaks-marketplace-489</x:v>
      </x:c>
      <x:c r="B496" s="29" t="str">
        <x:v>bakersfield</x:v>
      </x:c>
      <x:c r="C496" s="29" t="str">
        <x:v>bakersfield:mahalle-local-bakersfield-area-haggin-oaks-marketplace</x:v>
      </x:c>
      <x:c r="D496" s="29" t="str">
        <x:v>_db_entry_identity</x:v>
      </x:c>
      <x:c r="E496" s="29" t="str">
        <x:v>Kart alanı: _db_entry_identity</x:v>
      </x:c>
      <x:c r="F496" s="29" t="str">
        <x:v>JSON</x:v>
      </x:c>
      <x:c r="G496" s="29" t="str">
        <x:v>{"id": 30730, "guide_id": 82, "topic_id": null, "image_id": "24a34cf2-b916-4647-94fa-478aebcc04c1", "published": true, "updated_at": "2026-10-23 21:55:18.473422+00:00"}</x:v>
      </x:c>
    </x:row>
    <x:row r="497" ht="54" customHeight="1">
      <x:c r="A497" s="29" t="str">
        <x:v>bakersfield:detail:mahalle-local-bakersfield-area-stockdale-csub-490</x:v>
      </x:c>
      <x:c r="B497" s="29" t="str">
        <x:v>bakersfield</x:v>
      </x:c>
      <x:c r="C497" s="29" t="str">
        <x:v>bakersfield:mahalle-local-bakersfield-area-stockdale-csub</x:v>
      </x:c>
      <x:c r="D497" s="29" t="str">
        <x:v>_db_entry_identity</x:v>
      </x:c>
      <x:c r="E497" s="29" t="str">
        <x:v>Kart alanı: _db_entry_identity</x:v>
      </x:c>
      <x:c r="F497" s="29" t="str">
        <x:v>JSON</x:v>
      </x:c>
      <x:c r="G497" s="29" t="str">
        <x:v>{"id": 30731, "guide_id": 82, "topic_id": null, "image_id": "8239238f-4239-4c45-a3b2-2c014d334b1b", "published": true, "updated_at": "2026-10-23 21:55:18.475156+00:00"}</x:v>
      </x:c>
    </x:row>
    <x:row r="498" ht="54" customHeight="1">
      <x:c r="A498" s="29" t="str">
        <x:v>bakersfield:detail:mahalle-local-bakersfield-area-river-walk-area-491</x:v>
      </x:c>
      <x:c r="B498" s="29" t="str">
        <x:v>bakersfield</x:v>
      </x:c>
      <x:c r="C498" s="29" t="str">
        <x:v>bakersfield:mahalle-local-bakersfield-area-river-walk-area</x:v>
      </x:c>
      <x:c r="D498" s="29" t="str">
        <x:v>_db_entry_identity</x:v>
      </x:c>
      <x:c r="E498" s="29" t="str">
        <x:v>Kart alanı: _db_entry_identity</x:v>
      </x:c>
      <x:c r="F498" s="29" t="str">
        <x:v>JSON</x:v>
      </x:c>
      <x:c r="G498" s="29" t="str">
        <x:v>{"id": 30732, "guide_id": 82, "topic_id": null, "image_id": "91f265c8-fb69-42c5-a4b3-b3371a3b595c", "published": true, "updated_at": "2026-10-23 21:55:18.476888+00:00"}</x:v>
      </x:c>
    </x:row>
    <x:row r="499" ht="54" customHeight="1">
      <x:c r="A499" s="29" t="str">
        <x:v>bakersfield:detail:mahalle-local-bakersfield-area-silver-creek-area-492</x:v>
      </x:c>
      <x:c r="B499" s="29" t="str">
        <x:v>bakersfield</x:v>
      </x:c>
      <x:c r="C499" s="29" t="str">
        <x:v>bakersfield:mahalle-local-bakersfield-area-silver-creek-area</x:v>
      </x:c>
      <x:c r="D499" s="29" t="str">
        <x:v>_db_entry_identity</x:v>
      </x:c>
      <x:c r="E499" s="29" t="str">
        <x:v>Kart alanı: _db_entry_identity</x:v>
      </x:c>
      <x:c r="F499" s="29" t="str">
        <x:v>JSON</x:v>
      </x:c>
      <x:c r="G499" s="29" t="str">
        <x:v>{"id": 30733, "guide_id": 82, "topic_id": null, "image_id": "fa84e6c8-64e2-4db3-9e33-e98b1d737179", "published": true, "updated_at": "2026-10-23 21:55:18.478718+00:00"}</x:v>
      </x:c>
    </x:row>
    <x:row r="500" ht="54" customHeight="1">
      <x:c r="A500" s="29" t="str">
        <x:v>bakersfield:detail:mahalle-local-bakersfield-area-rio-bravo-area-493</x:v>
      </x:c>
      <x:c r="B500" s="29" t="str">
        <x:v>bakersfield</x:v>
      </x:c>
      <x:c r="C500" s="29" t="str">
        <x:v>bakersfield:mahalle-local-bakersfield-area-rio-bravo-area</x:v>
      </x:c>
      <x:c r="D500" s="29" t="str">
        <x:v>_db_entry_identity</x:v>
      </x:c>
      <x:c r="E500" s="29" t="str">
        <x:v>Kart alanı: _db_entry_identity</x:v>
      </x:c>
      <x:c r="F500" s="29" t="str">
        <x:v>JSON</x:v>
      </x:c>
      <x:c r="G500" s="29" t="str">
        <x:v>{"id": 30734, "guide_id": 82, "topic_id": null, "image_id": "f4894a26-e6ae-49a5-878c-a1ef52334c05", "published": true, "updated_at": "2026-10-23 21:55:18.480638+00:00"}</x:v>
      </x:c>
    </x:row>
    <x:row r="501" ht="54" customHeight="1">
      <x:c r="A501" s="29" t="str">
        <x:v>bakersfield:detail:mahalle-local-bakersfield-area-meadows-field-area-494</x:v>
      </x:c>
      <x:c r="B501" s="29" t="str">
        <x:v>bakersfield</x:v>
      </x:c>
      <x:c r="C501" s="29" t="str">
        <x:v>bakersfield:mahalle-local-bakersfield-area-meadows-field-area</x:v>
      </x:c>
      <x:c r="D501" s="29" t="str">
        <x:v>_db_entry_identity</x:v>
      </x:c>
      <x:c r="E501" s="29" t="str">
        <x:v>Kart alanı: _db_entry_identity</x:v>
      </x:c>
      <x:c r="F501" s="29" t="str">
        <x:v>JSON</x:v>
      </x:c>
      <x:c r="G501" s="29" t="str">
        <x:v>{"id": 30735, "guide_id": 82, "topic_id": null, "image_id": "f461d197-28db-47ab-b1d3-32c4954d7732", "published": true, "updated_at": "2026-10-23 21:55:18.482464+00:00"}</x:v>
      </x:c>
    </x:row>
    <x:row r="502" ht="54" customHeight="1">
      <x:c r="A502" s="29" t="str">
        <x:v>bakersfield:detail:mahalle-local-bakersfield-area-buck-owens-corridor-495</x:v>
      </x:c>
      <x:c r="B502" s="29" t="str">
        <x:v>bakersfield</x:v>
      </x:c>
      <x:c r="C502" s="29" t="str">
        <x:v>bakersfield:mahalle-local-bakersfield-area-buck-owens-corridor</x:v>
      </x:c>
      <x:c r="D502" s="29" t="str">
        <x:v>_db_entry_identity</x:v>
      </x:c>
      <x:c r="E502" s="29" t="str">
        <x:v>Kart alanı: _db_entry_identity</x:v>
      </x:c>
      <x:c r="F502" s="29" t="str">
        <x:v>JSON</x:v>
      </x:c>
      <x:c r="G502" s="29" t="str">
        <x:v>{"id": 30736, "guide_id": 82, "topic_id": null, "image_id": "f29f1821-53de-4a86-aec9-3cc8c2837c49", "published": true, "updated_at": "2026-10-23 21:55:18.484255+00:00"}</x:v>
      </x:c>
    </x:row>
    <x:row r="503" ht="54" customHeight="1">
      <x:c r="A503" s="29" t="str">
        <x:v>bakersfield:detail:mahalle-local-bakersfield-area-northeast-parks-496</x:v>
      </x:c>
      <x:c r="B503" s="29" t="str">
        <x:v>bakersfield</x:v>
      </x:c>
      <x:c r="C503" s="29" t="str">
        <x:v>bakersfield:mahalle-local-bakersfield-area-northeast-parks</x:v>
      </x:c>
      <x:c r="D503" s="29" t="str">
        <x:v>_db_entry_identity</x:v>
      </x:c>
      <x:c r="E503" s="29" t="str">
        <x:v>Kart alanı: _db_entry_identity</x:v>
      </x:c>
      <x:c r="F503" s="29" t="str">
        <x:v>JSON</x:v>
      </x:c>
      <x:c r="G503" s="29" t="str">
        <x:v>{"id": 30737, "guide_id": 82, "topic_id": null, "image_id": "2d379b1b-122e-4798-ba0f-e9d744c6a36b", "published": true, "updated_at": "2026-10-23 21:55:18.486055+00:00"}</x:v>
      </x:c>
    </x:row>
    <x:row r="504" ht="54" customHeight="1">
      <x:c r="A504" s="29"/>
      <x:c r="B504" s="29"/>
      <x:c r="C504" s="29"/>
      <x:c r="D504" s="29"/>
      <x:c r="E504" s="29"/>
      <x:c r="F504" s="29"/>
      <x:c r="G504" s="29"/>
    </x:row>
    <x:row r="505" ht="54" customHeight="1">
      <x:c r="A505" s="29"/>
      <x:c r="B505" s="29"/>
      <x:c r="C505" s="29"/>
      <x:c r="D505" s="29"/>
      <x:c r="E505" s="29"/>
      <x:c r="F505" s="29"/>
      <x:c r="G505" s="29"/>
    </x:row>
  </x:sheetData>
  <x:mergeCells>
    <x:mergeCell ref="A3:G3"/>
  </x:mergeCells>
  <x:conditionalFormatting sqref="A8:A505">
    <x:cfRule type="expression" dxfId="150" priority="1">
      <x:formula>AND($A8&lt;&gt;"",ISBLANK(A8))</x:formula>
    </x:cfRule>
  </x:conditionalFormatting>
  <x:conditionalFormatting sqref="B8:B505">
    <x:cfRule type="expression" dxfId="151" priority="2">
      <x:formula>AND($A8&lt;&gt;"",ISBLANK(B8))</x:formula>
    </x:cfRule>
  </x:conditionalFormatting>
  <x:conditionalFormatting sqref="C8:C505">
    <x:cfRule type="expression" dxfId="152" priority="3">
      <x:formula>AND($A8&lt;&gt;"",ISBLANK(C8))</x:formula>
    </x:cfRule>
  </x:conditionalFormatting>
  <x:conditionalFormatting sqref="D8:D505">
    <x:cfRule type="expression" dxfId="153" priority="4">
      <x:formula>AND($A8&lt;&gt;"",ISBLANK(D8))</x:formula>
    </x:cfRule>
  </x:conditionalFormatting>
  <x:conditionalFormatting sqref="E8:E505">
    <x:cfRule type="expression" dxfId="154" priority="5">
      <x:formula>AND($A8&lt;&gt;"",ISBLANK(E8))</x:formula>
    </x:cfRule>
  </x:conditionalFormatting>
  <x:conditionalFormatting sqref="F8:F505">
    <x:cfRule type="expression" dxfId="155" priority="6">
      <x:formula>AND($A8&lt;&gt;"",ISBLANK(F8))</x:formula>
    </x:cfRule>
  </x:conditionalFormatting>
  <x:conditionalFormatting sqref="G8:G505">
    <x:cfRule type="expression" dxfId="156" priority="7">
      <x:formula>AND($A8&lt;&gt;"",ISBLANK(G8))</x:formula>
    </x:cfRule>
  </x:conditionalFormatting>
  <x:dataValidations count="1">
    <x:dataValidation type="list" sqref="F8:F505">
      <x:formula1>"Metin,Sayı,Mantıksal,JSON"</x:formula1>
    </x:dataValidation>
  </x:dataValidations>
  <x:pageMargins left="0.7" right="0.7" top="0.75" bottom="0.75" header="0.3" footer="0.3"/>
  <x:tableParts count="1">
    <x:tablePart xmlns:r="http://schemas.openxmlformats.org/officeDocument/2006/relationships" r:id="R4b00380d19de4d1b"/>
  </x:tableParts>
</x:worksheet>
</file>